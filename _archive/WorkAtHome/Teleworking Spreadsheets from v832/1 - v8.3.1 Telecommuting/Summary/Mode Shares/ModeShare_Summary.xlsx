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del\Projects\1 - WFRC\20010 - RTP - 2023-2050\01_External Forces\05_Telecommuting\Summary\Mode Shares\"/>
    </mc:Choice>
  </mc:AlternateContent>
  <xr:revisionPtr revIDLastSave="0" documentId="13_ncr:1_{1A7485F0-75D4-41D3-9802-0C736B24834B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 2019" sheetId="10" r:id="rId1"/>
    <sheet name="Summary 2050" sheetId="2" r:id="rId2"/>
    <sheet name="Base_2019" sheetId="1" r:id="rId3"/>
    <sheet name="Low_2019" sheetId="3" r:id="rId4"/>
    <sheet name="Med_2019" sheetId="4" r:id="rId5"/>
    <sheet name="High_2019" sheetId="5" r:id="rId6"/>
    <sheet name="Base_2050" sheetId="6" r:id="rId7"/>
    <sheet name="Low_2050" sheetId="7" r:id="rId8"/>
    <sheet name="Med_2050" sheetId="8" r:id="rId9"/>
    <sheet name="High_2050" sheetId="9" r:id="rId10"/>
  </sheets>
  <definedNames>
    <definedName name="Base_2019">Base_2019!$1:$1048576</definedName>
    <definedName name="High_2019">High_2019!$1:$1048576</definedName>
    <definedName name="Low_2019">Low_2019!$1:$1048576</definedName>
    <definedName name="Med_2019">Med_2019!$1:$1048576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2" l="1"/>
  <c r="R33" i="2"/>
  <c r="S33" i="2"/>
  <c r="T33" i="2"/>
  <c r="U33" i="2"/>
  <c r="V33" i="2"/>
  <c r="W33" i="2"/>
  <c r="X33" i="2"/>
  <c r="Y33" i="2"/>
  <c r="Z33" i="2"/>
  <c r="AA33" i="2"/>
  <c r="AB33" i="2"/>
  <c r="Q34" i="2"/>
  <c r="R34" i="2"/>
  <c r="S34" i="2"/>
  <c r="T34" i="2"/>
  <c r="U34" i="2"/>
  <c r="V34" i="2"/>
  <c r="W34" i="2"/>
  <c r="X34" i="2"/>
  <c r="Y34" i="2"/>
  <c r="Z34" i="2"/>
  <c r="AA34" i="2"/>
  <c r="AB34" i="2"/>
  <c r="Q35" i="2"/>
  <c r="R35" i="2"/>
  <c r="S35" i="2"/>
  <c r="T35" i="2"/>
  <c r="U35" i="2"/>
  <c r="V35" i="2"/>
  <c r="W35" i="2"/>
  <c r="X35" i="2"/>
  <c r="Y35" i="2"/>
  <c r="Z35" i="2"/>
  <c r="AA35" i="2"/>
  <c r="AB35" i="2"/>
  <c r="Q36" i="2"/>
  <c r="R36" i="2"/>
  <c r="S36" i="2"/>
  <c r="T36" i="2"/>
  <c r="U36" i="2"/>
  <c r="V36" i="2"/>
  <c r="W36" i="2"/>
  <c r="X36" i="2"/>
  <c r="Y36" i="2"/>
  <c r="Z36" i="2"/>
  <c r="AA36" i="2"/>
  <c r="AB36" i="2"/>
  <c r="Q37" i="2"/>
  <c r="R37" i="2"/>
  <c r="S37" i="2"/>
  <c r="T37" i="2"/>
  <c r="U37" i="2"/>
  <c r="V37" i="2"/>
  <c r="W37" i="2"/>
  <c r="X37" i="2"/>
  <c r="Y37" i="2"/>
  <c r="Z37" i="2"/>
  <c r="AA37" i="2"/>
  <c r="AB37" i="2"/>
  <c r="Q38" i="2"/>
  <c r="R38" i="2"/>
  <c r="S38" i="2"/>
  <c r="T38" i="2"/>
  <c r="U38" i="2"/>
  <c r="V38" i="2"/>
  <c r="W38" i="2"/>
  <c r="X38" i="2"/>
  <c r="Y38" i="2"/>
  <c r="Z38" i="2"/>
  <c r="AA38" i="2"/>
  <c r="AB38" i="2"/>
  <c r="Q39" i="2"/>
  <c r="R39" i="2"/>
  <c r="S39" i="2"/>
  <c r="T39" i="2"/>
  <c r="U39" i="2"/>
  <c r="V39" i="2"/>
  <c r="W39" i="2"/>
  <c r="X39" i="2"/>
  <c r="Y39" i="2"/>
  <c r="Z39" i="2"/>
  <c r="AA39" i="2"/>
  <c r="AB39" i="2"/>
  <c r="Q40" i="2"/>
  <c r="R40" i="2"/>
  <c r="S40" i="2"/>
  <c r="T40" i="2"/>
  <c r="U40" i="2"/>
  <c r="V40" i="2"/>
  <c r="W40" i="2"/>
  <c r="X40" i="2"/>
  <c r="Y40" i="2"/>
  <c r="Z40" i="2"/>
  <c r="AA40" i="2"/>
  <c r="AB40" i="2"/>
  <c r="Q41" i="2"/>
  <c r="R41" i="2"/>
  <c r="S41" i="2"/>
  <c r="T41" i="2"/>
  <c r="U41" i="2"/>
  <c r="V41" i="2"/>
  <c r="W41" i="2"/>
  <c r="X41" i="2"/>
  <c r="Y41" i="2"/>
  <c r="Z41" i="2"/>
  <c r="AA41" i="2"/>
  <c r="AB41" i="2"/>
  <c r="Q19" i="2"/>
  <c r="R19" i="2"/>
  <c r="S19" i="2"/>
  <c r="T19" i="2"/>
  <c r="U19" i="2"/>
  <c r="V19" i="2"/>
  <c r="W19" i="2"/>
  <c r="X19" i="2"/>
  <c r="Y19" i="2"/>
  <c r="Z19" i="2"/>
  <c r="AA19" i="2"/>
  <c r="AB19" i="2"/>
  <c r="Q20" i="2"/>
  <c r="R20" i="2"/>
  <c r="S20" i="2"/>
  <c r="T20" i="2"/>
  <c r="U20" i="2"/>
  <c r="V20" i="2"/>
  <c r="W20" i="2"/>
  <c r="X20" i="2"/>
  <c r="Y20" i="2"/>
  <c r="Z20" i="2"/>
  <c r="AA20" i="2"/>
  <c r="AB20" i="2"/>
  <c r="Q21" i="2"/>
  <c r="R21" i="2"/>
  <c r="S21" i="2"/>
  <c r="T21" i="2"/>
  <c r="U21" i="2"/>
  <c r="V21" i="2"/>
  <c r="W21" i="2"/>
  <c r="X21" i="2"/>
  <c r="Y21" i="2"/>
  <c r="Z21" i="2"/>
  <c r="AA21" i="2"/>
  <c r="AB21" i="2"/>
  <c r="Q22" i="2"/>
  <c r="R22" i="2"/>
  <c r="S22" i="2"/>
  <c r="T22" i="2"/>
  <c r="U22" i="2"/>
  <c r="V22" i="2"/>
  <c r="W22" i="2"/>
  <c r="X22" i="2"/>
  <c r="Y22" i="2"/>
  <c r="Z22" i="2"/>
  <c r="AA22" i="2"/>
  <c r="AB22" i="2"/>
  <c r="Q23" i="2"/>
  <c r="R23" i="2"/>
  <c r="S23" i="2"/>
  <c r="T23" i="2"/>
  <c r="U23" i="2"/>
  <c r="V23" i="2"/>
  <c r="W23" i="2"/>
  <c r="X23" i="2"/>
  <c r="Y23" i="2"/>
  <c r="Z23" i="2"/>
  <c r="AA23" i="2"/>
  <c r="AB23" i="2"/>
  <c r="Q24" i="2"/>
  <c r="R24" i="2"/>
  <c r="S24" i="2"/>
  <c r="T24" i="2"/>
  <c r="U24" i="2"/>
  <c r="V24" i="2"/>
  <c r="W24" i="2"/>
  <c r="X24" i="2"/>
  <c r="Y24" i="2"/>
  <c r="Z24" i="2"/>
  <c r="AA24" i="2"/>
  <c r="AB24" i="2"/>
  <c r="Q25" i="2"/>
  <c r="R25" i="2"/>
  <c r="S25" i="2"/>
  <c r="T25" i="2"/>
  <c r="U25" i="2"/>
  <c r="V25" i="2"/>
  <c r="W25" i="2"/>
  <c r="X25" i="2"/>
  <c r="Y25" i="2"/>
  <c r="Z25" i="2"/>
  <c r="AA25" i="2"/>
  <c r="AB25" i="2"/>
  <c r="Q26" i="2"/>
  <c r="R26" i="2"/>
  <c r="S26" i="2"/>
  <c r="T26" i="2"/>
  <c r="U26" i="2"/>
  <c r="V26" i="2"/>
  <c r="W26" i="2"/>
  <c r="X26" i="2"/>
  <c r="Y26" i="2"/>
  <c r="Z26" i="2"/>
  <c r="AA26" i="2"/>
  <c r="AB26" i="2"/>
  <c r="Q27" i="2"/>
  <c r="R27" i="2"/>
  <c r="S27" i="2"/>
  <c r="T27" i="2"/>
  <c r="U27" i="2"/>
  <c r="V27" i="2"/>
  <c r="W27" i="2"/>
  <c r="X27" i="2"/>
  <c r="Y27" i="2"/>
  <c r="Z27" i="2"/>
  <c r="AA27" i="2"/>
  <c r="AB27" i="2"/>
  <c r="Q5" i="2"/>
  <c r="R5" i="2"/>
  <c r="S5" i="2"/>
  <c r="T5" i="2"/>
  <c r="U5" i="2"/>
  <c r="V5" i="2"/>
  <c r="W5" i="2"/>
  <c r="X5" i="2"/>
  <c r="Y5" i="2"/>
  <c r="Z5" i="2"/>
  <c r="AA5" i="2"/>
  <c r="AB5" i="2"/>
  <c r="Q6" i="2"/>
  <c r="R6" i="2"/>
  <c r="S6" i="2"/>
  <c r="T6" i="2"/>
  <c r="U6" i="2"/>
  <c r="V6" i="2"/>
  <c r="W6" i="2"/>
  <c r="X6" i="2"/>
  <c r="Y6" i="2"/>
  <c r="Z6" i="2"/>
  <c r="AA6" i="2"/>
  <c r="AB6" i="2"/>
  <c r="Q7" i="2"/>
  <c r="R7" i="2"/>
  <c r="S7" i="2"/>
  <c r="T7" i="2"/>
  <c r="U7" i="2"/>
  <c r="V7" i="2"/>
  <c r="W7" i="2"/>
  <c r="X7" i="2"/>
  <c r="Y7" i="2"/>
  <c r="Z7" i="2"/>
  <c r="AA7" i="2"/>
  <c r="AB7" i="2"/>
  <c r="Q8" i="2"/>
  <c r="R8" i="2"/>
  <c r="S8" i="2"/>
  <c r="T8" i="2"/>
  <c r="U8" i="2"/>
  <c r="V8" i="2"/>
  <c r="W8" i="2"/>
  <c r="X8" i="2"/>
  <c r="Y8" i="2"/>
  <c r="Z8" i="2"/>
  <c r="AA8" i="2"/>
  <c r="AB8" i="2"/>
  <c r="Q9" i="2"/>
  <c r="R9" i="2"/>
  <c r="S9" i="2"/>
  <c r="T9" i="2"/>
  <c r="U9" i="2"/>
  <c r="V9" i="2"/>
  <c r="W9" i="2"/>
  <c r="X9" i="2"/>
  <c r="Y9" i="2"/>
  <c r="Z9" i="2"/>
  <c r="AA9" i="2"/>
  <c r="AB9" i="2"/>
  <c r="Q10" i="2"/>
  <c r="R10" i="2"/>
  <c r="S10" i="2"/>
  <c r="T10" i="2"/>
  <c r="U10" i="2"/>
  <c r="V10" i="2"/>
  <c r="W10" i="2"/>
  <c r="X10" i="2"/>
  <c r="Y10" i="2"/>
  <c r="Z10" i="2"/>
  <c r="AA10" i="2"/>
  <c r="AB10" i="2"/>
  <c r="Q11" i="2"/>
  <c r="R11" i="2"/>
  <c r="S11" i="2"/>
  <c r="T11" i="2"/>
  <c r="U11" i="2"/>
  <c r="V11" i="2"/>
  <c r="W11" i="2"/>
  <c r="X11" i="2"/>
  <c r="Y11" i="2"/>
  <c r="Z11" i="2"/>
  <c r="AA11" i="2"/>
  <c r="AB11" i="2"/>
  <c r="Q12" i="2"/>
  <c r="R12" i="2"/>
  <c r="S12" i="2"/>
  <c r="T12" i="2"/>
  <c r="U12" i="2"/>
  <c r="V12" i="2"/>
  <c r="W12" i="2"/>
  <c r="X12" i="2"/>
  <c r="Y12" i="2"/>
  <c r="Z12" i="2"/>
  <c r="AA12" i="2"/>
  <c r="AB12" i="2"/>
  <c r="Q13" i="2"/>
  <c r="R13" i="2"/>
  <c r="S13" i="2"/>
  <c r="T13" i="2"/>
  <c r="U13" i="2"/>
  <c r="V13" i="2"/>
  <c r="W13" i="2"/>
  <c r="X13" i="2"/>
  <c r="Y13" i="2"/>
  <c r="Z13" i="2"/>
  <c r="AA13" i="2"/>
  <c r="AB13" i="2"/>
  <c r="AB32" i="2"/>
  <c r="AA32" i="2"/>
  <c r="Z32" i="2"/>
  <c r="Y32" i="2"/>
  <c r="X32" i="2"/>
  <c r="W32" i="2"/>
  <c r="V32" i="2"/>
  <c r="U32" i="2"/>
  <c r="T32" i="2"/>
  <c r="S32" i="2"/>
  <c r="R32" i="2"/>
  <c r="Q32" i="2"/>
  <c r="AB18" i="2"/>
  <c r="AA18" i="2"/>
  <c r="Z18" i="2"/>
  <c r="Y18" i="2"/>
  <c r="X18" i="2"/>
  <c r="W18" i="2"/>
  <c r="V18" i="2"/>
  <c r="U18" i="2"/>
  <c r="T18" i="2"/>
  <c r="S18" i="2"/>
  <c r="R18" i="2"/>
  <c r="Q18" i="2"/>
  <c r="AB4" i="2"/>
  <c r="AA4" i="2"/>
  <c r="Z4" i="2"/>
  <c r="Y4" i="2"/>
  <c r="X4" i="2"/>
  <c r="W4" i="2"/>
  <c r="V4" i="2"/>
  <c r="U4" i="2"/>
  <c r="T4" i="2"/>
  <c r="S4" i="2"/>
  <c r="R4" i="2"/>
  <c r="Q4" i="2"/>
  <c r="C33" i="2"/>
  <c r="D33" i="2"/>
  <c r="E33" i="2"/>
  <c r="F33" i="2"/>
  <c r="G33" i="2"/>
  <c r="H33" i="2"/>
  <c r="I33" i="2"/>
  <c r="J33" i="2"/>
  <c r="K33" i="2"/>
  <c r="L33" i="2"/>
  <c r="M33" i="2"/>
  <c r="N33" i="2"/>
  <c r="C34" i="2"/>
  <c r="D34" i="2"/>
  <c r="E34" i="2"/>
  <c r="F34" i="2"/>
  <c r="G34" i="2"/>
  <c r="H34" i="2"/>
  <c r="I34" i="2"/>
  <c r="J34" i="2"/>
  <c r="K34" i="2"/>
  <c r="L34" i="2"/>
  <c r="M34" i="2"/>
  <c r="N34" i="2"/>
  <c r="C35" i="2"/>
  <c r="D35" i="2"/>
  <c r="E35" i="2"/>
  <c r="F35" i="2"/>
  <c r="G35" i="2"/>
  <c r="H35" i="2"/>
  <c r="I35" i="2"/>
  <c r="J35" i="2"/>
  <c r="K35" i="2"/>
  <c r="L35" i="2"/>
  <c r="M35" i="2"/>
  <c r="N35" i="2"/>
  <c r="C36" i="2"/>
  <c r="D36" i="2"/>
  <c r="E36" i="2"/>
  <c r="F36" i="2"/>
  <c r="G36" i="2"/>
  <c r="H36" i="2"/>
  <c r="I36" i="2"/>
  <c r="J36" i="2"/>
  <c r="K36" i="2"/>
  <c r="L36" i="2"/>
  <c r="M36" i="2"/>
  <c r="N36" i="2"/>
  <c r="C37" i="2"/>
  <c r="D37" i="2"/>
  <c r="E37" i="2"/>
  <c r="F37" i="2"/>
  <c r="G37" i="2"/>
  <c r="H37" i="2"/>
  <c r="I37" i="2"/>
  <c r="J37" i="2"/>
  <c r="K37" i="2"/>
  <c r="L37" i="2"/>
  <c r="M37" i="2"/>
  <c r="N37" i="2"/>
  <c r="C38" i="2"/>
  <c r="D38" i="2"/>
  <c r="E38" i="2"/>
  <c r="F38" i="2"/>
  <c r="G38" i="2"/>
  <c r="H38" i="2"/>
  <c r="I38" i="2"/>
  <c r="J38" i="2"/>
  <c r="K38" i="2"/>
  <c r="L38" i="2"/>
  <c r="M38" i="2"/>
  <c r="N38" i="2"/>
  <c r="C39" i="2"/>
  <c r="D39" i="2"/>
  <c r="E39" i="2"/>
  <c r="F39" i="2"/>
  <c r="G39" i="2"/>
  <c r="H39" i="2"/>
  <c r="I39" i="2"/>
  <c r="J39" i="2"/>
  <c r="K39" i="2"/>
  <c r="L39" i="2"/>
  <c r="M39" i="2"/>
  <c r="N39" i="2"/>
  <c r="C40" i="2"/>
  <c r="D40" i="2"/>
  <c r="E40" i="2"/>
  <c r="F40" i="2"/>
  <c r="G40" i="2"/>
  <c r="H40" i="2"/>
  <c r="I40" i="2"/>
  <c r="J40" i="2"/>
  <c r="K40" i="2"/>
  <c r="L40" i="2"/>
  <c r="M40" i="2"/>
  <c r="N40" i="2"/>
  <c r="C41" i="2"/>
  <c r="D41" i="2"/>
  <c r="E41" i="2"/>
  <c r="F41" i="2"/>
  <c r="G41" i="2"/>
  <c r="H41" i="2"/>
  <c r="I41" i="2"/>
  <c r="J41" i="2"/>
  <c r="K41" i="2"/>
  <c r="L41" i="2"/>
  <c r="M41" i="2"/>
  <c r="N41" i="2"/>
  <c r="N32" i="2"/>
  <c r="M32" i="2"/>
  <c r="L32" i="2"/>
  <c r="K32" i="2"/>
  <c r="J32" i="2"/>
  <c r="I32" i="2"/>
  <c r="H32" i="2"/>
  <c r="G32" i="2"/>
  <c r="F32" i="2"/>
  <c r="E32" i="2"/>
  <c r="D32" i="2"/>
  <c r="C32" i="2"/>
  <c r="C19" i="2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C21" i="2"/>
  <c r="D21" i="2"/>
  <c r="E21" i="2"/>
  <c r="F21" i="2"/>
  <c r="G21" i="2"/>
  <c r="H21" i="2"/>
  <c r="I21" i="2"/>
  <c r="J21" i="2"/>
  <c r="K21" i="2"/>
  <c r="L21" i="2"/>
  <c r="M21" i="2"/>
  <c r="N21" i="2"/>
  <c r="C22" i="2"/>
  <c r="D22" i="2"/>
  <c r="E22" i="2"/>
  <c r="F22" i="2"/>
  <c r="G22" i="2"/>
  <c r="H22" i="2"/>
  <c r="I22" i="2"/>
  <c r="J22" i="2"/>
  <c r="K22" i="2"/>
  <c r="L22" i="2"/>
  <c r="M22" i="2"/>
  <c r="N22" i="2"/>
  <c r="C23" i="2"/>
  <c r="D23" i="2"/>
  <c r="E23" i="2"/>
  <c r="F23" i="2"/>
  <c r="G23" i="2"/>
  <c r="H23" i="2"/>
  <c r="I23" i="2"/>
  <c r="J23" i="2"/>
  <c r="K23" i="2"/>
  <c r="L23" i="2"/>
  <c r="M23" i="2"/>
  <c r="N23" i="2"/>
  <c r="C24" i="2"/>
  <c r="D24" i="2"/>
  <c r="E24" i="2"/>
  <c r="F24" i="2"/>
  <c r="G24" i="2"/>
  <c r="H24" i="2"/>
  <c r="I24" i="2"/>
  <c r="J24" i="2"/>
  <c r="K24" i="2"/>
  <c r="L24" i="2"/>
  <c r="M24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C27" i="2"/>
  <c r="D27" i="2"/>
  <c r="E27" i="2"/>
  <c r="F27" i="2"/>
  <c r="G27" i="2"/>
  <c r="H27" i="2"/>
  <c r="I27" i="2"/>
  <c r="J27" i="2"/>
  <c r="K27" i="2"/>
  <c r="L27" i="2"/>
  <c r="M27" i="2"/>
  <c r="N27" i="2"/>
  <c r="N18" i="2"/>
  <c r="M18" i="2"/>
  <c r="L18" i="2"/>
  <c r="K18" i="2"/>
  <c r="J18" i="2"/>
  <c r="I18" i="2"/>
  <c r="H18" i="2"/>
  <c r="G18" i="2"/>
  <c r="F18" i="2"/>
  <c r="E18" i="2"/>
  <c r="D18" i="2"/>
  <c r="C18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K13" i="2"/>
  <c r="L13" i="2"/>
  <c r="M13" i="2"/>
  <c r="N13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N4" i="2"/>
  <c r="M4" i="2"/>
  <c r="L4" i="2"/>
  <c r="K4" i="2"/>
  <c r="J4" i="2"/>
  <c r="I4" i="2"/>
  <c r="H4" i="2"/>
  <c r="G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F4" i="2"/>
  <c r="E4" i="2"/>
  <c r="D4" i="2"/>
  <c r="C4" i="2"/>
  <c r="Z33" i="10"/>
  <c r="AA33" i="10"/>
  <c r="AB33" i="10"/>
  <c r="Z34" i="10"/>
  <c r="AA34" i="10"/>
  <c r="AB34" i="10"/>
  <c r="Z35" i="10"/>
  <c r="AA35" i="10"/>
  <c r="AB35" i="10"/>
  <c r="Z36" i="10"/>
  <c r="AA36" i="10"/>
  <c r="AB36" i="10"/>
  <c r="Z37" i="10"/>
  <c r="AA37" i="10"/>
  <c r="AB37" i="10"/>
  <c r="Z38" i="10"/>
  <c r="AA38" i="10"/>
  <c r="AB38" i="10"/>
  <c r="Z39" i="10"/>
  <c r="AA39" i="10"/>
  <c r="AB39" i="10"/>
  <c r="Z40" i="10"/>
  <c r="AA40" i="10"/>
  <c r="AB40" i="10"/>
  <c r="Z41" i="10"/>
  <c r="AA41" i="10"/>
  <c r="AB41" i="10"/>
  <c r="V33" i="10"/>
  <c r="W33" i="10"/>
  <c r="X33" i="10"/>
  <c r="V34" i="10"/>
  <c r="W34" i="10"/>
  <c r="X34" i="10"/>
  <c r="V35" i="10"/>
  <c r="W35" i="10"/>
  <c r="X35" i="10"/>
  <c r="V36" i="10"/>
  <c r="W36" i="10"/>
  <c r="X36" i="10"/>
  <c r="V37" i="10"/>
  <c r="W37" i="10"/>
  <c r="X37" i="10"/>
  <c r="V38" i="10"/>
  <c r="W38" i="10"/>
  <c r="X38" i="10"/>
  <c r="V39" i="10"/>
  <c r="W39" i="10"/>
  <c r="X39" i="10"/>
  <c r="V40" i="10"/>
  <c r="W40" i="10"/>
  <c r="X40" i="10"/>
  <c r="V41" i="10"/>
  <c r="W41" i="10"/>
  <c r="X41" i="10"/>
  <c r="AB32" i="10"/>
  <c r="AA32" i="10"/>
  <c r="X32" i="10"/>
  <c r="W32" i="10"/>
  <c r="R33" i="10"/>
  <c r="S33" i="10"/>
  <c r="T33" i="10"/>
  <c r="R34" i="10"/>
  <c r="S34" i="10"/>
  <c r="T34" i="10"/>
  <c r="R35" i="10"/>
  <c r="S35" i="10"/>
  <c r="T35" i="10"/>
  <c r="R36" i="10"/>
  <c r="S36" i="10"/>
  <c r="T36" i="10"/>
  <c r="R37" i="10"/>
  <c r="S37" i="10"/>
  <c r="T37" i="10"/>
  <c r="R38" i="10"/>
  <c r="S38" i="10"/>
  <c r="T38" i="10"/>
  <c r="R39" i="10"/>
  <c r="S39" i="10"/>
  <c r="T39" i="10"/>
  <c r="R40" i="10"/>
  <c r="S40" i="10"/>
  <c r="T40" i="10"/>
  <c r="R41" i="10"/>
  <c r="S41" i="10"/>
  <c r="T41" i="10"/>
  <c r="T32" i="10"/>
  <c r="S32" i="10"/>
  <c r="Z19" i="10"/>
  <c r="AA19" i="10"/>
  <c r="AB19" i="10"/>
  <c r="Z20" i="10"/>
  <c r="AA20" i="10"/>
  <c r="AB20" i="10"/>
  <c r="Z21" i="10"/>
  <c r="AA21" i="10"/>
  <c r="AB21" i="10"/>
  <c r="Z22" i="10"/>
  <c r="AA22" i="10"/>
  <c r="AB22" i="10"/>
  <c r="Z23" i="10"/>
  <c r="AA23" i="10"/>
  <c r="AB23" i="10"/>
  <c r="Z24" i="10"/>
  <c r="AA24" i="10"/>
  <c r="AB24" i="10"/>
  <c r="Z25" i="10"/>
  <c r="AA25" i="10"/>
  <c r="AB25" i="10"/>
  <c r="Z26" i="10"/>
  <c r="AA26" i="10"/>
  <c r="AB26" i="10"/>
  <c r="Z27" i="10"/>
  <c r="AA27" i="10"/>
  <c r="AB27" i="10"/>
  <c r="V19" i="10"/>
  <c r="W19" i="10"/>
  <c r="X19" i="10"/>
  <c r="V20" i="10"/>
  <c r="W20" i="10"/>
  <c r="X20" i="10"/>
  <c r="V21" i="10"/>
  <c r="W21" i="10"/>
  <c r="X21" i="10"/>
  <c r="V22" i="10"/>
  <c r="W22" i="10"/>
  <c r="X22" i="10"/>
  <c r="V23" i="10"/>
  <c r="W23" i="10"/>
  <c r="X23" i="10"/>
  <c r="V24" i="10"/>
  <c r="W24" i="10"/>
  <c r="X24" i="10"/>
  <c r="V25" i="10"/>
  <c r="W25" i="10"/>
  <c r="X25" i="10"/>
  <c r="V26" i="10"/>
  <c r="W26" i="10"/>
  <c r="X26" i="10"/>
  <c r="V27" i="10"/>
  <c r="W27" i="10"/>
  <c r="X27" i="10"/>
  <c r="R19" i="10"/>
  <c r="S19" i="10"/>
  <c r="T19" i="10"/>
  <c r="R20" i="10"/>
  <c r="S20" i="10"/>
  <c r="T20" i="10"/>
  <c r="R21" i="10"/>
  <c r="S21" i="10"/>
  <c r="T21" i="10"/>
  <c r="R22" i="10"/>
  <c r="S22" i="10"/>
  <c r="T22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AB18" i="10"/>
  <c r="AA18" i="10"/>
  <c r="X18" i="10"/>
  <c r="W18" i="10"/>
  <c r="T18" i="10"/>
  <c r="S18" i="10"/>
  <c r="Z5" i="10"/>
  <c r="AA5" i="10"/>
  <c r="AB5" i="10"/>
  <c r="Z6" i="10"/>
  <c r="AA6" i="10"/>
  <c r="AB6" i="10"/>
  <c r="Z7" i="10"/>
  <c r="AA7" i="10"/>
  <c r="AB7" i="10"/>
  <c r="Z8" i="10"/>
  <c r="AA8" i="10"/>
  <c r="AB8" i="10"/>
  <c r="Z9" i="10"/>
  <c r="AA9" i="10"/>
  <c r="AB9" i="10"/>
  <c r="Z10" i="10"/>
  <c r="AA10" i="10"/>
  <c r="AB10" i="10"/>
  <c r="Z11" i="10"/>
  <c r="AA11" i="10"/>
  <c r="AB11" i="10"/>
  <c r="Z12" i="10"/>
  <c r="AA12" i="10"/>
  <c r="AB12" i="10"/>
  <c r="Z13" i="10"/>
  <c r="AA13" i="10"/>
  <c r="AB13" i="10"/>
  <c r="AB4" i="10"/>
  <c r="AA4" i="10"/>
  <c r="V5" i="10"/>
  <c r="W5" i="10"/>
  <c r="X5" i="10"/>
  <c r="V6" i="10"/>
  <c r="W6" i="10"/>
  <c r="X6" i="10"/>
  <c r="V7" i="10"/>
  <c r="W7" i="10"/>
  <c r="X7" i="10"/>
  <c r="V8" i="10"/>
  <c r="W8" i="10"/>
  <c r="X8" i="10"/>
  <c r="V9" i="10"/>
  <c r="W9" i="10"/>
  <c r="X9" i="10"/>
  <c r="V10" i="10"/>
  <c r="W10" i="10"/>
  <c r="X10" i="10"/>
  <c r="V11" i="10"/>
  <c r="W11" i="10"/>
  <c r="X11" i="10"/>
  <c r="V12" i="10"/>
  <c r="W12" i="10"/>
  <c r="X12" i="10"/>
  <c r="V13" i="10"/>
  <c r="W13" i="10"/>
  <c r="X13" i="10"/>
  <c r="X4" i="10"/>
  <c r="W4" i="10"/>
  <c r="R5" i="10"/>
  <c r="S5" i="10"/>
  <c r="T5" i="10"/>
  <c r="R6" i="10"/>
  <c r="S6" i="10"/>
  <c r="T6" i="10"/>
  <c r="R7" i="10"/>
  <c r="S7" i="10"/>
  <c r="T7" i="10"/>
  <c r="R8" i="10"/>
  <c r="S8" i="10"/>
  <c r="T8" i="10"/>
  <c r="R9" i="10"/>
  <c r="S9" i="10"/>
  <c r="T9" i="10"/>
  <c r="R10" i="10"/>
  <c r="S10" i="10"/>
  <c r="T10" i="10"/>
  <c r="R11" i="10"/>
  <c r="S11" i="10"/>
  <c r="T11" i="10"/>
  <c r="R12" i="10"/>
  <c r="S12" i="10"/>
  <c r="T12" i="10"/>
  <c r="R13" i="10"/>
  <c r="S13" i="10"/>
  <c r="T13" i="10"/>
  <c r="T4" i="10"/>
  <c r="S4" i="10"/>
  <c r="L33" i="10"/>
  <c r="M33" i="10"/>
  <c r="N33" i="10"/>
  <c r="L34" i="10"/>
  <c r="M34" i="10"/>
  <c r="N34" i="10"/>
  <c r="L35" i="10"/>
  <c r="M35" i="10"/>
  <c r="N35" i="10"/>
  <c r="L36" i="10"/>
  <c r="M36" i="10"/>
  <c r="N36" i="10"/>
  <c r="L37" i="10"/>
  <c r="M37" i="10"/>
  <c r="N37" i="10"/>
  <c r="L38" i="10"/>
  <c r="M38" i="10"/>
  <c r="N38" i="10"/>
  <c r="L39" i="10"/>
  <c r="M39" i="10"/>
  <c r="N39" i="10"/>
  <c r="L40" i="10"/>
  <c r="M40" i="10"/>
  <c r="N40" i="10"/>
  <c r="L41" i="10"/>
  <c r="M41" i="10"/>
  <c r="N41" i="10"/>
  <c r="N32" i="10"/>
  <c r="M32" i="10"/>
  <c r="H33" i="10"/>
  <c r="I33" i="10"/>
  <c r="J33" i="10"/>
  <c r="H34" i="10"/>
  <c r="I34" i="10"/>
  <c r="J34" i="10"/>
  <c r="H35" i="10"/>
  <c r="I35" i="10"/>
  <c r="J35" i="10"/>
  <c r="H36" i="10"/>
  <c r="I36" i="10"/>
  <c r="J36" i="10"/>
  <c r="H37" i="10"/>
  <c r="I37" i="10"/>
  <c r="J37" i="10"/>
  <c r="H38" i="10"/>
  <c r="I38" i="10"/>
  <c r="J38" i="10"/>
  <c r="H39" i="10"/>
  <c r="I39" i="10"/>
  <c r="J39" i="10"/>
  <c r="H40" i="10"/>
  <c r="I40" i="10"/>
  <c r="J40" i="10"/>
  <c r="H41" i="10"/>
  <c r="I41" i="10"/>
  <c r="J41" i="10"/>
  <c r="D33" i="10"/>
  <c r="E33" i="10"/>
  <c r="F33" i="10"/>
  <c r="D34" i="10"/>
  <c r="E34" i="10"/>
  <c r="F34" i="10"/>
  <c r="D35" i="10"/>
  <c r="E35" i="10"/>
  <c r="F35" i="10"/>
  <c r="D36" i="10"/>
  <c r="E36" i="10"/>
  <c r="F36" i="10"/>
  <c r="D37" i="10"/>
  <c r="E37" i="10"/>
  <c r="F37" i="10"/>
  <c r="D38" i="10"/>
  <c r="E38" i="10"/>
  <c r="F38" i="10"/>
  <c r="D39" i="10"/>
  <c r="E39" i="10"/>
  <c r="F39" i="10"/>
  <c r="D40" i="10"/>
  <c r="E40" i="10"/>
  <c r="F40" i="10"/>
  <c r="D41" i="10"/>
  <c r="E41" i="10"/>
  <c r="F41" i="10"/>
  <c r="J32" i="10"/>
  <c r="I32" i="10"/>
  <c r="F32" i="10"/>
  <c r="E32" i="10"/>
  <c r="L19" i="10"/>
  <c r="M19" i="10"/>
  <c r="N19" i="10"/>
  <c r="L20" i="10"/>
  <c r="M20" i="10"/>
  <c r="N20" i="10"/>
  <c r="L21" i="10"/>
  <c r="M21" i="10"/>
  <c r="N21" i="10"/>
  <c r="L22" i="10"/>
  <c r="M22" i="10"/>
  <c r="N22" i="10"/>
  <c r="L23" i="10"/>
  <c r="M23" i="10"/>
  <c r="N23" i="10"/>
  <c r="L24" i="10"/>
  <c r="M24" i="10"/>
  <c r="N24" i="10"/>
  <c r="L25" i="10"/>
  <c r="M25" i="10"/>
  <c r="N25" i="10"/>
  <c r="L26" i="10"/>
  <c r="M26" i="10"/>
  <c r="N26" i="10"/>
  <c r="L27" i="10"/>
  <c r="M27" i="10"/>
  <c r="N27" i="10"/>
  <c r="N18" i="10"/>
  <c r="M18" i="10"/>
  <c r="H19" i="10"/>
  <c r="I19" i="10"/>
  <c r="J19" i="10"/>
  <c r="H20" i="10"/>
  <c r="I20" i="10"/>
  <c r="J20" i="10"/>
  <c r="H21" i="10"/>
  <c r="I21" i="10"/>
  <c r="J21" i="10"/>
  <c r="H22" i="10"/>
  <c r="I22" i="10"/>
  <c r="J22" i="10"/>
  <c r="H23" i="10"/>
  <c r="I23" i="10"/>
  <c r="J23" i="10"/>
  <c r="H24" i="10"/>
  <c r="I24" i="10"/>
  <c r="J24" i="10"/>
  <c r="H25" i="10"/>
  <c r="I25" i="10"/>
  <c r="J25" i="10"/>
  <c r="H26" i="10"/>
  <c r="I26" i="10"/>
  <c r="J26" i="10"/>
  <c r="H27" i="10"/>
  <c r="I27" i="10"/>
  <c r="J27" i="10"/>
  <c r="J18" i="10"/>
  <c r="I18" i="10"/>
  <c r="D19" i="10"/>
  <c r="E19" i="10"/>
  <c r="F19" i="10"/>
  <c r="D20" i="10"/>
  <c r="E20" i="10"/>
  <c r="F20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F18" i="10"/>
  <c r="E18" i="10"/>
  <c r="M5" i="10" l="1"/>
  <c r="N5" i="10"/>
  <c r="M6" i="10"/>
  <c r="N6" i="10"/>
  <c r="M7" i="10"/>
  <c r="N7" i="10"/>
  <c r="M8" i="10"/>
  <c r="N8" i="10"/>
  <c r="M9" i="10"/>
  <c r="N9" i="10"/>
  <c r="M10" i="10"/>
  <c r="N10" i="10"/>
  <c r="M11" i="10"/>
  <c r="N11" i="10"/>
  <c r="M12" i="10"/>
  <c r="N12" i="10"/>
  <c r="M13" i="10"/>
  <c r="N13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D5" i="10"/>
  <c r="E5" i="10"/>
  <c r="F5" i="10"/>
  <c r="D6" i="10"/>
  <c r="E6" i="10"/>
  <c r="F6" i="10"/>
  <c r="D7" i="10"/>
  <c r="E7" i="10"/>
  <c r="F7" i="10"/>
  <c r="D8" i="10"/>
  <c r="E8" i="10"/>
  <c r="F8" i="10"/>
  <c r="D9" i="10"/>
  <c r="E9" i="10"/>
  <c r="F9" i="10"/>
  <c r="D10" i="10"/>
  <c r="E10" i="10"/>
  <c r="F10" i="10"/>
  <c r="D11" i="10"/>
  <c r="E11" i="10"/>
  <c r="F11" i="10"/>
  <c r="D12" i="10"/>
  <c r="E12" i="10"/>
  <c r="F12" i="10"/>
  <c r="D13" i="10"/>
  <c r="E13" i="10"/>
  <c r="F13" i="10"/>
  <c r="N4" i="10"/>
  <c r="J4" i="10"/>
  <c r="F4" i="10"/>
  <c r="M4" i="10"/>
  <c r="I4" i="10"/>
  <c r="E4" i="10"/>
  <c r="Z32" i="10"/>
  <c r="V32" i="10"/>
  <c r="R32" i="10"/>
  <c r="Z18" i="10"/>
  <c r="V18" i="10"/>
  <c r="R18" i="10"/>
  <c r="Z4" i="10"/>
  <c r="V4" i="10"/>
  <c r="R4" i="10"/>
  <c r="L32" i="10"/>
  <c r="H32" i="10"/>
  <c r="D32" i="10"/>
  <c r="L18" i="10"/>
  <c r="H18" i="10"/>
  <c r="D18" i="10"/>
  <c r="L5" i="10"/>
  <c r="L6" i="10"/>
  <c r="L7" i="10"/>
  <c r="L8" i="10"/>
  <c r="L9" i="10"/>
  <c r="L10" i="10"/>
  <c r="L11" i="10"/>
  <c r="L12" i="10"/>
  <c r="L13" i="10"/>
  <c r="L4" i="10"/>
  <c r="H5" i="10"/>
  <c r="H6" i="10"/>
  <c r="H7" i="10"/>
  <c r="H8" i="10"/>
  <c r="H9" i="10"/>
  <c r="H10" i="10"/>
  <c r="H11" i="10"/>
  <c r="H12" i="10"/>
  <c r="H13" i="10"/>
  <c r="H4" i="10"/>
  <c r="D4" i="10"/>
  <c r="Y33" i="10"/>
  <c r="Y34" i="10"/>
  <c r="Y35" i="10"/>
  <c r="Y36" i="10"/>
  <c r="Y37" i="10"/>
  <c r="Y38" i="10"/>
  <c r="Y39" i="10"/>
  <c r="Y40" i="10"/>
  <c r="Y41" i="10"/>
  <c r="Y32" i="10"/>
  <c r="U33" i="10"/>
  <c r="U34" i="10"/>
  <c r="U35" i="10"/>
  <c r="U36" i="10"/>
  <c r="U37" i="10"/>
  <c r="U38" i="10"/>
  <c r="U39" i="10"/>
  <c r="U40" i="10"/>
  <c r="U41" i="10"/>
  <c r="U32" i="10"/>
  <c r="Q33" i="10"/>
  <c r="Q34" i="10"/>
  <c r="Q35" i="10"/>
  <c r="Q36" i="10"/>
  <c r="Q37" i="10"/>
  <c r="Q38" i="10"/>
  <c r="Q39" i="10"/>
  <c r="Q40" i="10"/>
  <c r="Q41" i="10"/>
  <c r="Q32" i="10"/>
  <c r="Y19" i="10"/>
  <c r="Y20" i="10"/>
  <c r="Y21" i="10"/>
  <c r="Y22" i="10"/>
  <c r="Y23" i="10"/>
  <c r="Y24" i="10"/>
  <c r="Y25" i="10"/>
  <c r="Y26" i="10"/>
  <c r="Y27" i="10"/>
  <c r="Y18" i="10"/>
  <c r="U19" i="10"/>
  <c r="U20" i="10"/>
  <c r="U21" i="10"/>
  <c r="U22" i="10"/>
  <c r="U23" i="10"/>
  <c r="U24" i="10"/>
  <c r="U25" i="10"/>
  <c r="U26" i="10"/>
  <c r="U27" i="10"/>
  <c r="U18" i="10"/>
  <c r="Q19" i="10"/>
  <c r="Q20" i="10"/>
  <c r="Q21" i="10"/>
  <c r="Q22" i="10"/>
  <c r="Q23" i="10"/>
  <c r="Q24" i="10"/>
  <c r="Q25" i="10"/>
  <c r="Q26" i="10"/>
  <c r="Q27" i="10"/>
  <c r="Q18" i="10"/>
  <c r="Y5" i="10"/>
  <c r="Y6" i="10"/>
  <c r="Y7" i="10"/>
  <c r="Y8" i="10"/>
  <c r="Y9" i="10"/>
  <c r="Y10" i="10"/>
  <c r="Y11" i="10"/>
  <c r="Y12" i="10"/>
  <c r="Y13" i="10"/>
  <c r="Y4" i="10"/>
  <c r="U5" i="10"/>
  <c r="U6" i="10"/>
  <c r="U7" i="10"/>
  <c r="U8" i="10"/>
  <c r="U9" i="10"/>
  <c r="U10" i="10"/>
  <c r="U11" i="10"/>
  <c r="U12" i="10"/>
  <c r="U13" i="10"/>
  <c r="U4" i="10"/>
  <c r="Q5" i="10"/>
  <c r="Q6" i="10"/>
  <c r="Q7" i="10"/>
  <c r="Q8" i="10"/>
  <c r="Q9" i="10"/>
  <c r="Q10" i="10"/>
  <c r="Q11" i="10"/>
  <c r="Q12" i="10"/>
  <c r="Q13" i="10"/>
  <c r="Q4" i="10"/>
  <c r="K33" i="10"/>
  <c r="K34" i="10"/>
  <c r="K35" i="10"/>
  <c r="K36" i="10"/>
  <c r="K37" i="10"/>
  <c r="K38" i="10"/>
  <c r="K39" i="10"/>
  <c r="K40" i="10"/>
  <c r="K41" i="10"/>
  <c r="K32" i="10"/>
  <c r="G33" i="10"/>
  <c r="G34" i="10"/>
  <c r="G35" i="10"/>
  <c r="G36" i="10"/>
  <c r="G37" i="10"/>
  <c r="G38" i="10"/>
  <c r="G39" i="10"/>
  <c r="G40" i="10"/>
  <c r="G41" i="10"/>
  <c r="G32" i="10"/>
  <c r="C33" i="10"/>
  <c r="C34" i="10"/>
  <c r="C35" i="10"/>
  <c r="C36" i="10"/>
  <c r="C37" i="10"/>
  <c r="C38" i="10"/>
  <c r="C39" i="10"/>
  <c r="C40" i="10"/>
  <c r="C41" i="10"/>
  <c r="C32" i="10"/>
  <c r="K19" i="10" l="1"/>
  <c r="K20" i="10"/>
  <c r="K21" i="10"/>
  <c r="K22" i="10"/>
  <c r="K23" i="10"/>
  <c r="K24" i="10"/>
  <c r="K25" i="10"/>
  <c r="K26" i="10"/>
  <c r="K27" i="10"/>
  <c r="K18" i="10"/>
  <c r="G19" i="10"/>
  <c r="G20" i="10"/>
  <c r="G21" i="10"/>
  <c r="G22" i="10"/>
  <c r="G23" i="10"/>
  <c r="G24" i="10"/>
  <c r="G25" i="10"/>
  <c r="G26" i="10"/>
  <c r="G27" i="10"/>
  <c r="G18" i="10"/>
  <c r="K5" i="10"/>
  <c r="K6" i="10"/>
  <c r="K7" i="10"/>
  <c r="K8" i="10"/>
  <c r="K9" i="10"/>
  <c r="K10" i="10"/>
  <c r="K11" i="10"/>
  <c r="K12" i="10"/>
  <c r="K13" i="10"/>
  <c r="K4" i="10"/>
  <c r="G5" i="10"/>
  <c r="G6" i="10"/>
  <c r="G7" i="10"/>
  <c r="G8" i="10"/>
  <c r="G9" i="10"/>
  <c r="G10" i="10"/>
  <c r="G11" i="10"/>
  <c r="G12" i="10"/>
  <c r="G13" i="10"/>
  <c r="G4" i="10"/>
  <c r="C19" i="10"/>
  <c r="C20" i="10"/>
  <c r="C21" i="10"/>
  <c r="C22" i="10"/>
  <c r="C23" i="10"/>
  <c r="C24" i="10"/>
  <c r="C25" i="10"/>
  <c r="C26" i="10"/>
  <c r="C27" i="10"/>
  <c r="C18" i="10"/>
  <c r="C5" i="10"/>
  <c r="C6" i="10"/>
  <c r="C7" i="10"/>
  <c r="C8" i="10"/>
  <c r="C9" i="10"/>
  <c r="C10" i="10"/>
  <c r="C11" i="10"/>
  <c r="C12" i="10"/>
  <c r="C13" i="10"/>
  <c r="C4" i="10"/>
</calcChain>
</file>

<file path=xl/sharedStrings.xml><?xml version="1.0" encoding="utf-8"?>
<sst xmlns="http://schemas.openxmlformats.org/spreadsheetml/2006/main" count="697" uniqueCount="39">
  <si>
    <t>Local Bus</t>
  </si>
  <si>
    <t>BRT</t>
  </si>
  <si>
    <t>MODE9</t>
  </si>
  <si>
    <t>Express Bus</t>
  </si>
  <si>
    <t>Light Rail</t>
  </si>
  <si>
    <t>Comm. Rail</t>
  </si>
  <si>
    <t>Auto</t>
  </si>
  <si>
    <t>Non-Motorized</t>
  </si>
  <si>
    <t>Total Trips</t>
  </si>
  <si>
    <t>Peak</t>
  </si>
  <si>
    <t>Off-Peak</t>
  </si>
  <si>
    <t>Daily</t>
  </si>
  <si>
    <t>Base</t>
  </si>
  <si>
    <t>Low</t>
  </si>
  <si>
    <t>Medium</t>
  </si>
  <si>
    <t>High</t>
  </si>
  <si>
    <t>Home Based Work</t>
  </si>
  <si>
    <t>Home Based College</t>
  </si>
  <si>
    <t>Home Based Other</t>
  </si>
  <si>
    <t xml:space="preserve">Non-Home Based </t>
  </si>
  <si>
    <t>Home Based School</t>
  </si>
  <si>
    <t>School Bus</t>
  </si>
  <si>
    <t>Scenarios\BY_2019 - base\</t>
  </si>
  <si>
    <t>Mode</t>
  </si>
  <si>
    <t>HBW</t>
  </si>
  <si>
    <t>HBC</t>
  </si>
  <si>
    <t>HBO</t>
  </si>
  <si>
    <t>NHB</t>
  </si>
  <si>
    <t>HBSch</t>
  </si>
  <si>
    <t>Total</t>
  </si>
  <si>
    <t>BRT 1</t>
  </si>
  <si>
    <t>BRT 3</t>
  </si>
  <si>
    <t>Commuter Rail</t>
  </si>
  <si>
    <t>Scenarios\BY_2019 - low\</t>
  </si>
  <si>
    <t>Scenarios\BY_2019 - medium\</t>
  </si>
  <si>
    <t>Scenarios\BY_2019 - high\</t>
  </si>
  <si>
    <t>Scenarios\RTP_2050 - low\</t>
  </si>
  <si>
    <t>Scenarios\RTP_2050 - medium\</t>
  </si>
  <si>
    <t>Scenarios\RTP_2050 - high\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</si>
</sst>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164" fontId="0" fillId="33" borderId="0" xfId="1" applyNumberFormat="1" applyFont="1" applyFill="1"/>
    <xf numFmtId="0" fontId="0" fillId="34" borderId="0" xfId="0" applyFill="1"/>
    <xf numFmtId="0" fontId="0" fillId="36" borderId="0" xfId="0" applyFont="1" applyFill="1"/>
    <xf numFmtId="0" fontId="16" fillId="36" borderId="0" xfId="0" applyFont="1" applyFill="1"/>
    <xf numFmtId="0" fontId="0" fillId="36" borderId="11" xfId="0" applyFont="1" applyFill="1" applyBorder="1"/>
    <xf numFmtId="0" fontId="0" fillId="36" borderId="12" xfId="0" applyFont="1" applyFill="1" applyBorder="1"/>
    <xf numFmtId="0" fontId="16" fillId="36" borderId="0" xfId="0" applyFont="1" applyFill="1" applyAlignment="1">
      <alignment horizontal="center"/>
    </xf>
    <xf numFmtId="164" fontId="0" fillId="35" borderId="0" xfId="1" applyNumberFormat="1" applyFont="1" applyFill="1"/>
    <xf numFmtId="164" fontId="0" fillId="35" borderId="14" xfId="1" applyNumberFormat="1" applyFont="1" applyFill="1" applyBorder="1"/>
    <xf numFmtId="164" fontId="0" fillId="35" borderId="0" xfId="1" applyNumberFormat="1" applyFont="1" applyFill="1" applyBorder="1"/>
    <xf numFmtId="164" fontId="0" fillId="35" borderId="12" xfId="1" applyNumberFormat="1" applyFont="1" applyFill="1" applyBorder="1"/>
    <xf numFmtId="0" fontId="0" fillId="36" borderId="15" xfId="0" applyFont="1" applyFill="1" applyBorder="1" applyAlignment="1">
      <alignment horizontal="center" vertical="center"/>
    </xf>
    <xf numFmtId="0" fontId="0" fillId="36" borderId="10" xfId="0" applyFont="1" applyFill="1" applyBorder="1" applyAlignment="1">
      <alignment horizontal="center" vertical="center"/>
    </xf>
    <xf numFmtId="0" fontId="0" fillId="36" borderId="13" xfId="0" applyFont="1" applyFill="1" applyBorder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left"/>
    </xf>
    <xf numFmtId="0" fontId="0" fillId="36" borderId="15" xfId="0" applyFont="1" applyFill="1" applyBorder="1" applyAlignment="1">
      <alignment horizontal="center"/>
    </xf>
    <xf numFmtId="0" fontId="0" fillId="36" borderId="10" xfId="0" applyFont="1" applyFill="1" applyBorder="1" applyAlignment="1">
      <alignment horizontal="center"/>
    </xf>
    <xf numFmtId="0" fontId="0" fillId="36" borderId="13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5B54-F014-4D77-9B98-EE1815537CCD}">
  <sheetPr>
    <tabColor theme="7" tint="0.79998168889431442"/>
  </sheetPr>
  <dimension ref="B2:AB41"/>
  <sheetViews>
    <sheetView zoomScale="91" zoomScaleNormal="91" workbookViewId="0">
      <selection activeCell="Q32" sqref="Q32:AB32"/>
    </sheetView>
  </sheetViews>
  <sheetFormatPr defaultRowHeight="15" x14ac:dyDescent="0.25"/>
  <cols>
    <col min="1" max="1" width="3.7109375" style="3" customWidth="1"/>
    <col min="2" max="2" width="19.140625" style="3" customWidth="1"/>
    <col min="3" max="14" width="11" style="3" bestFit="1" customWidth="1"/>
    <col min="15" max="15" width="4.5703125" style="3" customWidth="1"/>
    <col min="16" max="16" width="19.42578125" style="3" customWidth="1"/>
    <col min="17" max="28" width="11" style="3" bestFit="1" customWidth="1"/>
    <col min="29" max="16384" width="9.140625" style="3"/>
  </cols>
  <sheetData>
    <row r="2" spans="2:28" x14ac:dyDescent="0.25">
      <c r="B2" s="8">
        <v>2019</v>
      </c>
      <c r="C2" s="18" t="s">
        <v>9</v>
      </c>
      <c r="D2" s="19"/>
      <c r="E2" s="19"/>
      <c r="F2" s="20"/>
      <c r="G2" s="18" t="s">
        <v>10</v>
      </c>
      <c r="H2" s="19"/>
      <c r="I2" s="19"/>
      <c r="J2" s="20"/>
      <c r="K2" s="18" t="s">
        <v>11</v>
      </c>
      <c r="L2" s="19"/>
      <c r="M2" s="19"/>
      <c r="N2" s="19"/>
      <c r="P2" s="8">
        <v>2019</v>
      </c>
      <c r="Q2" s="18" t="s">
        <v>9</v>
      </c>
      <c r="R2" s="19"/>
      <c r="S2" s="19"/>
      <c r="T2" s="20"/>
      <c r="U2" s="18" t="s">
        <v>10</v>
      </c>
      <c r="V2" s="19"/>
      <c r="W2" s="19"/>
      <c r="X2" s="20"/>
      <c r="Y2" s="18" t="s">
        <v>11</v>
      </c>
      <c r="Z2" s="19"/>
      <c r="AA2" s="19"/>
      <c r="AB2" s="19"/>
    </row>
    <row r="3" spans="2:28" x14ac:dyDescent="0.25">
      <c r="B3" s="17" t="s">
        <v>16</v>
      </c>
      <c r="C3" s="13" t="s">
        <v>12</v>
      </c>
      <c r="D3" s="14" t="s">
        <v>13</v>
      </c>
      <c r="E3" s="14" t="s">
        <v>14</v>
      </c>
      <c r="F3" s="15" t="s">
        <v>15</v>
      </c>
      <c r="G3" s="13" t="s">
        <v>12</v>
      </c>
      <c r="H3" s="14" t="s">
        <v>13</v>
      </c>
      <c r="I3" s="14" t="s">
        <v>14</v>
      </c>
      <c r="J3" s="15" t="s">
        <v>15</v>
      </c>
      <c r="K3" s="14" t="s">
        <v>12</v>
      </c>
      <c r="L3" s="14" t="s">
        <v>13</v>
      </c>
      <c r="M3" s="14" t="s">
        <v>14</v>
      </c>
      <c r="N3" s="14" t="s">
        <v>15</v>
      </c>
      <c r="P3" s="5" t="s">
        <v>19</v>
      </c>
      <c r="Q3" s="13" t="s">
        <v>12</v>
      </c>
      <c r="R3" s="14" t="s">
        <v>13</v>
      </c>
      <c r="S3" s="14" t="s">
        <v>14</v>
      </c>
      <c r="T3" s="15" t="s">
        <v>15</v>
      </c>
      <c r="U3" s="13" t="s">
        <v>12</v>
      </c>
      <c r="V3" s="14" t="s">
        <v>13</v>
      </c>
      <c r="W3" s="14" t="s">
        <v>14</v>
      </c>
      <c r="X3" s="15" t="s">
        <v>15</v>
      </c>
      <c r="Y3" s="14" t="s">
        <v>12</v>
      </c>
      <c r="Z3" s="14" t="s">
        <v>13</v>
      </c>
      <c r="AA3" s="14" t="s">
        <v>14</v>
      </c>
      <c r="AB3" s="14" t="s">
        <v>15</v>
      </c>
    </row>
    <row r="4" spans="2:28" x14ac:dyDescent="0.25">
      <c r="B4" s="6" t="s">
        <v>7</v>
      </c>
      <c r="C4" s="10">
        <f>Base_2019!B5</f>
        <v>48337.1</v>
      </c>
      <c r="D4" s="11">
        <f>Low_2019!B5</f>
        <v>42205.599999999999</v>
      </c>
      <c r="E4" s="11">
        <f>Med_2019!B5</f>
        <v>39651.9</v>
      </c>
      <c r="F4" s="12">
        <f>High_2019!B5</f>
        <v>37172.699999999997</v>
      </c>
      <c r="G4" s="10">
        <f>Base_2019!B19</f>
        <v>35324.199999999997</v>
      </c>
      <c r="H4" s="11">
        <f>Low_2019!B19</f>
        <v>30911.5</v>
      </c>
      <c r="I4" s="11">
        <f>Med_2019!B19</f>
        <v>29101</v>
      </c>
      <c r="J4" s="12">
        <f>High_2019!B19</f>
        <v>27296.7</v>
      </c>
      <c r="K4" s="9">
        <f>Base_2019!B33</f>
        <v>83661.3</v>
      </c>
      <c r="L4" s="9">
        <f>Low_2019!B33</f>
        <v>73117.2</v>
      </c>
      <c r="M4" s="9">
        <f>Med_2019!B33</f>
        <v>68752.899999999994</v>
      </c>
      <c r="N4" s="9">
        <f>High_2019!B33</f>
        <v>64469.4</v>
      </c>
      <c r="P4" s="4" t="s">
        <v>7</v>
      </c>
      <c r="Q4" s="10">
        <f>Base_2019!E5</f>
        <v>29219.1</v>
      </c>
      <c r="R4" s="11">
        <f>Low_2019!E5</f>
        <v>28486.7</v>
      </c>
      <c r="S4" s="11">
        <f>Med_2019!E5</f>
        <v>28141.599999999999</v>
      </c>
      <c r="T4" s="12">
        <f>High_2019!E5</f>
        <v>27807</v>
      </c>
      <c r="U4" s="10">
        <f>Base_2019!E19</f>
        <v>116487</v>
      </c>
      <c r="V4" s="11">
        <f>Low_2019!E19</f>
        <v>113691</v>
      </c>
      <c r="W4" s="11">
        <f>Med_2019!E19</f>
        <v>112358</v>
      </c>
      <c r="X4" s="12">
        <f>High_2019!E19</f>
        <v>111065</v>
      </c>
      <c r="Y4" s="9">
        <f>Base_2019!E33</f>
        <v>145706</v>
      </c>
      <c r="Z4" s="9">
        <f>Low_2019!E33</f>
        <v>142177</v>
      </c>
      <c r="AA4" s="9">
        <f>Med_2019!E33</f>
        <v>140500</v>
      </c>
      <c r="AB4" s="9">
        <f>High_2019!E33</f>
        <v>138872</v>
      </c>
    </row>
    <row r="5" spans="2:28" x14ac:dyDescent="0.25">
      <c r="B5" s="7" t="s">
        <v>6</v>
      </c>
      <c r="C5" s="10">
        <f>Base_2019!B6</f>
        <v>1050350</v>
      </c>
      <c r="D5" s="11">
        <f>Low_2019!B6</f>
        <v>934773</v>
      </c>
      <c r="E5" s="11">
        <f>Med_2019!B6</f>
        <v>884814</v>
      </c>
      <c r="F5" s="12">
        <f>High_2019!B6</f>
        <v>835960</v>
      </c>
      <c r="G5" s="10">
        <f>Base_2019!B20</f>
        <v>601000</v>
      </c>
      <c r="H5" s="11">
        <f>Low_2019!B20</f>
        <v>533312</v>
      </c>
      <c r="I5" s="11">
        <f>Med_2019!B20</f>
        <v>505358</v>
      </c>
      <c r="J5" s="12">
        <f>High_2019!B20</f>
        <v>476471</v>
      </c>
      <c r="K5" s="9">
        <f>Base_2019!B34</f>
        <v>1651350</v>
      </c>
      <c r="L5" s="9">
        <f>Low_2019!B34</f>
        <v>1468085</v>
      </c>
      <c r="M5" s="9">
        <f>Med_2019!B34</f>
        <v>1390171</v>
      </c>
      <c r="N5" s="9">
        <f>High_2019!B34</f>
        <v>1312431</v>
      </c>
      <c r="P5" s="4" t="s">
        <v>6</v>
      </c>
      <c r="Q5" s="10">
        <f>Base_2019!E6</f>
        <v>704036</v>
      </c>
      <c r="R5" s="11">
        <f>Low_2019!E6</f>
        <v>690847</v>
      </c>
      <c r="S5" s="11">
        <f>Med_2019!E6</f>
        <v>683935</v>
      </c>
      <c r="T5" s="12">
        <f>High_2019!E6</f>
        <v>677068</v>
      </c>
      <c r="U5" s="10">
        <f>Base_2019!E20</f>
        <v>1557602</v>
      </c>
      <c r="V5" s="11">
        <f>Low_2019!E20</f>
        <v>1528285</v>
      </c>
      <c r="W5" s="11">
        <f>Med_2019!E20</f>
        <v>1512880</v>
      </c>
      <c r="X5" s="12">
        <f>High_2019!E20</f>
        <v>1497578</v>
      </c>
      <c r="Y5" s="9">
        <f>Base_2019!E34</f>
        <v>2261638</v>
      </c>
      <c r="Z5" s="9">
        <f>Low_2019!E34</f>
        <v>2219131</v>
      </c>
      <c r="AA5" s="9">
        <f>Med_2019!E34</f>
        <v>2196815</v>
      </c>
      <c r="AB5" s="9">
        <f>High_2019!E34</f>
        <v>2174646</v>
      </c>
    </row>
    <row r="6" spans="2:28" x14ac:dyDescent="0.25">
      <c r="B6" s="7" t="s">
        <v>21</v>
      </c>
      <c r="C6" s="10">
        <f>Base_2019!B7</f>
        <v>0</v>
      </c>
      <c r="D6" s="11">
        <f>Low_2019!B7</f>
        <v>0</v>
      </c>
      <c r="E6" s="11">
        <f>Med_2019!B7</f>
        <v>0</v>
      </c>
      <c r="F6" s="12">
        <f>High_2019!B7</f>
        <v>0</v>
      </c>
      <c r="G6" s="10">
        <f>Base_2019!B21</f>
        <v>0</v>
      </c>
      <c r="H6" s="11">
        <f>Low_2019!B21</f>
        <v>0</v>
      </c>
      <c r="I6" s="11">
        <f>Med_2019!B21</f>
        <v>0</v>
      </c>
      <c r="J6" s="12">
        <f>High_2019!B21</f>
        <v>0</v>
      </c>
      <c r="K6" s="9">
        <f>Base_2019!B35</f>
        <v>0</v>
      </c>
      <c r="L6" s="9">
        <f>Low_2019!B35</f>
        <v>0</v>
      </c>
      <c r="M6" s="9">
        <f>Med_2019!B35</f>
        <v>0</v>
      </c>
      <c r="N6" s="9">
        <f>High_2019!B35</f>
        <v>0</v>
      </c>
      <c r="P6" s="7" t="s">
        <v>21</v>
      </c>
      <c r="Q6" s="10">
        <f>Base_2019!E7</f>
        <v>0</v>
      </c>
      <c r="R6" s="11">
        <f>Low_2019!E7</f>
        <v>0</v>
      </c>
      <c r="S6" s="11">
        <f>Med_2019!E7</f>
        <v>0</v>
      </c>
      <c r="T6" s="12">
        <f>High_2019!E7</f>
        <v>0</v>
      </c>
      <c r="U6" s="10">
        <f>Base_2019!E21</f>
        <v>0</v>
      </c>
      <c r="V6" s="11">
        <f>Low_2019!E21</f>
        <v>0</v>
      </c>
      <c r="W6" s="11">
        <f>Med_2019!E21</f>
        <v>0</v>
      </c>
      <c r="X6" s="12">
        <f>High_2019!E21</f>
        <v>0</v>
      </c>
      <c r="Y6" s="9">
        <f>Base_2019!E35</f>
        <v>0</v>
      </c>
      <c r="Z6" s="9">
        <f>Low_2019!E35</f>
        <v>0</v>
      </c>
      <c r="AA6" s="9">
        <f>Med_2019!E35</f>
        <v>0</v>
      </c>
      <c r="AB6" s="9">
        <f>High_2019!E35</f>
        <v>0</v>
      </c>
    </row>
    <row r="7" spans="2:28" x14ac:dyDescent="0.25">
      <c r="B7" s="7" t="s">
        <v>0</v>
      </c>
      <c r="C7" s="10">
        <f>Base_2019!B8</f>
        <v>10556</v>
      </c>
      <c r="D7" s="11">
        <f>Low_2019!B8</f>
        <v>9285.4699999999993</v>
      </c>
      <c r="E7" s="11">
        <f>Med_2019!B8</f>
        <v>8696.67</v>
      </c>
      <c r="F7" s="12">
        <f>High_2019!B8</f>
        <v>8142.31</v>
      </c>
      <c r="G7" s="10">
        <f>Base_2019!B22</f>
        <v>6272.83</v>
      </c>
      <c r="H7" s="11">
        <f>Low_2019!B22</f>
        <v>5446.42</v>
      </c>
      <c r="I7" s="11">
        <f>Med_2019!B22</f>
        <v>5115.79</v>
      </c>
      <c r="J7" s="12">
        <f>High_2019!B22</f>
        <v>4757.66</v>
      </c>
      <c r="K7" s="9">
        <f>Base_2019!B36</f>
        <v>16828.8</v>
      </c>
      <c r="L7" s="9">
        <f>Low_2019!B36</f>
        <v>14731.9</v>
      </c>
      <c r="M7" s="9">
        <f>Med_2019!B36</f>
        <v>13812.5</v>
      </c>
      <c r="N7" s="9">
        <f>High_2019!B36</f>
        <v>12900</v>
      </c>
      <c r="P7" s="4" t="s">
        <v>0</v>
      </c>
      <c r="Q7" s="10">
        <f>Base_2019!E8</f>
        <v>1529.98</v>
      </c>
      <c r="R7" s="11">
        <f>Low_2019!E8</f>
        <v>1495.44</v>
      </c>
      <c r="S7" s="11">
        <f>Med_2019!E8</f>
        <v>1478.49</v>
      </c>
      <c r="T7" s="12">
        <f>High_2019!E8</f>
        <v>1462.39</v>
      </c>
      <c r="U7" s="10">
        <f>Base_2019!E22</f>
        <v>2815.73</v>
      </c>
      <c r="V7" s="11">
        <f>Low_2019!E22</f>
        <v>2756.07</v>
      </c>
      <c r="W7" s="11">
        <f>Med_2019!E22</f>
        <v>2723.61</v>
      </c>
      <c r="X7" s="12">
        <f>High_2019!E22</f>
        <v>2692.26</v>
      </c>
      <c r="Y7" s="9">
        <f>Base_2019!E36</f>
        <v>4345.71</v>
      </c>
      <c r="Z7" s="9">
        <f>Low_2019!E36</f>
        <v>4251.51</v>
      </c>
      <c r="AA7" s="9">
        <f>Med_2019!E36</f>
        <v>4202.1099999999997</v>
      </c>
      <c r="AB7" s="9">
        <f>High_2019!E36</f>
        <v>4154.6499999999996</v>
      </c>
    </row>
    <row r="8" spans="2:28" x14ac:dyDescent="0.25">
      <c r="B8" s="7" t="s">
        <v>1</v>
      </c>
      <c r="C8" s="10">
        <f>Base_2019!B9</f>
        <v>128.30000000000001</v>
      </c>
      <c r="D8" s="11">
        <f>Low_2019!B9</f>
        <v>118.42</v>
      </c>
      <c r="E8" s="11">
        <f>Med_2019!B9</f>
        <v>112.65</v>
      </c>
      <c r="F8" s="12">
        <f>High_2019!B9</f>
        <v>106.84</v>
      </c>
      <c r="G8" s="10">
        <f>Base_2019!B23</f>
        <v>72.069999999999993</v>
      </c>
      <c r="H8" s="11">
        <f>Low_2019!B23</f>
        <v>65.61</v>
      </c>
      <c r="I8" s="11">
        <f>Med_2019!B23</f>
        <v>62.8</v>
      </c>
      <c r="J8" s="12">
        <f>High_2019!B23</f>
        <v>59.93</v>
      </c>
      <c r="K8" s="9">
        <f>Base_2019!B37</f>
        <v>200.36</v>
      </c>
      <c r="L8" s="9">
        <f>Low_2019!B37</f>
        <v>184.02</v>
      </c>
      <c r="M8" s="9">
        <f>Med_2019!B37</f>
        <v>175.45</v>
      </c>
      <c r="N8" s="9">
        <f>High_2019!B37</f>
        <v>166.77</v>
      </c>
      <c r="P8" s="4" t="s">
        <v>1</v>
      </c>
      <c r="Q8" s="10">
        <f>Base_2019!E9</f>
        <v>20.43</v>
      </c>
      <c r="R8" s="11">
        <f>Low_2019!E9</f>
        <v>20.12</v>
      </c>
      <c r="S8" s="11">
        <f>Med_2019!E9</f>
        <v>19.93</v>
      </c>
      <c r="T8" s="12">
        <f>High_2019!E9</f>
        <v>19.760000000000002</v>
      </c>
      <c r="U8" s="10">
        <f>Base_2019!E23</f>
        <v>38.89</v>
      </c>
      <c r="V8" s="11">
        <f>Low_2019!E23</f>
        <v>38.4</v>
      </c>
      <c r="W8" s="11">
        <f>Med_2019!E23</f>
        <v>38.08</v>
      </c>
      <c r="X8" s="12">
        <f>High_2019!E23</f>
        <v>37.81</v>
      </c>
      <c r="Y8" s="9">
        <f>Base_2019!E37</f>
        <v>59.32</v>
      </c>
      <c r="Z8" s="9">
        <f>Low_2019!E37</f>
        <v>58.52</v>
      </c>
      <c r="AA8" s="9">
        <f>Med_2019!E37</f>
        <v>58.02</v>
      </c>
      <c r="AB8" s="9">
        <f>High_2019!E37</f>
        <v>57.57</v>
      </c>
    </row>
    <row r="9" spans="2:28" x14ac:dyDescent="0.25">
      <c r="B9" s="7" t="s">
        <v>2</v>
      </c>
      <c r="C9" s="10">
        <f>Base_2019!B10</f>
        <v>1482.81</v>
      </c>
      <c r="D9" s="11">
        <f>Low_2019!B10</f>
        <v>1290.45</v>
      </c>
      <c r="E9" s="11">
        <f>Med_2019!B10</f>
        <v>1214.27</v>
      </c>
      <c r="F9" s="12">
        <f>High_2019!B10</f>
        <v>1140.6199999999999</v>
      </c>
      <c r="G9" s="10">
        <f>Base_2019!B24</f>
        <v>680.81</v>
      </c>
      <c r="H9" s="11">
        <f>Low_2019!B24</f>
        <v>584.75</v>
      </c>
      <c r="I9" s="11">
        <f>Med_2019!B24</f>
        <v>551.58000000000004</v>
      </c>
      <c r="J9" s="12">
        <f>High_2019!B24</f>
        <v>518.17999999999995</v>
      </c>
      <c r="K9" s="9">
        <f>Base_2019!B38</f>
        <v>2163.62</v>
      </c>
      <c r="L9" s="9">
        <f>Low_2019!B38</f>
        <v>1875.2</v>
      </c>
      <c r="M9" s="9">
        <f>Med_2019!B38</f>
        <v>1765.85</v>
      </c>
      <c r="N9" s="9">
        <f>High_2019!B38</f>
        <v>1658.79</v>
      </c>
      <c r="P9" s="4" t="s">
        <v>2</v>
      </c>
      <c r="Q9" s="10">
        <f>Base_2019!E10</f>
        <v>496.64</v>
      </c>
      <c r="R9" s="11">
        <f>Low_2019!E10</f>
        <v>481.42</v>
      </c>
      <c r="S9" s="11">
        <f>Med_2019!E10</f>
        <v>474.77</v>
      </c>
      <c r="T9" s="12">
        <f>High_2019!E10</f>
        <v>468.19</v>
      </c>
      <c r="U9" s="10">
        <f>Base_2019!E24</f>
        <v>727.5</v>
      </c>
      <c r="V9" s="11">
        <f>Low_2019!E24</f>
        <v>702.69</v>
      </c>
      <c r="W9" s="11">
        <f>Med_2019!E24</f>
        <v>693.49</v>
      </c>
      <c r="X9" s="12">
        <f>High_2019!E24</f>
        <v>684.12</v>
      </c>
      <c r="Y9" s="9">
        <f>Base_2019!E38</f>
        <v>1224.1400000000001</v>
      </c>
      <c r="Z9" s="9">
        <f>Low_2019!E38</f>
        <v>1184.1099999999999</v>
      </c>
      <c r="AA9" s="9">
        <f>Med_2019!E38</f>
        <v>1168.25</v>
      </c>
      <c r="AB9" s="9">
        <f>High_2019!E38</f>
        <v>1152.3</v>
      </c>
    </row>
    <row r="10" spans="2:28" x14ac:dyDescent="0.25">
      <c r="B10" s="7" t="s">
        <v>3</v>
      </c>
      <c r="C10" s="10">
        <f>Base_2019!B11</f>
        <v>1643.13</v>
      </c>
      <c r="D10" s="11">
        <f>Low_2019!B11</f>
        <v>1805.91</v>
      </c>
      <c r="E10" s="11">
        <f>Med_2019!B11</f>
        <v>1822.58</v>
      </c>
      <c r="F10" s="12">
        <f>High_2019!B11</f>
        <v>1858.99</v>
      </c>
      <c r="G10" s="10">
        <f>Base_2019!B25</f>
        <v>0</v>
      </c>
      <c r="H10" s="11">
        <f>Low_2019!B25</f>
        <v>0</v>
      </c>
      <c r="I10" s="11">
        <f>Med_2019!B25</f>
        <v>0</v>
      </c>
      <c r="J10" s="12">
        <f>High_2019!B25</f>
        <v>0</v>
      </c>
      <c r="K10" s="9">
        <f>Base_2019!B39</f>
        <v>1643.13</v>
      </c>
      <c r="L10" s="9">
        <f>Low_2019!B39</f>
        <v>1805.91</v>
      </c>
      <c r="M10" s="9">
        <f>Med_2019!B39</f>
        <v>1822.58</v>
      </c>
      <c r="N10" s="9">
        <f>High_2019!B39</f>
        <v>1858.99</v>
      </c>
      <c r="P10" s="4" t="s">
        <v>3</v>
      </c>
      <c r="Q10" s="10">
        <f>Base_2019!E11</f>
        <v>11.03</v>
      </c>
      <c r="R10" s="11">
        <f>Low_2019!E11</f>
        <v>14.2</v>
      </c>
      <c r="S10" s="11">
        <f>Med_2019!E11</f>
        <v>15.49</v>
      </c>
      <c r="T10" s="12">
        <f>High_2019!E11</f>
        <v>17.23</v>
      </c>
      <c r="U10" s="10">
        <f>Base_2019!E25</f>
        <v>0</v>
      </c>
      <c r="V10" s="11">
        <f>Low_2019!E25</f>
        <v>0</v>
      </c>
      <c r="W10" s="11">
        <f>Med_2019!E25</f>
        <v>0</v>
      </c>
      <c r="X10" s="12">
        <f>High_2019!E25</f>
        <v>0</v>
      </c>
      <c r="Y10" s="9">
        <f>Base_2019!E39</f>
        <v>11.03</v>
      </c>
      <c r="Z10" s="9">
        <f>Low_2019!E39</f>
        <v>14.2</v>
      </c>
      <c r="AA10" s="9">
        <f>Med_2019!E39</f>
        <v>15.49</v>
      </c>
      <c r="AB10" s="9">
        <f>High_2019!E39</f>
        <v>17.23</v>
      </c>
    </row>
    <row r="11" spans="2:28" x14ac:dyDescent="0.25">
      <c r="B11" s="7" t="s">
        <v>4</v>
      </c>
      <c r="C11" s="10">
        <f>Base_2019!B12</f>
        <v>16070.6</v>
      </c>
      <c r="D11" s="11">
        <f>Low_2019!B12</f>
        <v>13748</v>
      </c>
      <c r="E11" s="11">
        <f>Med_2019!B12</f>
        <v>12715.4</v>
      </c>
      <c r="F11" s="12">
        <f>High_2019!B12</f>
        <v>11789.3</v>
      </c>
      <c r="G11" s="10">
        <f>Base_2019!B26</f>
        <v>7911.35</v>
      </c>
      <c r="H11" s="11">
        <f>Low_2019!B26</f>
        <v>6854.93</v>
      </c>
      <c r="I11" s="11">
        <f>Med_2019!B26</f>
        <v>6418.55</v>
      </c>
      <c r="J11" s="12">
        <f>High_2019!B26</f>
        <v>5968.72</v>
      </c>
      <c r="K11" s="9">
        <f>Base_2019!B40</f>
        <v>23982</v>
      </c>
      <c r="L11" s="9">
        <f>Low_2019!B40</f>
        <v>20602.900000000001</v>
      </c>
      <c r="M11" s="9">
        <f>Med_2019!B40</f>
        <v>19134</v>
      </c>
      <c r="N11" s="9">
        <f>High_2019!B40</f>
        <v>17758</v>
      </c>
      <c r="P11" s="4" t="s">
        <v>4</v>
      </c>
      <c r="Q11" s="10">
        <f>Base_2019!E12</f>
        <v>3427.58</v>
      </c>
      <c r="R11" s="11">
        <f>Low_2019!E12</f>
        <v>3286.05</v>
      </c>
      <c r="S11" s="11">
        <f>Med_2019!E12</f>
        <v>3217.28</v>
      </c>
      <c r="T11" s="12">
        <f>High_2019!E12</f>
        <v>3150.24</v>
      </c>
      <c r="U11" s="10">
        <f>Base_2019!E26</f>
        <v>6418.62</v>
      </c>
      <c r="V11" s="11">
        <f>Low_2019!E26</f>
        <v>6208.33</v>
      </c>
      <c r="W11" s="11">
        <f>Med_2019!E26</f>
        <v>6108.01</v>
      </c>
      <c r="X11" s="12">
        <f>High_2019!E26</f>
        <v>6006.92</v>
      </c>
      <c r="Y11" s="9">
        <f>Base_2019!E40</f>
        <v>9846.2000000000007</v>
      </c>
      <c r="Z11" s="9">
        <f>Low_2019!E40</f>
        <v>9494.39</v>
      </c>
      <c r="AA11" s="9">
        <f>Med_2019!E40</f>
        <v>9325.2900000000009</v>
      </c>
      <c r="AB11" s="9">
        <f>High_2019!E40</f>
        <v>9157.16</v>
      </c>
    </row>
    <row r="12" spans="2:28" x14ac:dyDescent="0.25">
      <c r="B12" s="7" t="s">
        <v>5</v>
      </c>
      <c r="C12" s="10">
        <f>Base_2019!B13</f>
        <v>12718.6</v>
      </c>
      <c r="D12" s="11">
        <f>Low_2019!B13</f>
        <v>10249.799999999999</v>
      </c>
      <c r="E12" s="11">
        <f>Med_2019!B13</f>
        <v>9235.2999999999993</v>
      </c>
      <c r="F12" s="12">
        <f>High_2019!B13</f>
        <v>8315.6</v>
      </c>
      <c r="G12" s="10">
        <f>Base_2019!B27</f>
        <v>3559.3</v>
      </c>
      <c r="H12" s="11">
        <f>Low_2019!B27</f>
        <v>3062.97</v>
      </c>
      <c r="I12" s="11">
        <f>Med_2019!B27</f>
        <v>2876.15</v>
      </c>
      <c r="J12" s="12">
        <f>High_2019!B27</f>
        <v>2647.45</v>
      </c>
      <c r="K12" s="9">
        <f>Base_2019!B41</f>
        <v>16277.9</v>
      </c>
      <c r="L12" s="9">
        <f>Low_2019!B41</f>
        <v>13312.7</v>
      </c>
      <c r="M12" s="9">
        <f>Med_2019!B41</f>
        <v>12111.5</v>
      </c>
      <c r="N12" s="9">
        <f>High_2019!B41</f>
        <v>10963</v>
      </c>
      <c r="P12" s="4" t="s">
        <v>5</v>
      </c>
      <c r="Q12" s="10">
        <f>Base_2019!E13</f>
        <v>604.45000000000005</v>
      </c>
      <c r="R12" s="11">
        <f>Low_2019!E13</f>
        <v>566</v>
      </c>
      <c r="S12" s="11">
        <f>Med_2019!E13</f>
        <v>547.36</v>
      </c>
      <c r="T12" s="12">
        <f>High_2019!E13</f>
        <v>530.52</v>
      </c>
      <c r="U12" s="10">
        <f>Base_2019!E27</f>
        <v>757.97</v>
      </c>
      <c r="V12" s="11">
        <f>Low_2019!E27</f>
        <v>738.72</v>
      </c>
      <c r="W12" s="11">
        <f>Med_2019!E27</f>
        <v>729.96</v>
      </c>
      <c r="X12" s="12">
        <f>High_2019!E27</f>
        <v>727.17</v>
      </c>
      <c r="Y12" s="9">
        <f>Base_2019!E41</f>
        <v>1362.41</v>
      </c>
      <c r="Z12" s="9">
        <f>Low_2019!E41</f>
        <v>1304.72</v>
      </c>
      <c r="AA12" s="9">
        <f>Med_2019!E41</f>
        <v>1277.32</v>
      </c>
      <c r="AB12" s="9">
        <f>High_2019!E41</f>
        <v>1257.69</v>
      </c>
    </row>
    <row r="13" spans="2:28" x14ac:dyDescent="0.25">
      <c r="B13" s="7" t="s">
        <v>8</v>
      </c>
      <c r="C13" s="10">
        <f>Base_2019!B14</f>
        <v>1141287</v>
      </c>
      <c r="D13" s="11">
        <f>Low_2019!B14</f>
        <v>1013477</v>
      </c>
      <c r="E13" s="11">
        <f>Med_2019!B14</f>
        <v>958263</v>
      </c>
      <c r="F13" s="12">
        <f>High_2019!B14</f>
        <v>904486</v>
      </c>
      <c r="G13" s="10">
        <f>Base_2019!B28</f>
        <v>654821</v>
      </c>
      <c r="H13" s="11">
        <f>Low_2019!B28</f>
        <v>580238</v>
      </c>
      <c r="I13" s="11">
        <f>Med_2019!B28</f>
        <v>549483</v>
      </c>
      <c r="J13" s="12">
        <f>High_2019!B28</f>
        <v>517720</v>
      </c>
      <c r="K13" s="9">
        <f>Base_2019!B42</f>
        <v>1796108</v>
      </c>
      <c r="L13" s="9">
        <f>Low_2019!B42</f>
        <v>1593715</v>
      </c>
      <c r="M13" s="9">
        <f>Med_2019!B42</f>
        <v>1507746</v>
      </c>
      <c r="N13" s="9">
        <f>High_2019!B42</f>
        <v>1422206</v>
      </c>
      <c r="P13" s="4" t="s">
        <v>8</v>
      </c>
      <c r="Q13" s="10">
        <f>Base_2019!E14</f>
        <v>739345</v>
      </c>
      <c r="R13" s="11">
        <f>Low_2019!E14</f>
        <v>725197</v>
      </c>
      <c r="S13" s="11">
        <f>Med_2019!E14</f>
        <v>717830</v>
      </c>
      <c r="T13" s="12">
        <f>High_2019!E14</f>
        <v>710524</v>
      </c>
      <c r="U13" s="10">
        <f>Base_2019!E28</f>
        <v>1684848</v>
      </c>
      <c r="V13" s="11">
        <f>Low_2019!E28</f>
        <v>1652419</v>
      </c>
      <c r="W13" s="11">
        <f>Med_2019!E28</f>
        <v>1635531</v>
      </c>
      <c r="X13" s="12">
        <f>High_2019!E28</f>
        <v>1618791</v>
      </c>
      <c r="Y13" s="9">
        <f>Base_2019!E42</f>
        <v>2424193</v>
      </c>
      <c r="Z13" s="9">
        <f>Low_2019!E42</f>
        <v>2377616</v>
      </c>
      <c r="AA13" s="9">
        <f>Med_2019!E42</f>
        <v>2353361</v>
      </c>
      <c r="AB13" s="9">
        <f>High_2019!E42</f>
        <v>2329314</v>
      </c>
    </row>
    <row r="16" spans="2:28" x14ac:dyDescent="0.25">
      <c r="B16" s="8">
        <v>2019</v>
      </c>
      <c r="C16" s="18" t="s">
        <v>9</v>
      </c>
      <c r="D16" s="19"/>
      <c r="E16" s="19"/>
      <c r="F16" s="20"/>
      <c r="G16" s="18" t="s">
        <v>10</v>
      </c>
      <c r="H16" s="19"/>
      <c r="I16" s="19"/>
      <c r="J16" s="20"/>
      <c r="K16" s="18" t="s">
        <v>11</v>
      </c>
      <c r="L16" s="19"/>
      <c r="M16" s="19"/>
      <c r="N16" s="19"/>
      <c r="P16" s="8">
        <v>2019</v>
      </c>
      <c r="Q16" s="18" t="s">
        <v>9</v>
      </c>
      <c r="R16" s="19"/>
      <c r="S16" s="19"/>
      <c r="T16" s="20"/>
      <c r="U16" s="18" t="s">
        <v>10</v>
      </c>
      <c r="V16" s="19"/>
      <c r="W16" s="19"/>
      <c r="X16" s="20"/>
      <c r="Y16" s="18" t="s">
        <v>11</v>
      </c>
      <c r="Z16" s="19"/>
      <c r="AA16" s="19"/>
      <c r="AB16" s="19"/>
    </row>
    <row r="17" spans="2:28" x14ac:dyDescent="0.25">
      <c r="B17" s="17" t="s">
        <v>17</v>
      </c>
      <c r="C17" s="13" t="s">
        <v>12</v>
      </c>
      <c r="D17" s="14" t="s">
        <v>13</v>
      </c>
      <c r="E17" s="14" t="s">
        <v>14</v>
      </c>
      <c r="F17" s="15" t="s">
        <v>15</v>
      </c>
      <c r="G17" s="13" t="s">
        <v>12</v>
      </c>
      <c r="H17" s="14" t="s">
        <v>13</v>
      </c>
      <c r="I17" s="14" t="s">
        <v>14</v>
      </c>
      <c r="J17" s="15" t="s">
        <v>15</v>
      </c>
      <c r="K17" s="14" t="s">
        <v>12</v>
      </c>
      <c r="L17" s="14" t="s">
        <v>13</v>
      </c>
      <c r="M17" s="14" t="s">
        <v>14</v>
      </c>
      <c r="N17" s="14" t="s">
        <v>15</v>
      </c>
      <c r="P17" s="5" t="s">
        <v>20</v>
      </c>
      <c r="Q17" s="13" t="s">
        <v>12</v>
      </c>
      <c r="R17" s="14" t="s">
        <v>13</v>
      </c>
      <c r="S17" s="14" t="s">
        <v>14</v>
      </c>
      <c r="T17" s="15" t="s">
        <v>15</v>
      </c>
      <c r="U17" s="13" t="s">
        <v>12</v>
      </c>
      <c r="V17" s="14" t="s">
        <v>13</v>
      </c>
      <c r="W17" s="14" t="s">
        <v>14</v>
      </c>
      <c r="X17" s="15" t="s">
        <v>15</v>
      </c>
      <c r="Y17" s="14" t="s">
        <v>12</v>
      </c>
      <c r="Z17" s="14" t="s">
        <v>13</v>
      </c>
      <c r="AA17" s="14" t="s">
        <v>14</v>
      </c>
      <c r="AB17" s="14" t="s">
        <v>15</v>
      </c>
    </row>
    <row r="18" spans="2:28" x14ac:dyDescent="0.25">
      <c r="B18" s="6" t="s">
        <v>7</v>
      </c>
      <c r="C18" s="10">
        <f>Base_2019!C5</f>
        <v>22397.1</v>
      </c>
      <c r="D18" s="11">
        <f>Low_2019!C5</f>
        <v>22345.599999999999</v>
      </c>
      <c r="E18" s="11">
        <f>Med_2019!C5</f>
        <v>22328.9</v>
      </c>
      <c r="F18" s="12">
        <f>High_2019!C5</f>
        <v>22312</v>
      </c>
      <c r="G18" s="10">
        <f>Base_2019!C19</f>
        <v>0</v>
      </c>
      <c r="H18" s="11">
        <f>Low_2019!C19</f>
        <v>0</v>
      </c>
      <c r="I18" s="11">
        <f>Med_2019!C19</f>
        <v>0</v>
      </c>
      <c r="J18" s="12">
        <f>High_2019!C19</f>
        <v>0</v>
      </c>
      <c r="K18" s="9">
        <f>Base_2019!C33</f>
        <v>22397.1</v>
      </c>
      <c r="L18" s="9">
        <f>Low_2019!C33</f>
        <v>22345.599999999999</v>
      </c>
      <c r="M18" s="9">
        <f>Med_2019!C33</f>
        <v>22328.9</v>
      </c>
      <c r="N18" s="9">
        <f>High_2019!C33</f>
        <v>22312</v>
      </c>
      <c r="P18" s="4" t="s">
        <v>7</v>
      </c>
      <c r="Q18" s="10">
        <f>Base_2019!F5</f>
        <v>182360</v>
      </c>
      <c r="R18" s="11">
        <f>Low_2019!F5</f>
        <v>181810</v>
      </c>
      <c r="S18" s="11">
        <f>Med_2019!F5</f>
        <v>181586</v>
      </c>
      <c r="T18" s="12">
        <f>High_2019!F5</f>
        <v>181386</v>
      </c>
      <c r="U18" s="10">
        <f>Base_2019!F19</f>
        <v>88808.3</v>
      </c>
      <c r="V18" s="11">
        <f>Low_2019!F19</f>
        <v>88540.3</v>
      </c>
      <c r="W18" s="11">
        <f>Med_2019!F19</f>
        <v>88431.6</v>
      </c>
      <c r="X18" s="12">
        <f>High_2019!F19</f>
        <v>88333.2</v>
      </c>
      <c r="Y18" s="9">
        <f>Base_2019!F33</f>
        <v>271169</v>
      </c>
      <c r="Z18" s="9">
        <f>Low_2019!F33</f>
        <v>270351</v>
      </c>
      <c r="AA18" s="9">
        <f>Med_2019!F33</f>
        <v>270017</v>
      </c>
      <c r="AB18" s="9">
        <f>High_2019!F33</f>
        <v>269719</v>
      </c>
    </row>
    <row r="19" spans="2:28" x14ac:dyDescent="0.25">
      <c r="B19" s="7" t="s">
        <v>6</v>
      </c>
      <c r="C19" s="10">
        <f>Base_2019!C6</f>
        <v>79886.100000000006</v>
      </c>
      <c r="D19" s="11">
        <f>Low_2019!C6</f>
        <v>80041.8</v>
      </c>
      <c r="E19" s="11">
        <f>Med_2019!C6</f>
        <v>80141.5</v>
      </c>
      <c r="F19" s="12">
        <f>High_2019!C6</f>
        <v>80204.399999999994</v>
      </c>
      <c r="G19" s="10">
        <f>Base_2019!C20</f>
        <v>0</v>
      </c>
      <c r="H19" s="11">
        <f>Low_2019!C20</f>
        <v>0</v>
      </c>
      <c r="I19" s="11">
        <f>Med_2019!C20</f>
        <v>0</v>
      </c>
      <c r="J19" s="12">
        <f>High_2019!C20</f>
        <v>0</v>
      </c>
      <c r="K19" s="9">
        <f>Base_2019!C34</f>
        <v>79886.100000000006</v>
      </c>
      <c r="L19" s="9">
        <f>Low_2019!C34</f>
        <v>80041.8</v>
      </c>
      <c r="M19" s="9">
        <f>Med_2019!C34</f>
        <v>80141.5</v>
      </c>
      <c r="N19" s="9">
        <f>High_2019!C34</f>
        <v>80204.399999999994</v>
      </c>
      <c r="P19" s="4" t="s">
        <v>6</v>
      </c>
      <c r="Q19" s="10">
        <f>Base_2019!F6</f>
        <v>77705.5</v>
      </c>
      <c r="R19" s="11">
        <f>Low_2019!F6</f>
        <v>77700.399999999994</v>
      </c>
      <c r="S19" s="11">
        <f>Med_2019!F6</f>
        <v>77697.399999999994</v>
      </c>
      <c r="T19" s="12">
        <f>High_2019!F6</f>
        <v>77697.7</v>
      </c>
      <c r="U19" s="10">
        <f>Base_2019!F20</f>
        <v>37511.199999999997</v>
      </c>
      <c r="V19" s="11">
        <f>Low_2019!F20</f>
        <v>37502.400000000001</v>
      </c>
      <c r="W19" s="11">
        <f>Med_2019!F20</f>
        <v>37500</v>
      </c>
      <c r="X19" s="12">
        <f>High_2019!F20</f>
        <v>37495.1</v>
      </c>
      <c r="Y19" s="9">
        <f>Base_2019!F34</f>
        <v>115217</v>
      </c>
      <c r="Z19" s="9">
        <f>Low_2019!F34</f>
        <v>115203</v>
      </c>
      <c r="AA19" s="9">
        <f>Med_2019!F34</f>
        <v>115197</v>
      </c>
      <c r="AB19" s="9">
        <f>High_2019!F34</f>
        <v>115193</v>
      </c>
    </row>
    <row r="20" spans="2:28" x14ac:dyDescent="0.25">
      <c r="B20" s="7" t="s">
        <v>21</v>
      </c>
      <c r="C20" s="10">
        <f>Base_2019!C7</f>
        <v>0</v>
      </c>
      <c r="D20" s="11">
        <f>Low_2019!C7</f>
        <v>0</v>
      </c>
      <c r="E20" s="11">
        <f>Med_2019!C7</f>
        <v>0</v>
      </c>
      <c r="F20" s="12">
        <f>High_2019!C7</f>
        <v>0</v>
      </c>
      <c r="G20" s="10">
        <f>Base_2019!C21</f>
        <v>0</v>
      </c>
      <c r="H20" s="11">
        <f>Low_2019!C21</f>
        <v>0</v>
      </c>
      <c r="I20" s="11">
        <f>Med_2019!C21</f>
        <v>0</v>
      </c>
      <c r="J20" s="12">
        <f>High_2019!C21</f>
        <v>0</v>
      </c>
      <c r="K20" s="9">
        <f>Base_2019!C35</f>
        <v>0</v>
      </c>
      <c r="L20" s="9">
        <f>Low_2019!C35</f>
        <v>0</v>
      </c>
      <c r="M20" s="9">
        <f>Med_2019!C35</f>
        <v>0</v>
      </c>
      <c r="N20" s="9">
        <f>High_2019!C35</f>
        <v>0</v>
      </c>
      <c r="P20" s="7" t="s">
        <v>21</v>
      </c>
      <c r="Q20" s="10">
        <f>Base_2019!F7</f>
        <v>174377</v>
      </c>
      <c r="R20" s="11">
        <f>Low_2019!F7</f>
        <v>174933</v>
      </c>
      <c r="S20" s="11">
        <f>Med_2019!F7</f>
        <v>175163</v>
      </c>
      <c r="T20" s="12">
        <f>High_2019!F7</f>
        <v>175365</v>
      </c>
      <c r="U20" s="10">
        <f>Base_2019!F21</f>
        <v>84821.7</v>
      </c>
      <c r="V20" s="11">
        <f>Low_2019!F21</f>
        <v>85083.5</v>
      </c>
      <c r="W20" s="11">
        <f>Med_2019!F21</f>
        <v>85191.5</v>
      </c>
      <c r="X20" s="12">
        <f>High_2019!F21</f>
        <v>85289.7</v>
      </c>
      <c r="Y20" s="9">
        <f>Base_2019!F35</f>
        <v>259198</v>
      </c>
      <c r="Z20" s="9">
        <f>Low_2019!F35</f>
        <v>260017</v>
      </c>
      <c r="AA20" s="9">
        <f>Med_2019!F35</f>
        <v>260354</v>
      </c>
      <c r="AB20" s="9">
        <f>High_2019!F35</f>
        <v>260655</v>
      </c>
    </row>
    <row r="21" spans="2:28" x14ac:dyDescent="0.25">
      <c r="B21" s="7" t="s">
        <v>0</v>
      </c>
      <c r="C21" s="10">
        <f>Base_2019!C8</f>
        <v>7310.87</v>
      </c>
      <c r="D21" s="11">
        <f>Low_2019!C8</f>
        <v>7331.17</v>
      </c>
      <c r="E21" s="11">
        <f>Med_2019!C8</f>
        <v>7361.93</v>
      </c>
      <c r="F21" s="12">
        <f>High_2019!C8</f>
        <v>7366.47</v>
      </c>
      <c r="G21" s="10">
        <f>Base_2019!C22</f>
        <v>0</v>
      </c>
      <c r="H21" s="11">
        <f>Low_2019!C22</f>
        <v>0</v>
      </c>
      <c r="I21" s="11">
        <f>Med_2019!C22</f>
        <v>0</v>
      </c>
      <c r="J21" s="12">
        <f>High_2019!C22</f>
        <v>0</v>
      </c>
      <c r="K21" s="9">
        <f>Base_2019!C36</f>
        <v>7310.87</v>
      </c>
      <c r="L21" s="9">
        <f>Low_2019!C36</f>
        <v>7331.17</v>
      </c>
      <c r="M21" s="9">
        <f>Med_2019!C36</f>
        <v>7361.93</v>
      </c>
      <c r="N21" s="9">
        <f>High_2019!C36</f>
        <v>7366.47</v>
      </c>
      <c r="P21" s="4" t="s">
        <v>0</v>
      </c>
      <c r="Q21" s="10">
        <f>Base_2019!F8</f>
        <v>0</v>
      </c>
      <c r="R21" s="11">
        <f>Low_2019!F8</f>
        <v>0</v>
      </c>
      <c r="S21" s="11">
        <f>Med_2019!F8</f>
        <v>0</v>
      </c>
      <c r="T21" s="12">
        <f>High_2019!F8</f>
        <v>0</v>
      </c>
      <c r="U21" s="10">
        <f>Base_2019!F22</f>
        <v>0</v>
      </c>
      <c r="V21" s="11">
        <f>Low_2019!F22</f>
        <v>0</v>
      </c>
      <c r="W21" s="11">
        <f>Med_2019!F22</f>
        <v>0</v>
      </c>
      <c r="X21" s="12">
        <f>High_2019!F22</f>
        <v>0</v>
      </c>
      <c r="Y21" s="9">
        <f>Base_2019!F36</f>
        <v>0</v>
      </c>
      <c r="Z21" s="9">
        <f>Low_2019!F36</f>
        <v>0</v>
      </c>
      <c r="AA21" s="9">
        <f>Med_2019!F36</f>
        <v>0</v>
      </c>
      <c r="AB21" s="9">
        <f>High_2019!F36</f>
        <v>0</v>
      </c>
    </row>
    <row r="22" spans="2:28" x14ac:dyDescent="0.25">
      <c r="B22" s="7" t="s">
        <v>1</v>
      </c>
      <c r="C22" s="10">
        <f>Base_2019!C9</f>
        <v>33.86</v>
      </c>
      <c r="D22" s="11">
        <f>Low_2019!C9</f>
        <v>34.130000000000003</v>
      </c>
      <c r="E22" s="11">
        <f>Med_2019!C9</f>
        <v>34.229999999999997</v>
      </c>
      <c r="F22" s="12">
        <f>High_2019!C9</f>
        <v>34.08</v>
      </c>
      <c r="G22" s="10">
        <f>Base_2019!C23</f>
        <v>0</v>
      </c>
      <c r="H22" s="11">
        <f>Low_2019!C23</f>
        <v>0</v>
      </c>
      <c r="I22" s="11">
        <f>Med_2019!C23</f>
        <v>0</v>
      </c>
      <c r="J22" s="12">
        <f>High_2019!C23</f>
        <v>0</v>
      </c>
      <c r="K22" s="9">
        <f>Base_2019!C37</f>
        <v>33.86</v>
      </c>
      <c r="L22" s="9">
        <f>Low_2019!C37</f>
        <v>34.130000000000003</v>
      </c>
      <c r="M22" s="9">
        <f>Med_2019!C37</f>
        <v>34.229999999999997</v>
      </c>
      <c r="N22" s="9">
        <f>High_2019!C37</f>
        <v>34.08</v>
      </c>
      <c r="P22" s="4" t="s">
        <v>1</v>
      </c>
      <c r="Q22" s="10">
        <f>Base_2019!F9</f>
        <v>0</v>
      </c>
      <c r="R22" s="11">
        <f>Low_2019!F9</f>
        <v>0</v>
      </c>
      <c r="S22" s="11">
        <f>Med_2019!F9</f>
        <v>0</v>
      </c>
      <c r="T22" s="12">
        <f>High_2019!F9</f>
        <v>0</v>
      </c>
      <c r="U22" s="10">
        <f>Base_2019!F23</f>
        <v>0</v>
      </c>
      <c r="V22" s="11">
        <f>Low_2019!F23</f>
        <v>0</v>
      </c>
      <c r="W22" s="11">
        <f>Med_2019!F23</f>
        <v>0</v>
      </c>
      <c r="X22" s="12">
        <f>High_2019!F23</f>
        <v>0</v>
      </c>
      <c r="Y22" s="9">
        <f>Base_2019!F37</f>
        <v>0</v>
      </c>
      <c r="Z22" s="9">
        <f>Low_2019!F37</f>
        <v>0</v>
      </c>
      <c r="AA22" s="9">
        <f>Med_2019!F37</f>
        <v>0</v>
      </c>
      <c r="AB22" s="9">
        <f>High_2019!F37</f>
        <v>0</v>
      </c>
    </row>
    <row r="23" spans="2:28" x14ac:dyDescent="0.25">
      <c r="B23" s="7" t="s">
        <v>2</v>
      </c>
      <c r="C23" s="10">
        <f>Base_2019!C10</f>
        <v>7009.28</v>
      </c>
      <c r="D23" s="11">
        <f>Low_2019!C10</f>
        <v>7003.69</v>
      </c>
      <c r="E23" s="11">
        <f>Med_2019!C10</f>
        <v>7001.88</v>
      </c>
      <c r="F23" s="12">
        <f>High_2019!C10</f>
        <v>7000.63</v>
      </c>
      <c r="G23" s="10">
        <f>Base_2019!C24</f>
        <v>0</v>
      </c>
      <c r="H23" s="11">
        <f>Low_2019!C24</f>
        <v>0</v>
      </c>
      <c r="I23" s="11">
        <f>Med_2019!C24</f>
        <v>0</v>
      </c>
      <c r="J23" s="12">
        <f>High_2019!C24</f>
        <v>0</v>
      </c>
      <c r="K23" s="9">
        <f>Base_2019!C38</f>
        <v>7009.28</v>
      </c>
      <c r="L23" s="9">
        <f>Low_2019!C38</f>
        <v>7003.69</v>
      </c>
      <c r="M23" s="9">
        <f>Med_2019!C38</f>
        <v>7001.88</v>
      </c>
      <c r="N23" s="9">
        <f>High_2019!C38</f>
        <v>7000.63</v>
      </c>
      <c r="P23" s="4" t="s">
        <v>2</v>
      </c>
      <c r="Q23" s="10">
        <f>Base_2019!F10</f>
        <v>0</v>
      </c>
      <c r="R23" s="11">
        <f>Low_2019!F10</f>
        <v>0</v>
      </c>
      <c r="S23" s="11">
        <f>Med_2019!F10</f>
        <v>0</v>
      </c>
      <c r="T23" s="12">
        <f>High_2019!F10</f>
        <v>0</v>
      </c>
      <c r="U23" s="10">
        <f>Base_2019!F24</f>
        <v>0</v>
      </c>
      <c r="V23" s="11">
        <f>Low_2019!F24</f>
        <v>0</v>
      </c>
      <c r="W23" s="11">
        <f>Med_2019!F24</f>
        <v>0</v>
      </c>
      <c r="X23" s="12">
        <f>High_2019!F24</f>
        <v>0</v>
      </c>
      <c r="Y23" s="9">
        <f>Base_2019!F38</f>
        <v>0</v>
      </c>
      <c r="Z23" s="9">
        <f>Low_2019!F38</f>
        <v>0</v>
      </c>
      <c r="AA23" s="9">
        <f>Med_2019!F38</f>
        <v>0</v>
      </c>
      <c r="AB23" s="9">
        <f>High_2019!F38</f>
        <v>0</v>
      </c>
    </row>
    <row r="24" spans="2:28" x14ac:dyDescent="0.25">
      <c r="B24" s="7" t="s">
        <v>3</v>
      </c>
      <c r="C24" s="10">
        <f>Base_2019!C11</f>
        <v>101.12</v>
      </c>
      <c r="D24" s="11">
        <f>Low_2019!C11</f>
        <v>134.29</v>
      </c>
      <c r="E24" s="11">
        <f>Med_2019!C11</f>
        <v>148.06</v>
      </c>
      <c r="F24" s="12">
        <f>High_2019!C11</f>
        <v>165.3</v>
      </c>
      <c r="G24" s="10">
        <f>Base_2019!C25</f>
        <v>0</v>
      </c>
      <c r="H24" s="11">
        <f>Low_2019!C25</f>
        <v>0</v>
      </c>
      <c r="I24" s="11">
        <f>Med_2019!C25</f>
        <v>0</v>
      </c>
      <c r="J24" s="12">
        <f>High_2019!C25</f>
        <v>0</v>
      </c>
      <c r="K24" s="9">
        <f>Base_2019!C39</f>
        <v>101.12</v>
      </c>
      <c r="L24" s="9">
        <f>Low_2019!C39</f>
        <v>134.29</v>
      </c>
      <c r="M24" s="9">
        <f>Med_2019!C39</f>
        <v>148.06</v>
      </c>
      <c r="N24" s="9">
        <f>High_2019!C39</f>
        <v>165.3</v>
      </c>
      <c r="P24" s="4" t="s">
        <v>3</v>
      </c>
      <c r="Q24" s="10">
        <f>Base_2019!F11</f>
        <v>0</v>
      </c>
      <c r="R24" s="11">
        <f>Low_2019!F11</f>
        <v>0</v>
      </c>
      <c r="S24" s="11">
        <f>Med_2019!F11</f>
        <v>0</v>
      </c>
      <c r="T24" s="12">
        <f>High_2019!F11</f>
        <v>0</v>
      </c>
      <c r="U24" s="10">
        <f>Base_2019!F25</f>
        <v>0</v>
      </c>
      <c r="V24" s="11">
        <f>Low_2019!F25</f>
        <v>0</v>
      </c>
      <c r="W24" s="11">
        <f>Med_2019!F25</f>
        <v>0</v>
      </c>
      <c r="X24" s="12">
        <f>High_2019!F25</f>
        <v>0</v>
      </c>
      <c r="Y24" s="9">
        <f>Base_2019!F39</f>
        <v>0</v>
      </c>
      <c r="Z24" s="9">
        <f>Low_2019!F39</f>
        <v>0</v>
      </c>
      <c r="AA24" s="9">
        <f>Med_2019!F39</f>
        <v>0</v>
      </c>
      <c r="AB24" s="9">
        <f>High_2019!F39</f>
        <v>0</v>
      </c>
    </row>
    <row r="25" spans="2:28" x14ac:dyDescent="0.25">
      <c r="B25" s="7" t="s">
        <v>4</v>
      </c>
      <c r="C25" s="10">
        <f>Base_2019!C12</f>
        <v>6700.86</v>
      </c>
      <c r="D25" s="11">
        <f>Low_2019!C12</f>
        <v>6627.18</v>
      </c>
      <c r="E25" s="11">
        <f>Med_2019!C12</f>
        <v>6587.77</v>
      </c>
      <c r="F25" s="12">
        <f>High_2019!C12</f>
        <v>6572.18</v>
      </c>
      <c r="G25" s="10">
        <f>Base_2019!C26</f>
        <v>0</v>
      </c>
      <c r="H25" s="11">
        <f>Low_2019!C26</f>
        <v>0</v>
      </c>
      <c r="I25" s="11">
        <f>Med_2019!C26</f>
        <v>0</v>
      </c>
      <c r="J25" s="12">
        <f>High_2019!C26</f>
        <v>0</v>
      </c>
      <c r="K25" s="9">
        <f>Base_2019!C40</f>
        <v>6700.86</v>
      </c>
      <c r="L25" s="9">
        <f>Low_2019!C40</f>
        <v>6627.18</v>
      </c>
      <c r="M25" s="9">
        <f>Med_2019!C40</f>
        <v>6587.77</v>
      </c>
      <c r="N25" s="9">
        <f>High_2019!C40</f>
        <v>6572.18</v>
      </c>
      <c r="P25" s="4" t="s">
        <v>4</v>
      </c>
      <c r="Q25" s="10">
        <f>Base_2019!F12</f>
        <v>0</v>
      </c>
      <c r="R25" s="11">
        <f>Low_2019!F12</f>
        <v>0</v>
      </c>
      <c r="S25" s="11">
        <f>Med_2019!F12</f>
        <v>0</v>
      </c>
      <c r="T25" s="12">
        <f>High_2019!F12</f>
        <v>0</v>
      </c>
      <c r="U25" s="10">
        <f>Base_2019!F26</f>
        <v>0</v>
      </c>
      <c r="V25" s="11">
        <f>Low_2019!F26</f>
        <v>0</v>
      </c>
      <c r="W25" s="11">
        <f>Med_2019!F26</f>
        <v>0</v>
      </c>
      <c r="X25" s="12">
        <f>High_2019!F26</f>
        <v>0</v>
      </c>
      <c r="Y25" s="9">
        <f>Base_2019!F40</f>
        <v>0</v>
      </c>
      <c r="Z25" s="9">
        <f>Low_2019!F40</f>
        <v>0</v>
      </c>
      <c r="AA25" s="9">
        <f>Med_2019!F40</f>
        <v>0</v>
      </c>
      <c r="AB25" s="9">
        <f>High_2019!F40</f>
        <v>0</v>
      </c>
    </row>
    <row r="26" spans="2:28" x14ac:dyDescent="0.25">
      <c r="B26" s="7" t="s">
        <v>5</v>
      </c>
      <c r="C26" s="10">
        <f>Base_2019!C13</f>
        <v>4073.22</v>
      </c>
      <c r="D26" s="11">
        <f>Low_2019!C13</f>
        <v>3994.54</v>
      </c>
      <c r="E26" s="11">
        <f>Med_2019!C13</f>
        <v>3908.24</v>
      </c>
      <c r="F26" s="12">
        <f>High_2019!C13</f>
        <v>3857.38</v>
      </c>
      <c r="G26" s="10">
        <f>Base_2019!C27</f>
        <v>0</v>
      </c>
      <c r="H26" s="11">
        <f>Low_2019!C27</f>
        <v>0</v>
      </c>
      <c r="I26" s="11">
        <f>Med_2019!C27</f>
        <v>0</v>
      </c>
      <c r="J26" s="12">
        <f>High_2019!C27</f>
        <v>0</v>
      </c>
      <c r="K26" s="9">
        <f>Base_2019!C41</f>
        <v>4073.22</v>
      </c>
      <c r="L26" s="9">
        <f>Low_2019!C41</f>
        <v>3994.54</v>
      </c>
      <c r="M26" s="9">
        <f>Med_2019!C41</f>
        <v>3908.24</v>
      </c>
      <c r="N26" s="9">
        <f>High_2019!C41</f>
        <v>3857.38</v>
      </c>
      <c r="P26" s="4" t="s">
        <v>5</v>
      </c>
      <c r="Q26" s="10">
        <f>Base_2019!F13</f>
        <v>0</v>
      </c>
      <c r="R26" s="11">
        <f>Low_2019!F13</f>
        <v>0</v>
      </c>
      <c r="S26" s="11">
        <f>Med_2019!F13</f>
        <v>0</v>
      </c>
      <c r="T26" s="12">
        <f>High_2019!F13</f>
        <v>0</v>
      </c>
      <c r="U26" s="10">
        <f>Base_2019!F27</f>
        <v>0</v>
      </c>
      <c r="V26" s="11">
        <f>Low_2019!F27</f>
        <v>0</v>
      </c>
      <c r="W26" s="11">
        <f>Med_2019!F27</f>
        <v>0</v>
      </c>
      <c r="X26" s="12">
        <f>High_2019!F27</f>
        <v>0</v>
      </c>
      <c r="Y26" s="9">
        <f>Base_2019!F41</f>
        <v>0</v>
      </c>
      <c r="Z26" s="9">
        <f>Low_2019!F41</f>
        <v>0</v>
      </c>
      <c r="AA26" s="9">
        <f>Med_2019!F41</f>
        <v>0</v>
      </c>
      <c r="AB26" s="9">
        <f>High_2019!F41</f>
        <v>0</v>
      </c>
    </row>
    <row r="27" spans="2:28" x14ac:dyDescent="0.25">
      <c r="B27" s="7" t="s">
        <v>8</v>
      </c>
      <c r="C27" s="10">
        <f>Base_2019!C14</f>
        <v>127512</v>
      </c>
      <c r="D27" s="11">
        <f>Low_2019!C14</f>
        <v>127512</v>
      </c>
      <c r="E27" s="11">
        <f>Med_2019!C14</f>
        <v>127512</v>
      </c>
      <c r="F27" s="12">
        <f>High_2019!C14</f>
        <v>127512</v>
      </c>
      <c r="G27" s="10">
        <f>Base_2019!C28</f>
        <v>0</v>
      </c>
      <c r="H27" s="11">
        <f>Low_2019!C28</f>
        <v>0</v>
      </c>
      <c r="I27" s="11">
        <f>Med_2019!C28</f>
        <v>0</v>
      </c>
      <c r="J27" s="12">
        <f>High_2019!C28</f>
        <v>0</v>
      </c>
      <c r="K27" s="9">
        <f>Base_2019!C42</f>
        <v>127512</v>
      </c>
      <c r="L27" s="9">
        <f>Low_2019!C42</f>
        <v>127512</v>
      </c>
      <c r="M27" s="9">
        <f>Med_2019!C42</f>
        <v>127512</v>
      </c>
      <c r="N27" s="9">
        <f>High_2019!C42</f>
        <v>127512</v>
      </c>
      <c r="P27" s="4" t="s">
        <v>8</v>
      </c>
      <c r="Q27" s="10">
        <f>Base_2019!F14</f>
        <v>434442</v>
      </c>
      <c r="R27" s="11">
        <f>Low_2019!F14</f>
        <v>434444</v>
      </c>
      <c r="S27" s="11">
        <f>Med_2019!F14</f>
        <v>434446</v>
      </c>
      <c r="T27" s="12">
        <f>High_2019!F14</f>
        <v>434448</v>
      </c>
      <c r="U27" s="10">
        <f>Base_2019!F28</f>
        <v>211141</v>
      </c>
      <c r="V27" s="11">
        <f>Low_2019!F28</f>
        <v>211126</v>
      </c>
      <c r="W27" s="11">
        <f>Med_2019!F28</f>
        <v>211123</v>
      </c>
      <c r="X27" s="12">
        <f>High_2019!F28</f>
        <v>211118</v>
      </c>
      <c r="Y27" s="9">
        <f>Base_2019!F42</f>
        <v>645584</v>
      </c>
      <c r="Z27" s="9">
        <f>Low_2019!F42</f>
        <v>645570</v>
      </c>
      <c r="AA27" s="9">
        <f>Med_2019!F42</f>
        <v>645569</v>
      </c>
      <c r="AB27" s="9">
        <f>High_2019!F42</f>
        <v>645566</v>
      </c>
    </row>
    <row r="30" spans="2:28" x14ac:dyDescent="0.25">
      <c r="B30" s="8">
        <v>2019</v>
      </c>
      <c r="C30" s="18" t="s">
        <v>9</v>
      </c>
      <c r="D30" s="19"/>
      <c r="E30" s="19"/>
      <c r="F30" s="20"/>
      <c r="G30" s="18" t="s">
        <v>10</v>
      </c>
      <c r="H30" s="19"/>
      <c r="I30" s="19"/>
      <c r="J30" s="20"/>
      <c r="K30" s="18" t="s">
        <v>11</v>
      </c>
      <c r="L30" s="19"/>
      <c r="M30" s="19"/>
      <c r="N30" s="19"/>
      <c r="P30" s="8">
        <v>2019</v>
      </c>
      <c r="Q30" s="18" t="s">
        <v>9</v>
      </c>
      <c r="R30" s="19"/>
      <c r="S30" s="19"/>
      <c r="T30" s="20"/>
      <c r="U30" s="18" t="s">
        <v>10</v>
      </c>
      <c r="V30" s="19"/>
      <c r="W30" s="19"/>
      <c r="X30" s="20"/>
      <c r="Y30" s="18" t="s">
        <v>11</v>
      </c>
      <c r="Z30" s="19"/>
      <c r="AA30" s="19"/>
      <c r="AB30" s="19"/>
    </row>
    <row r="31" spans="2:28" x14ac:dyDescent="0.25">
      <c r="B31" s="17" t="s">
        <v>18</v>
      </c>
      <c r="C31" s="13" t="s">
        <v>12</v>
      </c>
      <c r="D31" s="14" t="s">
        <v>13</v>
      </c>
      <c r="E31" s="14" t="s">
        <v>14</v>
      </c>
      <c r="F31" s="15" t="s">
        <v>15</v>
      </c>
      <c r="G31" s="13" t="s">
        <v>12</v>
      </c>
      <c r="H31" s="14" t="s">
        <v>13</v>
      </c>
      <c r="I31" s="14" t="s">
        <v>14</v>
      </c>
      <c r="J31" s="15" t="s">
        <v>15</v>
      </c>
      <c r="K31" s="14" t="s">
        <v>12</v>
      </c>
      <c r="L31" s="14" t="s">
        <v>13</v>
      </c>
      <c r="M31" s="14" t="s">
        <v>14</v>
      </c>
      <c r="N31" s="14" t="s">
        <v>15</v>
      </c>
      <c r="P31" s="5" t="s">
        <v>8</v>
      </c>
      <c r="Q31" s="13" t="s">
        <v>12</v>
      </c>
      <c r="R31" s="14" t="s">
        <v>13</v>
      </c>
      <c r="S31" s="14" t="s">
        <v>14</v>
      </c>
      <c r="T31" s="15" t="s">
        <v>15</v>
      </c>
      <c r="U31" s="13" t="s">
        <v>12</v>
      </c>
      <c r="V31" s="14" t="s">
        <v>13</v>
      </c>
      <c r="W31" s="14" t="s">
        <v>14</v>
      </c>
      <c r="X31" s="15" t="s">
        <v>15</v>
      </c>
      <c r="Y31" s="14" t="s">
        <v>12</v>
      </c>
      <c r="Z31" s="14" t="s">
        <v>13</v>
      </c>
      <c r="AA31" s="14" t="s">
        <v>14</v>
      </c>
      <c r="AB31" s="14" t="s">
        <v>15</v>
      </c>
    </row>
    <row r="32" spans="2:28" x14ac:dyDescent="0.25">
      <c r="B32" s="6" t="s">
        <v>7</v>
      </c>
      <c r="C32" s="10">
        <f>Base_2019!D5</f>
        <v>147453</v>
      </c>
      <c r="D32" s="11">
        <f>Low_2019!D5</f>
        <v>146588</v>
      </c>
      <c r="E32" s="11">
        <f>Med_2019!D5</f>
        <v>146229</v>
      </c>
      <c r="F32" s="12">
        <f>High_2019!D5</f>
        <v>145912</v>
      </c>
      <c r="G32" s="10">
        <f>Base_2019!D19</f>
        <v>368928</v>
      </c>
      <c r="H32" s="11">
        <f>Low_2019!D19</f>
        <v>367219</v>
      </c>
      <c r="I32" s="11">
        <f>Med_2019!D19</f>
        <v>366475</v>
      </c>
      <c r="J32" s="12">
        <f>High_2019!D19</f>
        <v>365834</v>
      </c>
      <c r="K32" s="9">
        <f>Base_2019!D33</f>
        <v>516381</v>
      </c>
      <c r="L32" s="9">
        <f>Low_2019!D33</f>
        <v>513807</v>
      </c>
      <c r="M32" s="9">
        <f>Med_2019!D33</f>
        <v>512704</v>
      </c>
      <c r="N32" s="9">
        <f>High_2019!D33</f>
        <v>511747</v>
      </c>
      <c r="P32" s="4" t="s">
        <v>7</v>
      </c>
      <c r="Q32" s="10">
        <f>Base_2019!G5</f>
        <v>429767</v>
      </c>
      <c r="R32" s="11">
        <f>Low_2019!G5</f>
        <v>421436</v>
      </c>
      <c r="S32" s="11">
        <f>Med_2019!G5</f>
        <v>417937</v>
      </c>
      <c r="T32" s="12">
        <f>High_2019!G5</f>
        <v>414590</v>
      </c>
      <c r="U32" s="10">
        <f>Base_2019!G19</f>
        <v>609547</v>
      </c>
      <c r="V32" s="11">
        <f>Low_2019!G19</f>
        <v>600361</v>
      </c>
      <c r="W32" s="11">
        <f>Med_2019!G19</f>
        <v>596366</v>
      </c>
      <c r="X32" s="12">
        <f>High_2019!G19</f>
        <v>592529</v>
      </c>
      <c r="Y32" s="9">
        <f>Base_2019!G33</f>
        <v>1039314</v>
      </c>
      <c r="Z32" s="9">
        <f>Low_2019!G33</f>
        <v>1021797</v>
      </c>
      <c r="AA32" s="9">
        <f>Med_2019!G33</f>
        <v>1014303</v>
      </c>
      <c r="AB32" s="9">
        <f>High_2019!G33</f>
        <v>1007119</v>
      </c>
    </row>
    <row r="33" spans="2:28" x14ac:dyDescent="0.25">
      <c r="B33" s="7" t="s">
        <v>6</v>
      </c>
      <c r="C33" s="10">
        <f>Base_2019!D6</f>
        <v>1313694</v>
      </c>
      <c r="D33" s="11">
        <f>Low_2019!D6</f>
        <v>1314480</v>
      </c>
      <c r="E33" s="11">
        <f>Med_2019!D6</f>
        <v>1314837</v>
      </c>
      <c r="F33" s="12">
        <f>High_2019!D6</f>
        <v>1315222</v>
      </c>
      <c r="G33" s="10">
        <f>Base_2019!D20</f>
        <v>2693602</v>
      </c>
      <c r="H33" s="11">
        <f>Low_2019!D20</f>
        <v>2695075</v>
      </c>
      <c r="I33" s="11">
        <f>Med_2019!D20</f>
        <v>2695733</v>
      </c>
      <c r="J33" s="12">
        <f>High_2019!D20</f>
        <v>2696409</v>
      </c>
      <c r="K33" s="9">
        <f>Base_2019!D34</f>
        <v>4007296</v>
      </c>
      <c r="L33" s="9">
        <f>Low_2019!D34</f>
        <v>4009555</v>
      </c>
      <c r="M33" s="9">
        <f>Med_2019!D34</f>
        <v>4010570</v>
      </c>
      <c r="N33" s="9">
        <f>High_2019!D34</f>
        <v>4011630</v>
      </c>
      <c r="P33" s="4" t="s">
        <v>6</v>
      </c>
      <c r="Q33" s="10">
        <f>Base_2019!G6</f>
        <v>3225671</v>
      </c>
      <c r="R33" s="11">
        <f>Low_2019!G6</f>
        <v>3097842</v>
      </c>
      <c r="S33" s="11">
        <f>Med_2019!G6</f>
        <v>3041425</v>
      </c>
      <c r="T33" s="12">
        <f>High_2019!G6</f>
        <v>2986152</v>
      </c>
      <c r="U33" s="10">
        <f>Base_2019!G20</f>
        <v>4889716</v>
      </c>
      <c r="V33" s="11">
        <f>Low_2019!G20</f>
        <v>4794174</v>
      </c>
      <c r="W33" s="11">
        <f>Med_2019!G20</f>
        <v>4751470</v>
      </c>
      <c r="X33" s="12">
        <f>High_2019!G20</f>
        <v>4707953</v>
      </c>
      <c r="Y33" s="9">
        <f>Base_2019!G34</f>
        <v>8115387</v>
      </c>
      <c r="Z33" s="9">
        <f>Low_2019!G34</f>
        <v>7892016</v>
      </c>
      <c r="AA33" s="9">
        <f>Med_2019!G34</f>
        <v>7792895</v>
      </c>
      <c r="AB33" s="9">
        <f>High_2019!G34</f>
        <v>7694105</v>
      </c>
    </row>
    <row r="34" spans="2:28" x14ac:dyDescent="0.25">
      <c r="B34" s="7" t="s">
        <v>21</v>
      </c>
      <c r="C34" s="10">
        <f>Base_2019!D7</f>
        <v>0</v>
      </c>
      <c r="D34" s="11">
        <f>Low_2019!D7</f>
        <v>0</v>
      </c>
      <c r="E34" s="11">
        <f>Med_2019!D7</f>
        <v>0</v>
      </c>
      <c r="F34" s="12">
        <f>High_2019!D7</f>
        <v>0</v>
      </c>
      <c r="G34" s="10">
        <f>Base_2019!D21</f>
        <v>0</v>
      </c>
      <c r="H34" s="11">
        <f>Low_2019!D21</f>
        <v>0</v>
      </c>
      <c r="I34" s="11">
        <f>Med_2019!D21</f>
        <v>0</v>
      </c>
      <c r="J34" s="12">
        <f>High_2019!D21</f>
        <v>0</v>
      </c>
      <c r="K34" s="9">
        <f>Base_2019!D35</f>
        <v>0</v>
      </c>
      <c r="L34" s="9">
        <f>Low_2019!D35</f>
        <v>0</v>
      </c>
      <c r="M34" s="9">
        <f>Med_2019!D35</f>
        <v>0</v>
      </c>
      <c r="N34" s="9">
        <f>High_2019!D35</f>
        <v>0</v>
      </c>
      <c r="P34" s="7" t="s">
        <v>21</v>
      </c>
      <c r="Q34" s="10">
        <f>Base_2019!G7</f>
        <v>174377</v>
      </c>
      <c r="R34" s="11">
        <f>Low_2019!G7</f>
        <v>174933</v>
      </c>
      <c r="S34" s="11">
        <f>Med_2019!G7</f>
        <v>175163</v>
      </c>
      <c r="T34" s="12">
        <f>High_2019!G7</f>
        <v>175365</v>
      </c>
      <c r="U34" s="10">
        <f>Base_2019!G21</f>
        <v>84821.7</v>
      </c>
      <c r="V34" s="11">
        <f>Low_2019!G21</f>
        <v>85083.5</v>
      </c>
      <c r="W34" s="11">
        <f>Med_2019!G21</f>
        <v>85191.5</v>
      </c>
      <c r="X34" s="12">
        <f>High_2019!G21</f>
        <v>85289.7</v>
      </c>
      <c r="Y34" s="9">
        <f>Base_2019!G35</f>
        <v>259198</v>
      </c>
      <c r="Z34" s="9">
        <f>Low_2019!G35</f>
        <v>260017</v>
      </c>
      <c r="AA34" s="9">
        <f>Med_2019!G35</f>
        <v>260354</v>
      </c>
      <c r="AB34" s="9">
        <f>High_2019!G35</f>
        <v>260655</v>
      </c>
    </row>
    <row r="35" spans="2:28" x14ac:dyDescent="0.25">
      <c r="B35" s="7" t="s">
        <v>0</v>
      </c>
      <c r="C35" s="10">
        <f>Base_2019!D8</f>
        <v>5221.78</v>
      </c>
      <c r="D35" s="11">
        <f>Low_2019!D8</f>
        <v>5237.96</v>
      </c>
      <c r="E35" s="11">
        <f>Med_2019!D8</f>
        <v>5241.5</v>
      </c>
      <c r="F35" s="12">
        <f>High_2019!D8</f>
        <v>5249.3</v>
      </c>
      <c r="G35" s="10">
        <f>Base_2019!D22</f>
        <v>9821.81</v>
      </c>
      <c r="H35" s="11">
        <f>Low_2019!D22</f>
        <v>9841.65</v>
      </c>
      <c r="I35" s="11">
        <f>Med_2019!D22</f>
        <v>9845.89</v>
      </c>
      <c r="J35" s="12">
        <f>High_2019!D22</f>
        <v>9859.07</v>
      </c>
      <c r="K35" s="9">
        <f>Base_2019!D36</f>
        <v>15043.6</v>
      </c>
      <c r="L35" s="9">
        <f>Low_2019!D36</f>
        <v>15079.6</v>
      </c>
      <c r="M35" s="9">
        <f>Med_2019!D36</f>
        <v>15087.4</v>
      </c>
      <c r="N35" s="9">
        <f>High_2019!D36</f>
        <v>15108.4</v>
      </c>
      <c r="P35" s="4" t="s">
        <v>0</v>
      </c>
      <c r="Q35" s="10">
        <f>Base_2019!G8</f>
        <v>24618.6</v>
      </c>
      <c r="R35" s="11">
        <f>Low_2019!G8</f>
        <v>23350</v>
      </c>
      <c r="S35" s="11">
        <f>Med_2019!G8</f>
        <v>22778.6</v>
      </c>
      <c r="T35" s="12">
        <f>High_2019!G8</f>
        <v>22220.5</v>
      </c>
      <c r="U35" s="10">
        <f>Base_2019!G22</f>
        <v>18910.400000000001</v>
      </c>
      <c r="V35" s="11">
        <f>Low_2019!G22</f>
        <v>18044.099999999999</v>
      </c>
      <c r="W35" s="11">
        <f>Med_2019!G22</f>
        <v>17685.3</v>
      </c>
      <c r="X35" s="12">
        <f>High_2019!G22</f>
        <v>17309</v>
      </c>
      <c r="Y35" s="9">
        <f>Base_2019!G36</f>
        <v>43529</v>
      </c>
      <c r="Z35" s="9">
        <f>Low_2019!G36</f>
        <v>41394.199999999997</v>
      </c>
      <c r="AA35" s="9">
        <f>Med_2019!G36</f>
        <v>40463.9</v>
      </c>
      <c r="AB35" s="9">
        <f>High_2019!G36</f>
        <v>39529.5</v>
      </c>
    </row>
    <row r="36" spans="2:28" x14ac:dyDescent="0.25">
      <c r="B36" s="7" t="s">
        <v>1</v>
      </c>
      <c r="C36" s="10">
        <f>Base_2019!D9</f>
        <v>87.83</v>
      </c>
      <c r="D36" s="11">
        <f>Low_2019!D9</f>
        <v>88.11</v>
      </c>
      <c r="E36" s="11">
        <f>Med_2019!D9</f>
        <v>88.21</v>
      </c>
      <c r="F36" s="12">
        <f>High_2019!D9</f>
        <v>88.5</v>
      </c>
      <c r="G36" s="10">
        <f>Base_2019!D23</f>
        <v>154.41999999999999</v>
      </c>
      <c r="H36" s="11">
        <f>Low_2019!D23</f>
        <v>154.99</v>
      </c>
      <c r="I36" s="11">
        <f>Med_2019!D23</f>
        <v>155.19</v>
      </c>
      <c r="J36" s="12">
        <f>High_2019!D23</f>
        <v>155.63</v>
      </c>
      <c r="K36" s="9">
        <f>Base_2019!D37</f>
        <v>242.25</v>
      </c>
      <c r="L36" s="9">
        <f>Low_2019!D37</f>
        <v>243.1</v>
      </c>
      <c r="M36" s="9">
        <f>Med_2019!D37</f>
        <v>243.4</v>
      </c>
      <c r="N36" s="9">
        <f>High_2019!D37</f>
        <v>244.13</v>
      </c>
      <c r="P36" s="4" t="s">
        <v>1</v>
      </c>
      <c r="Q36" s="10">
        <f>Base_2019!G9</f>
        <v>270.43</v>
      </c>
      <c r="R36" s="11">
        <f>Low_2019!G9</f>
        <v>260.77999999999997</v>
      </c>
      <c r="S36" s="11">
        <f>Med_2019!G9</f>
        <v>255.03</v>
      </c>
      <c r="T36" s="12">
        <f>High_2019!G9</f>
        <v>249.18</v>
      </c>
      <c r="U36" s="10">
        <f>Base_2019!G23</f>
        <v>265.37</v>
      </c>
      <c r="V36" s="11">
        <f>Low_2019!G23</f>
        <v>259</v>
      </c>
      <c r="W36" s="11">
        <f>Med_2019!G23</f>
        <v>256.07</v>
      </c>
      <c r="X36" s="12">
        <f>High_2019!G23</f>
        <v>253.37</v>
      </c>
      <c r="Y36" s="9">
        <f>Base_2019!G37</f>
        <v>535.79999999999995</v>
      </c>
      <c r="Z36" s="9">
        <f>Low_2019!G37</f>
        <v>519.77</v>
      </c>
      <c r="AA36" s="9">
        <f>Med_2019!G37</f>
        <v>511.1</v>
      </c>
      <c r="AB36" s="9">
        <f>High_2019!G37</f>
        <v>502.55</v>
      </c>
    </row>
    <row r="37" spans="2:28" x14ac:dyDescent="0.25">
      <c r="B37" s="7" t="s">
        <v>2</v>
      </c>
      <c r="C37" s="10">
        <f>Base_2019!D10</f>
        <v>1366.42</v>
      </c>
      <c r="D37" s="11">
        <f>Low_2019!D10</f>
        <v>1365.37</v>
      </c>
      <c r="E37" s="11">
        <f>Med_2019!D10</f>
        <v>1364.51</v>
      </c>
      <c r="F37" s="12">
        <f>High_2019!D10</f>
        <v>1364.13</v>
      </c>
      <c r="G37" s="10">
        <f>Base_2019!D24</f>
        <v>1802.74</v>
      </c>
      <c r="H37" s="11">
        <f>Low_2019!D24</f>
        <v>1768.07</v>
      </c>
      <c r="I37" s="11">
        <f>Med_2019!D24</f>
        <v>1768.53</v>
      </c>
      <c r="J37" s="12">
        <f>High_2019!D24</f>
        <v>1768.53</v>
      </c>
      <c r="K37" s="9">
        <f>Base_2019!D38</f>
        <v>3169.17</v>
      </c>
      <c r="L37" s="9">
        <f>Low_2019!D38</f>
        <v>3133.44</v>
      </c>
      <c r="M37" s="9">
        <f>Med_2019!D38</f>
        <v>3133.04</v>
      </c>
      <c r="N37" s="9">
        <f>High_2019!D38</f>
        <v>3132.66</v>
      </c>
      <c r="P37" s="4" t="s">
        <v>2</v>
      </c>
      <c r="Q37" s="10">
        <f>Base_2019!G10</f>
        <v>10355.200000000001</v>
      </c>
      <c r="R37" s="11">
        <f>Low_2019!G10</f>
        <v>10140.9</v>
      </c>
      <c r="S37" s="11">
        <f>Med_2019!G10</f>
        <v>10055.4</v>
      </c>
      <c r="T37" s="12">
        <f>High_2019!G10</f>
        <v>9973.56</v>
      </c>
      <c r="U37" s="10">
        <f>Base_2019!G24</f>
        <v>3211.05</v>
      </c>
      <c r="V37" s="11">
        <f>Low_2019!G24</f>
        <v>3055.51</v>
      </c>
      <c r="W37" s="11">
        <f>Med_2019!G24</f>
        <v>3013.59</v>
      </c>
      <c r="X37" s="12">
        <f>High_2019!G24</f>
        <v>2970.83</v>
      </c>
      <c r="Y37" s="9">
        <f>Base_2019!G38</f>
        <v>13566.2</v>
      </c>
      <c r="Z37" s="9">
        <f>Low_2019!G38</f>
        <v>13196.4</v>
      </c>
      <c r="AA37" s="9">
        <f>Med_2019!G38</f>
        <v>13069</v>
      </c>
      <c r="AB37" s="9">
        <f>High_2019!G38</f>
        <v>12944.4</v>
      </c>
    </row>
    <row r="38" spans="2:28" x14ac:dyDescent="0.25">
      <c r="B38" s="7" t="s">
        <v>3</v>
      </c>
      <c r="C38" s="10">
        <f>Base_2019!D11</f>
        <v>66.010000000000005</v>
      </c>
      <c r="D38" s="11">
        <f>Low_2019!D11</f>
        <v>71.83</v>
      </c>
      <c r="E38" s="11">
        <f>Med_2019!D11</f>
        <v>73.900000000000006</v>
      </c>
      <c r="F38" s="12">
        <f>High_2019!D11</f>
        <v>76.459999999999994</v>
      </c>
      <c r="G38" s="10">
        <f>Base_2019!D25</f>
        <v>0</v>
      </c>
      <c r="H38" s="11">
        <f>Low_2019!D25</f>
        <v>0</v>
      </c>
      <c r="I38" s="11">
        <f>Med_2019!D25</f>
        <v>0</v>
      </c>
      <c r="J38" s="12">
        <f>High_2019!D25</f>
        <v>0</v>
      </c>
      <c r="K38" s="9">
        <f>Base_2019!D39</f>
        <v>66.010000000000005</v>
      </c>
      <c r="L38" s="9">
        <f>Low_2019!D39</f>
        <v>71.83</v>
      </c>
      <c r="M38" s="9">
        <f>Med_2019!D39</f>
        <v>73.900000000000006</v>
      </c>
      <c r="N38" s="9">
        <f>High_2019!D39</f>
        <v>76.459999999999994</v>
      </c>
      <c r="P38" s="4" t="s">
        <v>3</v>
      </c>
      <c r="Q38" s="10">
        <f>Base_2019!G11</f>
        <v>1821.29</v>
      </c>
      <c r="R38" s="11">
        <f>Low_2019!G11</f>
        <v>2026.22</v>
      </c>
      <c r="S38" s="11">
        <f>Med_2019!G11</f>
        <v>2060.0300000000002</v>
      </c>
      <c r="T38" s="12">
        <f>High_2019!G11</f>
        <v>2117.9899999999998</v>
      </c>
      <c r="U38" s="10">
        <f>Base_2019!G25</f>
        <v>0</v>
      </c>
      <c r="V38" s="11">
        <f>Low_2019!G25</f>
        <v>0</v>
      </c>
      <c r="W38" s="11">
        <f>Med_2019!G25</f>
        <v>0</v>
      </c>
      <c r="X38" s="12">
        <f>High_2019!G25</f>
        <v>0</v>
      </c>
      <c r="Y38" s="9">
        <f>Base_2019!G39</f>
        <v>1821.29</v>
      </c>
      <c r="Z38" s="9">
        <f>Low_2019!G39</f>
        <v>2026.22</v>
      </c>
      <c r="AA38" s="9">
        <f>Med_2019!G39</f>
        <v>2060.0300000000002</v>
      </c>
      <c r="AB38" s="9">
        <f>High_2019!G39</f>
        <v>2117.9899999999998</v>
      </c>
    </row>
    <row r="39" spans="2:28" x14ac:dyDescent="0.25">
      <c r="B39" s="7" t="s">
        <v>4</v>
      </c>
      <c r="C39" s="10">
        <f>Base_2019!D12</f>
        <v>7638.61</v>
      </c>
      <c r="D39" s="11">
        <f>Low_2019!D12</f>
        <v>7601.1</v>
      </c>
      <c r="E39" s="11">
        <f>Med_2019!D12</f>
        <v>7579.25</v>
      </c>
      <c r="F39" s="12">
        <f>High_2019!D12</f>
        <v>7557.92</v>
      </c>
      <c r="G39" s="10">
        <f>Base_2019!D26</f>
        <v>11928</v>
      </c>
      <c r="H39" s="11">
        <f>Low_2019!D26</f>
        <v>11945.6</v>
      </c>
      <c r="I39" s="11">
        <f>Med_2019!D26</f>
        <v>11955.9</v>
      </c>
      <c r="J39" s="12">
        <f>High_2019!D26</f>
        <v>11946.5</v>
      </c>
      <c r="K39" s="9">
        <f>Base_2019!D40</f>
        <v>19566.599999999999</v>
      </c>
      <c r="L39" s="9">
        <f>Low_2019!D40</f>
        <v>19546.7</v>
      </c>
      <c r="M39" s="9">
        <f>Med_2019!D40</f>
        <v>19535.099999999999</v>
      </c>
      <c r="N39" s="9">
        <f>High_2019!D40</f>
        <v>19504.400000000001</v>
      </c>
      <c r="P39" s="4" t="s">
        <v>4</v>
      </c>
      <c r="Q39" s="10">
        <f>Base_2019!G12</f>
        <v>33837.699999999997</v>
      </c>
      <c r="R39" s="11">
        <f>Low_2019!G12</f>
        <v>31262.400000000001</v>
      </c>
      <c r="S39" s="11">
        <f>Med_2019!G12</f>
        <v>30099.7</v>
      </c>
      <c r="T39" s="12">
        <f>High_2019!G12</f>
        <v>29069.599999999999</v>
      </c>
      <c r="U39" s="10">
        <f>Base_2019!G26</f>
        <v>26258</v>
      </c>
      <c r="V39" s="11">
        <f>Low_2019!G26</f>
        <v>25008.799999999999</v>
      </c>
      <c r="W39" s="11">
        <f>Med_2019!G26</f>
        <v>24482.400000000001</v>
      </c>
      <c r="X39" s="12">
        <f>High_2019!G26</f>
        <v>23922.1</v>
      </c>
      <c r="Y39" s="9">
        <f>Base_2019!G40</f>
        <v>60095.6</v>
      </c>
      <c r="Z39" s="9">
        <f>Low_2019!G40</f>
        <v>56271.199999999997</v>
      </c>
      <c r="AA39" s="9">
        <f>Med_2019!G40</f>
        <v>54582.2</v>
      </c>
      <c r="AB39" s="9">
        <f>High_2019!G40</f>
        <v>52991.8</v>
      </c>
    </row>
    <row r="40" spans="2:28" x14ac:dyDescent="0.25">
      <c r="B40" s="7" t="s">
        <v>5</v>
      </c>
      <c r="C40" s="10">
        <f>Base_2019!D13</f>
        <v>1474.28</v>
      </c>
      <c r="D40" s="11">
        <f>Low_2019!D13</f>
        <v>1439.52</v>
      </c>
      <c r="E40" s="11">
        <f>Med_2019!D13</f>
        <v>1421.2</v>
      </c>
      <c r="F40" s="12">
        <f>High_2019!D13</f>
        <v>1407.13</v>
      </c>
      <c r="G40" s="10">
        <f>Base_2019!D27</f>
        <v>1650.5</v>
      </c>
      <c r="H40" s="11">
        <f>Low_2019!D27</f>
        <v>1670.31</v>
      </c>
      <c r="I40" s="11">
        <f>Med_2019!D27</f>
        <v>1679.16</v>
      </c>
      <c r="J40" s="12">
        <f>High_2019!D27</f>
        <v>1690.98</v>
      </c>
      <c r="K40" s="9">
        <f>Base_2019!D41</f>
        <v>3124.78</v>
      </c>
      <c r="L40" s="9">
        <f>Low_2019!D41</f>
        <v>3109.83</v>
      </c>
      <c r="M40" s="9">
        <f>Med_2019!D41</f>
        <v>3100.37</v>
      </c>
      <c r="N40" s="9">
        <f>High_2019!D41</f>
        <v>3098.11</v>
      </c>
      <c r="P40" s="4" t="s">
        <v>5</v>
      </c>
      <c r="Q40" s="10">
        <f>Base_2019!G13</f>
        <v>18870.599999999999</v>
      </c>
      <c r="R40" s="11">
        <f>Low_2019!G13</f>
        <v>16249.8</v>
      </c>
      <c r="S40" s="11">
        <f>Med_2019!G13</f>
        <v>15112.1</v>
      </c>
      <c r="T40" s="12">
        <f>High_2019!G13</f>
        <v>14110.6</v>
      </c>
      <c r="U40" s="10">
        <f>Base_2019!G27</f>
        <v>5967.77</v>
      </c>
      <c r="V40" s="11">
        <f>Low_2019!G27</f>
        <v>5472</v>
      </c>
      <c r="W40" s="11">
        <f>Med_2019!G27</f>
        <v>5285.28</v>
      </c>
      <c r="X40" s="12">
        <f>High_2019!G27</f>
        <v>5065.6000000000004</v>
      </c>
      <c r="Y40" s="9">
        <f>Base_2019!G41</f>
        <v>24838.3</v>
      </c>
      <c r="Z40" s="9">
        <f>Low_2019!G41</f>
        <v>21721.8</v>
      </c>
      <c r="AA40" s="9">
        <f>Med_2019!G41</f>
        <v>20397.400000000001</v>
      </c>
      <c r="AB40" s="9">
        <f>High_2019!G41</f>
        <v>19176.2</v>
      </c>
    </row>
    <row r="41" spans="2:28" x14ac:dyDescent="0.25">
      <c r="B41" s="7" t="s">
        <v>8</v>
      </c>
      <c r="C41" s="10">
        <f>Base_2019!D14</f>
        <v>1477002</v>
      </c>
      <c r="D41" s="11">
        <f>Low_2019!D14</f>
        <v>1476872</v>
      </c>
      <c r="E41" s="11">
        <f>Med_2019!D14</f>
        <v>1476835</v>
      </c>
      <c r="F41" s="12">
        <f>High_2019!D14</f>
        <v>1476878</v>
      </c>
      <c r="G41" s="10">
        <f>Base_2019!D28</f>
        <v>3087888</v>
      </c>
      <c r="H41" s="11">
        <f>Low_2019!D28</f>
        <v>3087674</v>
      </c>
      <c r="I41" s="11">
        <f>Med_2019!D28</f>
        <v>3087613</v>
      </c>
      <c r="J41" s="12">
        <f>High_2019!D28</f>
        <v>3087664</v>
      </c>
      <c r="K41" s="9">
        <f>Base_2019!D42</f>
        <v>4564889</v>
      </c>
      <c r="L41" s="9">
        <f>Low_2019!D42</f>
        <v>4564546</v>
      </c>
      <c r="M41" s="9">
        <f>Med_2019!D42</f>
        <v>4564448</v>
      </c>
      <c r="N41" s="9">
        <f>High_2019!D42</f>
        <v>4564541</v>
      </c>
      <c r="P41" s="4" t="s">
        <v>8</v>
      </c>
      <c r="Q41" s="10">
        <f>Base_2019!G14</f>
        <v>3919589</v>
      </c>
      <c r="R41" s="11">
        <f>Low_2019!G14</f>
        <v>3777502</v>
      </c>
      <c r="S41" s="11">
        <f>Med_2019!G14</f>
        <v>3714886</v>
      </c>
      <c r="T41" s="12">
        <f>High_2019!G14</f>
        <v>3653848</v>
      </c>
      <c r="U41" s="10">
        <f>Base_2019!G28</f>
        <v>5638697</v>
      </c>
      <c r="V41" s="11">
        <f>Low_2019!G28</f>
        <v>5531458</v>
      </c>
      <c r="W41" s="11">
        <f>Med_2019!G28</f>
        <v>5483750</v>
      </c>
      <c r="X41" s="12">
        <f>High_2019!G28</f>
        <v>5435292</v>
      </c>
      <c r="Y41" s="9">
        <f>Base_2019!G42</f>
        <v>9558286</v>
      </c>
      <c r="Z41" s="9">
        <f>Low_2019!G42</f>
        <v>9308959</v>
      </c>
      <c r="AA41" s="9">
        <f>Med_2019!G42</f>
        <v>9198636</v>
      </c>
      <c r="AB41" s="9">
        <f>High_2019!G42</f>
        <v>9089141</v>
      </c>
    </row>
  </sheetData>
  <mergeCells count="18">
    <mergeCell ref="Y2:AB2"/>
    <mergeCell ref="C2:F2"/>
    <mergeCell ref="G2:J2"/>
    <mergeCell ref="K2:N2"/>
    <mergeCell ref="Q2:T2"/>
    <mergeCell ref="U2:X2"/>
    <mergeCell ref="Y30:AB30"/>
    <mergeCell ref="C16:F16"/>
    <mergeCell ref="G16:J16"/>
    <mergeCell ref="K16:N16"/>
    <mergeCell ref="Q16:T16"/>
    <mergeCell ref="U16:X16"/>
    <mergeCell ref="Y16:AB16"/>
    <mergeCell ref="C30:F30"/>
    <mergeCell ref="G30:J30"/>
    <mergeCell ref="K30:N30"/>
    <mergeCell ref="Q30:T30"/>
    <mergeCell ref="U30:X3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2:AB41"/>
  <sheetViews>
    <sheetView tabSelected="1" topLeftCell="C1" zoomScale="91" zoomScaleNormal="91" workbookViewId="0">
      <selection activeCell="G16" sqref="G16:J16"/>
    </sheetView>
  </sheetViews>
  <sheetFormatPr defaultRowHeight="15" x14ac:dyDescent="0.25"/>
  <cols>
    <col min="1" max="1" width="9.140625" style="3"/>
    <col min="2" max="2" width="19.140625" style="3" customWidth="1"/>
    <col min="3" max="3" width="9.140625" style="3"/>
    <col min="4" max="6" width="11" style="3" bestFit="1" customWidth="1"/>
    <col min="7" max="7" width="9.140625" style="3"/>
    <col min="8" max="10" width="11" style="3" bestFit="1" customWidth="1"/>
    <col min="11" max="11" width="9.140625" style="3"/>
    <col min="12" max="14" width="11" style="3" bestFit="1" customWidth="1"/>
    <col min="15" max="15" width="9.140625" style="3"/>
    <col min="16" max="16" width="19.42578125" style="3" customWidth="1"/>
    <col min="17" max="17" width="9.140625" style="3"/>
    <col min="18" max="20" width="11" style="3" bestFit="1" customWidth="1"/>
    <col min="21" max="21" width="5.140625" style="3" bestFit="1" customWidth="1"/>
    <col min="22" max="24" width="11" style="3" bestFit="1" customWidth="1"/>
    <col min="25" max="25" width="9.140625" style="3"/>
    <col min="26" max="28" width="12.140625" style="3" bestFit="1" customWidth="1"/>
    <col min="29" max="16384" width="9.140625" style="3"/>
  </cols>
  <sheetData>
    <row r="2" spans="2:28" x14ac:dyDescent="0.25">
      <c r="B2" s="8">
        <v>2050</v>
      </c>
      <c r="C2" s="18" t="s">
        <v>9</v>
      </c>
      <c r="D2" s="19"/>
      <c r="E2" s="19"/>
      <c r="F2" s="20"/>
      <c r="G2" s="18" t="s">
        <v>10</v>
      </c>
      <c r="H2" s="19"/>
      <c r="I2" s="19"/>
      <c r="J2" s="20"/>
      <c r="K2" s="18" t="s">
        <v>11</v>
      </c>
      <c r="L2" s="19"/>
      <c r="M2" s="19"/>
      <c r="N2" s="19"/>
      <c r="P2" s="16">
        <v>2050</v>
      </c>
      <c r="Q2" s="18" t="s">
        <v>9</v>
      </c>
      <c r="R2" s="19"/>
      <c r="S2" s="19"/>
      <c r="T2" s="20"/>
      <c r="U2" s="18" t="s">
        <v>10</v>
      </c>
      <c r="V2" s="19"/>
      <c r="W2" s="19"/>
      <c r="X2" s="20"/>
      <c r="Y2" s="18" t="s">
        <v>11</v>
      </c>
      <c r="Z2" s="19"/>
      <c r="AA2" s="19"/>
      <c r="AB2" s="19"/>
    </row>
    <row r="3" spans="2:28" x14ac:dyDescent="0.25">
      <c r="B3" s="17" t="s">
        <v>16</v>
      </c>
      <c r="C3" s="13" t="s">
        <v>12</v>
      </c>
      <c r="D3" s="14" t="s">
        <v>13</v>
      </c>
      <c r="E3" s="14" t="s">
        <v>14</v>
      </c>
      <c r="F3" s="15" t="s">
        <v>15</v>
      </c>
      <c r="G3" s="13" t="s">
        <v>12</v>
      </c>
      <c r="H3" s="14" t="s">
        <v>13</v>
      </c>
      <c r="I3" s="14" t="s">
        <v>14</v>
      </c>
      <c r="J3" s="15" t="s">
        <v>15</v>
      </c>
      <c r="K3" s="14" t="s">
        <v>12</v>
      </c>
      <c r="L3" s="14" t="s">
        <v>13</v>
      </c>
      <c r="M3" s="14" t="s">
        <v>14</v>
      </c>
      <c r="N3" s="14" t="s">
        <v>15</v>
      </c>
      <c r="P3" s="5" t="s">
        <v>19</v>
      </c>
      <c r="Q3" s="13" t="s">
        <v>12</v>
      </c>
      <c r="R3" s="14" t="s">
        <v>13</v>
      </c>
      <c r="S3" s="14" t="s">
        <v>14</v>
      </c>
      <c r="T3" s="15" t="s">
        <v>15</v>
      </c>
      <c r="U3" s="13" t="s">
        <v>12</v>
      </c>
      <c r="V3" s="14" t="s">
        <v>13</v>
      </c>
      <c r="W3" s="14" t="s">
        <v>14</v>
      </c>
      <c r="X3" s="15" t="s">
        <v>15</v>
      </c>
      <c r="Y3" s="14" t="s">
        <v>12</v>
      </c>
      <c r="Z3" s="14" t="s">
        <v>13</v>
      </c>
      <c r="AA3" s="14" t="s">
        <v>14</v>
      </c>
      <c r="AB3" s="14" t="s">
        <v>15</v>
      </c>
    </row>
    <row r="4" spans="2:28" x14ac:dyDescent="0.25">
      <c r="B4" s="6" t="s">
        <v>7</v>
      </c>
      <c r="C4" s="10">
        <f>Base_2050!B5</f>
        <v>0</v>
      </c>
      <c r="D4" s="11">
        <f>Low_2050!B5</f>
        <v>69917.7</v>
      </c>
      <c r="E4" s="11">
        <f>Med_2050!B5</f>
        <v>65325.8</v>
      </c>
      <c r="F4" s="12">
        <f>High_2050!B5</f>
        <v>60845.2</v>
      </c>
      <c r="G4" s="10">
        <f>Base_2050!B19</f>
        <v>0</v>
      </c>
      <c r="H4" s="11">
        <f>Low_2050!B19</f>
        <v>50960.1</v>
      </c>
      <c r="I4" s="11">
        <f>Med_2050!B19</f>
        <v>47731.1</v>
      </c>
      <c r="J4" s="12">
        <f>High_2050!B19</f>
        <v>44487.9</v>
      </c>
      <c r="K4" s="9">
        <f>Base_2050!B33</f>
        <v>0</v>
      </c>
      <c r="L4" s="9">
        <f>Low_2050!B33</f>
        <v>120878</v>
      </c>
      <c r="M4" s="9">
        <f>Med_2050!B33</f>
        <v>113057</v>
      </c>
      <c r="N4" s="9">
        <f>High_2050!B33</f>
        <v>105333</v>
      </c>
      <c r="P4" s="4" t="s">
        <v>7</v>
      </c>
      <c r="Q4" s="10">
        <f>Base_2050!E5</f>
        <v>0</v>
      </c>
      <c r="R4" s="11">
        <f>Low_2050!E5</f>
        <v>42843.1</v>
      </c>
      <c r="S4" s="11">
        <f>Med_2050!E5</f>
        <v>42230.3</v>
      </c>
      <c r="T4" s="12">
        <f>High_2050!E5</f>
        <v>41630.400000000001</v>
      </c>
      <c r="U4" s="10">
        <f>Base_2050!E19</f>
        <v>0</v>
      </c>
      <c r="V4" s="11">
        <f>Low_2050!E19</f>
        <v>170708</v>
      </c>
      <c r="W4" s="11">
        <f>Med_2050!E19</f>
        <v>168386</v>
      </c>
      <c r="X4" s="12">
        <f>High_2050!E19</f>
        <v>166102</v>
      </c>
      <c r="Y4" s="9">
        <f>Base_2050!E33</f>
        <v>0</v>
      </c>
      <c r="Z4" s="9">
        <f>Low_2050!E33</f>
        <v>213551</v>
      </c>
      <c r="AA4" s="9">
        <f>Med_2050!E33</f>
        <v>210616</v>
      </c>
      <c r="AB4" s="9">
        <f>High_2050!E33</f>
        <v>207732</v>
      </c>
    </row>
    <row r="5" spans="2:28" x14ac:dyDescent="0.25">
      <c r="B5" s="7" t="s">
        <v>6</v>
      </c>
      <c r="C5" s="10">
        <f>Base_2050!B6</f>
        <v>0</v>
      </c>
      <c r="D5" s="11">
        <f>Low_2050!B6</f>
        <v>1449515</v>
      </c>
      <c r="E5" s="11">
        <f>Med_2050!B6</f>
        <v>1364486</v>
      </c>
      <c r="F5" s="12">
        <f>High_2050!B6</f>
        <v>1281252</v>
      </c>
      <c r="G5" s="10">
        <f>Base_2050!B20</f>
        <v>0</v>
      </c>
      <c r="H5" s="11">
        <f>Low_2050!B20</f>
        <v>831417</v>
      </c>
      <c r="I5" s="11">
        <f>Med_2050!B20</f>
        <v>783611</v>
      </c>
      <c r="J5" s="12">
        <f>High_2050!B20</f>
        <v>733660</v>
      </c>
      <c r="K5" s="9">
        <f>Base_2050!B34</f>
        <v>0</v>
      </c>
      <c r="L5" s="9">
        <f>Low_2050!B34</f>
        <v>2280932</v>
      </c>
      <c r="M5" s="9">
        <f>Med_2050!B34</f>
        <v>2148097</v>
      </c>
      <c r="N5" s="9">
        <f>High_2050!B34</f>
        <v>2014912</v>
      </c>
      <c r="P5" s="4" t="s">
        <v>6</v>
      </c>
      <c r="Q5" s="10">
        <f>Base_2050!E6</f>
        <v>0</v>
      </c>
      <c r="R5" s="11">
        <f>Low_2050!E6</f>
        <v>1077766</v>
      </c>
      <c r="S5" s="11">
        <f>Med_2050!E6</f>
        <v>1066283</v>
      </c>
      <c r="T5" s="12">
        <f>High_2050!E6</f>
        <v>1054721</v>
      </c>
      <c r="U5" s="10">
        <f>Base_2050!E20</f>
        <v>0</v>
      </c>
      <c r="V5" s="11">
        <f>Low_2050!E20</f>
        <v>2389879</v>
      </c>
      <c r="W5" s="11">
        <f>Med_2050!E20</f>
        <v>2364295</v>
      </c>
      <c r="X5" s="12">
        <f>High_2050!E20</f>
        <v>2338335</v>
      </c>
      <c r="Y5" s="9">
        <f>Base_2050!E34</f>
        <v>0</v>
      </c>
      <c r="Z5" s="9">
        <f>Low_2050!E34</f>
        <v>3467645</v>
      </c>
      <c r="AA5" s="9">
        <f>Med_2050!E34</f>
        <v>3430578</v>
      </c>
      <c r="AB5" s="9">
        <f>High_2050!E34</f>
        <v>3393055</v>
      </c>
    </row>
    <row r="6" spans="2:28" x14ac:dyDescent="0.25">
      <c r="B6" s="7" t="s">
        <v>21</v>
      </c>
      <c r="C6" s="10">
        <f>Base_2050!B7</f>
        <v>0</v>
      </c>
      <c r="D6" s="11">
        <f>Low_2050!B7</f>
        <v>0</v>
      </c>
      <c r="E6" s="11">
        <f>Med_2050!B7</f>
        <v>0</v>
      </c>
      <c r="F6" s="12">
        <f>High_2050!B7</f>
        <v>0</v>
      </c>
      <c r="G6" s="10">
        <f>Base_2050!B21</f>
        <v>0</v>
      </c>
      <c r="H6" s="11">
        <f>Low_2050!B21</f>
        <v>0</v>
      </c>
      <c r="I6" s="11">
        <f>Med_2050!B21</f>
        <v>0</v>
      </c>
      <c r="J6" s="12">
        <f>High_2050!B21</f>
        <v>0</v>
      </c>
      <c r="K6" s="9">
        <f>Base_2050!B35</f>
        <v>0</v>
      </c>
      <c r="L6" s="9">
        <f>Low_2050!B35</f>
        <v>0</v>
      </c>
      <c r="M6" s="9">
        <f>Med_2050!B35</f>
        <v>0</v>
      </c>
      <c r="N6" s="9">
        <f>High_2050!B35</f>
        <v>0</v>
      </c>
      <c r="P6" s="7" t="s">
        <v>21</v>
      </c>
      <c r="Q6" s="10">
        <f>Base_2050!E7</f>
        <v>0</v>
      </c>
      <c r="R6" s="11">
        <f>Low_2050!E7</f>
        <v>0</v>
      </c>
      <c r="S6" s="11">
        <f>Med_2050!E7</f>
        <v>0</v>
      </c>
      <c r="T6" s="12">
        <f>High_2050!E7</f>
        <v>0</v>
      </c>
      <c r="U6" s="10">
        <f>Base_2050!E21</f>
        <v>0</v>
      </c>
      <c r="V6" s="11">
        <f>Low_2050!E21</f>
        <v>0</v>
      </c>
      <c r="W6" s="11">
        <f>Med_2050!E21</f>
        <v>0</v>
      </c>
      <c r="X6" s="12">
        <f>High_2050!E21</f>
        <v>0</v>
      </c>
      <c r="Y6" s="9">
        <f>Base_2050!E35</f>
        <v>0</v>
      </c>
      <c r="Z6" s="9">
        <f>Low_2050!E35</f>
        <v>0</v>
      </c>
      <c r="AA6" s="9">
        <f>Med_2050!E35</f>
        <v>0</v>
      </c>
      <c r="AB6" s="9">
        <f>High_2050!E35</f>
        <v>0</v>
      </c>
    </row>
    <row r="7" spans="2:28" x14ac:dyDescent="0.25">
      <c r="B7" s="7" t="s">
        <v>0</v>
      </c>
      <c r="C7" s="10">
        <f>Base_2050!B8</f>
        <v>0</v>
      </c>
      <c r="D7" s="11">
        <f>Low_2050!B8</f>
        <v>6396.82</v>
      </c>
      <c r="E7" s="11">
        <f>Med_2050!B8</f>
        <v>5974.86</v>
      </c>
      <c r="F7" s="12">
        <f>High_2050!B8</f>
        <v>5584.06</v>
      </c>
      <c r="G7" s="10">
        <f>Base_2050!B22</f>
        <v>0</v>
      </c>
      <c r="H7" s="11">
        <f>Low_2050!B22</f>
        <v>3827.08</v>
      </c>
      <c r="I7" s="11">
        <f>Med_2050!B22</f>
        <v>3580.55</v>
      </c>
      <c r="J7" s="12">
        <f>High_2050!B22</f>
        <v>3315.01</v>
      </c>
      <c r="K7" s="9">
        <f>Base_2050!B36</f>
        <v>0</v>
      </c>
      <c r="L7" s="9">
        <f>Low_2050!B36</f>
        <v>10223.9</v>
      </c>
      <c r="M7" s="9">
        <f>Med_2050!B36</f>
        <v>9555.41</v>
      </c>
      <c r="N7" s="9">
        <f>High_2050!B36</f>
        <v>8899.07</v>
      </c>
      <c r="P7" s="4" t="s">
        <v>0</v>
      </c>
      <c r="Q7" s="10">
        <f>Base_2050!E8</f>
        <v>0</v>
      </c>
      <c r="R7" s="11">
        <f>Low_2050!E8</f>
        <v>1087.02</v>
      </c>
      <c r="S7" s="11">
        <f>Med_2050!E8</f>
        <v>1073.3499999999999</v>
      </c>
      <c r="T7" s="12">
        <f>High_2050!E8</f>
        <v>1063.3800000000001</v>
      </c>
      <c r="U7" s="10">
        <f>Base_2050!E22</f>
        <v>0</v>
      </c>
      <c r="V7" s="11">
        <f>Low_2050!E22</f>
        <v>2115.29</v>
      </c>
      <c r="W7" s="11">
        <f>Med_2050!E22</f>
        <v>2089.84</v>
      </c>
      <c r="X7" s="12">
        <f>High_2050!E22</f>
        <v>2068.37</v>
      </c>
      <c r="Y7" s="9">
        <f>Base_2050!E36</f>
        <v>0</v>
      </c>
      <c r="Z7" s="9">
        <f>Low_2050!E36</f>
        <v>3202.31</v>
      </c>
      <c r="AA7" s="9">
        <f>Med_2050!E36</f>
        <v>3163.19</v>
      </c>
      <c r="AB7" s="9">
        <f>High_2050!E36</f>
        <v>3131.75</v>
      </c>
    </row>
    <row r="8" spans="2:28" x14ac:dyDescent="0.25">
      <c r="B8" s="7" t="s">
        <v>1</v>
      </c>
      <c r="C8" s="10">
        <f>Base_2050!B9</f>
        <v>0</v>
      </c>
      <c r="D8" s="11">
        <f>Low_2050!B9</f>
        <v>14654.2</v>
      </c>
      <c r="E8" s="11">
        <f>Med_2050!B9</f>
        <v>13726.3</v>
      </c>
      <c r="F8" s="12">
        <f>High_2050!B9</f>
        <v>12849.1</v>
      </c>
      <c r="G8" s="10">
        <f>Base_2050!B23</f>
        <v>0</v>
      </c>
      <c r="H8" s="11">
        <f>Low_2050!B23</f>
        <v>6969.71</v>
      </c>
      <c r="I8" s="11">
        <f>Med_2050!B23</f>
        <v>6554.34</v>
      </c>
      <c r="J8" s="12">
        <f>High_2050!B23</f>
        <v>6098.1</v>
      </c>
      <c r="K8" s="9">
        <f>Base_2050!B37</f>
        <v>0</v>
      </c>
      <c r="L8" s="9">
        <f>Low_2050!B37</f>
        <v>21623.9</v>
      </c>
      <c r="M8" s="9">
        <f>Med_2050!B37</f>
        <v>20280.599999999999</v>
      </c>
      <c r="N8" s="9">
        <f>High_2050!B37</f>
        <v>18947.2</v>
      </c>
      <c r="P8" s="4" t="s">
        <v>1</v>
      </c>
      <c r="Q8" s="10">
        <f>Base_2050!E9</f>
        <v>0</v>
      </c>
      <c r="R8" s="11">
        <f>Low_2050!E9</f>
        <v>3127.93</v>
      </c>
      <c r="S8" s="11">
        <f>Med_2050!E9</f>
        <v>3089.46</v>
      </c>
      <c r="T8" s="12">
        <f>High_2050!E9</f>
        <v>3051.6</v>
      </c>
      <c r="U8" s="10">
        <f>Base_2050!E23</f>
        <v>0</v>
      </c>
      <c r="V8" s="11">
        <f>Low_2050!E23</f>
        <v>4048.79</v>
      </c>
      <c r="W8" s="11">
        <f>Med_2050!E23</f>
        <v>3996.2</v>
      </c>
      <c r="X8" s="12">
        <f>High_2050!E23</f>
        <v>3944.1</v>
      </c>
      <c r="Y8" s="9">
        <f>Base_2050!E37</f>
        <v>0</v>
      </c>
      <c r="Z8" s="9">
        <f>Low_2050!E37</f>
        <v>7176.73</v>
      </c>
      <c r="AA8" s="9">
        <f>Med_2050!E37</f>
        <v>7085.66</v>
      </c>
      <c r="AB8" s="9">
        <f>High_2050!E37</f>
        <v>6995.69</v>
      </c>
    </row>
    <row r="9" spans="2:28" x14ac:dyDescent="0.25">
      <c r="B9" s="7" t="s">
        <v>2</v>
      </c>
      <c r="C9" s="10">
        <f>Base_2050!B10</f>
        <v>0</v>
      </c>
      <c r="D9" s="11">
        <f>Low_2050!B10</f>
        <v>5159</v>
      </c>
      <c r="E9" s="11">
        <f>Med_2050!B10</f>
        <v>4829.91</v>
      </c>
      <c r="F9" s="12">
        <f>High_2050!B10</f>
        <v>4536.3100000000004</v>
      </c>
      <c r="G9" s="10">
        <f>Base_2050!B24</f>
        <v>0</v>
      </c>
      <c r="H9" s="11">
        <f>Low_2050!B24</f>
        <v>2108.09</v>
      </c>
      <c r="I9" s="11">
        <f>Med_2050!B24</f>
        <v>1988.88</v>
      </c>
      <c r="J9" s="12">
        <f>High_2050!B24</f>
        <v>1858.36</v>
      </c>
      <c r="K9" s="9">
        <f>Base_2050!B38</f>
        <v>0</v>
      </c>
      <c r="L9" s="9">
        <f>Low_2050!B38</f>
        <v>7267.09</v>
      </c>
      <c r="M9" s="9">
        <f>Med_2050!B38</f>
        <v>6818.79</v>
      </c>
      <c r="N9" s="9">
        <f>High_2050!B38</f>
        <v>6394.67</v>
      </c>
      <c r="P9" s="4" t="s">
        <v>2</v>
      </c>
      <c r="Q9" s="10">
        <f>Base_2050!E10</f>
        <v>0</v>
      </c>
      <c r="R9" s="11">
        <f>Low_2050!E10</f>
        <v>1423.96</v>
      </c>
      <c r="S9" s="11">
        <f>Med_2050!E10</f>
        <v>1407</v>
      </c>
      <c r="T9" s="12">
        <f>High_2050!E10</f>
        <v>1391.16</v>
      </c>
      <c r="U9" s="10">
        <f>Base_2050!E24</f>
        <v>0</v>
      </c>
      <c r="V9" s="11">
        <f>Low_2050!E24</f>
        <v>1895.78</v>
      </c>
      <c r="W9" s="11">
        <f>Med_2050!E24</f>
        <v>1873.45</v>
      </c>
      <c r="X9" s="12">
        <f>High_2050!E24</f>
        <v>1852.6</v>
      </c>
      <c r="Y9" s="9">
        <f>Base_2050!E38</f>
        <v>0</v>
      </c>
      <c r="Z9" s="9">
        <f>Low_2050!E38</f>
        <v>3319.74</v>
      </c>
      <c r="AA9" s="9">
        <f>Med_2050!E38</f>
        <v>3280.45</v>
      </c>
      <c r="AB9" s="9">
        <f>High_2050!E38</f>
        <v>3243.75</v>
      </c>
    </row>
    <row r="10" spans="2:28" x14ac:dyDescent="0.25">
      <c r="B10" s="7" t="s">
        <v>3</v>
      </c>
      <c r="C10" s="10">
        <f>Base_2050!B11</f>
        <v>0</v>
      </c>
      <c r="D10" s="11">
        <f>Low_2050!B11</f>
        <v>2880.84</v>
      </c>
      <c r="E10" s="11">
        <f>Med_2050!B11</f>
        <v>3190.74</v>
      </c>
      <c r="F10" s="12">
        <f>High_2050!B11</f>
        <v>3517.9</v>
      </c>
      <c r="G10" s="10">
        <f>Base_2050!B25</f>
        <v>0</v>
      </c>
      <c r="H10" s="11">
        <f>Low_2050!B25</f>
        <v>33.21</v>
      </c>
      <c r="I10" s="11">
        <f>Med_2050!B25</f>
        <v>32.869999999999997</v>
      </c>
      <c r="J10" s="12">
        <f>High_2050!B25</f>
        <v>32.369999999999997</v>
      </c>
      <c r="K10" s="9">
        <f>Base_2050!B39</f>
        <v>0</v>
      </c>
      <c r="L10" s="9">
        <f>Low_2050!B39</f>
        <v>2914.05</v>
      </c>
      <c r="M10" s="9">
        <f>Med_2050!B39</f>
        <v>3223.61</v>
      </c>
      <c r="N10" s="9">
        <f>High_2050!B39</f>
        <v>3550.27</v>
      </c>
      <c r="P10" s="4" t="s">
        <v>3</v>
      </c>
      <c r="Q10" s="10">
        <f>Base_2050!E11</f>
        <v>0</v>
      </c>
      <c r="R10" s="11">
        <f>Low_2050!E11</f>
        <v>21.72</v>
      </c>
      <c r="S10" s="11">
        <f>Med_2050!E11</f>
        <v>26.92</v>
      </c>
      <c r="T10" s="12">
        <f>High_2050!E11</f>
        <v>33.07</v>
      </c>
      <c r="U10" s="10">
        <f>Base_2050!E25</f>
        <v>0</v>
      </c>
      <c r="V10" s="11">
        <f>Low_2050!E25</f>
        <v>0.42</v>
      </c>
      <c r="W10" s="11">
        <f>Med_2050!E25</f>
        <v>0.42</v>
      </c>
      <c r="X10" s="12">
        <f>High_2050!E25</f>
        <v>0.41</v>
      </c>
      <c r="Y10" s="9">
        <f>Base_2050!E39</f>
        <v>0</v>
      </c>
      <c r="Z10" s="9">
        <f>Low_2050!E39</f>
        <v>22.14</v>
      </c>
      <c r="AA10" s="9">
        <f>Med_2050!E39</f>
        <v>27.33</v>
      </c>
      <c r="AB10" s="9">
        <f>High_2050!E39</f>
        <v>33.479999999999997</v>
      </c>
    </row>
    <row r="11" spans="2:28" x14ac:dyDescent="0.25">
      <c r="B11" s="7" t="s">
        <v>4</v>
      </c>
      <c r="C11" s="10">
        <f>Base_2050!B12</f>
        <v>0</v>
      </c>
      <c r="D11" s="11">
        <f>Low_2050!B12</f>
        <v>25427.599999999999</v>
      </c>
      <c r="E11" s="11">
        <f>Med_2050!B12</f>
        <v>23348.5</v>
      </c>
      <c r="F11" s="12">
        <f>High_2050!B12</f>
        <v>21464</v>
      </c>
      <c r="G11" s="10">
        <f>Base_2050!B26</f>
        <v>0</v>
      </c>
      <c r="H11" s="11">
        <f>Low_2050!B26</f>
        <v>14257.5</v>
      </c>
      <c r="I11" s="11">
        <f>Med_2050!B26</f>
        <v>13301.3</v>
      </c>
      <c r="J11" s="12">
        <f>High_2050!B26</f>
        <v>12219.7</v>
      </c>
      <c r="K11" s="9">
        <f>Base_2050!B40</f>
        <v>0</v>
      </c>
      <c r="L11" s="9">
        <f>Low_2050!B40</f>
        <v>39685.1</v>
      </c>
      <c r="M11" s="9">
        <f>Med_2050!B40</f>
        <v>36649.800000000003</v>
      </c>
      <c r="N11" s="9">
        <f>High_2050!B40</f>
        <v>33683.699999999997</v>
      </c>
      <c r="P11" s="4" t="s">
        <v>4</v>
      </c>
      <c r="Q11" s="10">
        <f>Base_2050!E12</f>
        <v>0</v>
      </c>
      <c r="R11" s="11">
        <f>Low_2050!E12</f>
        <v>4745.1099999999997</v>
      </c>
      <c r="S11" s="11">
        <f>Med_2050!E12</f>
        <v>4635.6000000000004</v>
      </c>
      <c r="T11" s="12">
        <f>High_2050!E12</f>
        <v>4522.09</v>
      </c>
      <c r="U11" s="10">
        <f>Base_2050!E26</f>
        <v>0</v>
      </c>
      <c r="V11" s="11">
        <f>Low_2050!E26</f>
        <v>9961.75</v>
      </c>
      <c r="W11" s="11">
        <f>Med_2050!E26</f>
        <v>9802.9</v>
      </c>
      <c r="X11" s="12">
        <f>High_2050!E26</f>
        <v>9631.92</v>
      </c>
      <c r="Y11" s="9">
        <f>Base_2050!E40</f>
        <v>0</v>
      </c>
      <c r="Z11" s="9">
        <f>Low_2050!E40</f>
        <v>14706.9</v>
      </c>
      <c r="AA11" s="9">
        <f>Med_2050!E40</f>
        <v>14438.5</v>
      </c>
      <c r="AB11" s="9">
        <f>High_2050!E40</f>
        <v>14154</v>
      </c>
    </row>
    <row r="12" spans="2:28" x14ac:dyDescent="0.25">
      <c r="B12" s="7" t="s">
        <v>5</v>
      </c>
      <c r="C12" s="10">
        <f>Base_2050!B13</f>
        <v>0</v>
      </c>
      <c r="D12" s="11">
        <f>Low_2050!B13</f>
        <v>26461.7</v>
      </c>
      <c r="E12" s="11">
        <f>Med_2050!B13</f>
        <v>23782.3</v>
      </c>
      <c r="F12" s="12">
        <f>High_2050!B13</f>
        <v>21617.599999999999</v>
      </c>
      <c r="G12" s="10">
        <f>Base_2050!B27</f>
        <v>0</v>
      </c>
      <c r="H12" s="11">
        <f>Low_2050!B27</f>
        <v>8718.6</v>
      </c>
      <c r="I12" s="11">
        <f>Med_2050!B27</f>
        <v>8162.34</v>
      </c>
      <c r="J12" s="12">
        <f>High_2050!B27</f>
        <v>7473.86</v>
      </c>
      <c r="K12" s="9">
        <f>Base_2050!B41</f>
        <v>0</v>
      </c>
      <c r="L12" s="9">
        <f>Low_2050!B41</f>
        <v>35180.300000000003</v>
      </c>
      <c r="M12" s="9">
        <f>Med_2050!B41</f>
        <v>31944.6</v>
      </c>
      <c r="N12" s="9">
        <f>High_2050!B41</f>
        <v>29091.5</v>
      </c>
      <c r="P12" s="4" t="s">
        <v>5</v>
      </c>
      <c r="Q12" s="10">
        <f>Base_2050!E13</f>
        <v>0</v>
      </c>
      <c r="R12" s="11">
        <f>Low_2050!E13</f>
        <v>1072.71</v>
      </c>
      <c r="S12" s="11">
        <f>Med_2050!E13</f>
        <v>1044.6600000000001</v>
      </c>
      <c r="T12" s="12">
        <f>High_2050!E13</f>
        <v>1019.19</v>
      </c>
      <c r="U12" s="10">
        <f>Base_2050!E27</f>
        <v>0</v>
      </c>
      <c r="V12" s="11">
        <f>Low_2050!E27</f>
        <v>1251.51</v>
      </c>
      <c r="W12" s="11">
        <f>Med_2050!E27</f>
        <v>1243.23</v>
      </c>
      <c r="X12" s="12">
        <f>High_2050!E27</f>
        <v>1230.27</v>
      </c>
      <c r="Y12" s="9">
        <f>Base_2050!E41</f>
        <v>0</v>
      </c>
      <c r="Z12" s="9">
        <f>Low_2050!E41</f>
        <v>2324.2199999999998</v>
      </c>
      <c r="AA12" s="9">
        <f>Med_2050!E41</f>
        <v>2287.89</v>
      </c>
      <c r="AB12" s="9">
        <f>High_2050!E41</f>
        <v>2249.46</v>
      </c>
    </row>
    <row r="13" spans="2:28" x14ac:dyDescent="0.25">
      <c r="B13" s="7" t="s">
        <v>8</v>
      </c>
      <c r="C13" s="10">
        <f>Base_2050!B14</f>
        <v>0</v>
      </c>
      <c r="D13" s="11">
        <f>Low_2050!B14</f>
        <v>1600413</v>
      </c>
      <c r="E13" s="11">
        <f>Med_2050!B14</f>
        <v>1504665</v>
      </c>
      <c r="F13" s="12">
        <f>High_2050!B14</f>
        <v>1411666</v>
      </c>
      <c r="G13" s="10">
        <f>Base_2050!B28</f>
        <v>0</v>
      </c>
      <c r="H13" s="11">
        <f>Low_2050!B28</f>
        <v>918291</v>
      </c>
      <c r="I13" s="11">
        <f>Med_2050!B28</f>
        <v>864962</v>
      </c>
      <c r="J13" s="12">
        <f>High_2050!B28</f>
        <v>809146</v>
      </c>
      <c r="K13" s="9">
        <f>Base_2050!B42</f>
        <v>0</v>
      </c>
      <c r="L13" s="9">
        <f>Low_2050!B42</f>
        <v>2518704</v>
      </c>
      <c r="M13" s="9">
        <f>Med_2050!B42</f>
        <v>2369627</v>
      </c>
      <c r="N13" s="9">
        <f>High_2050!B42</f>
        <v>2220812</v>
      </c>
      <c r="P13" s="4" t="s">
        <v>8</v>
      </c>
      <c r="Q13" s="10">
        <f>Base_2050!E14</f>
        <v>0</v>
      </c>
      <c r="R13" s="11">
        <f>Low_2050!E14</f>
        <v>1132088</v>
      </c>
      <c r="S13" s="11">
        <f>Med_2050!E14</f>
        <v>1119791</v>
      </c>
      <c r="T13" s="12">
        <f>High_2050!E14</f>
        <v>1107432</v>
      </c>
      <c r="U13" s="10">
        <f>Base_2050!E28</f>
        <v>0</v>
      </c>
      <c r="V13" s="11">
        <f>Low_2050!E28</f>
        <v>2579860</v>
      </c>
      <c r="W13" s="11">
        <f>Med_2050!E28</f>
        <v>2551687</v>
      </c>
      <c r="X13" s="12">
        <f>High_2050!E28</f>
        <v>2523164</v>
      </c>
      <c r="Y13" s="9">
        <f>Base_2050!E42</f>
        <v>0</v>
      </c>
      <c r="Z13" s="9">
        <f>Low_2050!E42</f>
        <v>3711948</v>
      </c>
      <c r="AA13" s="9">
        <f>Med_2050!E42</f>
        <v>3671477</v>
      </c>
      <c r="AB13" s="9">
        <f>High_2050!E42</f>
        <v>3630596</v>
      </c>
    </row>
    <row r="16" spans="2:28" x14ac:dyDescent="0.25">
      <c r="B16" s="8">
        <v>2050</v>
      </c>
      <c r="C16" s="18" t="s">
        <v>9</v>
      </c>
      <c r="D16" s="19"/>
      <c r="E16" s="19"/>
      <c r="F16" s="20"/>
      <c r="G16" s="18" t="s">
        <v>10</v>
      </c>
      <c r="H16" s="19"/>
      <c r="I16" s="19"/>
      <c r="J16" s="20"/>
      <c r="K16" s="18" t="s">
        <v>11</v>
      </c>
      <c r="L16" s="19"/>
      <c r="M16" s="19"/>
      <c r="N16" s="19"/>
      <c r="P16" s="16">
        <v>2050</v>
      </c>
      <c r="Q16" s="18" t="s">
        <v>9</v>
      </c>
      <c r="R16" s="19"/>
      <c r="S16" s="19"/>
      <c r="T16" s="20"/>
      <c r="U16" s="18" t="s">
        <v>10</v>
      </c>
      <c r="V16" s="19"/>
      <c r="W16" s="19"/>
      <c r="X16" s="20"/>
      <c r="Y16" s="18" t="s">
        <v>11</v>
      </c>
      <c r="Z16" s="19"/>
      <c r="AA16" s="19"/>
      <c r="AB16" s="19"/>
    </row>
    <row r="17" spans="2:28" x14ac:dyDescent="0.25">
      <c r="B17" s="17" t="s">
        <v>17</v>
      </c>
      <c r="C17" s="13" t="s">
        <v>12</v>
      </c>
      <c r="D17" s="14" t="s">
        <v>13</v>
      </c>
      <c r="E17" s="14" t="s">
        <v>14</v>
      </c>
      <c r="F17" s="15" t="s">
        <v>15</v>
      </c>
      <c r="G17" s="13" t="s">
        <v>12</v>
      </c>
      <c r="H17" s="14" t="s">
        <v>13</v>
      </c>
      <c r="I17" s="14" t="s">
        <v>14</v>
      </c>
      <c r="J17" s="15" t="s">
        <v>15</v>
      </c>
      <c r="K17" s="14" t="s">
        <v>12</v>
      </c>
      <c r="L17" s="14" t="s">
        <v>13</v>
      </c>
      <c r="M17" s="14" t="s">
        <v>14</v>
      </c>
      <c r="N17" s="14" t="s">
        <v>15</v>
      </c>
      <c r="P17" s="5" t="s">
        <v>20</v>
      </c>
      <c r="Q17" s="13" t="s">
        <v>12</v>
      </c>
      <c r="R17" s="14" t="s">
        <v>13</v>
      </c>
      <c r="S17" s="14" t="s">
        <v>14</v>
      </c>
      <c r="T17" s="15" t="s">
        <v>15</v>
      </c>
      <c r="U17" s="13" t="s">
        <v>12</v>
      </c>
      <c r="V17" s="14" t="s">
        <v>13</v>
      </c>
      <c r="W17" s="14" t="s">
        <v>14</v>
      </c>
      <c r="X17" s="15" t="s">
        <v>15</v>
      </c>
      <c r="Y17" s="14" t="s">
        <v>12</v>
      </c>
      <c r="Z17" s="14" t="s">
        <v>13</v>
      </c>
      <c r="AA17" s="14" t="s">
        <v>14</v>
      </c>
      <c r="AB17" s="14" t="s">
        <v>15</v>
      </c>
    </row>
    <row r="18" spans="2:28" x14ac:dyDescent="0.25">
      <c r="B18" s="6" t="s">
        <v>7</v>
      </c>
      <c r="C18" s="10">
        <f>Base_2050!C5</f>
        <v>0</v>
      </c>
      <c r="D18" s="11">
        <f>Low_2050!C5</f>
        <v>25923.9</v>
      </c>
      <c r="E18" s="11">
        <f>Med_2050!C5</f>
        <v>25892.1</v>
      </c>
      <c r="F18" s="12">
        <f>High_2050!C5</f>
        <v>25861.8</v>
      </c>
      <c r="G18" s="10">
        <f>Base_2050!C19</f>
        <v>0</v>
      </c>
      <c r="H18" s="11">
        <f>Low_2050!C19</f>
        <v>0</v>
      </c>
      <c r="I18" s="11">
        <f>Med_2050!C19</f>
        <v>0</v>
      </c>
      <c r="J18" s="12">
        <f>High_2050!C19</f>
        <v>0</v>
      </c>
      <c r="K18" s="9">
        <f>Base_2050!C33</f>
        <v>0</v>
      </c>
      <c r="L18" s="9">
        <f>Low_2050!C33</f>
        <v>25923.9</v>
      </c>
      <c r="M18" s="9">
        <f>Med_2050!C33</f>
        <v>25892.1</v>
      </c>
      <c r="N18" s="9">
        <f>High_2050!C33</f>
        <v>25861.8</v>
      </c>
      <c r="P18" s="4" t="s">
        <v>7</v>
      </c>
      <c r="Q18" s="10">
        <f>Base_2050!F5</f>
        <v>0</v>
      </c>
      <c r="R18" s="11">
        <f>Low_2050!F5</f>
        <v>189443</v>
      </c>
      <c r="S18" s="11">
        <f>Med_2050!F5</f>
        <v>189069</v>
      </c>
      <c r="T18" s="12">
        <f>High_2050!F5</f>
        <v>188690</v>
      </c>
      <c r="U18" s="10">
        <f>Base_2050!F19</f>
        <v>0</v>
      </c>
      <c r="V18" s="11">
        <f>Low_2050!F19</f>
        <v>92257.4</v>
      </c>
      <c r="W18" s="11">
        <f>Med_2050!F19</f>
        <v>92075.8</v>
      </c>
      <c r="X18" s="12">
        <f>High_2050!F19</f>
        <v>91890.7</v>
      </c>
      <c r="Y18" s="9">
        <f>Base_2050!F33</f>
        <v>0</v>
      </c>
      <c r="Z18" s="9">
        <f>Low_2050!F33</f>
        <v>281701</v>
      </c>
      <c r="AA18" s="9">
        <f>Med_2050!F33</f>
        <v>281145</v>
      </c>
      <c r="AB18" s="9">
        <f>High_2050!F33</f>
        <v>280580</v>
      </c>
    </row>
    <row r="19" spans="2:28" x14ac:dyDescent="0.25">
      <c r="B19" s="7" t="s">
        <v>6</v>
      </c>
      <c r="C19" s="10">
        <f>Base_2050!C6</f>
        <v>0</v>
      </c>
      <c r="D19" s="11">
        <f>Low_2050!C6</f>
        <v>109890</v>
      </c>
      <c r="E19" s="11">
        <f>Med_2050!C6</f>
        <v>110127</v>
      </c>
      <c r="F19" s="12">
        <f>High_2050!C6</f>
        <v>110266</v>
      </c>
      <c r="G19" s="10">
        <f>Base_2050!C20</f>
        <v>0</v>
      </c>
      <c r="H19" s="11">
        <f>Low_2050!C20</f>
        <v>0</v>
      </c>
      <c r="I19" s="11">
        <f>Med_2050!C20</f>
        <v>0</v>
      </c>
      <c r="J19" s="12">
        <f>High_2050!C20</f>
        <v>0</v>
      </c>
      <c r="K19" s="9">
        <f>Base_2050!C34</f>
        <v>0</v>
      </c>
      <c r="L19" s="9">
        <f>Low_2050!C34</f>
        <v>109890</v>
      </c>
      <c r="M19" s="9">
        <f>Med_2050!C34</f>
        <v>110127</v>
      </c>
      <c r="N19" s="9">
        <f>High_2050!C34</f>
        <v>110266</v>
      </c>
      <c r="P19" s="4" t="s">
        <v>6</v>
      </c>
      <c r="Q19" s="10">
        <f>Base_2050!F6</f>
        <v>0</v>
      </c>
      <c r="R19" s="11">
        <f>Low_2050!F6</f>
        <v>99119.6</v>
      </c>
      <c r="S19" s="11">
        <f>Med_2050!F6</f>
        <v>99119.5</v>
      </c>
      <c r="T19" s="12">
        <f>High_2050!F6</f>
        <v>99117.7</v>
      </c>
      <c r="U19" s="10">
        <f>Base_2050!F20</f>
        <v>0</v>
      </c>
      <c r="V19" s="11">
        <f>Low_2050!F20</f>
        <v>47897.5</v>
      </c>
      <c r="W19" s="11">
        <f>Med_2050!F20</f>
        <v>47893.9</v>
      </c>
      <c r="X19" s="12">
        <f>High_2050!F20</f>
        <v>47884.800000000003</v>
      </c>
      <c r="Y19" s="9">
        <f>Base_2050!F34</f>
        <v>0</v>
      </c>
      <c r="Z19" s="9">
        <f>Low_2050!F34</f>
        <v>147017</v>
      </c>
      <c r="AA19" s="9">
        <f>Med_2050!F34</f>
        <v>147013</v>
      </c>
      <c r="AB19" s="9">
        <f>High_2050!F34</f>
        <v>147003</v>
      </c>
    </row>
    <row r="20" spans="2:28" x14ac:dyDescent="0.25">
      <c r="B20" s="7" t="s">
        <v>21</v>
      </c>
      <c r="C20" s="10">
        <f>Base_2050!C7</f>
        <v>0</v>
      </c>
      <c r="D20" s="11">
        <f>Low_2050!C7</f>
        <v>0</v>
      </c>
      <c r="E20" s="11">
        <f>Med_2050!C7</f>
        <v>0</v>
      </c>
      <c r="F20" s="12">
        <f>High_2050!C7</f>
        <v>0</v>
      </c>
      <c r="G20" s="10">
        <f>Base_2050!C21</f>
        <v>0</v>
      </c>
      <c r="H20" s="11">
        <f>Low_2050!C21</f>
        <v>0</v>
      </c>
      <c r="I20" s="11">
        <f>Med_2050!C21</f>
        <v>0</v>
      </c>
      <c r="J20" s="12">
        <f>High_2050!C21</f>
        <v>0</v>
      </c>
      <c r="K20" s="9">
        <f>Base_2050!C35</f>
        <v>0</v>
      </c>
      <c r="L20" s="9">
        <f>Low_2050!C35</f>
        <v>0</v>
      </c>
      <c r="M20" s="9">
        <f>Med_2050!C35</f>
        <v>0</v>
      </c>
      <c r="N20" s="9">
        <f>High_2050!C35</f>
        <v>0</v>
      </c>
      <c r="P20" s="7" t="s">
        <v>21</v>
      </c>
      <c r="Q20" s="10">
        <f>Base_2050!F7</f>
        <v>0</v>
      </c>
      <c r="R20" s="11">
        <f>Low_2050!F7</f>
        <v>261600</v>
      </c>
      <c r="S20" s="11">
        <f>Med_2050!F7</f>
        <v>261979</v>
      </c>
      <c r="T20" s="12">
        <f>High_2050!F7</f>
        <v>262365</v>
      </c>
      <c r="U20" s="10">
        <f>Base_2050!F21</f>
        <v>0</v>
      </c>
      <c r="V20" s="11">
        <f>Low_2050!F21</f>
        <v>127364</v>
      </c>
      <c r="W20" s="11">
        <f>Med_2050!F21</f>
        <v>127545</v>
      </c>
      <c r="X20" s="12">
        <f>High_2050!F21</f>
        <v>127725</v>
      </c>
      <c r="Y20" s="9">
        <f>Base_2050!F35</f>
        <v>0</v>
      </c>
      <c r="Z20" s="9">
        <f>Low_2050!F35</f>
        <v>388964</v>
      </c>
      <c r="AA20" s="9">
        <f>Med_2050!F35</f>
        <v>389525</v>
      </c>
      <c r="AB20" s="9">
        <f>High_2050!F35</f>
        <v>390090</v>
      </c>
    </row>
    <row r="21" spans="2:28" x14ac:dyDescent="0.25">
      <c r="B21" s="7" t="s">
        <v>0</v>
      </c>
      <c r="C21" s="10">
        <f>Base_2050!C8</f>
        <v>0</v>
      </c>
      <c r="D21" s="11">
        <f>Low_2050!C8</f>
        <v>6074.8</v>
      </c>
      <c r="E21" s="11">
        <f>Med_2050!C8</f>
        <v>6071.24</v>
      </c>
      <c r="F21" s="12">
        <f>High_2050!C8</f>
        <v>6089.61</v>
      </c>
      <c r="G21" s="10">
        <f>Base_2050!C22</f>
        <v>0</v>
      </c>
      <c r="H21" s="11">
        <f>Low_2050!C22</f>
        <v>0</v>
      </c>
      <c r="I21" s="11">
        <f>Med_2050!C22</f>
        <v>0</v>
      </c>
      <c r="J21" s="12">
        <f>High_2050!C22</f>
        <v>0</v>
      </c>
      <c r="K21" s="9">
        <f>Base_2050!C36</f>
        <v>0</v>
      </c>
      <c r="L21" s="9">
        <f>Low_2050!C36</f>
        <v>6074.8</v>
      </c>
      <c r="M21" s="9">
        <f>Med_2050!C36</f>
        <v>6071.24</v>
      </c>
      <c r="N21" s="9">
        <f>High_2050!C36</f>
        <v>6089.61</v>
      </c>
      <c r="P21" s="4" t="s">
        <v>0</v>
      </c>
      <c r="Q21" s="10">
        <f>Base_2050!F8</f>
        <v>0</v>
      </c>
      <c r="R21" s="11">
        <f>Low_2050!F8</f>
        <v>0</v>
      </c>
      <c r="S21" s="11">
        <f>Med_2050!F8</f>
        <v>0</v>
      </c>
      <c r="T21" s="12">
        <f>High_2050!F8</f>
        <v>0</v>
      </c>
      <c r="U21" s="10">
        <f>Base_2050!F22</f>
        <v>0</v>
      </c>
      <c r="V21" s="11">
        <f>Low_2050!F22</f>
        <v>0</v>
      </c>
      <c r="W21" s="11">
        <f>Med_2050!F22</f>
        <v>0</v>
      </c>
      <c r="X21" s="12">
        <f>High_2050!F22</f>
        <v>0</v>
      </c>
      <c r="Y21" s="9">
        <f>Base_2050!F36</f>
        <v>0</v>
      </c>
      <c r="Z21" s="9">
        <f>Low_2050!F36</f>
        <v>0</v>
      </c>
      <c r="AA21" s="9">
        <f>Med_2050!F36</f>
        <v>0</v>
      </c>
      <c r="AB21" s="9">
        <f>High_2050!F36</f>
        <v>0</v>
      </c>
    </row>
    <row r="22" spans="2:28" x14ac:dyDescent="0.25">
      <c r="B22" s="7" t="s">
        <v>1</v>
      </c>
      <c r="C22" s="10">
        <f>Base_2050!C9</f>
        <v>0</v>
      </c>
      <c r="D22" s="11">
        <f>Low_2050!C9</f>
        <v>4456.09</v>
      </c>
      <c r="E22" s="11">
        <f>Med_2050!C9</f>
        <v>4457.76</v>
      </c>
      <c r="F22" s="12">
        <f>High_2050!C9</f>
        <v>4439.96</v>
      </c>
      <c r="G22" s="10">
        <f>Base_2050!C23</f>
        <v>0</v>
      </c>
      <c r="H22" s="11">
        <f>Low_2050!C23</f>
        <v>0</v>
      </c>
      <c r="I22" s="11">
        <f>Med_2050!C23</f>
        <v>0</v>
      </c>
      <c r="J22" s="12">
        <f>High_2050!C23</f>
        <v>0</v>
      </c>
      <c r="K22" s="9">
        <f>Base_2050!C37</f>
        <v>0</v>
      </c>
      <c r="L22" s="9">
        <f>Low_2050!C37</f>
        <v>4456.09</v>
      </c>
      <c r="M22" s="9">
        <f>Med_2050!C37</f>
        <v>4457.76</v>
      </c>
      <c r="N22" s="9">
        <f>High_2050!C37</f>
        <v>4439.96</v>
      </c>
      <c r="P22" s="4" t="s">
        <v>1</v>
      </c>
      <c r="Q22" s="10">
        <f>Base_2050!F9</f>
        <v>0</v>
      </c>
      <c r="R22" s="11">
        <f>Low_2050!F9</f>
        <v>0</v>
      </c>
      <c r="S22" s="11">
        <f>Med_2050!F9</f>
        <v>0</v>
      </c>
      <c r="T22" s="12">
        <f>High_2050!F9</f>
        <v>0</v>
      </c>
      <c r="U22" s="10">
        <f>Base_2050!F23</f>
        <v>0</v>
      </c>
      <c r="V22" s="11">
        <f>Low_2050!F23</f>
        <v>0</v>
      </c>
      <c r="W22" s="11">
        <f>Med_2050!F23</f>
        <v>0</v>
      </c>
      <c r="X22" s="12">
        <f>High_2050!F23</f>
        <v>0</v>
      </c>
      <c r="Y22" s="9">
        <f>Base_2050!F37</f>
        <v>0</v>
      </c>
      <c r="Z22" s="9">
        <f>Low_2050!F37</f>
        <v>0</v>
      </c>
      <c r="AA22" s="9">
        <f>Med_2050!F37</f>
        <v>0</v>
      </c>
      <c r="AB22" s="9">
        <f>High_2050!F37</f>
        <v>0</v>
      </c>
    </row>
    <row r="23" spans="2:28" x14ac:dyDescent="0.25">
      <c r="B23" s="7" t="s">
        <v>2</v>
      </c>
      <c r="C23" s="10">
        <f>Base_2050!C10</f>
        <v>0</v>
      </c>
      <c r="D23" s="11">
        <f>Low_2050!C10</f>
        <v>10274.1</v>
      </c>
      <c r="E23" s="11">
        <f>Med_2050!C10</f>
        <v>10262.6</v>
      </c>
      <c r="F23" s="12">
        <f>High_2050!C10</f>
        <v>10249.4</v>
      </c>
      <c r="G23" s="10">
        <f>Base_2050!C24</f>
        <v>0</v>
      </c>
      <c r="H23" s="11">
        <f>Low_2050!C24</f>
        <v>0</v>
      </c>
      <c r="I23" s="11">
        <f>Med_2050!C24</f>
        <v>0</v>
      </c>
      <c r="J23" s="12">
        <f>High_2050!C24</f>
        <v>0</v>
      </c>
      <c r="K23" s="9">
        <f>Base_2050!C38</f>
        <v>0</v>
      </c>
      <c r="L23" s="9">
        <f>Low_2050!C38</f>
        <v>10274.1</v>
      </c>
      <c r="M23" s="9">
        <f>Med_2050!C38</f>
        <v>10262.6</v>
      </c>
      <c r="N23" s="9">
        <f>High_2050!C38</f>
        <v>10249.4</v>
      </c>
      <c r="P23" s="4" t="s">
        <v>2</v>
      </c>
      <c r="Q23" s="10">
        <f>Base_2050!F10</f>
        <v>0</v>
      </c>
      <c r="R23" s="11">
        <f>Low_2050!F10</f>
        <v>0</v>
      </c>
      <c r="S23" s="11">
        <f>Med_2050!F10</f>
        <v>0</v>
      </c>
      <c r="T23" s="12">
        <f>High_2050!F10</f>
        <v>0</v>
      </c>
      <c r="U23" s="10">
        <f>Base_2050!F24</f>
        <v>0</v>
      </c>
      <c r="V23" s="11">
        <f>Low_2050!F24</f>
        <v>0</v>
      </c>
      <c r="W23" s="11">
        <f>Med_2050!F24</f>
        <v>0</v>
      </c>
      <c r="X23" s="12">
        <f>High_2050!F24</f>
        <v>0</v>
      </c>
      <c r="Y23" s="9">
        <f>Base_2050!F38</f>
        <v>0</v>
      </c>
      <c r="Z23" s="9">
        <f>Low_2050!F38</f>
        <v>0</v>
      </c>
      <c r="AA23" s="9">
        <f>Med_2050!F38</f>
        <v>0</v>
      </c>
      <c r="AB23" s="9">
        <f>High_2050!F38</f>
        <v>0</v>
      </c>
    </row>
    <row r="24" spans="2:28" x14ac:dyDescent="0.25">
      <c r="B24" s="7" t="s">
        <v>3</v>
      </c>
      <c r="C24" s="10">
        <f>Base_2050!C11</f>
        <v>0</v>
      </c>
      <c r="D24" s="11">
        <f>Low_2050!C11</f>
        <v>261.02999999999997</v>
      </c>
      <c r="E24" s="11">
        <f>Med_2050!C11</f>
        <v>306.33</v>
      </c>
      <c r="F24" s="12">
        <f>High_2050!C11</f>
        <v>419.4</v>
      </c>
      <c r="G24" s="10">
        <f>Base_2050!C25</f>
        <v>0</v>
      </c>
      <c r="H24" s="11">
        <f>Low_2050!C25</f>
        <v>0</v>
      </c>
      <c r="I24" s="11">
        <f>Med_2050!C25</f>
        <v>0</v>
      </c>
      <c r="J24" s="12">
        <f>High_2050!C25</f>
        <v>0</v>
      </c>
      <c r="K24" s="9">
        <f>Base_2050!C39</f>
        <v>0</v>
      </c>
      <c r="L24" s="9">
        <f>Low_2050!C39</f>
        <v>261.02999999999997</v>
      </c>
      <c r="M24" s="9">
        <f>Med_2050!C39</f>
        <v>306.33</v>
      </c>
      <c r="N24" s="9">
        <f>High_2050!C39</f>
        <v>419.4</v>
      </c>
      <c r="P24" s="4" t="s">
        <v>3</v>
      </c>
      <c r="Q24" s="10">
        <f>Base_2050!F11</f>
        <v>0</v>
      </c>
      <c r="R24" s="11">
        <f>Low_2050!F11</f>
        <v>0</v>
      </c>
      <c r="S24" s="11">
        <f>Med_2050!F11</f>
        <v>0</v>
      </c>
      <c r="T24" s="12">
        <f>High_2050!F11</f>
        <v>0</v>
      </c>
      <c r="U24" s="10">
        <f>Base_2050!F25</f>
        <v>0</v>
      </c>
      <c r="V24" s="11">
        <f>Low_2050!F25</f>
        <v>0</v>
      </c>
      <c r="W24" s="11">
        <f>Med_2050!F25</f>
        <v>0</v>
      </c>
      <c r="X24" s="12">
        <f>High_2050!F25</f>
        <v>0</v>
      </c>
      <c r="Y24" s="9">
        <f>Base_2050!F39</f>
        <v>0</v>
      </c>
      <c r="Z24" s="9">
        <f>Low_2050!F39</f>
        <v>0</v>
      </c>
      <c r="AA24" s="9">
        <f>Med_2050!F39</f>
        <v>0</v>
      </c>
      <c r="AB24" s="9">
        <f>High_2050!F39</f>
        <v>0</v>
      </c>
    </row>
    <row r="25" spans="2:28" x14ac:dyDescent="0.25">
      <c r="B25" s="7" t="s">
        <v>4</v>
      </c>
      <c r="C25" s="10">
        <f>Base_2050!C12</f>
        <v>0</v>
      </c>
      <c r="D25" s="11">
        <f>Low_2050!C12</f>
        <v>11208.5</v>
      </c>
      <c r="E25" s="11">
        <f>Med_2050!C12</f>
        <v>11069.4</v>
      </c>
      <c r="F25" s="12">
        <f>High_2050!C12</f>
        <v>10951.9</v>
      </c>
      <c r="G25" s="10">
        <f>Base_2050!C26</f>
        <v>0</v>
      </c>
      <c r="H25" s="11">
        <f>Low_2050!C26</f>
        <v>0</v>
      </c>
      <c r="I25" s="11">
        <f>Med_2050!C26</f>
        <v>0</v>
      </c>
      <c r="J25" s="12">
        <f>High_2050!C26</f>
        <v>0</v>
      </c>
      <c r="K25" s="9">
        <f>Base_2050!C40</f>
        <v>0</v>
      </c>
      <c r="L25" s="9">
        <f>Low_2050!C40</f>
        <v>11208.5</v>
      </c>
      <c r="M25" s="9">
        <f>Med_2050!C40</f>
        <v>11069.4</v>
      </c>
      <c r="N25" s="9">
        <f>High_2050!C40</f>
        <v>10951.9</v>
      </c>
      <c r="P25" s="4" t="s">
        <v>4</v>
      </c>
      <c r="Q25" s="10">
        <f>Base_2050!F12</f>
        <v>0</v>
      </c>
      <c r="R25" s="11">
        <f>Low_2050!F12</f>
        <v>0</v>
      </c>
      <c r="S25" s="11">
        <f>Med_2050!F12</f>
        <v>0</v>
      </c>
      <c r="T25" s="12">
        <f>High_2050!F12</f>
        <v>0</v>
      </c>
      <c r="U25" s="10">
        <f>Base_2050!F26</f>
        <v>0</v>
      </c>
      <c r="V25" s="11">
        <f>Low_2050!F26</f>
        <v>0</v>
      </c>
      <c r="W25" s="11">
        <f>Med_2050!F26</f>
        <v>0</v>
      </c>
      <c r="X25" s="12">
        <f>High_2050!F26</f>
        <v>0</v>
      </c>
      <c r="Y25" s="9">
        <f>Base_2050!F40</f>
        <v>0</v>
      </c>
      <c r="Z25" s="9">
        <f>Low_2050!F40</f>
        <v>0</v>
      </c>
      <c r="AA25" s="9">
        <f>Med_2050!F40</f>
        <v>0</v>
      </c>
      <c r="AB25" s="9">
        <f>High_2050!F40</f>
        <v>0</v>
      </c>
    </row>
    <row r="26" spans="2:28" x14ac:dyDescent="0.25">
      <c r="B26" s="7" t="s">
        <v>5</v>
      </c>
      <c r="C26" s="10">
        <f>Base_2050!C13</f>
        <v>0</v>
      </c>
      <c r="D26" s="11">
        <f>Low_2050!C13</f>
        <v>9873.23</v>
      </c>
      <c r="E26" s="11">
        <f>Med_2050!C13</f>
        <v>9775.33</v>
      </c>
      <c r="F26" s="12">
        <f>High_2050!C13</f>
        <v>9683.56</v>
      </c>
      <c r="G26" s="10">
        <f>Base_2050!C27</f>
        <v>0</v>
      </c>
      <c r="H26" s="11">
        <f>Low_2050!C27</f>
        <v>0</v>
      </c>
      <c r="I26" s="11">
        <f>Med_2050!C27</f>
        <v>0</v>
      </c>
      <c r="J26" s="12">
        <f>High_2050!C27</f>
        <v>0</v>
      </c>
      <c r="K26" s="9">
        <f>Base_2050!C41</f>
        <v>0</v>
      </c>
      <c r="L26" s="9">
        <f>Low_2050!C41</f>
        <v>9873.23</v>
      </c>
      <c r="M26" s="9">
        <f>Med_2050!C41</f>
        <v>9775.33</v>
      </c>
      <c r="N26" s="9">
        <f>High_2050!C41</f>
        <v>9683.56</v>
      </c>
      <c r="P26" s="4" t="s">
        <v>5</v>
      </c>
      <c r="Q26" s="10">
        <f>Base_2050!F13</f>
        <v>0</v>
      </c>
      <c r="R26" s="11">
        <f>Low_2050!F13</f>
        <v>0</v>
      </c>
      <c r="S26" s="11">
        <f>Med_2050!F13</f>
        <v>0</v>
      </c>
      <c r="T26" s="12">
        <f>High_2050!F13</f>
        <v>0</v>
      </c>
      <c r="U26" s="10">
        <f>Base_2050!F27</f>
        <v>0</v>
      </c>
      <c r="V26" s="11">
        <f>Low_2050!F27</f>
        <v>0</v>
      </c>
      <c r="W26" s="11">
        <f>Med_2050!F27</f>
        <v>0</v>
      </c>
      <c r="X26" s="12">
        <f>High_2050!F27</f>
        <v>0</v>
      </c>
      <c r="Y26" s="9">
        <f>Base_2050!F41</f>
        <v>0</v>
      </c>
      <c r="Z26" s="9">
        <f>Low_2050!F41</f>
        <v>0</v>
      </c>
      <c r="AA26" s="9">
        <f>Med_2050!F41</f>
        <v>0</v>
      </c>
      <c r="AB26" s="9">
        <f>High_2050!F41</f>
        <v>0</v>
      </c>
    </row>
    <row r="27" spans="2:28" x14ac:dyDescent="0.25">
      <c r="B27" s="7" t="s">
        <v>8</v>
      </c>
      <c r="C27" s="10">
        <f>Base_2050!C14</f>
        <v>0</v>
      </c>
      <c r="D27" s="11">
        <f>Low_2050!C14</f>
        <v>177962</v>
      </c>
      <c r="E27" s="11">
        <f>Med_2050!C14</f>
        <v>177962</v>
      </c>
      <c r="F27" s="12">
        <f>High_2050!C14</f>
        <v>177962</v>
      </c>
      <c r="G27" s="10">
        <f>Base_2050!C28</f>
        <v>0</v>
      </c>
      <c r="H27" s="11">
        <f>Low_2050!C28</f>
        <v>0</v>
      </c>
      <c r="I27" s="11">
        <f>Med_2050!C28</f>
        <v>0</v>
      </c>
      <c r="J27" s="12">
        <f>High_2050!C28</f>
        <v>0</v>
      </c>
      <c r="K27" s="9">
        <f>Base_2050!C42</f>
        <v>0</v>
      </c>
      <c r="L27" s="9">
        <f>Low_2050!C42</f>
        <v>177962</v>
      </c>
      <c r="M27" s="9">
        <f>Med_2050!C42</f>
        <v>177962</v>
      </c>
      <c r="N27" s="9">
        <f>High_2050!C42</f>
        <v>177962</v>
      </c>
      <c r="P27" s="4" t="s">
        <v>8</v>
      </c>
      <c r="Q27" s="10">
        <f>Base_2050!F14</f>
        <v>0</v>
      </c>
      <c r="R27" s="11">
        <f>Low_2050!F14</f>
        <v>550163</v>
      </c>
      <c r="S27" s="11">
        <f>Med_2050!F14</f>
        <v>550167</v>
      </c>
      <c r="T27" s="12">
        <f>High_2050!F14</f>
        <v>550172</v>
      </c>
      <c r="U27" s="10">
        <f>Base_2050!F28</f>
        <v>0</v>
      </c>
      <c r="V27" s="11">
        <f>Low_2050!F28</f>
        <v>267519</v>
      </c>
      <c r="W27" s="11">
        <f>Med_2050!F28</f>
        <v>267515</v>
      </c>
      <c r="X27" s="12">
        <f>High_2050!F28</f>
        <v>267500</v>
      </c>
      <c r="Y27" s="9">
        <f>Base_2050!F42</f>
        <v>0</v>
      </c>
      <c r="Z27" s="9">
        <f>Low_2050!F42</f>
        <v>817681</v>
      </c>
      <c r="AA27" s="9">
        <f>Med_2050!F42</f>
        <v>817683</v>
      </c>
      <c r="AB27" s="9">
        <f>High_2050!F42</f>
        <v>817672</v>
      </c>
    </row>
    <row r="30" spans="2:28" x14ac:dyDescent="0.25">
      <c r="B30" s="8">
        <v>2050</v>
      </c>
      <c r="C30" s="18" t="s">
        <v>9</v>
      </c>
      <c r="D30" s="19"/>
      <c r="E30" s="19"/>
      <c r="F30" s="20"/>
      <c r="G30" s="18" t="s">
        <v>10</v>
      </c>
      <c r="H30" s="19"/>
      <c r="I30" s="19"/>
      <c r="J30" s="20"/>
      <c r="K30" s="18" t="s">
        <v>11</v>
      </c>
      <c r="L30" s="19"/>
      <c r="M30" s="19"/>
      <c r="N30" s="19"/>
      <c r="P30" s="16">
        <v>2050</v>
      </c>
      <c r="Q30" s="18" t="s">
        <v>9</v>
      </c>
      <c r="R30" s="19"/>
      <c r="S30" s="19"/>
      <c r="T30" s="20"/>
      <c r="U30" s="18" t="s">
        <v>10</v>
      </c>
      <c r="V30" s="19"/>
      <c r="W30" s="19"/>
      <c r="X30" s="20"/>
      <c r="Y30" s="18" t="s">
        <v>11</v>
      </c>
      <c r="Z30" s="19"/>
      <c r="AA30" s="19"/>
      <c r="AB30" s="19"/>
    </row>
    <row r="31" spans="2:28" x14ac:dyDescent="0.25">
      <c r="B31" s="17" t="s">
        <v>18</v>
      </c>
      <c r="C31" s="13" t="s">
        <v>12</v>
      </c>
      <c r="D31" s="14" t="s">
        <v>13</v>
      </c>
      <c r="E31" s="14" t="s">
        <v>14</v>
      </c>
      <c r="F31" s="15" t="s">
        <v>15</v>
      </c>
      <c r="G31" s="13" t="s">
        <v>12</v>
      </c>
      <c r="H31" s="14" t="s">
        <v>13</v>
      </c>
      <c r="I31" s="14" t="s">
        <v>14</v>
      </c>
      <c r="J31" s="15" t="s">
        <v>15</v>
      </c>
      <c r="K31" s="14" t="s">
        <v>12</v>
      </c>
      <c r="L31" s="14" t="s">
        <v>13</v>
      </c>
      <c r="M31" s="14" t="s">
        <v>14</v>
      </c>
      <c r="N31" s="14" t="s">
        <v>15</v>
      </c>
      <c r="P31" s="5" t="s">
        <v>8</v>
      </c>
      <c r="Q31" s="13" t="s">
        <v>12</v>
      </c>
      <c r="R31" s="14" t="s">
        <v>13</v>
      </c>
      <c r="S31" s="14" t="s">
        <v>14</v>
      </c>
      <c r="T31" s="15" t="s">
        <v>15</v>
      </c>
      <c r="U31" s="13" t="s">
        <v>12</v>
      </c>
      <c r="V31" s="14" t="s">
        <v>13</v>
      </c>
      <c r="W31" s="14" t="s">
        <v>14</v>
      </c>
      <c r="X31" s="15" t="s">
        <v>15</v>
      </c>
      <c r="Y31" s="14" t="s">
        <v>12</v>
      </c>
      <c r="Z31" s="14" t="s">
        <v>13</v>
      </c>
      <c r="AA31" s="14" t="s">
        <v>14</v>
      </c>
      <c r="AB31" s="14" t="s">
        <v>15</v>
      </c>
    </row>
    <row r="32" spans="2:28" x14ac:dyDescent="0.25">
      <c r="B32" s="6" t="s">
        <v>7</v>
      </c>
      <c r="C32" s="10">
        <f>Base_2050!D5</f>
        <v>0</v>
      </c>
      <c r="D32" s="11">
        <f>Low_2050!D5</f>
        <v>227319</v>
      </c>
      <c r="E32" s="11">
        <f>Med_2050!D5</f>
        <v>226461</v>
      </c>
      <c r="F32" s="12">
        <f>High_2050!D5</f>
        <v>225606</v>
      </c>
      <c r="G32" s="10">
        <f>Base_2050!D19</f>
        <v>0</v>
      </c>
      <c r="H32" s="11">
        <f>Low_2050!D19</f>
        <v>578604</v>
      </c>
      <c r="I32" s="11">
        <f>Med_2050!D19</f>
        <v>576825</v>
      </c>
      <c r="J32" s="12">
        <f>High_2050!D19</f>
        <v>575027</v>
      </c>
      <c r="K32" s="9">
        <f>Base_2050!D33</f>
        <v>0</v>
      </c>
      <c r="L32" s="9">
        <f>Low_2050!D33</f>
        <v>805923</v>
      </c>
      <c r="M32" s="9">
        <f>Med_2050!D33</f>
        <v>803286</v>
      </c>
      <c r="N32" s="9">
        <f>High_2050!D33</f>
        <v>800633</v>
      </c>
      <c r="P32" s="4" t="s">
        <v>7</v>
      </c>
      <c r="Q32" s="10">
        <f>Base_2050!G5</f>
        <v>0</v>
      </c>
      <c r="R32" s="11">
        <f>Low_2050!G5</f>
        <v>555447</v>
      </c>
      <c r="S32" s="11">
        <f>Med_2050!G5</f>
        <v>548978</v>
      </c>
      <c r="T32" s="12">
        <f>High_2050!G5</f>
        <v>542633</v>
      </c>
      <c r="U32" s="10">
        <f>Base_2050!G19</f>
        <v>0</v>
      </c>
      <c r="V32" s="11">
        <f>Low_2050!G19</f>
        <v>892529</v>
      </c>
      <c r="W32" s="11">
        <f>Med_2050!G19</f>
        <v>885018</v>
      </c>
      <c r="X32" s="12">
        <f>High_2050!G19</f>
        <v>877507</v>
      </c>
      <c r="Y32" s="9">
        <f>Base_2050!G33</f>
        <v>0</v>
      </c>
      <c r="Z32" s="9">
        <f>Low_2050!G33</f>
        <v>1447976</v>
      </c>
      <c r="AA32" s="9">
        <f>Med_2050!G33</f>
        <v>1433996</v>
      </c>
      <c r="AB32" s="9">
        <f>High_2050!G33</f>
        <v>1420140</v>
      </c>
    </row>
    <row r="33" spans="2:28" x14ac:dyDescent="0.25">
      <c r="B33" s="7" t="s">
        <v>6</v>
      </c>
      <c r="C33" s="10">
        <f>Base_2050!D6</f>
        <v>0</v>
      </c>
      <c r="D33" s="11">
        <f>Low_2050!D6</f>
        <v>1930699</v>
      </c>
      <c r="E33" s="11">
        <f>Med_2050!D6</f>
        <v>1931537</v>
      </c>
      <c r="F33" s="12">
        <f>High_2050!D6</f>
        <v>1932229</v>
      </c>
      <c r="G33" s="10">
        <f>Base_2050!D20</f>
        <v>0</v>
      </c>
      <c r="H33" s="11">
        <f>Low_2050!D20</f>
        <v>3952314</v>
      </c>
      <c r="I33" s="11">
        <f>Med_2050!D20</f>
        <v>3953917</v>
      </c>
      <c r="J33" s="12">
        <f>High_2050!D20</f>
        <v>3955519</v>
      </c>
      <c r="K33" s="9">
        <f>Base_2050!D34</f>
        <v>0</v>
      </c>
      <c r="L33" s="9">
        <f>Low_2050!D34</f>
        <v>5883013</v>
      </c>
      <c r="M33" s="9">
        <f>Med_2050!D34</f>
        <v>5885454</v>
      </c>
      <c r="N33" s="9">
        <f>High_2050!D34</f>
        <v>5887748</v>
      </c>
      <c r="P33" s="4" t="s">
        <v>6</v>
      </c>
      <c r="Q33" s="10">
        <f>Base_2050!G6</f>
        <v>0</v>
      </c>
      <c r="R33" s="11">
        <f>Low_2050!G6</f>
        <v>4666991</v>
      </c>
      <c r="S33" s="11">
        <f>Med_2050!G6</f>
        <v>4571553</v>
      </c>
      <c r="T33" s="12">
        <f>High_2050!G6</f>
        <v>4477585</v>
      </c>
      <c r="U33" s="10">
        <f>Base_2050!G20</f>
        <v>0</v>
      </c>
      <c r="V33" s="11">
        <f>Low_2050!G20</f>
        <v>7221507</v>
      </c>
      <c r="W33" s="11">
        <f>Med_2050!G20</f>
        <v>7149716</v>
      </c>
      <c r="X33" s="12">
        <f>High_2050!G20</f>
        <v>7075399</v>
      </c>
      <c r="Y33" s="9">
        <f>Base_2050!G34</f>
        <v>0</v>
      </c>
      <c r="Z33" s="2">
        <f>Low_2050!G34</f>
        <v>10000000</v>
      </c>
      <c r="AA33" s="2">
        <f>Med_2050!G34</f>
        <v>10000000</v>
      </c>
      <c r="AB33" s="2">
        <f>High_2050!G34</f>
        <v>10000000</v>
      </c>
    </row>
    <row r="34" spans="2:28" x14ac:dyDescent="0.25">
      <c r="B34" s="7" t="s">
        <v>21</v>
      </c>
      <c r="C34" s="10">
        <f>Base_2050!D7</f>
        <v>0</v>
      </c>
      <c r="D34" s="11">
        <f>Low_2050!D7</f>
        <v>0</v>
      </c>
      <c r="E34" s="11">
        <f>Med_2050!D7</f>
        <v>0</v>
      </c>
      <c r="F34" s="12">
        <f>High_2050!D7</f>
        <v>0</v>
      </c>
      <c r="G34" s="10">
        <f>Base_2050!D21</f>
        <v>0</v>
      </c>
      <c r="H34" s="11">
        <f>Low_2050!D21</f>
        <v>0</v>
      </c>
      <c r="I34" s="11">
        <f>Med_2050!D21</f>
        <v>0</v>
      </c>
      <c r="J34" s="12">
        <f>High_2050!D21</f>
        <v>0</v>
      </c>
      <c r="K34" s="9">
        <f>Base_2050!D35</f>
        <v>0</v>
      </c>
      <c r="L34" s="9">
        <f>Low_2050!D35</f>
        <v>0</v>
      </c>
      <c r="M34" s="9">
        <f>Med_2050!D35</f>
        <v>0</v>
      </c>
      <c r="N34" s="9">
        <f>High_2050!D35</f>
        <v>0</v>
      </c>
      <c r="P34" s="7" t="s">
        <v>21</v>
      </c>
      <c r="Q34" s="10">
        <f>Base_2050!G7</f>
        <v>0</v>
      </c>
      <c r="R34" s="11">
        <f>Low_2050!G7</f>
        <v>261600</v>
      </c>
      <c r="S34" s="11">
        <f>Med_2050!G7</f>
        <v>261979</v>
      </c>
      <c r="T34" s="12">
        <f>High_2050!G7</f>
        <v>262365</v>
      </c>
      <c r="U34" s="10">
        <f>Base_2050!G21</f>
        <v>0</v>
      </c>
      <c r="V34" s="11">
        <f>Low_2050!G21</f>
        <v>127364</v>
      </c>
      <c r="W34" s="11">
        <f>Med_2050!G21</f>
        <v>127545</v>
      </c>
      <c r="X34" s="12">
        <f>High_2050!G21</f>
        <v>127725</v>
      </c>
      <c r="Y34" s="9">
        <f>Base_2050!G35</f>
        <v>0</v>
      </c>
      <c r="Z34" s="9">
        <f>Low_2050!G35</f>
        <v>388964</v>
      </c>
      <c r="AA34" s="9">
        <f>Med_2050!G35</f>
        <v>389525</v>
      </c>
      <c r="AB34" s="9">
        <f>High_2050!G35</f>
        <v>390090</v>
      </c>
    </row>
    <row r="35" spans="2:28" x14ac:dyDescent="0.25">
      <c r="B35" s="7" t="s">
        <v>0</v>
      </c>
      <c r="C35" s="10">
        <f>Base_2050!D8</f>
        <v>0</v>
      </c>
      <c r="D35" s="11">
        <f>Low_2050!D8</f>
        <v>4268</v>
      </c>
      <c r="E35" s="11">
        <f>Med_2050!D8</f>
        <v>4271.7</v>
      </c>
      <c r="F35" s="12">
        <f>High_2050!D8</f>
        <v>4276.7299999999996</v>
      </c>
      <c r="G35" s="10">
        <f>Base_2050!D22</f>
        <v>0</v>
      </c>
      <c r="H35" s="11">
        <f>Low_2050!D22</f>
        <v>8246.35</v>
      </c>
      <c r="I35" s="11">
        <f>Med_2050!D22</f>
        <v>8252.11</v>
      </c>
      <c r="J35" s="12">
        <f>High_2050!D22</f>
        <v>8265.61</v>
      </c>
      <c r="K35" s="9">
        <f>Base_2050!D36</f>
        <v>0</v>
      </c>
      <c r="L35" s="9">
        <f>Low_2050!D36</f>
        <v>12514.4</v>
      </c>
      <c r="M35" s="9">
        <f>Med_2050!D36</f>
        <v>12523.8</v>
      </c>
      <c r="N35" s="9">
        <f>High_2050!D36</f>
        <v>12542.3</v>
      </c>
      <c r="P35" s="4" t="s">
        <v>0</v>
      </c>
      <c r="Q35" s="10">
        <f>Base_2050!G8</f>
        <v>0</v>
      </c>
      <c r="R35" s="11">
        <f>Low_2050!G8</f>
        <v>17826.599999999999</v>
      </c>
      <c r="S35" s="11">
        <f>Med_2050!G8</f>
        <v>17391.099999999999</v>
      </c>
      <c r="T35" s="12">
        <f>High_2050!G8</f>
        <v>17013.8</v>
      </c>
      <c r="U35" s="10">
        <f>Base_2050!G22</f>
        <v>0</v>
      </c>
      <c r="V35" s="11">
        <f>Low_2050!G22</f>
        <v>14188.7</v>
      </c>
      <c r="W35" s="11">
        <f>Med_2050!G22</f>
        <v>13922.5</v>
      </c>
      <c r="X35" s="12">
        <f>High_2050!G22</f>
        <v>13649</v>
      </c>
      <c r="Y35" s="9">
        <f>Base_2050!G36</f>
        <v>0</v>
      </c>
      <c r="Z35" s="9">
        <f>Low_2050!G36</f>
        <v>32015.4</v>
      </c>
      <c r="AA35" s="9">
        <f>Med_2050!G36</f>
        <v>31313.599999999999</v>
      </c>
      <c r="AB35" s="9">
        <f>High_2050!G36</f>
        <v>30662.799999999999</v>
      </c>
    </row>
    <row r="36" spans="2:28" x14ac:dyDescent="0.25">
      <c r="B36" s="7" t="s">
        <v>1</v>
      </c>
      <c r="C36" s="10">
        <f>Base_2050!D9</f>
        <v>0</v>
      </c>
      <c r="D36" s="11">
        <f>Low_2050!D9</f>
        <v>12221.7</v>
      </c>
      <c r="E36" s="11">
        <f>Med_2050!D9</f>
        <v>12243.5</v>
      </c>
      <c r="F36" s="12">
        <f>High_2050!D9</f>
        <v>12259.7</v>
      </c>
      <c r="G36" s="10">
        <f>Base_2050!D23</f>
        <v>0</v>
      </c>
      <c r="H36" s="11">
        <f>Low_2050!D23</f>
        <v>18045.900000000001</v>
      </c>
      <c r="I36" s="11">
        <f>Med_2050!D23</f>
        <v>18068.900000000001</v>
      </c>
      <c r="J36" s="12">
        <f>High_2050!D23</f>
        <v>18086</v>
      </c>
      <c r="K36" s="9">
        <f>Base_2050!D37</f>
        <v>0</v>
      </c>
      <c r="L36" s="9">
        <f>Low_2050!D37</f>
        <v>30267.5</v>
      </c>
      <c r="M36" s="9">
        <f>Med_2050!D37</f>
        <v>30312.400000000001</v>
      </c>
      <c r="N36" s="9">
        <f>High_2050!D37</f>
        <v>30345.599999999999</v>
      </c>
      <c r="P36" s="4" t="s">
        <v>1</v>
      </c>
      <c r="Q36" s="10">
        <f>Base_2050!G9</f>
        <v>0</v>
      </c>
      <c r="R36" s="11">
        <f>Low_2050!G9</f>
        <v>34459.9</v>
      </c>
      <c r="S36" s="11">
        <f>Med_2050!G9</f>
        <v>33517</v>
      </c>
      <c r="T36" s="12">
        <f>High_2050!G9</f>
        <v>32600.3</v>
      </c>
      <c r="U36" s="10">
        <f>Base_2050!G23</f>
        <v>0</v>
      </c>
      <c r="V36" s="11">
        <f>Low_2050!G23</f>
        <v>29064.400000000001</v>
      </c>
      <c r="W36" s="11">
        <f>Med_2050!G23</f>
        <v>28619.4</v>
      </c>
      <c r="X36" s="12">
        <f>High_2050!G23</f>
        <v>28128.2</v>
      </c>
      <c r="Y36" s="9">
        <f>Base_2050!G37</f>
        <v>0</v>
      </c>
      <c r="Z36" s="9">
        <f>Low_2050!G37</f>
        <v>63524.2</v>
      </c>
      <c r="AA36" s="9">
        <f>Med_2050!G37</f>
        <v>62136.4</v>
      </c>
      <c r="AB36" s="9">
        <f>High_2050!G37</f>
        <v>60728.4</v>
      </c>
    </row>
    <row r="37" spans="2:28" x14ac:dyDescent="0.25">
      <c r="B37" s="7" t="s">
        <v>2</v>
      </c>
      <c r="C37" s="10">
        <f>Base_2050!D10</f>
        <v>0</v>
      </c>
      <c r="D37" s="11">
        <f>Low_2050!D10</f>
        <v>5564.12</v>
      </c>
      <c r="E37" s="11">
        <f>Med_2050!D10</f>
        <v>5567.46</v>
      </c>
      <c r="F37" s="12">
        <f>High_2050!D10</f>
        <v>5569.92</v>
      </c>
      <c r="G37" s="10">
        <f>Base_2050!D24</f>
        <v>0</v>
      </c>
      <c r="H37" s="11">
        <f>Low_2050!D24</f>
        <v>6832.9</v>
      </c>
      <c r="I37" s="11">
        <f>Med_2050!D24</f>
        <v>6839.87</v>
      </c>
      <c r="J37" s="12">
        <f>High_2050!D24</f>
        <v>6850.16</v>
      </c>
      <c r="K37" s="9">
        <f>Base_2050!D38</f>
        <v>0</v>
      </c>
      <c r="L37" s="9">
        <f>Low_2050!D38</f>
        <v>12397</v>
      </c>
      <c r="M37" s="9">
        <f>Med_2050!D38</f>
        <v>12407.3</v>
      </c>
      <c r="N37" s="9">
        <f>High_2050!D38</f>
        <v>12420.1</v>
      </c>
      <c r="P37" s="4" t="s">
        <v>2</v>
      </c>
      <c r="Q37" s="10">
        <f>Base_2050!G10</f>
        <v>0</v>
      </c>
      <c r="R37" s="11">
        <f>Low_2050!G10</f>
        <v>22421.1</v>
      </c>
      <c r="S37" s="11">
        <f>Med_2050!G10</f>
        <v>22067</v>
      </c>
      <c r="T37" s="12">
        <f>High_2050!G10</f>
        <v>21746.7</v>
      </c>
      <c r="U37" s="10">
        <f>Base_2050!G24</f>
        <v>0</v>
      </c>
      <c r="V37" s="11">
        <f>Low_2050!G24</f>
        <v>10836.8</v>
      </c>
      <c r="W37" s="11">
        <f>Med_2050!G24</f>
        <v>10702.2</v>
      </c>
      <c r="X37" s="12">
        <f>High_2050!G24</f>
        <v>10561.1</v>
      </c>
      <c r="Y37" s="9">
        <f>Base_2050!G38</f>
        <v>0</v>
      </c>
      <c r="Z37" s="9">
        <f>Low_2050!G38</f>
        <v>33257.9</v>
      </c>
      <c r="AA37" s="9">
        <f>Med_2050!G38</f>
        <v>32769.199999999997</v>
      </c>
      <c r="AB37" s="9">
        <f>High_2050!G38</f>
        <v>32307.9</v>
      </c>
    </row>
    <row r="38" spans="2:28" x14ac:dyDescent="0.25">
      <c r="B38" s="7" t="s">
        <v>3</v>
      </c>
      <c r="C38" s="10">
        <f>Base_2050!D11</f>
        <v>0</v>
      </c>
      <c r="D38" s="11">
        <f>Low_2050!D11</f>
        <v>117.71</v>
      </c>
      <c r="E38" s="11">
        <f>Med_2050!D11</f>
        <v>125.43</v>
      </c>
      <c r="F38" s="12">
        <f>High_2050!D11</f>
        <v>160.24</v>
      </c>
      <c r="G38" s="10">
        <f>Base_2050!D25</f>
        <v>0</v>
      </c>
      <c r="H38" s="11">
        <f>Low_2050!D25</f>
        <v>1.66</v>
      </c>
      <c r="I38" s="11">
        <f>Med_2050!D25</f>
        <v>1.66</v>
      </c>
      <c r="J38" s="12">
        <f>High_2050!D25</f>
        <v>1.66</v>
      </c>
      <c r="K38" s="9">
        <f>Base_2050!D39</f>
        <v>0</v>
      </c>
      <c r="L38" s="9">
        <f>Low_2050!D39</f>
        <v>119.37</v>
      </c>
      <c r="M38" s="9">
        <f>Med_2050!D39</f>
        <v>127.09</v>
      </c>
      <c r="N38" s="9">
        <f>High_2050!D39</f>
        <v>161.88999999999999</v>
      </c>
      <c r="P38" s="4" t="s">
        <v>3</v>
      </c>
      <c r="Q38" s="10">
        <f>Base_2050!G11</f>
        <v>0</v>
      </c>
      <c r="R38" s="11">
        <f>Low_2050!G11</f>
        <v>3281.3</v>
      </c>
      <c r="S38" s="11">
        <f>Med_2050!G11</f>
        <v>3649.42</v>
      </c>
      <c r="T38" s="12">
        <f>High_2050!G11</f>
        <v>4130.6099999999997</v>
      </c>
      <c r="U38" s="10">
        <f>Base_2050!G25</f>
        <v>0</v>
      </c>
      <c r="V38" s="11">
        <f>Low_2050!G25</f>
        <v>35.29</v>
      </c>
      <c r="W38" s="11">
        <f>Med_2050!G25</f>
        <v>34.950000000000003</v>
      </c>
      <c r="X38" s="12">
        <f>High_2050!G25</f>
        <v>34.44</v>
      </c>
      <c r="Y38" s="9">
        <f>Base_2050!G39</f>
        <v>0</v>
      </c>
      <c r="Z38" s="9">
        <f>Low_2050!G39</f>
        <v>3316.59</v>
      </c>
      <c r="AA38" s="9">
        <f>Med_2050!G39</f>
        <v>3684.37</v>
      </c>
      <c r="AB38" s="9">
        <f>High_2050!G39</f>
        <v>4165.04</v>
      </c>
    </row>
    <row r="39" spans="2:28" x14ac:dyDescent="0.25">
      <c r="B39" s="7" t="s">
        <v>4</v>
      </c>
      <c r="C39" s="10">
        <f>Base_2050!D12</f>
        <v>0</v>
      </c>
      <c r="D39" s="11">
        <f>Low_2050!D12</f>
        <v>17293.099999999999</v>
      </c>
      <c r="E39" s="11">
        <f>Med_2050!D12</f>
        <v>17243.400000000001</v>
      </c>
      <c r="F39" s="12">
        <f>High_2050!D12</f>
        <v>17182.3</v>
      </c>
      <c r="G39" s="10">
        <f>Base_2050!D26</f>
        <v>0</v>
      </c>
      <c r="H39" s="11">
        <f>Low_2050!D26</f>
        <v>31127.4</v>
      </c>
      <c r="I39" s="11">
        <f>Med_2050!D26</f>
        <v>31174.2</v>
      </c>
      <c r="J39" s="12">
        <f>High_2050!D26</f>
        <v>31181</v>
      </c>
      <c r="K39" s="9">
        <f>Base_2050!D40</f>
        <v>0</v>
      </c>
      <c r="L39" s="9">
        <f>Low_2050!D40</f>
        <v>48420.5</v>
      </c>
      <c r="M39" s="9">
        <f>Med_2050!D40</f>
        <v>48417.599999999999</v>
      </c>
      <c r="N39" s="9">
        <f>High_2050!D40</f>
        <v>48363.3</v>
      </c>
      <c r="P39" s="4" t="s">
        <v>4</v>
      </c>
      <c r="Q39" s="10">
        <f>Base_2050!G12</f>
        <v>0</v>
      </c>
      <c r="R39" s="11">
        <f>Low_2050!G12</f>
        <v>58674.3</v>
      </c>
      <c r="S39" s="11">
        <f>Med_2050!G12</f>
        <v>56296.9</v>
      </c>
      <c r="T39" s="12">
        <f>High_2050!G12</f>
        <v>54120.2</v>
      </c>
      <c r="U39" s="10">
        <f>Base_2050!G26</f>
        <v>0</v>
      </c>
      <c r="V39" s="11">
        <f>Low_2050!G26</f>
        <v>55346.7</v>
      </c>
      <c r="W39" s="11">
        <f>Med_2050!G26</f>
        <v>54278.400000000001</v>
      </c>
      <c r="X39" s="12">
        <f>High_2050!G26</f>
        <v>53032.6</v>
      </c>
      <c r="Y39" s="9">
        <f>Base_2050!G40</f>
        <v>0</v>
      </c>
      <c r="Z39" s="9">
        <f>Low_2050!G40</f>
        <v>114021</v>
      </c>
      <c r="AA39" s="9">
        <f>Med_2050!G40</f>
        <v>110575</v>
      </c>
      <c r="AB39" s="9">
        <f>High_2050!G40</f>
        <v>107153</v>
      </c>
    </row>
    <row r="40" spans="2:28" x14ac:dyDescent="0.25">
      <c r="B40" s="7" t="s">
        <v>5</v>
      </c>
      <c r="C40" s="10">
        <f>Base_2050!D13</f>
        <v>0</v>
      </c>
      <c r="D40" s="11">
        <f>Low_2050!D13</f>
        <v>3376.12</v>
      </c>
      <c r="E40" s="11">
        <f>Med_2050!D13</f>
        <v>3355.82</v>
      </c>
      <c r="F40" s="12">
        <f>High_2050!D13</f>
        <v>3344.51</v>
      </c>
      <c r="G40" s="10">
        <f>Base_2050!D27</f>
        <v>0</v>
      </c>
      <c r="H40" s="11">
        <f>Low_2050!D27</f>
        <v>4216.6000000000004</v>
      </c>
      <c r="I40" s="11">
        <f>Med_2050!D27</f>
        <v>4250.17</v>
      </c>
      <c r="J40" s="12">
        <f>High_2050!D27</f>
        <v>4284.3</v>
      </c>
      <c r="K40" s="9">
        <f>Base_2050!D41</f>
        <v>0</v>
      </c>
      <c r="L40" s="9">
        <f>Low_2050!D41</f>
        <v>7592.72</v>
      </c>
      <c r="M40" s="9">
        <f>Med_2050!D41</f>
        <v>7605.99</v>
      </c>
      <c r="N40" s="9">
        <f>High_2050!D41</f>
        <v>7628.82</v>
      </c>
      <c r="P40" s="4" t="s">
        <v>5</v>
      </c>
      <c r="Q40" s="10">
        <f>Base_2050!G13</f>
        <v>0</v>
      </c>
      <c r="R40" s="11">
        <f>Low_2050!G13</f>
        <v>40783.699999999997</v>
      </c>
      <c r="S40" s="11">
        <f>Med_2050!G13</f>
        <v>37958.1</v>
      </c>
      <c r="T40" s="12">
        <f>High_2050!G13</f>
        <v>35664.9</v>
      </c>
      <c r="U40" s="10">
        <f>Base_2050!G27</f>
        <v>0</v>
      </c>
      <c r="V40" s="11">
        <f>Low_2050!G27</f>
        <v>14186.7</v>
      </c>
      <c r="W40" s="11">
        <f>Med_2050!G27</f>
        <v>13655.7</v>
      </c>
      <c r="X40" s="12">
        <f>High_2050!G27</f>
        <v>12988.4</v>
      </c>
      <c r="Y40" s="9">
        <f>Base_2050!G41</f>
        <v>0</v>
      </c>
      <c r="Z40" s="9">
        <f>Low_2050!G41</f>
        <v>54970.400000000001</v>
      </c>
      <c r="AA40" s="9">
        <f>Med_2050!G41</f>
        <v>51613.9</v>
      </c>
      <c r="AB40" s="9">
        <f>High_2050!G41</f>
        <v>48653.3</v>
      </c>
    </row>
    <row r="41" spans="2:28" x14ac:dyDescent="0.25">
      <c r="B41" s="7" t="s">
        <v>8</v>
      </c>
      <c r="C41" s="10">
        <f>Base_2050!D14</f>
        <v>0</v>
      </c>
      <c r="D41" s="11">
        <f>Low_2050!D14</f>
        <v>2200859</v>
      </c>
      <c r="E41" s="11">
        <f>Med_2050!D14</f>
        <v>2200806</v>
      </c>
      <c r="F41" s="12">
        <f>High_2050!D14</f>
        <v>2200629</v>
      </c>
      <c r="G41" s="10">
        <f>Base_2050!D28</f>
        <v>0</v>
      </c>
      <c r="H41" s="11">
        <f>Low_2050!D28</f>
        <v>4599389</v>
      </c>
      <c r="I41" s="11">
        <f>Med_2050!D28</f>
        <v>4599329</v>
      </c>
      <c r="J41" s="12">
        <f>High_2050!D28</f>
        <v>4599215</v>
      </c>
      <c r="K41" s="9">
        <f>Base_2050!D42</f>
        <v>0</v>
      </c>
      <c r="L41" s="9">
        <f>Low_2050!D42</f>
        <v>6800247</v>
      </c>
      <c r="M41" s="9">
        <f>Med_2050!D42</f>
        <v>6800134</v>
      </c>
      <c r="N41" s="9">
        <f>High_2050!D42</f>
        <v>6799843</v>
      </c>
      <c r="P41" s="4" t="s">
        <v>8</v>
      </c>
      <c r="Q41" s="10">
        <f>Base_2050!G14</f>
        <v>0</v>
      </c>
      <c r="R41" s="11">
        <f>Low_2050!G14</f>
        <v>5661484</v>
      </c>
      <c r="S41" s="11">
        <f>Med_2050!G14</f>
        <v>5553390</v>
      </c>
      <c r="T41" s="12">
        <f>High_2050!G14</f>
        <v>5447860</v>
      </c>
      <c r="U41" s="10">
        <f>Base_2050!G28</f>
        <v>0</v>
      </c>
      <c r="V41" s="11">
        <f>Low_2050!G28</f>
        <v>8365059</v>
      </c>
      <c r="W41" s="11">
        <f>Med_2050!G28</f>
        <v>8283493</v>
      </c>
      <c r="X41" s="12">
        <f>High_2050!G28</f>
        <v>8199025</v>
      </c>
      <c r="Y41" s="9">
        <f>Base_2050!G42</f>
        <v>0</v>
      </c>
      <c r="Z41" s="2">
        <f>Low_2050!G42</f>
        <v>10000000</v>
      </c>
      <c r="AA41" s="2">
        <f>Med_2050!G42</f>
        <v>10000000</v>
      </c>
      <c r="AB41" s="2">
        <f>High_2050!G42</f>
        <v>10000000</v>
      </c>
    </row>
  </sheetData>
  <mergeCells count="18">
    <mergeCell ref="G2:J2"/>
    <mergeCell ref="C2:F2"/>
    <mergeCell ref="C16:F16"/>
    <mergeCell ref="G16:J16"/>
    <mergeCell ref="C30:F30"/>
    <mergeCell ref="G30:J30"/>
    <mergeCell ref="K2:N2"/>
    <mergeCell ref="K16:N16"/>
    <mergeCell ref="K30:N30"/>
    <mergeCell ref="Y2:AB2"/>
    <mergeCell ref="Y16:AB16"/>
    <mergeCell ref="Y30:AB30"/>
    <mergeCell ref="Q2:T2"/>
    <mergeCell ref="U2:X2"/>
    <mergeCell ref="Q16:T16"/>
    <mergeCell ref="U16:X16"/>
    <mergeCell ref="Q30:T30"/>
    <mergeCell ref="U30:X3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G42"/>
  <sheetViews>
    <sheetView workbookViewId="0">
      <selection sqref="A1:G1048576"/>
    </sheetView>
  </sheetViews>
  <sheetFormatPr defaultRowHeight="15" x14ac:dyDescent="0.25"/>
  <cols>
    <col min="1" max="1" width="24.42578125" bestFit="1" customWidth="1"/>
    <col min="2" max="2" width="10.5703125" style="1" bestFit="1" customWidth="1"/>
    <col min="3" max="3" width="9" style="1" bestFit="1" customWidth="1"/>
    <col min="4" max="5" width="10.5703125" style="1" bestFit="1" customWidth="1"/>
    <col min="6" max="6" width="9" style="1" bestFit="1" customWidth="1"/>
    <col min="7" max="7" width="10.5703125" bestFit="1" customWidth="1"/>
  </cols>
  <sheetData>
    <row r="1" spans="1:7" x14ac:dyDescent="0.25">
      <c r="A1" t="s">
        <v>22</v>
      </c>
      <c r="B1"/>
      <c r="C1"/>
      <c r="D1"/>
      <c r="E1"/>
      <c r="F1"/>
    </row>
    <row r="2" spans="1:7" x14ac:dyDescent="0.25">
      <c r="B2"/>
      <c r="C2"/>
      <c r="D2"/>
      <c r="E2"/>
      <c r="F2"/>
    </row>
    <row r="3" spans="1:7" x14ac:dyDescent="0.25">
      <c r="A3" t="s">
        <v>9</v>
      </c>
      <c r="B3"/>
      <c r="C3"/>
      <c r="D3"/>
      <c r="E3"/>
      <c r="F3"/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48337.1</v>
      </c>
      <c r="C5" s="1">
        <v>22397.1</v>
      </c>
      <c r="D5" s="1">
        <v>147453</v>
      </c>
      <c r="E5" s="1">
        <v>29219.1</v>
      </c>
      <c r="F5" s="1">
        <v>182360</v>
      </c>
      <c r="G5" s="1">
        <v>429767</v>
      </c>
    </row>
    <row r="6" spans="1:7" x14ac:dyDescent="0.25">
      <c r="A6" t="s">
        <v>6</v>
      </c>
      <c r="B6" s="1">
        <v>1050350</v>
      </c>
      <c r="C6" s="1">
        <v>79886.100000000006</v>
      </c>
      <c r="D6" s="1">
        <v>1313694</v>
      </c>
      <c r="E6" s="1">
        <v>704036</v>
      </c>
      <c r="F6" s="1">
        <v>77705.5</v>
      </c>
      <c r="G6" s="1">
        <v>3225671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174377</v>
      </c>
      <c r="G7" s="1">
        <v>174377</v>
      </c>
    </row>
    <row r="8" spans="1:7" x14ac:dyDescent="0.25">
      <c r="A8" t="s">
        <v>0</v>
      </c>
      <c r="B8" s="1">
        <v>10556</v>
      </c>
      <c r="C8" s="1">
        <v>7310.87</v>
      </c>
      <c r="D8" s="1">
        <v>5221.78</v>
      </c>
      <c r="E8" s="1">
        <v>1529.98</v>
      </c>
      <c r="F8" s="1">
        <v>0</v>
      </c>
      <c r="G8" s="1">
        <v>24618.6</v>
      </c>
    </row>
    <row r="9" spans="1:7" x14ac:dyDescent="0.25">
      <c r="A9" t="s">
        <v>30</v>
      </c>
      <c r="B9" s="1">
        <v>128.30000000000001</v>
      </c>
      <c r="C9" s="1">
        <v>33.86</v>
      </c>
      <c r="D9" s="1">
        <v>87.83</v>
      </c>
      <c r="E9" s="1">
        <v>20.43</v>
      </c>
      <c r="F9" s="1">
        <v>0</v>
      </c>
      <c r="G9" s="1">
        <v>270.43</v>
      </c>
    </row>
    <row r="10" spans="1:7" x14ac:dyDescent="0.25">
      <c r="A10" t="s">
        <v>31</v>
      </c>
      <c r="B10" s="1">
        <v>1482.81</v>
      </c>
      <c r="C10" s="1">
        <v>7009.28</v>
      </c>
      <c r="D10" s="1">
        <v>1366.42</v>
      </c>
      <c r="E10" s="1">
        <v>496.64</v>
      </c>
      <c r="F10" s="1">
        <v>0</v>
      </c>
      <c r="G10" s="1">
        <v>10355.200000000001</v>
      </c>
    </row>
    <row r="11" spans="1:7" x14ac:dyDescent="0.25">
      <c r="A11" t="s">
        <v>3</v>
      </c>
      <c r="B11" s="1">
        <v>1643.13</v>
      </c>
      <c r="C11" s="1">
        <v>101.12</v>
      </c>
      <c r="D11" s="1">
        <v>66.010000000000005</v>
      </c>
      <c r="E11" s="1">
        <v>11.03</v>
      </c>
      <c r="F11" s="1">
        <v>0</v>
      </c>
      <c r="G11" s="1">
        <v>1821.29</v>
      </c>
    </row>
    <row r="12" spans="1:7" x14ac:dyDescent="0.25">
      <c r="A12" t="s">
        <v>4</v>
      </c>
      <c r="B12" s="1">
        <v>16070.6</v>
      </c>
      <c r="C12" s="1">
        <v>6700.86</v>
      </c>
      <c r="D12" s="1">
        <v>7638.61</v>
      </c>
      <c r="E12" s="1">
        <v>3427.58</v>
      </c>
      <c r="F12" s="1">
        <v>0</v>
      </c>
      <c r="G12" s="1">
        <v>33837.699999999997</v>
      </c>
    </row>
    <row r="13" spans="1:7" x14ac:dyDescent="0.25">
      <c r="A13" t="s">
        <v>32</v>
      </c>
      <c r="B13" s="1">
        <v>12718.6</v>
      </c>
      <c r="C13" s="1">
        <v>4073.22</v>
      </c>
      <c r="D13" s="1">
        <v>1474.28</v>
      </c>
      <c r="E13" s="1">
        <v>604.45000000000005</v>
      </c>
      <c r="F13" s="1">
        <v>0</v>
      </c>
      <c r="G13" s="1">
        <v>18870.599999999999</v>
      </c>
    </row>
    <row r="14" spans="1:7" x14ac:dyDescent="0.25">
      <c r="A14" t="s">
        <v>8</v>
      </c>
      <c r="B14" s="1">
        <v>1141287</v>
      </c>
      <c r="C14" s="1">
        <v>127512</v>
      </c>
      <c r="D14" s="1">
        <v>1477002</v>
      </c>
      <c r="E14" s="1">
        <v>739345</v>
      </c>
      <c r="F14" s="1">
        <v>434442</v>
      </c>
      <c r="G14" s="1">
        <v>3919589</v>
      </c>
    </row>
    <row r="15" spans="1:7" x14ac:dyDescent="0.25">
      <c r="B15"/>
      <c r="C15"/>
      <c r="D15"/>
      <c r="E15"/>
      <c r="F15"/>
    </row>
    <row r="16" spans="1:7" x14ac:dyDescent="0.25">
      <c r="B16"/>
      <c r="C16"/>
      <c r="D16"/>
      <c r="E16"/>
      <c r="F16"/>
    </row>
    <row r="17" spans="1:7" x14ac:dyDescent="0.25">
      <c r="A17" t="s">
        <v>10</v>
      </c>
      <c r="B17"/>
      <c r="C17"/>
      <c r="D17"/>
      <c r="E17"/>
      <c r="F17"/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35324.199999999997</v>
      </c>
      <c r="C19" s="1">
        <v>0</v>
      </c>
      <c r="D19" s="1">
        <v>368928</v>
      </c>
      <c r="E19" s="1">
        <v>116487</v>
      </c>
      <c r="F19" s="1">
        <v>88808.3</v>
      </c>
      <c r="G19" s="1">
        <v>609547</v>
      </c>
    </row>
    <row r="20" spans="1:7" x14ac:dyDescent="0.25">
      <c r="A20" t="s">
        <v>6</v>
      </c>
      <c r="B20" s="1">
        <v>601000</v>
      </c>
      <c r="C20" s="1">
        <v>0</v>
      </c>
      <c r="D20" s="1">
        <v>2693602</v>
      </c>
      <c r="E20" s="1">
        <v>1557602</v>
      </c>
      <c r="F20" s="1">
        <v>37511.199999999997</v>
      </c>
      <c r="G20" s="1">
        <v>4889716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84821.7</v>
      </c>
      <c r="G21" s="1">
        <v>84821.7</v>
      </c>
    </row>
    <row r="22" spans="1:7" x14ac:dyDescent="0.25">
      <c r="A22" t="s">
        <v>0</v>
      </c>
      <c r="B22" s="1">
        <v>6272.83</v>
      </c>
      <c r="C22" s="1">
        <v>0</v>
      </c>
      <c r="D22" s="1">
        <v>9821.81</v>
      </c>
      <c r="E22" s="1">
        <v>2815.73</v>
      </c>
      <c r="F22" s="1">
        <v>0</v>
      </c>
      <c r="G22" s="1">
        <v>18910.400000000001</v>
      </c>
    </row>
    <row r="23" spans="1:7" x14ac:dyDescent="0.25">
      <c r="A23" t="s">
        <v>30</v>
      </c>
      <c r="B23" s="1">
        <v>72.069999999999993</v>
      </c>
      <c r="C23" s="1">
        <v>0</v>
      </c>
      <c r="D23" s="1">
        <v>154.41999999999999</v>
      </c>
      <c r="E23" s="1">
        <v>38.89</v>
      </c>
      <c r="F23" s="1">
        <v>0</v>
      </c>
      <c r="G23" s="1">
        <v>265.37</v>
      </c>
    </row>
    <row r="24" spans="1:7" x14ac:dyDescent="0.25">
      <c r="A24" t="s">
        <v>31</v>
      </c>
      <c r="B24" s="1">
        <v>680.81</v>
      </c>
      <c r="C24" s="1">
        <v>0</v>
      </c>
      <c r="D24" s="1">
        <v>1802.74</v>
      </c>
      <c r="E24" s="1">
        <v>727.5</v>
      </c>
      <c r="F24" s="1">
        <v>0</v>
      </c>
      <c r="G24" s="1">
        <v>3211.05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7911.35</v>
      </c>
      <c r="C26" s="1">
        <v>0</v>
      </c>
      <c r="D26" s="1">
        <v>11928</v>
      </c>
      <c r="E26" s="1">
        <v>6418.62</v>
      </c>
      <c r="F26" s="1">
        <v>0</v>
      </c>
      <c r="G26" s="1">
        <v>26258</v>
      </c>
    </row>
    <row r="27" spans="1:7" x14ac:dyDescent="0.25">
      <c r="A27" t="s">
        <v>32</v>
      </c>
      <c r="B27" s="1">
        <v>3559.3</v>
      </c>
      <c r="C27" s="1">
        <v>0</v>
      </c>
      <c r="D27" s="1">
        <v>1650.5</v>
      </c>
      <c r="E27" s="1">
        <v>757.97</v>
      </c>
      <c r="F27" s="1">
        <v>0</v>
      </c>
      <c r="G27" s="1">
        <v>5967.77</v>
      </c>
    </row>
    <row r="28" spans="1:7" x14ac:dyDescent="0.25">
      <c r="A28" t="s">
        <v>8</v>
      </c>
      <c r="B28" s="1">
        <v>654821</v>
      </c>
      <c r="C28" s="1">
        <v>0</v>
      </c>
      <c r="D28" s="1">
        <v>3087888</v>
      </c>
      <c r="E28" s="1">
        <v>1684848</v>
      </c>
      <c r="F28" s="1">
        <v>211141</v>
      </c>
      <c r="G28" s="1">
        <v>5638697</v>
      </c>
    </row>
    <row r="29" spans="1:7" x14ac:dyDescent="0.25">
      <c r="B29"/>
      <c r="C29"/>
      <c r="D29"/>
      <c r="E29"/>
      <c r="F29"/>
    </row>
    <row r="30" spans="1:7" x14ac:dyDescent="0.25">
      <c r="B30"/>
      <c r="C30"/>
      <c r="D30"/>
      <c r="E30"/>
      <c r="F30"/>
    </row>
    <row r="31" spans="1:7" x14ac:dyDescent="0.25">
      <c r="A31" t="s">
        <v>11</v>
      </c>
      <c r="B31"/>
      <c r="C31"/>
      <c r="D31"/>
      <c r="E31"/>
      <c r="F31"/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83661.3</v>
      </c>
      <c r="C33" s="1">
        <v>22397.1</v>
      </c>
      <c r="D33" s="1">
        <v>516381</v>
      </c>
      <c r="E33" s="1">
        <v>145706</v>
      </c>
      <c r="F33" s="1">
        <v>271169</v>
      </c>
      <c r="G33" s="1">
        <v>1039314</v>
      </c>
    </row>
    <row r="34" spans="1:7" x14ac:dyDescent="0.25">
      <c r="A34" t="s">
        <v>6</v>
      </c>
      <c r="B34" s="1">
        <v>1651350</v>
      </c>
      <c r="C34" s="1">
        <v>79886.100000000006</v>
      </c>
      <c r="D34" s="1">
        <v>4007296</v>
      </c>
      <c r="E34" s="1">
        <v>2261638</v>
      </c>
      <c r="F34" s="1">
        <v>115217</v>
      </c>
      <c r="G34" s="1">
        <v>8115387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259198</v>
      </c>
      <c r="G35" s="1">
        <v>259198</v>
      </c>
    </row>
    <row r="36" spans="1:7" x14ac:dyDescent="0.25">
      <c r="A36" t="s">
        <v>0</v>
      </c>
      <c r="B36" s="1">
        <v>16828.8</v>
      </c>
      <c r="C36" s="1">
        <v>7310.87</v>
      </c>
      <c r="D36" s="1">
        <v>15043.6</v>
      </c>
      <c r="E36" s="1">
        <v>4345.71</v>
      </c>
      <c r="F36" s="1">
        <v>0</v>
      </c>
      <c r="G36" s="1">
        <v>43529</v>
      </c>
    </row>
    <row r="37" spans="1:7" x14ac:dyDescent="0.25">
      <c r="A37" t="s">
        <v>30</v>
      </c>
      <c r="B37" s="1">
        <v>200.36</v>
      </c>
      <c r="C37" s="1">
        <v>33.86</v>
      </c>
      <c r="D37" s="1">
        <v>242.25</v>
      </c>
      <c r="E37" s="1">
        <v>59.32</v>
      </c>
      <c r="F37" s="1">
        <v>0</v>
      </c>
      <c r="G37" s="1">
        <v>535.79999999999995</v>
      </c>
    </row>
    <row r="38" spans="1:7" x14ac:dyDescent="0.25">
      <c r="A38" t="s">
        <v>31</v>
      </c>
      <c r="B38" s="1">
        <v>2163.62</v>
      </c>
      <c r="C38" s="1">
        <v>7009.28</v>
      </c>
      <c r="D38" s="1">
        <v>3169.17</v>
      </c>
      <c r="E38" s="1">
        <v>1224.1400000000001</v>
      </c>
      <c r="F38" s="1">
        <v>0</v>
      </c>
      <c r="G38" s="1">
        <v>13566.2</v>
      </c>
    </row>
    <row r="39" spans="1:7" x14ac:dyDescent="0.25">
      <c r="A39" t="s">
        <v>3</v>
      </c>
      <c r="B39" s="1">
        <v>1643.13</v>
      </c>
      <c r="C39" s="1">
        <v>101.12</v>
      </c>
      <c r="D39" s="1">
        <v>66.010000000000005</v>
      </c>
      <c r="E39" s="1">
        <v>11.03</v>
      </c>
      <c r="F39" s="1">
        <v>0</v>
      </c>
      <c r="G39" s="1">
        <v>1821.29</v>
      </c>
    </row>
    <row r="40" spans="1:7" x14ac:dyDescent="0.25">
      <c r="A40" t="s">
        <v>4</v>
      </c>
      <c r="B40" s="1">
        <v>23982</v>
      </c>
      <c r="C40" s="1">
        <v>6700.86</v>
      </c>
      <c r="D40" s="1">
        <v>19566.599999999999</v>
      </c>
      <c r="E40" s="1">
        <v>9846.2000000000007</v>
      </c>
      <c r="F40" s="1">
        <v>0</v>
      </c>
      <c r="G40" s="1">
        <v>60095.6</v>
      </c>
    </row>
    <row r="41" spans="1:7" x14ac:dyDescent="0.25">
      <c r="A41" t="s">
        <v>32</v>
      </c>
      <c r="B41" s="1">
        <v>16277.9</v>
      </c>
      <c r="C41" s="1">
        <v>4073.22</v>
      </c>
      <c r="D41" s="1">
        <v>3124.78</v>
      </c>
      <c r="E41" s="1">
        <v>1362.41</v>
      </c>
      <c r="F41" s="1">
        <v>0</v>
      </c>
      <c r="G41" s="1">
        <v>24838.3</v>
      </c>
    </row>
    <row r="42" spans="1:7" x14ac:dyDescent="0.25">
      <c r="A42" t="s">
        <v>8</v>
      </c>
      <c r="B42" s="1">
        <v>1796108</v>
      </c>
      <c r="C42" s="1">
        <v>127512</v>
      </c>
      <c r="D42" s="1">
        <v>4564889</v>
      </c>
      <c r="E42" s="1">
        <v>2424193</v>
      </c>
      <c r="F42" s="1">
        <v>645584</v>
      </c>
      <c r="G42" s="1">
        <v>9558286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6B7F-4BC5-4062-B779-3DC7B0B0AFBB}">
  <sheetPr>
    <tabColor rgb="FF002060"/>
  </sheetPr>
  <dimension ref="A1:G42"/>
  <sheetViews>
    <sheetView topLeftCell="A6" workbookViewId="0">
      <selection sqref="A1:G42"/>
    </sheetView>
  </sheetViews>
  <sheetFormatPr defaultRowHeight="15" x14ac:dyDescent="0.25"/>
  <cols>
    <col min="1" max="1" width="23.570312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0.5703125" bestFit="1" customWidth="1"/>
  </cols>
  <sheetData>
    <row r="1" spans="1:7" x14ac:dyDescent="0.25">
      <c r="A1" t="s">
        <v>33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42205.599999999999</v>
      </c>
      <c r="C5" s="1">
        <v>22345.599999999999</v>
      </c>
      <c r="D5" s="1">
        <v>146588</v>
      </c>
      <c r="E5" s="1">
        <v>28486.7</v>
      </c>
      <c r="F5" s="1">
        <v>181810</v>
      </c>
      <c r="G5" s="1">
        <v>421436</v>
      </c>
    </row>
    <row r="6" spans="1:7" x14ac:dyDescent="0.25">
      <c r="A6" t="s">
        <v>6</v>
      </c>
      <c r="B6" s="1">
        <v>934773</v>
      </c>
      <c r="C6" s="1">
        <v>80041.8</v>
      </c>
      <c r="D6" s="1">
        <v>1314480</v>
      </c>
      <c r="E6" s="1">
        <v>690847</v>
      </c>
      <c r="F6" s="1">
        <v>77700.399999999994</v>
      </c>
      <c r="G6" s="1">
        <v>3097842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174933</v>
      </c>
      <c r="G7" s="1">
        <v>174933</v>
      </c>
    </row>
    <row r="8" spans="1:7" x14ac:dyDescent="0.25">
      <c r="A8" t="s">
        <v>0</v>
      </c>
      <c r="B8" s="1">
        <v>9285.4699999999993</v>
      </c>
      <c r="C8" s="1">
        <v>7331.17</v>
      </c>
      <c r="D8" s="1">
        <v>5237.96</v>
      </c>
      <c r="E8" s="1">
        <v>1495.44</v>
      </c>
      <c r="F8" s="1">
        <v>0</v>
      </c>
      <c r="G8" s="1">
        <v>23350</v>
      </c>
    </row>
    <row r="9" spans="1:7" x14ac:dyDescent="0.25">
      <c r="A9" t="s">
        <v>30</v>
      </c>
      <c r="B9" s="1">
        <v>118.42</v>
      </c>
      <c r="C9" s="1">
        <v>34.130000000000003</v>
      </c>
      <c r="D9" s="1">
        <v>88.11</v>
      </c>
      <c r="E9" s="1">
        <v>20.12</v>
      </c>
      <c r="F9" s="1">
        <v>0</v>
      </c>
      <c r="G9" s="1">
        <v>260.77999999999997</v>
      </c>
    </row>
    <row r="10" spans="1:7" x14ac:dyDescent="0.25">
      <c r="A10" t="s">
        <v>31</v>
      </c>
      <c r="B10" s="1">
        <v>1290.45</v>
      </c>
      <c r="C10" s="1">
        <v>7003.69</v>
      </c>
      <c r="D10" s="1">
        <v>1365.37</v>
      </c>
      <c r="E10" s="1">
        <v>481.42</v>
      </c>
      <c r="F10" s="1">
        <v>0</v>
      </c>
      <c r="G10" s="1">
        <v>10140.9</v>
      </c>
    </row>
    <row r="11" spans="1:7" x14ac:dyDescent="0.25">
      <c r="A11" t="s">
        <v>3</v>
      </c>
      <c r="B11" s="1">
        <v>1805.91</v>
      </c>
      <c r="C11" s="1">
        <v>134.29</v>
      </c>
      <c r="D11" s="1">
        <v>71.83</v>
      </c>
      <c r="E11" s="1">
        <v>14.2</v>
      </c>
      <c r="F11" s="1">
        <v>0</v>
      </c>
      <c r="G11" s="1">
        <v>2026.22</v>
      </c>
    </row>
    <row r="12" spans="1:7" x14ac:dyDescent="0.25">
      <c r="A12" t="s">
        <v>4</v>
      </c>
      <c r="B12" s="1">
        <v>13748</v>
      </c>
      <c r="C12" s="1">
        <v>6627.18</v>
      </c>
      <c r="D12" s="1">
        <v>7601.1</v>
      </c>
      <c r="E12" s="1">
        <v>3286.05</v>
      </c>
      <c r="F12" s="1">
        <v>0</v>
      </c>
      <c r="G12" s="1">
        <v>31262.400000000001</v>
      </c>
    </row>
    <row r="13" spans="1:7" x14ac:dyDescent="0.25">
      <c r="A13" t="s">
        <v>32</v>
      </c>
      <c r="B13" s="1">
        <v>10249.799999999999</v>
      </c>
      <c r="C13" s="1">
        <v>3994.54</v>
      </c>
      <c r="D13" s="1">
        <v>1439.52</v>
      </c>
      <c r="E13" s="1">
        <v>566</v>
      </c>
      <c r="F13" s="1">
        <v>0</v>
      </c>
      <c r="G13" s="1">
        <v>16249.8</v>
      </c>
    </row>
    <row r="14" spans="1:7" x14ac:dyDescent="0.25">
      <c r="A14" t="s">
        <v>8</v>
      </c>
      <c r="B14" s="1">
        <v>1013477</v>
      </c>
      <c r="C14" s="1">
        <v>127512</v>
      </c>
      <c r="D14" s="1">
        <v>1476872</v>
      </c>
      <c r="E14" s="1">
        <v>725197</v>
      </c>
      <c r="F14" s="1">
        <v>434444</v>
      </c>
      <c r="G14" s="1">
        <v>3777502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30911.5</v>
      </c>
      <c r="C19" s="1">
        <v>0</v>
      </c>
      <c r="D19" s="1">
        <v>367219</v>
      </c>
      <c r="E19" s="1">
        <v>113691</v>
      </c>
      <c r="F19" s="1">
        <v>88540.3</v>
      </c>
      <c r="G19" s="1">
        <v>600361</v>
      </c>
    </row>
    <row r="20" spans="1:7" x14ac:dyDescent="0.25">
      <c r="A20" t="s">
        <v>6</v>
      </c>
      <c r="B20" s="1">
        <v>533312</v>
      </c>
      <c r="C20" s="1">
        <v>0</v>
      </c>
      <c r="D20" s="1">
        <v>2695075</v>
      </c>
      <c r="E20" s="1">
        <v>1528285</v>
      </c>
      <c r="F20" s="1">
        <v>37502.400000000001</v>
      </c>
      <c r="G20" s="1">
        <v>4794174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85083.5</v>
      </c>
      <c r="G21" s="1">
        <v>85083.5</v>
      </c>
    </row>
    <row r="22" spans="1:7" x14ac:dyDescent="0.25">
      <c r="A22" t="s">
        <v>0</v>
      </c>
      <c r="B22" s="1">
        <v>5446.42</v>
      </c>
      <c r="C22" s="1">
        <v>0</v>
      </c>
      <c r="D22" s="1">
        <v>9841.65</v>
      </c>
      <c r="E22" s="1">
        <v>2756.07</v>
      </c>
      <c r="F22" s="1">
        <v>0</v>
      </c>
      <c r="G22" s="1">
        <v>18044.099999999999</v>
      </c>
    </row>
    <row r="23" spans="1:7" x14ac:dyDescent="0.25">
      <c r="A23" t="s">
        <v>30</v>
      </c>
      <c r="B23" s="1">
        <v>65.61</v>
      </c>
      <c r="C23" s="1">
        <v>0</v>
      </c>
      <c r="D23" s="1">
        <v>154.99</v>
      </c>
      <c r="E23" s="1">
        <v>38.4</v>
      </c>
      <c r="F23" s="1">
        <v>0</v>
      </c>
      <c r="G23" s="1">
        <v>259</v>
      </c>
    </row>
    <row r="24" spans="1:7" x14ac:dyDescent="0.25">
      <c r="A24" t="s">
        <v>31</v>
      </c>
      <c r="B24" s="1">
        <v>584.75</v>
      </c>
      <c r="C24" s="1">
        <v>0</v>
      </c>
      <c r="D24" s="1">
        <v>1768.07</v>
      </c>
      <c r="E24" s="1">
        <v>702.69</v>
      </c>
      <c r="F24" s="1">
        <v>0</v>
      </c>
      <c r="G24" s="1">
        <v>3055.51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6854.93</v>
      </c>
      <c r="C26" s="1">
        <v>0</v>
      </c>
      <c r="D26" s="1">
        <v>11945.6</v>
      </c>
      <c r="E26" s="1">
        <v>6208.33</v>
      </c>
      <c r="F26" s="1">
        <v>0</v>
      </c>
      <c r="G26" s="1">
        <v>25008.799999999999</v>
      </c>
    </row>
    <row r="27" spans="1:7" x14ac:dyDescent="0.25">
      <c r="A27" t="s">
        <v>32</v>
      </c>
      <c r="B27" s="1">
        <v>3062.97</v>
      </c>
      <c r="C27" s="1">
        <v>0</v>
      </c>
      <c r="D27" s="1">
        <v>1670.31</v>
      </c>
      <c r="E27" s="1">
        <v>738.72</v>
      </c>
      <c r="F27" s="1">
        <v>0</v>
      </c>
      <c r="G27" s="1">
        <v>5472</v>
      </c>
    </row>
    <row r="28" spans="1:7" x14ac:dyDescent="0.25">
      <c r="A28" t="s">
        <v>8</v>
      </c>
      <c r="B28" s="1">
        <v>580238</v>
      </c>
      <c r="C28" s="1">
        <v>0</v>
      </c>
      <c r="D28" s="1">
        <v>3087674</v>
      </c>
      <c r="E28" s="1">
        <v>1652419</v>
      </c>
      <c r="F28" s="1">
        <v>211126</v>
      </c>
      <c r="G28" s="1">
        <v>5531458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73117.2</v>
      </c>
      <c r="C33" s="1">
        <v>22345.599999999999</v>
      </c>
      <c r="D33" s="1">
        <v>513807</v>
      </c>
      <c r="E33" s="1">
        <v>142177</v>
      </c>
      <c r="F33" s="1">
        <v>270351</v>
      </c>
      <c r="G33" s="1">
        <v>1021797</v>
      </c>
    </row>
    <row r="34" spans="1:7" x14ac:dyDescent="0.25">
      <c r="A34" t="s">
        <v>6</v>
      </c>
      <c r="B34" s="1">
        <v>1468085</v>
      </c>
      <c r="C34" s="1">
        <v>80041.8</v>
      </c>
      <c r="D34" s="1">
        <v>4009555</v>
      </c>
      <c r="E34" s="1">
        <v>2219131</v>
      </c>
      <c r="F34" s="1">
        <v>115203</v>
      </c>
      <c r="G34" s="1">
        <v>7892016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260017</v>
      </c>
      <c r="G35" s="1">
        <v>260017</v>
      </c>
    </row>
    <row r="36" spans="1:7" x14ac:dyDescent="0.25">
      <c r="A36" t="s">
        <v>0</v>
      </c>
      <c r="B36" s="1">
        <v>14731.9</v>
      </c>
      <c r="C36" s="1">
        <v>7331.17</v>
      </c>
      <c r="D36" s="1">
        <v>15079.6</v>
      </c>
      <c r="E36" s="1">
        <v>4251.51</v>
      </c>
      <c r="F36" s="1">
        <v>0</v>
      </c>
      <c r="G36" s="1">
        <v>41394.199999999997</v>
      </c>
    </row>
    <row r="37" spans="1:7" x14ac:dyDescent="0.25">
      <c r="A37" t="s">
        <v>30</v>
      </c>
      <c r="B37" s="1">
        <v>184.02</v>
      </c>
      <c r="C37" s="1">
        <v>34.130000000000003</v>
      </c>
      <c r="D37" s="1">
        <v>243.1</v>
      </c>
      <c r="E37" s="1">
        <v>58.52</v>
      </c>
      <c r="F37" s="1">
        <v>0</v>
      </c>
      <c r="G37" s="1">
        <v>519.77</v>
      </c>
    </row>
    <row r="38" spans="1:7" x14ac:dyDescent="0.25">
      <c r="A38" t="s">
        <v>31</v>
      </c>
      <c r="B38" s="1">
        <v>1875.2</v>
      </c>
      <c r="C38" s="1">
        <v>7003.69</v>
      </c>
      <c r="D38" s="1">
        <v>3133.44</v>
      </c>
      <c r="E38" s="1">
        <v>1184.1099999999999</v>
      </c>
      <c r="F38" s="1">
        <v>0</v>
      </c>
      <c r="G38" s="1">
        <v>13196.4</v>
      </c>
    </row>
    <row r="39" spans="1:7" x14ac:dyDescent="0.25">
      <c r="A39" t="s">
        <v>3</v>
      </c>
      <c r="B39" s="1">
        <v>1805.91</v>
      </c>
      <c r="C39" s="1">
        <v>134.29</v>
      </c>
      <c r="D39" s="1">
        <v>71.83</v>
      </c>
      <c r="E39" s="1">
        <v>14.2</v>
      </c>
      <c r="F39" s="1">
        <v>0</v>
      </c>
      <c r="G39" s="1">
        <v>2026.22</v>
      </c>
    </row>
    <row r="40" spans="1:7" x14ac:dyDescent="0.25">
      <c r="A40" t="s">
        <v>4</v>
      </c>
      <c r="B40" s="1">
        <v>20602.900000000001</v>
      </c>
      <c r="C40" s="1">
        <v>6627.18</v>
      </c>
      <c r="D40" s="1">
        <v>19546.7</v>
      </c>
      <c r="E40" s="1">
        <v>9494.39</v>
      </c>
      <c r="F40" s="1">
        <v>0</v>
      </c>
      <c r="G40" s="1">
        <v>56271.199999999997</v>
      </c>
    </row>
    <row r="41" spans="1:7" x14ac:dyDescent="0.25">
      <c r="A41" t="s">
        <v>32</v>
      </c>
      <c r="B41" s="1">
        <v>13312.7</v>
      </c>
      <c r="C41" s="1">
        <v>3994.54</v>
      </c>
      <c r="D41" s="1">
        <v>3109.83</v>
      </c>
      <c r="E41" s="1">
        <v>1304.72</v>
      </c>
      <c r="F41" s="1">
        <v>0</v>
      </c>
      <c r="G41" s="1">
        <v>21721.8</v>
      </c>
    </row>
    <row r="42" spans="1:7" x14ac:dyDescent="0.25">
      <c r="A42" t="s">
        <v>8</v>
      </c>
      <c r="B42" s="1">
        <v>1593715</v>
      </c>
      <c r="C42" s="1">
        <v>127512</v>
      </c>
      <c r="D42" s="1">
        <v>4564546</v>
      </c>
      <c r="E42" s="1">
        <v>2377616</v>
      </c>
      <c r="F42" s="1">
        <v>645570</v>
      </c>
      <c r="G42" s="1">
        <v>9308959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864A-E25B-4A81-B7DE-9949636A4D2E}">
  <sheetPr>
    <tabColor rgb="FF002060"/>
  </sheetPr>
  <dimension ref="A1:G42"/>
  <sheetViews>
    <sheetView topLeftCell="A6" workbookViewId="0">
      <selection sqref="A1:G42"/>
    </sheetView>
  </sheetViews>
  <sheetFormatPr defaultRowHeight="15" x14ac:dyDescent="0.25"/>
  <cols>
    <col min="1" max="1" width="27.8554687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0.5703125" bestFit="1" customWidth="1"/>
  </cols>
  <sheetData>
    <row r="1" spans="1:7" x14ac:dyDescent="0.25">
      <c r="A1" t="s">
        <v>34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39651.9</v>
      </c>
      <c r="C5" s="1">
        <v>22328.9</v>
      </c>
      <c r="D5" s="1">
        <v>146229</v>
      </c>
      <c r="E5" s="1">
        <v>28141.599999999999</v>
      </c>
      <c r="F5" s="1">
        <v>181586</v>
      </c>
      <c r="G5" s="1">
        <v>417937</v>
      </c>
    </row>
    <row r="6" spans="1:7" x14ac:dyDescent="0.25">
      <c r="A6" t="s">
        <v>6</v>
      </c>
      <c r="B6" s="1">
        <v>884814</v>
      </c>
      <c r="C6" s="1">
        <v>80141.5</v>
      </c>
      <c r="D6" s="1">
        <v>1314837</v>
      </c>
      <c r="E6" s="1">
        <v>683935</v>
      </c>
      <c r="F6" s="1">
        <v>77697.399999999994</v>
      </c>
      <c r="G6" s="1">
        <v>3041425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175163</v>
      </c>
      <c r="G7" s="1">
        <v>175163</v>
      </c>
    </row>
    <row r="8" spans="1:7" x14ac:dyDescent="0.25">
      <c r="A8" t="s">
        <v>0</v>
      </c>
      <c r="B8" s="1">
        <v>8696.67</v>
      </c>
      <c r="C8" s="1">
        <v>7361.93</v>
      </c>
      <c r="D8" s="1">
        <v>5241.5</v>
      </c>
      <c r="E8" s="1">
        <v>1478.49</v>
      </c>
      <c r="F8" s="1">
        <v>0</v>
      </c>
      <c r="G8" s="1">
        <v>22778.6</v>
      </c>
    </row>
    <row r="9" spans="1:7" x14ac:dyDescent="0.25">
      <c r="A9" t="s">
        <v>30</v>
      </c>
      <c r="B9" s="1">
        <v>112.65</v>
      </c>
      <c r="C9" s="1">
        <v>34.229999999999997</v>
      </c>
      <c r="D9" s="1">
        <v>88.21</v>
      </c>
      <c r="E9" s="1">
        <v>19.93</v>
      </c>
      <c r="F9" s="1">
        <v>0</v>
      </c>
      <c r="G9" s="1">
        <v>255.03</v>
      </c>
    </row>
    <row r="10" spans="1:7" x14ac:dyDescent="0.25">
      <c r="A10" t="s">
        <v>31</v>
      </c>
      <c r="B10" s="1">
        <v>1214.27</v>
      </c>
      <c r="C10" s="1">
        <v>7001.88</v>
      </c>
      <c r="D10" s="1">
        <v>1364.51</v>
      </c>
      <c r="E10" s="1">
        <v>474.77</v>
      </c>
      <c r="F10" s="1">
        <v>0</v>
      </c>
      <c r="G10" s="1">
        <v>10055.4</v>
      </c>
    </row>
    <row r="11" spans="1:7" x14ac:dyDescent="0.25">
      <c r="A11" t="s">
        <v>3</v>
      </c>
      <c r="B11" s="1">
        <v>1822.58</v>
      </c>
      <c r="C11" s="1">
        <v>148.06</v>
      </c>
      <c r="D11" s="1">
        <v>73.900000000000006</v>
      </c>
      <c r="E11" s="1">
        <v>15.49</v>
      </c>
      <c r="F11" s="1">
        <v>0</v>
      </c>
      <c r="G11" s="1">
        <v>2060.0300000000002</v>
      </c>
    </row>
    <row r="12" spans="1:7" x14ac:dyDescent="0.25">
      <c r="A12" t="s">
        <v>4</v>
      </c>
      <c r="B12" s="1">
        <v>12715.4</v>
      </c>
      <c r="C12" s="1">
        <v>6587.77</v>
      </c>
      <c r="D12" s="1">
        <v>7579.25</v>
      </c>
      <c r="E12" s="1">
        <v>3217.28</v>
      </c>
      <c r="F12" s="1">
        <v>0</v>
      </c>
      <c r="G12" s="1">
        <v>30099.7</v>
      </c>
    </row>
    <row r="13" spans="1:7" x14ac:dyDescent="0.25">
      <c r="A13" t="s">
        <v>32</v>
      </c>
      <c r="B13" s="1">
        <v>9235.2999999999993</v>
      </c>
      <c r="C13" s="1">
        <v>3908.24</v>
      </c>
      <c r="D13" s="1">
        <v>1421.2</v>
      </c>
      <c r="E13" s="1">
        <v>547.36</v>
      </c>
      <c r="F13" s="1">
        <v>0</v>
      </c>
      <c r="G13" s="1">
        <v>15112.1</v>
      </c>
    </row>
    <row r="14" spans="1:7" x14ac:dyDescent="0.25">
      <c r="A14" t="s">
        <v>8</v>
      </c>
      <c r="B14" s="1">
        <v>958263</v>
      </c>
      <c r="C14" s="1">
        <v>127512</v>
      </c>
      <c r="D14" s="1">
        <v>1476835</v>
      </c>
      <c r="E14" s="1">
        <v>717830</v>
      </c>
      <c r="F14" s="1">
        <v>434446</v>
      </c>
      <c r="G14" s="1">
        <v>3714886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29101</v>
      </c>
      <c r="C19" s="1">
        <v>0</v>
      </c>
      <c r="D19" s="1">
        <v>366475</v>
      </c>
      <c r="E19" s="1">
        <v>112358</v>
      </c>
      <c r="F19" s="1">
        <v>88431.6</v>
      </c>
      <c r="G19" s="1">
        <v>596366</v>
      </c>
    </row>
    <row r="20" spans="1:7" x14ac:dyDescent="0.25">
      <c r="A20" t="s">
        <v>6</v>
      </c>
      <c r="B20" s="1">
        <v>505358</v>
      </c>
      <c r="C20" s="1">
        <v>0</v>
      </c>
      <c r="D20" s="1">
        <v>2695733</v>
      </c>
      <c r="E20" s="1">
        <v>1512880</v>
      </c>
      <c r="F20" s="1">
        <v>37500</v>
      </c>
      <c r="G20" s="1">
        <v>4751470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85191.5</v>
      </c>
      <c r="G21" s="1">
        <v>85191.5</v>
      </c>
    </row>
    <row r="22" spans="1:7" x14ac:dyDescent="0.25">
      <c r="A22" t="s">
        <v>0</v>
      </c>
      <c r="B22" s="1">
        <v>5115.79</v>
      </c>
      <c r="C22" s="1">
        <v>0</v>
      </c>
      <c r="D22" s="1">
        <v>9845.89</v>
      </c>
      <c r="E22" s="1">
        <v>2723.61</v>
      </c>
      <c r="F22" s="1">
        <v>0</v>
      </c>
      <c r="G22" s="1">
        <v>17685.3</v>
      </c>
    </row>
    <row r="23" spans="1:7" x14ac:dyDescent="0.25">
      <c r="A23" t="s">
        <v>30</v>
      </c>
      <c r="B23" s="1">
        <v>62.8</v>
      </c>
      <c r="C23" s="1">
        <v>0</v>
      </c>
      <c r="D23" s="1">
        <v>155.19</v>
      </c>
      <c r="E23" s="1">
        <v>38.08</v>
      </c>
      <c r="F23" s="1">
        <v>0</v>
      </c>
      <c r="G23" s="1">
        <v>256.07</v>
      </c>
    </row>
    <row r="24" spans="1:7" x14ac:dyDescent="0.25">
      <c r="A24" t="s">
        <v>31</v>
      </c>
      <c r="B24" s="1">
        <v>551.58000000000004</v>
      </c>
      <c r="C24" s="1">
        <v>0</v>
      </c>
      <c r="D24" s="1">
        <v>1768.53</v>
      </c>
      <c r="E24" s="1">
        <v>693.49</v>
      </c>
      <c r="F24" s="1">
        <v>0</v>
      </c>
      <c r="G24" s="1">
        <v>3013.59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6418.55</v>
      </c>
      <c r="C26" s="1">
        <v>0</v>
      </c>
      <c r="D26" s="1">
        <v>11955.9</v>
      </c>
      <c r="E26" s="1">
        <v>6108.01</v>
      </c>
      <c r="F26" s="1">
        <v>0</v>
      </c>
      <c r="G26" s="1">
        <v>24482.400000000001</v>
      </c>
    </row>
    <row r="27" spans="1:7" x14ac:dyDescent="0.25">
      <c r="A27" t="s">
        <v>32</v>
      </c>
      <c r="B27" s="1">
        <v>2876.15</v>
      </c>
      <c r="C27" s="1">
        <v>0</v>
      </c>
      <c r="D27" s="1">
        <v>1679.16</v>
      </c>
      <c r="E27" s="1">
        <v>729.96</v>
      </c>
      <c r="F27" s="1">
        <v>0</v>
      </c>
      <c r="G27" s="1">
        <v>5285.28</v>
      </c>
    </row>
    <row r="28" spans="1:7" x14ac:dyDescent="0.25">
      <c r="A28" t="s">
        <v>8</v>
      </c>
      <c r="B28" s="1">
        <v>549483</v>
      </c>
      <c r="C28" s="1">
        <v>0</v>
      </c>
      <c r="D28" s="1">
        <v>3087613</v>
      </c>
      <c r="E28" s="1">
        <v>1635531</v>
      </c>
      <c r="F28" s="1">
        <v>211123</v>
      </c>
      <c r="G28" s="1">
        <v>5483750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68752.899999999994</v>
      </c>
      <c r="C33" s="1">
        <v>22328.9</v>
      </c>
      <c r="D33" s="1">
        <v>512704</v>
      </c>
      <c r="E33" s="1">
        <v>140500</v>
      </c>
      <c r="F33" s="1">
        <v>270017</v>
      </c>
      <c r="G33" s="1">
        <v>1014303</v>
      </c>
    </row>
    <row r="34" spans="1:7" x14ac:dyDescent="0.25">
      <c r="A34" t="s">
        <v>6</v>
      </c>
      <c r="B34" s="1">
        <v>1390171</v>
      </c>
      <c r="C34" s="1">
        <v>80141.5</v>
      </c>
      <c r="D34" s="1">
        <v>4010570</v>
      </c>
      <c r="E34" s="1">
        <v>2196815</v>
      </c>
      <c r="F34" s="1">
        <v>115197</v>
      </c>
      <c r="G34" s="1">
        <v>7792895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260354</v>
      </c>
      <c r="G35" s="1">
        <v>260354</v>
      </c>
    </row>
    <row r="36" spans="1:7" x14ac:dyDescent="0.25">
      <c r="A36" t="s">
        <v>0</v>
      </c>
      <c r="B36" s="1">
        <v>13812.5</v>
      </c>
      <c r="C36" s="1">
        <v>7361.93</v>
      </c>
      <c r="D36" s="1">
        <v>15087.4</v>
      </c>
      <c r="E36" s="1">
        <v>4202.1099999999997</v>
      </c>
      <c r="F36" s="1">
        <v>0</v>
      </c>
      <c r="G36" s="1">
        <v>40463.9</v>
      </c>
    </row>
    <row r="37" spans="1:7" x14ac:dyDescent="0.25">
      <c r="A37" t="s">
        <v>30</v>
      </c>
      <c r="B37" s="1">
        <v>175.45</v>
      </c>
      <c r="C37" s="1">
        <v>34.229999999999997</v>
      </c>
      <c r="D37" s="1">
        <v>243.4</v>
      </c>
      <c r="E37" s="1">
        <v>58.02</v>
      </c>
      <c r="F37" s="1">
        <v>0</v>
      </c>
      <c r="G37" s="1">
        <v>511.1</v>
      </c>
    </row>
    <row r="38" spans="1:7" x14ac:dyDescent="0.25">
      <c r="A38" t="s">
        <v>31</v>
      </c>
      <c r="B38" s="1">
        <v>1765.85</v>
      </c>
      <c r="C38" s="1">
        <v>7001.88</v>
      </c>
      <c r="D38" s="1">
        <v>3133.04</v>
      </c>
      <c r="E38" s="1">
        <v>1168.25</v>
      </c>
      <c r="F38" s="1">
        <v>0</v>
      </c>
      <c r="G38" s="1">
        <v>13069</v>
      </c>
    </row>
    <row r="39" spans="1:7" x14ac:dyDescent="0.25">
      <c r="A39" t="s">
        <v>3</v>
      </c>
      <c r="B39" s="1">
        <v>1822.58</v>
      </c>
      <c r="C39" s="1">
        <v>148.06</v>
      </c>
      <c r="D39" s="1">
        <v>73.900000000000006</v>
      </c>
      <c r="E39" s="1">
        <v>15.49</v>
      </c>
      <c r="F39" s="1">
        <v>0</v>
      </c>
      <c r="G39" s="1">
        <v>2060.0300000000002</v>
      </c>
    </row>
    <row r="40" spans="1:7" x14ac:dyDescent="0.25">
      <c r="A40" t="s">
        <v>4</v>
      </c>
      <c r="B40" s="1">
        <v>19134</v>
      </c>
      <c r="C40" s="1">
        <v>6587.77</v>
      </c>
      <c r="D40" s="1">
        <v>19535.099999999999</v>
      </c>
      <c r="E40" s="1">
        <v>9325.2900000000009</v>
      </c>
      <c r="F40" s="1">
        <v>0</v>
      </c>
      <c r="G40" s="1">
        <v>54582.2</v>
      </c>
    </row>
    <row r="41" spans="1:7" x14ac:dyDescent="0.25">
      <c r="A41" t="s">
        <v>32</v>
      </c>
      <c r="B41" s="1">
        <v>12111.5</v>
      </c>
      <c r="C41" s="1">
        <v>3908.24</v>
      </c>
      <c r="D41" s="1">
        <v>3100.37</v>
      </c>
      <c r="E41" s="1">
        <v>1277.32</v>
      </c>
      <c r="F41" s="1">
        <v>0</v>
      </c>
      <c r="G41" s="1">
        <v>20397.400000000001</v>
      </c>
    </row>
    <row r="42" spans="1:7" x14ac:dyDescent="0.25">
      <c r="A42" t="s">
        <v>8</v>
      </c>
      <c r="B42" s="1">
        <v>1507746</v>
      </c>
      <c r="C42" s="1">
        <v>127512</v>
      </c>
      <c r="D42" s="1">
        <v>4564448</v>
      </c>
      <c r="E42" s="1">
        <v>2353361</v>
      </c>
      <c r="F42" s="1">
        <v>645569</v>
      </c>
      <c r="G42" s="1">
        <v>9198636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5918-5E49-4927-B629-AA923005AD57}">
  <sheetPr>
    <tabColor rgb="FF002060"/>
  </sheetPr>
  <dimension ref="A1:G42"/>
  <sheetViews>
    <sheetView workbookViewId="0">
      <selection sqref="A1:G1048576"/>
    </sheetView>
  </sheetViews>
  <sheetFormatPr defaultRowHeight="15" x14ac:dyDescent="0.25"/>
  <cols>
    <col min="1" max="1" width="24.14062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0.5703125" bestFit="1" customWidth="1"/>
  </cols>
  <sheetData>
    <row r="1" spans="1:7" x14ac:dyDescent="0.25">
      <c r="A1" t="s">
        <v>35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37172.699999999997</v>
      </c>
      <c r="C5" s="1">
        <v>22312</v>
      </c>
      <c r="D5" s="1">
        <v>145912</v>
      </c>
      <c r="E5" s="1">
        <v>27807</v>
      </c>
      <c r="F5" s="1">
        <v>181386</v>
      </c>
      <c r="G5" s="1">
        <v>414590</v>
      </c>
    </row>
    <row r="6" spans="1:7" x14ac:dyDescent="0.25">
      <c r="A6" t="s">
        <v>6</v>
      </c>
      <c r="B6" s="1">
        <v>835960</v>
      </c>
      <c r="C6" s="1">
        <v>80204.399999999994</v>
      </c>
      <c r="D6" s="1">
        <v>1315222</v>
      </c>
      <c r="E6" s="1">
        <v>677068</v>
      </c>
      <c r="F6" s="1">
        <v>77697.7</v>
      </c>
      <c r="G6" s="1">
        <v>2986152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175365</v>
      </c>
      <c r="G7" s="1">
        <v>175365</v>
      </c>
    </row>
    <row r="8" spans="1:7" x14ac:dyDescent="0.25">
      <c r="A8" t="s">
        <v>0</v>
      </c>
      <c r="B8" s="1">
        <v>8142.31</v>
      </c>
      <c r="C8" s="1">
        <v>7366.47</v>
      </c>
      <c r="D8" s="1">
        <v>5249.3</v>
      </c>
      <c r="E8" s="1">
        <v>1462.39</v>
      </c>
      <c r="F8" s="1">
        <v>0</v>
      </c>
      <c r="G8" s="1">
        <v>22220.5</v>
      </c>
    </row>
    <row r="9" spans="1:7" x14ac:dyDescent="0.25">
      <c r="A9" t="s">
        <v>30</v>
      </c>
      <c r="B9" s="1">
        <v>106.84</v>
      </c>
      <c r="C9" s="1">
        <v>34.08</v>
      </c>
      <c r="D9" s="1">
        <v>88.5</v>
      </c>
      <c r="E9" s="1">
        <v>19.760000000000002</v>
      </c>
      <c r="F9" s="1">
        <v>0</v>
      </c>
      <c r="G9" s="1">
        <v>249.18</v>
      </c>
    </row>
    <row r="10" spans="1:7" x14ac:dyDescent="0.25">
      <c r="A10" t="s">
        <v>31</v>
      </c>
      <c r="B10" s="1">
        <v>1140.6199999999999</v>
      </c>
      <c r="C10" s="1">
        <v>7000.63</v>
      </c>
      <c r="D10" s="1">
        <v>1364.13</v>
      </c>
      <c r="E10" s="1">
        <v>468.19</v>
      </c>
      <c r="F10" s="1">
        <v>0</v>
      </c>
      <c r="G10" s="1">
        <v>9973.56</v>
      </c>
    </row>
    <row r="11" spans="1:7" x14ac:dyDescent="0.25">
      <c r="A11" t="s">
        <v>3</v>
      </c>
      <c r="B11" s="1">
        <v>1858.99</v>
      </c>
      <c r="C11" s="1">
        <v>165.3</v>
      </c>
      <c r="D11" s="1">
        <v>76.459999999999994</v>
      </c>
      <c r="E11" s="1">
        <v>17.23</v>
      </c>
      <c r="F11" s="1">
        <v>0</v>
      </c>
      <c r="G11" s="1">
        <v>2117.9899999999998</v>
      </c>
    </row>
    <row r="12" spans="1:7" x14ac:dyDescent="0.25">
      <c r="A12" t="s">
        <v>4</v>
      </c>
      <c r="B12" s="1">
        <v>11789.3</v>
      </c>
      <c r="C12" s="1">
        <v>6572.18</v>
      </c>
      <c r="D12" s="1">
        <v>7557.92</v>
      </c>
      <c r="E12" s="1">
        <v>3150.24</v>
      </c>
      <c r="F12" s="1">
        <v>0</v>
      </c>
      <c r="G12" s="1">
        <v>29069.599999999999</v>
      </c>
    </row>
    <row r="13" spans="1:7" x14ac:dyDescent="0.25">
      <c r="A13" t="s">
        <v>32</v>
      </c>
      <c r="B13" s="1">
        <v>8315.6</v>
      </c>
      <c r="C13" s="1">
        <v>3857.38</v>
      </c>
      <c r="D13" s="1">
        <v>1407.13</v>
      </c>
      <c r="E13" s="1">
        <v>530.52</v>
      </c>
      <c r="F13" s="1">
        <v>0</v>
      </c>
      <c r="G13" s="1">
        <v>14110.6</v>
      </c>
    </row>
    <row r="14" spans="1:7" x14ac:dyDescent="0.25">
      <c r="A14" t="s">
        <v>8</v>
      </c>
      <c r="B14" s="1">
        <v>904486</v>
      </c>
      <c r="C14" s="1">
        <v>127512</v>
      </c>
      <c r="D14" s="1">
        <v>1476878</v>
      </c>
      <c r="E14" s="1">
        <v>710524</v>
      </c>
      <c r="F14" s="1">
        <v>434448</v>
      </c>
      <c r="G14" s="1">
        <v>3653848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27296.7</v>
      </c>
      <c r="C19" s="1">
        <v>0</v>
      </c>
      <c r="D19" s="1">
        <v>365834</v>
      </c>
      <c r="E19" s="1">
        <v>111065</v>
      </c>
      <c r="F19" s="1">
        <v>88333.2</v>
      </c>
      <c r="G19" s="1">
        <v>592529</v>
      </c>
    </row>
    <row r="20" spans="1:7" x14ac:dyDescent="0.25">
      <c r="A20" t="s">
        <v>6</v>
      </c>
      <c r="B20" s="1">
        <v>476471</v>
      </c>
      <c r="C20" s="1">
        <v>0</v>
      </c>
      <c r="D20" s="1">
        <v>2696409</v>
      </c>
      <c r="E20" s="1">
        <v>1497578</v>
      </c>
      <c r="F20" s="1">
        <v>37495.1</v>
      </c>
      <c r="G20" s="1">
        <v>4707953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85289.7</v>
      </c>
      <c r="G21" s="1">
        <v>85289.7</v>
      </c>
    </row>
    <row r="22" spans="1:7" x14ac:dyDescent="0.25">
      <c r="A22" t="s">
        <v>0</v>
      </c>
      <c r="B22" s="1">
        <v>4757.66</v>
      </c>
      <c r="C22" s="1">
        <v>0</v>
      </c>
      <c r="D22" s="1">
        <v>9859.07</v>
      </c>
      <c r="E22" s="1">
        <v>2692.26</v>
      </c>
      <c r="F22" s="1">
        <v>0</v>
      </c>
      <c r="G22" s="1">
        <v>17309</v>
      </c>
    </row>
    <row r="23" spans="1:7" x14ac:dyDescent="0.25">
      <c r="A23" t="s">
        <v>30</v>
      </c>
      <c r="B23" s="1">
        <v>59.93</v>
      </c>
      <c r="C23" s="1">
        <v>0</v>
      </c>
      <c r="D23" s="1">
        <v>155.63</v>
      </c>
      <c r="E23" s="1">
        <v>37.81</v>
      </c>
      <c r="F23" s="1">
        <v>0</v>
      </c>
      <c r="G23" s="1">
        <v>253.37</v>
      </c>
    </row>
    <row r="24" spans="1:7" x14ac:dyDescent="0.25">
      <c r="A24" t="s">
        <v>31</v>
      </c>
      <c r="B24" s="1">
        <v>518.17999999999995</v>
      </c>
      <c r="C24" s="1">
        <v>0</v>
      </c>
      <c r="D24" s="1">
        <v>1768.53</v>
      </c>
      <c r="E24" s="1">
        <v>684.12</v>
      </c>
      <c r="F24" s="1">
        <v>0</v>
      </c>
      <c r="G24" s="1">
        <v>2970.83</v>
      </c>
    </row>
    <row r="25" spans="1:7" x14ac:dyDescent="0.25">
      <c r="A25" t="s">
        <v>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4</v>
      </c>
      <c r="B26" s="1">
        <v>5968.72</v>
      </c>
      <c r="C26" s="1">
        <v>0</v>
      </c>
      <c r="D26" s="1">
        <v>11946.5</v>
      </c>
      <c r="E26" s="1">
        <v>6006.92</v>
      </c>
      <c r="F26" s="1">
        <v>0</v>
      </c>
      <c r="G26" s="1">
        <v>23922.1</v>
      </c>
    </row>
    <row r="27" spans="1:7" x14ac:dyDescent="0.25">
      <c r="A27" t="s">
        <v>32</v>
      </c>
      <c r="B27" s="1">
        <v>2647.45</v>
      </c>
      <c r="C27" s="1">
        <v>0</v>
      </c>
      <c r="D27" s="1">
        <v>1690.98</v>
      </c>
      <c r="E27" s="1">
        <v>727.17</v>
      </c>
      <c r="F27" s="1">
        <v>0</v>
      </c>
      <c r="G27" s="1">
        <v>5065.6000000000004</v>
      </c>
    </row>
    <row r="28" spans="1:7" x14ac:dyDescent="0.25">
      <c r="A28" t="s">
        <v>8</v>
      </c>
      <c r="B28" s="1">
        <v>517720</v>
      </c>
      <c r="C28" s="1">
        <v>0</v>
      </c>
      <c r="D28" s="1">
        <v>3087664</v>
      </c>
      <c r="E28" s="1">
        <v>1618791</v>
      </c>
      <c r="F28" s="1">
        <v>211118</v>
      </c>
      <c r="G28" s="1">
        <v>5435292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64469.4</v>
      </c>
      <c r="C33" s="1">
        <v>22312</v>
      </c>
      <c r="D33" s="1">
        <v>511747</v>
      </c>
      <c r="E33" s="1">
        <v>138872</v>
      </c>
      <c r="F33" s="1">
        <v>269719</v>
      </c>
      <c r="G33" s="1">
        <v>1007119</v>
      </c>
    </row>
    <row r="34" spans="1:7" x14ac:dyDescent="0.25">
      <c r="A34" t="s">
        <v>6</v>
      </c>
      <c r="B34" s="1">
        <v>1312431</v>
      </c>
      <c r="C34" s="1">
        <v>80204.399999999994</v>
      </c>
      <c r="D34" s="1">
        <v>4011630</v>
      </c>
      <c r="E34" s="1">
        <v>2174646</v>
      </c>
      <c r="F34" s="1">
        <v>115193</v>
      </c>
      <c r="G34" s="1">
        <v>7694105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260655</v>
      </c>
      <c r="G35" s="1">
        <v>260655</v>
      </c>
    </row>
    <row r="36" spans="1:7" x14ac:dyDescent="0.25">
      <c r="A36" t="s">
        <v>0</v>
      </c>
      <c r="B36" s="1">
        <v>12900</v>
      </c>
      <c r="C36" s="1">
        <v>7366.47</v>
      </c>
      <c r="D36" s="1">
        <v>15108.4</v>
      </c>
      <c r="E36" s="1">
        <v>4154.6499999999996</v>
      </c>
      <c r="F36" s="1">
        <v>0</v>
      </c>
      <c r="G36" s="1">
        <v>39529.5</v>
      </c>
    </row>
    <row r="37" spans="1:7" x14ac:dyDescent="0.25">
      <c r="A37" t="s">
        <v>30</v>
      </c>
      <c r="B37" s="1">
        <v>166.77</v>
      </c>
      <c r="C37" s="1">
        <v>34.08</v>
      </c>
      <c r="D37" s="1">
        <v>244.13</v>
      </c>
      <c r="E37" s="1">
        <v>57.57</v>
      </c>
      <c r="F37" s="1">
        <v>0</v>
      </c>
      <c r="G37" s="1">
        <v>502.55</v>
      </c>
    </row>
    <row r="38" spans="1:7" x14ac:dyDescent="0.25">
      <c r="A38" t="s">
        <v>31</v>
      </c>
      <c r="B38" s="1">
        <v>1658.79</v>
      </c>
      <c r="C38" s="1">
        <v>7000.63</v>
      </c>
      <c r="D38" s="1">
        <v>3132.66</v>
      </c>
      <c r="E38" s="1">
        <v>1152.3</v>
      </c>
      <c r="F38" s="1">
        <v>0</v>
      </c>
      <c r="G38" s="1">
        <v>12944.4</v>
      </c>
    </row>
    <row r="39" spans="1:7" x14ac:dyDescent="0.25">
      <c r="A39" t="s">
        <v>3</v>
      </c>
      <c r="B39" s="1">
        <v>1858.99</v>
      </c>
      <c r="C39" s="1">
        <v>165.3</v>
      </c>
      <c r="D39" s="1">
        <v>76.459999999999994</v>
      </c>
      <c r="E39" s="1">
        <v>17.23</v>
      </c>
      <c r="F39" s="1">
        <v>0</v>
      </c>
      <c r="G39" s="1">
        <v>2117.9899999999998</v>
      </c>
    </row>
    <row r="40" spans="1:7" x14ac:dyDescent="0.25">
      <c r="A40" t="s">
        <v>4</v>
      </c>
      <c r="B40" s="1">
        <v>17758</v>
      </c>
      <c r="C40" s="1">
        <v>6572.18</v>
      </c>
      <c r="D40" s="1">
        <v>19504.400000000001</v>
      </c>
      <c r="E40" s="1">
        <v>9157.16</v>
      </c>
      <c r="F40" s="1">
        <v>0</v>
      </c>
      <c r="G40" s="1">
        <v>52991.8</v>
      </c>
    </row>
    <row r="41" spans="1:7" x14ac:dyDescent="0.25">
      <c r="A41" t="s">
        <v>32</v>
      </c>
      <c r="B41" s="1">
        <v>10963</v>
      </c>
      <c r="C41" s="1">
        <v>3857.38</v>
      </c>
      <c r="D41" s="1">
        <v>3098.11</v>
      </c>
      <c r="E41" s="1">
        <v>1257.69</v>
      </c>
      <c r="F41" s="1">
        <v>0</v>
      </c>
      <c r="G41" s="1">
        <v>19176.2</v>
      </c>
    </row>
    <row r="42" spans="1:7" x14ac:dyDescent="0.25">
      <c r="A42" t="s">
        <v>8</v>
      </c>
      <c r="B42" s="1">
        <v>1422206</v>
      </c>
      <c r="C42" s="1">
        <v>127512</v>
      </c>
      <c r="D42" s="1">
        <v>4564541</v>
      </c>
      <c r="E42" s="1">
        <v>2329314</v>
      </c>
      <c r="F42" s="1">
        <v>645566</v>
      </c>
      <c r="G42" s="1">
        <v>9089141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4074-81DF-43FA-B5B7-F2576CC4EB93}">
  <sheetPr>
    <tabColor rgb="FF002060"/>
  </sheetPr>
  <dimension ref="A1"/>
  <sheetViews>
    <sheetView workbookViewId="0"/>
  </sheetViews>
  <sheetFormatPr defaultRowHeight="15" x14ac:dyDescent="0.25"/>
  <sheetData>
    <row r="1" spans="1:1" x14ac:dyDescent="0.25">
      <c r="A1"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10DC-5D8A-4978-9507-F443A91BF2EA}">
  <sheetPr>
    <tabColor rgb="FF002060"/>
  </sheetPr>
  <dimension ref="A1:G42"/>
  <sheetViews>
    <sheetView workbookViewId="0">
      <selection activeCell="G20" activeCellId="1" sqref="G6 G20"/>
    </sheetView>
  </sheetViews>
  <sheetFormatPr defaultRowHeight="15" x14ac:dyDescent="0.25"/>
  <cols>
    <col min="1" max="1" width="24.710937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1.5703125" bestFit="1" customWidth="1"/>
  </cols>
  <sheetData>
    <row r="1" spans="1:7" x14ac:dyDescent="0.25">
      <c r="A1" t="s">
        <v>36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69917.7</v>
      </c>
      <c r="C5" s="1">
        <v>25923.9</v>
      </c>
      <c r="D5" s="1">
        <v>227319</v>
      </c>
      <c r="E5" s="1">
        <v>42843.1</v>
      </c>
      <c r="F5" s="1">
        <v>189443</v>
      </c>
      <c r="G5" s="1">
        <v>555447</v>
      </c>
    </row>
    <row r="6" spans="1:7" x14ac:dyDescent="0.25">
      <c r="A6" t="s">
        <v>6</v>
      </c>
      <c r="B6" s="1">
        <v>1449515</v>
      </c>
      <c r="C6" s="1">
        <v>109890</v>
      </c>
      <c r="D6" s="1">
        <v>1930699</v>
      </c>
      <c r="E6" s="1">
        <v>1077766</v>
      </c>
      <c r="F6" s="1">
        <v>99119.6</v>
      </c>
      <c r="G6" s="1">
        <v>4666991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261600</v>
      </c>
      <c r="G7" s="1">
        <v>261600</v>
      </c>
    </row>
    <row r="8" spans="1:7" x14ac:dyDescent="0.25">
      <c r="A8" t="s">
        <v>0</v>
      </c>
      <c r="B8" s="1">
        <v>6396.82</v>
      </c>
      <c r="C8" s="1">
        <v>6074.8</v>
      </c>
      <c r="D8" s="1">
        <v>4268</v>
      </c>
      <c r="E8" s="1">
        <v>1087.02</v>
      </c>
      <c r="F8" s="1">
        <v>0</v>
      </c>
      <c r="G8" s="1">
        <v>17826.599999999999</v>
      </c>
    </row>
    <row r="9" spans="1:7" x14ac:dyDescent="0.25">
      <c r="A9" t="s">
        <v>30</v>
      </c>
      <c r="B9" s="1">
        <v>14654.2</v>
      </c>
      <c r="C9" s="1">
        <v>4456.09</v>
      </c>
      <c r="D9" s="1">
        <v>12221.7</v>
      </c>
      <c r="E9" s="1">
        <v>3127.93</v>
      </c>
      <c r="F9" s="1">
        <v>0</v>
      </c>
      <c r="G9" s="1">
        <v>34459.9</v>
      </c>
    </row>
    <row r="10" spans="1:7" x14ac:dyDescent="0.25">
      <c r="A10" t="s">
        <v>31</v>
      </c>
      <c r="B10" s="1">
        <v>5159</v>
      </c>
      <c r="C10" s="1">
        <v>10274.1</v>
      </c>
      <c r="D10" s="1">
        <v>5564.12</v>
      </c>
      <c r="E10" s="1">
        <v>1423.96</v>
      </c>
      <c r="F10" s="1">
        <v>0</v>
      </c>
      <c r="G10" s="1">
        <v>22421.1</v>
      </c>
    </row>
    <row r="11" spans="1:7" x14ac:dyDescent="0.25">
      <c r="A11" t="s">
        <v>3</v>
      </c>
      <c r="B11" s="1">
        <v>2880.84</v>
      </c>
      <c r="C11" s="1">
        <v>261.02999999999997</v>
      </c>
      <c r="D11" s="1">
        <v>117.71</v>
      </c>
      <c r="E11" s="1">
        <v>21.72</v>
      </c>
      <c r="F11" s="1">
        <v>0</v>
      </c>
      <c r="G11" s="1">
        <v>3281.3</v>
      </c>
    </row>
    <row r="12" spans="1:7" x14ac:dyDescent="0.25">
      <c r="A12" t="s">
        <v>4</v>
      </c>
      <c r="B12" s="1">
        <v>25427.599999999999</v>
      </c>
      <c r="C12" s="1">
        <v>11208.5</v>
      </c>
      <c r="D12" s="1">
        <v>17293.099999999999</v>
      </c>
      <c r="E12" s="1">
        <v>4745.1099999999997</v>
      </c>
      <c r="F12" s="1">
        <v>0</v>
      </c>
      <c r="G12" s="1">
        <v>58674.3</v>
      </c>
    </row>
    <row r="13" spans="1:7" x14ac:dyDescent="0.25">
      <c r="A13" t="s">
        <v>32</v>
      </c>
      <c r="B13" s="1">
        <v>26461.7</v>
      </c>
      <c r="C13" s="1">
        <v>9873.23</v>
      </c>
      <c r="D13" s="1">
        <v>3376.12</v>
      </c>
      <c r="E13" s="1">
        <v>1072.71</v>
      </c>
      <c r="F13" s="1">
        <v>0</v>
      </c>
      <c r="G13" s="1">
        <v>40783.699999999997</v>
      </c>
    </row>
    <row r="14" spans="1:7" x14ac:dyDescent="0.25">
      <c r="A14" t="s">
        <v>8</v>
      </c>
      <c r="B14" s="1">
        <v>1600413</v>
      </c>
      <c r="C14" s="1">
        <v>177962</v>
      </c>
      <c r="D14" s="1">
        <v>2200859</v>
      </c>
      <c r="E14" s="1">
        <v>1132088</v>
      </c>
      <c r="F14" s="1">
        <v>550163</v>
      </c>
      <c r="G14" s="1">
        <v>5661484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50960.1</v>
      </c>
      <c r="C19" s="1">
        <v>0</v>
      </c>
      <c r="D19" s="1">
        <v>578604</v>
      </c>
      <c r="E19" s="1">
        <v>170708</v>
      </c>
      <c r="F19" s="1">
        <v>92257.4</v>
      </c>
      <c r="G19" s="1">
        <v>892529</v>
      </c>
    </row>
    <row r="20" spans="1:7" x14ac:dyDescent="0.25">
      <c r="A20" t="s">
        <v>6</v>
      </c>
      <c r="B20" s="1">
        <v>831417</v>
      </c>
      <c r="C20" s="1">
        <v>0</v>
      </c>
      <c r="D20" s="1">
        <v>3952314</v>
      </c>
      <c r="E20" s="1">
        <v>2389879</v>
      </c>
      <c r="F20" s="1">
        <v>47897.5</v>
      </c>
      <c r="G20" s="1">
        <v>7221507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127364</v>
      </c>
      <c r="G21" s="1">
        <v>127364</v>
      </c>
    </row>
    <row r="22" spans="1:7" x14ac:dyDescent="0.25">
      <c r="A22" t="s">
        <v>0</v>
      </c>
      <c r="B22" s="1">
        <v>3827.08</v>
      </c>
      <c r="C22" s="1">
        <v>0</v>
      </c>
      <c r="D22" s="1">
        <v>8246.35</v>
      </c>
      <c r="E22" s="1">
        <v>2115.29</v>
      </c>
      <c r="F22" s="1">
        <v>0</v>
      </c>
      <c r="G22" s="1">
        <v>14188.7</v>
      </c>
    </row>
    <row r="23" spans="1:7" x14ac:dyDescent="0.25">
      <c r="A23" t="s">
        <v>30</v>
      </c>
      <c r="B23" s="1">
        <v>6969.71</v>
      </c>
      <c r="C23" s="1">
        <v>0</v>
      </c>
      <c r="D23" s="1">
        <v>18045.900000000001</v>
      </c>
      <c r="E23" s="1">
        <v>4048.79</v>
      </c>
      <c r="F23" s="1">
        <v>0</v>
      </c>
      <c r="G23" s="1">
        <v>29064.400000000001</v>
      </c>
    </row>
    <row r="24" spans="1:7" x14ac:dyDescent="0.25">
      <c r="A24" t="s">
        <v>31</v>
      </c>
      <c r="B24" s="1">
        <v>2108.09</v>
      </c>
      <c r="C24" s="1">
        <v>0</v>
      </c>
      <c r="D24" s="1">
        <v>6832.9</v>
      </c>
      <c r="E24" s="1">
        <v>1895.78</v>
      </c>
      <c r="F24" s="1">
        <v>0</v>
      </c>
      <c r="G24" s="1">
        <v>10836.8</v>
      </c>
    </row>
    <row r="25" spans="1:7" x14ac:dyDescent="0.25">
      <c r="A25" t="s">
        <v>3</v>
      </c>
      <c r="B25" s="1">
        <v>33.21</v>
      </c>
      <c r="C25" s="1">
        <v>0</v>
      </c>
      <c r="D25" s="1">
        <v>1.66</v>
      </c>
      <c r="E25" s="1">
        <v>0.42</v>
      </c>
      <c r="F25" s="1">
        <v>0</v>
      </c>
      <c r="G25" s="1">
        <v>35.29</v>
      </c>
    </row>
    <row r="26" spans="1:7" x14ac:dyDescent="0.25">
      <c r="A26" t="s">
        <v>4</v>
      </c>
      <c r="B26" s="1">
        <v>14257.5</v>
      </c>
      <c r="C26" s="1">
        <v>0</v>
      </c>
      <c r="D26" s="1">
        <v>31127.4</v>
      </c>
      <c r="E26" s="1">
        <v>9961.75</v>
      </c>
      <c r="F26" s="1">
        <v>0</v>
      </c>
      <c r="G26" s="1">
        <v>55346.7</v>
      </c>
    </row>
    <row r="27" spans="1:7" x14ac:dyDescent="0.25">
      <c r="A27" t="s">
        <v>32</v>
      </c>
      <c r="B27" s="1">
        <v>8718.6</v>
      </c>
      <c r="C27" s="1">
        <v>0</v>
      </c>
      <c r="D27" s="1">
        <v>4216.6000000000004</v>
      </c>
      <c r="E27" s="1">
        <v>1251.51</v>
      </c>
      <c r="F27" s="1">
        <v>0</v>
      </c>
      <c r="G27" s="1">
        <v>14186.7</v>
      </c>
    </row>
    <row r="28" spans="1:7" x14ac:dyDescent="0.25">
      <c r="A28" t="s">
        <v>8</v>
      </c>
      <c r="B28" s="1">
        <v>918291</v>
      </c>
      <c r="C28" s="1">
        <v>0</v>
      </c>
      <c r="D28" s="1">
        <v>4599389</v>
      </c>
      <c r="E28" s="1">
        <v>2579860</v>
      </c>
      <c r="F28" s="1">
        <v>267519</v>
      </c>
      <c r="G28" s="1">
        <v>8365059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120878</v>
      </c>
      <c r="C33" s="1">
        <v>25923.9</v>
      </c>
      <c r="D33" s="1">
        <v>805923</v>
      </c>
      <c r="E33" s="1">
        <v>213551</v>
      </c>
      <c r="F33" s="1">
        <v>281701</v>
      </c>
      <c r="G33" s="1">
        <v>1447976</v>
      </c>
    </row>
    <row r="34" spans="1:7" x14ac:dyDescent="0.25">
      <c r="A34" t="s">
        <v>6</v>
      </c>
      <c r="B34" s="1">
        <v>2280932</v>
      </c>
      <c r="C34" s="1">
        <v>109890</v>
      </c>
      <c r="D34" s="1">
        <v>5883013</v>
      </c>
      <c r="E34" s="1">
        <v>3467645</v>
      </c>
      <c r="F34" s="1">
        <v>147017</v>
      </c>
      <c r="G34" s="1">
        <v>10000000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388964</v>
      </c>
      <c r="G35" s="1">
        <v>388964</v>
      </c>
    </row>
    <row r="36" spans="1:7" x14ac:dyDescent="0.25">
      <c r="A36" t="s">
        <v>0</v>
      </c>
      <c r="B36" s="1">
        <v>10223.9</v>
      </c>
      <c r="C36" s="1">
        <v>6074.8</v>
      </c>
      <c r="D36" s="1">
        <v>12514.4</v>
      </c>
      <c r="E36" s="1">
        <v>3202.31</v>
      </c>
      <c r="F36" s="1">
        <v>0</v>
      </c>
      <c r="G36" s="1">
        <v>32015.4</v>
      </c>
    </row>
    <row r="37" spans="1:7" x14ac:dyDescent="0.25">
      <c r="A37" t="s">
        <v>30</v>
      </c>
      <c r="B37" s="1">
        <v>21623.9</v>
      </c>
      <c r="C37" s="1">
        <v>4456.09</v>
      </c>
      <c r="D37" s="1">
        <v>30267.5</v>
      </c>
      <c r="E37" s="1">
        <v>7176.73</v>
      </c>
      <c r="F37" s="1">
        <v>0</v>
      </c>
      <c r="G37" s="1">
        <v>63524.2</v>
      </c>
    </row>
    <row r="38" spans="1:7" x14ac:dyDescent="0.25">
      <c r="A38" t="s">
        <v>31</v>
      </c>
      <c r="B38" s="1">
        <v>7267.09</v>
      </c>
      <c r="C38" s="1">
        <v>10274.1</v>
      </c>
      <c r="D38" s="1">
        <v>12397</v>
      </c>
      <c r="E38" s="1">
        <v>3319.74</v>
      </c>
      <c r="F38" s="1">
        <v>0</v>
      </c>
      <c r="G38" s="1">
        <v>33257.9</v>
      </c>
    </row>
    <row r="39" spans="1:7" x14ac:dyDescent="0.25">
      <c r="A39" t="s">
        <v>3</v>
      </c>
      <c r="B39" s="1">
        <v>2914.05</v>
      </c>
      <c r="C39" s="1">
        <v>261.02999999999997</v>
      </c>
      <c r="D39" s="1">
        <v>119.37</v>
      </c>
      <c r="E39" s="1">
        <v>22.14</v>
      </c>
      <c r="F39" s="1">
        <v>0</v>
      </c>
      <c r="G39" s="1">
        <v>3316.59</v>
      </c>
    </row>
    <row r="40" spans="1:7" x14ac:dyDescent="0.25">
      <c r="A40" t="s">
        <v>4</v>
      </c>
      <c r="B40" s="1">
        <v>39685.1</v>
      </c>
      <c r="C40" s="1">
        <v>11208.5</v>
      </c>
      <c r="D40" s="1">
        <v>48420.5</v>
      </c>
      <c r="E40" s="1">
        <v>14706.9</v>
      </c>
      <c r="F40" s="1">
        <v>0</v>
      </c>
      <c r="G40" s="1">
        <v>114021</v>
      </c>
    </row>
    <row r="41" spans="1:7" x14ac:dyDescent="0.25">
      <c r="A41" t="s">
        <v>32</v>
      </c>
      <c r="B41" s="1">
        <v>35180.300000000003</v>
      </c>
      <c r="C41" s="1">
        <v>9873.23</v>
      </c>
      <c r="D41" s="1">
        <v>7592.72</v>
      </c>
      <c r="E41" s="1">
        <v>2324.2199999999998</v>
      </c>
      <c r="F41" s="1">
        <v>0</v>
      </c>
      <c r="G41" s="1">
        <v>54970.400000000001</v>
      </c>
    </row>
    <row r="42" spans="1:7" x14ac:dyDescent="0.25">
      <c r="A42" t="s">
        <v>8</v>
      </c>
      <c r="B42" s="1">
        <v>2518704</v>
      </c>
      <c r="C42" s="1">
        <v>177962</v>
      </c>
      <c r="D42" s="1">
        <v>6800247</v>
      </c>
      <c r="E42" s="1">
        <v>3711948</v>
      </c>
      <c r="F42" s="1">
        <v>817681</v>
      </c>
      <c r="G42" s="1">
        <v>10000000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69E7-2018-404C-A7BC-4F4330752E34}">
  <sheetPr>
    <tabColor rgb="FF002060"/>
  </sheetPr>
  <dimension ref="A1:G42"/>
  <sheetViews>
    <sheetView workbookViewId="0">
      <selection activeCell="A6" sqref="A1:G1048576"/>
    </sheetView>
  </sheetViews>
  <sheetFormatPr defaultRowHeight="15" x14ac:dyDescent="0.25"/>
  <cols>
    <col min="1" max="1" width="29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1.5703125" bestFit="1" customWidth="1"/>
  </cols>
  <sheetData>
    <row r="1" spans="1:7" x14ac:dyDescent="0.25">
      <c r="A1" t="s">
        <v>37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65325.8</v>
      </c>
      <c r="C5" s="1">
        <v>25892.1</v>
      </c>
      <c r="D5" s="1">
        <v>226461</v>
      </c>
      <c r="E5" s="1">
        <v>42230.3</v>
      </c>
      <c r="F5" s="1">
        <v>189069</v>
      </c>
      <c r="G5" s="1">
        <v>548978</v>
      </c>
    </row>
    <row r="6" spans="1:7" x14ac:dyDescent="0.25">
      <c r="A6" t="s">
        <v>6</v>
      </c>
      <c r="B6" s="1">
        <v>1364486</v>
      </c>
      <c r="C6" s="1">
        <v>110127</v>
      </c>
      <c r="D6" s="1">
        <v>1931537</v>
      </c>
      <c r="E6" s="1">
        <v>1066283</v>
      </c>
      <c r="F6" s="1">
        <v>99119.5</v>
      </c>
      <c r="G6" s="1">
        <v>4571553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261979</v>
      </c>
      <c r="G7" s="1">
        <v>261979</v>
      </c>
    </row>
    <row r="8" spans="1:7" x14ac:dyDescent="0.25">
      <c r="A8" t="s">
        <v>0</v>
      </c>
      <c r="B8" s="1">
        <v>5974.86</v>
      </c>
      <c r="C8" s="1">
        <v>6071.24</v>
      </c>
      <c r="D8" s="1">
        <v>4271.7</v>
      </c>
      <c r="E8" s="1">
        <v>1073.3499999999999</v>
      </c>
      <c r="F8" s="1">
        <v>0</v>
      </c>
      <c r="G8" s="1">
        <v>17391.099999999999</v>
      </c>
    </row>
    <row r="9" spans="1:7" x14ac:dyDescent="0.25">
      <c r="A9" t="s">
        <v>30</v>
      </c>
      <c r="B9" s="1">
        <v>13726.3</v>
      </c>
      <c r="C9" s="1">
        <v>4457.76</v>
      </c>
      <c r="D9" s="1">
        <v>12243.5</v>
      </c>
      <c r="E9" s="1">
        <v>3089.46</v>
      </c>
      <c r="F9" s="1">
        <v>0</v>
      </c>
      <c r="G9" s="1">
        <v>33517</v>
      </c>
    </row>
    <row r="10" spans="1:7" x14ac:dyDescent="0.25">
      <c r="A10" t="s">
        <v>31</v>
      </c>
      <c r="B10" s="1">
        <v>4829.91</v>
      </c>
      <c r="C10" s="1">
        <v>10262.6</v>
      </c>
      <c r="D10" s="1">
        <v>5567.46</v>
      </c>
      <c r="E10" s="1">
        <v>1407</v>
      </c>
      <c r="F10" s="1">
        <v>0</v>
      </c>
      <c r="G10" s="1">
        <v>22067</v>
      </c>
    </row>
    <row r="11" spans="1:7" x14ac:dyDescent="0.25">
      <c r="A11" t="s">
        <v>3</v>
      </c>
      <c r="B11" s="1">
        <v>3190.74</v>
      </c>
      <c r="C11" s="1">
        <v>306.33</v>
      </c>
      <c r="D11" s="1">
        <v>125.43</v>
      </c>
      <c r="E11" s="1">
        <v>26.92</v>
      </c>
      <c r="F11" s="1">
        <v>0</v>
      </c>
      <c r="G11" s="1">
        <v>3649.42</v>
      </c>
    </row>
    <row r="12" spans="1:7" x14ac:dyDescent="0.25">
      <c r="A12" t="s">
        <v>4</v>
      </c>
      <c r="B12" s="1">
        <v>23348.5</v>
      </c>
      <c r="C12" s="1">
        <v>11069.4</v>
      </c>
      <c r="D12" s="1">
        <v>17243.400000000001</v>
      </c>
      <c r="E12" s="1">
        <v>4635.6000000000004</v>
      </c>
      <c r="F12" s="1">
        <v>0</v>
      </c>
      <c r="G12" s="1">
        <v>56296.9</v>
      </c>
    </row>
    <row r="13" spans="1:7" x14ac:dyDescent="0.25">
      <c r="A13" t="s">
        <v>32</v>
      </c>
      <c r="B13" s="1">
        <v>23782.3</v>
      </c>
      <c r="C13" s="1">
        <v>9775.33</v>
      </c>
      <c r="D13" s="1">
        <v>3355.82</v>
      </c>
      <c r="E13" s="1">
        <v>1044.6600000000001</v>
      </c>
      <c r="F13" s="1">
        <v>0</v>
      </c>
      <c r="G13" s="1">
        <v>37958.1</v>
      </c>
    </row>
    <row r="14" spans="1:7" x14ac:dyDescent="0.25">
      <c r="A14" t="s">
        <v>8</v>
      </c>
      <c r="B14" s="1">
        <v>1504665</v>
      </c>
      <c r="C14" s="1">
        <v>177962</v>
      </c>
      <c r="D14" s="1">
        <v>2200806</v>
      </c>
      <c r="E14" s="1">
        <v>1119791</v>
      </c>
      <c r="F14" s="1">
        <v>550167</v>
      </c>
      <c r="G14" s="1">
        <v>5553390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47731.1</v>
      </c>
      <c r="C19" s="1">
        <v>0</v>
      </c>
      <c r="D19" s="1">
        <v>576825</v>
      </c>
      <c r="E19" s="1">
        <v>168386</v>
      </c>
      <c r="F19" s="1">
        <v>92075.8</v>
      </c>
      <c r="G19" s="1">
        <v>885018</v>
      </c>
    </row>
    <row r="20" spans="1:7" x14ac:dyDescent="0.25">
      <c r="A20" t="s">
        <v>6</v>
      </c>
      <c r="B20" s="1">
        <v>783611</v>
      </c>
      <c r="C20" s="1">
        <v>0</v>
      </c>
      <c r="D20" s="1">
        <v>3953917</v>
      </c>
      <c r="E20" s="1">
        <v>2364295</v>
      </c>
      <c r="F20" s="1">
        <v>47893.9</v>
      </c>
      <c r="G20" s="1">
        <v>7149716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127545</v>
      </c>
      <c r="G21" s="1">
        <v>127545</v>
      </c>
    </row>
    <row r="22" spans="1:7" x14ac:dyDescent="0.25">
      <c r="A22" t="s">
        <v>0</v>
      </c>
      <c r="B22" s="1">
        <v>3580.55</v>
      </c>
      <c r="C22" s="1">
        <v>0</v>
      </c>
      <c r="D22" s="1">
        <v>8252.11</v>
      </c>
      <c r="E22" s="1">
        <v>2089.84</v>
      </c>
      <c r="F22" s="1">
        <v>0</v>
      </c>
      <c r="G22" s="1">
        <v>13922.5</v>
      </c>
    </row>
    <row r="23" spans="1:7" x14ac:dyDescent="0.25">
      <c r="A23" t="s">
        <v>30</v>
      </c>
      <c r="B23" s="1">
        <v>6554.34</v>
      </c>
      <c r="C23" s="1">
        <v>0</v>
      </c>
      <c r="D23" s="1">
        <v>18068.900000000001</v>
      </c>
      <c r="E23" s="1">
        <v>3996.2</v>
      </c>
      <c r="F23" s="1">
        <v>0</v>
      </c>
      <c r="G23" s="1">
        <v>28619.4</v>
      </c>
    </row>
    <row r="24" spans="1:7" x14ac:dyDescent="0.25">
      <c r="A24" t="s">
        <v>31</v>
      </c>
      <c r="B24" s="1">
        <v>1988.88</v>
      </c>
      <c r="C24" s="1">
        <v>0</v>
      </c>
      <c r="D24" s="1">
        <v>6839.87</v>
      </c>
      <c r="E24" s="1">
        <v>1873.45</v>
      </c>
      <c r="F24" s="1">
        <v>0</v>
      </c>
      <c r="G24" s="1">
        <v>10702.2</v>
      </c>
    </row>
    <row r="25" spans="1:7" x14ac:dyDescent="0.25">
      <c r="A25" t="s">
        <v>3</v>
      </c>
      <c r="B25" s="1">
        <v>32.869999999999997</v>
      </c>
      <c r="C25" s="1">
        <v>0</v>
      </c>
      <c r="D25" s="1">
        <v>1.66</v>
      </c>
      <c r="E25" s="1">
        <v>0.42</v>
      </c>
      <c r="F25" s="1">
        <v>0</v>
      </c>
      <c r="G25" s="1">
        <v>34.950000000000003</v>
      </c>
    </row>
    <row r="26" spans="1:7" x14ac:dyDescent="0.25">
      <c r="A26" t="s">
        <v>4</v>
      </c>
      <c r="B26" s="1">
        <v>13301.3</v>
      </c>
      <c r="C26" s="1">
        <v>0</v>
      </c>
      <c r="D26" s="1">
        <v>31174.2</v>
      </c>
      <c r="E26" s="1">
        <v>9802.9</v>
      </c>
      <c r="F26" s="1">
        <v>0</v>
      </c>
      <c r="G26" s="1">
        <v>54278.400000000001</v>
      </c>
    </row>
    <row r="27" spans="1:7" x14ac:dyDescent="0.25">
      <c r="A27" t="s">
        <v>32</v>
      </c>
      <c r="B27" s="1">
        <v>8162.34</v>
      </c>
      <c r="C27" s="1">
        <v>0</v>
      </c>
      <c r="D27" s="1">
        <v>4250.17</v>
      </c>
      <c r="E27" s="1">
        <v>1243.23</v>
      </c>
      <c r="F27" s="1">
        <v>0</v>
      </c>
      <c r="G27" s="1">
        <v>13655.7</v>
      </c>
    </row>
    <row r="28" spans="1:7" x14ac:dyDescent="0.25">
      <c r="A28" t="s">
        <v>8</v>
      </c>
      <c r="B28" s="1">
        <v>864962</v>
      </c>
      <c r="C28" s="1">
        <v>0</v>
      </c>
      <c r="D28" s="1">
        <v>4599329</v>
      </c>
      <c r="E28" s="1">
        <v>2551687</v>
      </c>
      <c r="F28" s="1">
        <v>267515</v>
      </c>
      <c r="G28" s="1">
        <v>8283493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113057</v>
      </c>
      <c r="C33" s="1">
        <v>25892.1</v>
      </c>
      <c r="D33" s="1">
        <v>803286</v>
      </c>
      <c r="E33" s="1">
        <v>210616</v>
      </c>
      <c r="F33" s="1">
        <v>281145</v>
      </c>
      <c r="G33" s="1">
        <v>1433996</v>
      </c>
    </row>
    <row r="34" spans="1:7" x14ac:dyDescent="0.25">
      <c r="A34" t="s">
        <v>6</v>
      </c>
      <c r="B34" s="1">
        <v>2148097</v>
      </c>
      <c r="C34" s="1">
        <v>110127</v>
      </c>
      <c r="D34" s="1">
        <v>5885454</v>
      </c>
      <c r="E34" s="1">
        <v>3430578</v>
      </c>
      <c r="F34" s="1">
        <v>147013</v>
      </c>
      <c r="G34" s="1">
        <v>10000000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389525</v>
      </c>
      <c r="G35" s="1">
        <v>389525</v>
      </c>
    </row>
    <row r="36" spans="1:7" x14ac:dyDescent="0.25">
      <c r="A36" t="s">
        <v>0</v>
      </c>
      <c r="B36" s="1">
        <v>9555.41</v>
      </c>
      <c r="C36" s="1">
        <v>6071.24</v>
      </c>
      <c r="D36" s="1">
        <v>12523.8</v>
      </c>
      <c r="E36" s="1">
        <v>3163.19</v>
      </c>
      <c r="F36" s="1">
        <v>0</v>
      </c>
      <c r="G36" s="1">
        <v>31313.599999999999</v>
      </c>
    </row>
    <row r="37" spans="1:7" x14ac:dyDescent="0.25">
      <c r="A37" t="s">
        <v>30</v>
      </c>
      <c r="B37" s="1">
        <v>20280.599999999999</v>
      </c>
      <c r="C37" s="1">
        <v>4457.76</v>
      </c>
      <c r="D37" s="1">
        <v>30312.400000000001</v>
      </c>
      <c r="E37" s="1">
        <v>7085.66</v>
      </c>
      <c r="F37" s="1">
        <v>0</v>
      </c>
      <c r="G37" s="1">
        <v>62136.4</v>
      </c>
    </row>
    <row r="38" spans="1:7" x14ac:dyDescent="0.25">
      <c r="A38" t="s">
        <v>31</v>
      </c>
      <c r="B38" s="1">
        <v>6818.79</v>
      </c>
      <c r="C38" s="1">
        <v>10262.6</v>
      </c>
      <c r="D38" s="1">
        <v>12407.3</v>
      </c>
      <c r="E38" s="1">
        <v>3280.45</v>
      </c>
      <c r="F38" s="1">
        <v>0</v>
      </c>
      <c r="G38" s="1">
        <v>32769.199999999997</v>
      </c>
    </row>
    <row r="39" spans="1:7" x14ac:dyDescent="0.25">
      <c r="A39" t="s">
        <v>3</v>
      </c>
      <c r="B39" s="1">
        <v>3223.61</v>
      </c>
      <c r="C39" s="1">
        <v>306.33</v>
      </c>
      <c r="D39" s="1">
        <v>127.09</v>
      </c>
      <c r="E39" s="1">
        <v>27.33</v>
      </c>
      <c r="F39" s="1">
        <v>0</v>
      </c>
      <c r="G39" s="1">
        <v>3684.37</v>
      </c>
    </row>
    <row r="40" spans="1:7" x14ac:dyDescent="0.25">
      <c r="A40" t="s">
        <v>4</v>
      </c>
      <c r="B40" s="1">
        <v>36649.800000000003</v>
      </c>
      <c r="C40" s="1">
        <v>11069.4</v>
      </c>
      <c r="D40" s="1">
        <v>48417.599999999999</v>
      </c>
      <c r="E40" s="1">
        <v>14438.5</v>
      </c>
      <c r="F40" s="1">
        <v>0</v>
      </c>
      <c r="G40" s="1">
        <v>110575</v>
      </c>
    </row>
    <row r="41" spans="1:7" x14ac:dyDescent="0.25">
      <c r="A41" t="s">
        <v>32</v>
      </c>
      <c r="B41" s="1">
        <v>31944.6</v>
      </c>
      <c r="C41" s="1">
        <v>9775.33</v>
      </c>
      <c r="D41" s="1">
        <v>7605.99</v>
      </c>
      <c r="E41" s="1">
        <v>2287.89</v>
      </c>
      <c r="F41" s="1">
        <v>0</v>
      </c>
      <c r="G41" s="1">
        <v>51613.9</v>
      </c>
    </row>
    <row r="42" spans="1:7" x14ac:dyDescent="0.25">
      <c r="A42" t="s">
        <v>8</v>
      </c>
      <c r="B42" s="1">
        <v>2369627</v>
      </c>
      <c r="C42" s="1">
        <v>177962</v>
      </c>
      <c r="D42" s="1">
        <v>6800134</v>
      </c>
      <c r="E42" s="1">
        <v>3671477</v>
      </c>
      <c r="F42" s="1">
        <v>817683</v>
      </c>
      <c r="G42" s="1">
        <v>10000000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1F71-6973-4B0B-9C34-877DEB571F1B}">
  <sheetPr>
    <tabColor rgb="FF002060"/>
  </sheetPr>
  <dimension ref="A1:G42"/>
  <sheetViews>
    <sheetView workbookViewId="0">
      <selection sqref="A1:G1048576"/>
    </sheetView>
  </sheetViews>
  <sheetFormatPr defaultRowHeight="15" x14ac:dyDescent="0.25"/>
  <cols>
    <col min="1" max="1" width="25.28515625" bestFit="1" customWidth="1"/>
    <col min="2" max="2" width="10.5703125" bestFit="1" customWidth="1"/>
    <col min="3" max="3" width="9" bestFit="1" customWidth="1"/>
    <col min="4" max="5" width="10.5703125" bestFit="1" customWidth="1"/>
    <col min="6" max="6" width="9" bestFit="1" customWidth="1"/>
    <col min="7" max="7" width="11.5703125" bestFit="1" customWidth="1"/>
  </cols>
  <sheetData>
    <row r="1" spans="1:7" x14ac:dyDescent="0.25">
      <c r="A1" t="s">
        <v>38</v>
      </c>
    </row>
    <row r="3" spans="1:7" x14ac:dyDescent="0.25">
      <c r="A3" t="s">
        <v>9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 x14ac:dyDescent="0.25">
      <c r="A5" t="s">
        <v>7</v>
      </c>
      <c r="B5" s="1">
        <v>60845.2</v>
      </c>
      <c r="C5" s="1">
        <v>25861.8</v>
      </c>
      <c r="D5" s="1">
        <v>225606</v>
      </c>
      <c r="E5" s="1">
        <v>41630.400000000001</v>
      </c>
      <c r="F5" s="1">
        <v>188690</v>
      </c>
      <c r="G5" s="1">
        <v>542633</v>
      </c>
    </row>
    <row r="6" spans="1:7" x14ac:dyDescent="0.25">
      <c r="A6" t="s">
        <v>6</v>
      </c>
      <c r="B6" s="1">
        <v>1281252</v>
      </c>
      <c r="C6" s="1">
        <v>110266</v>
      </c>
      <c r="D6" s="1">
        <v>1932229</v>
      </c>
      <c r="E6" s="1">
        <v>1054721</v>
      </c>
      <c r="F6" s="1">
        <v>99117.7</v>
      </c>
      <c r="G6" s="1">
        <v>4477585</v>
      </c>
    </row>
    <row r="7" spans="1:7" x14ac:dyDescent="0.25">
      <c r="A7" t="s">
        <v>21</v>
      </c>
      <c r="B7" s="1">
        <v>0</v>
      </c>
      <c r="C7" s="1">
        <v>0</v>
      </c>
      <c r="D7" s="1">
        <v>0</v>
      </c>
      <c r="E7" s="1">
        <v>0</v>
      </c>
      <c r="F7" s="1">
        <v>262365</v>
      </c>
      <c r="G7" s="1">
        <v>262365</v>
      </c>
    </row>
    <row r="8" spans="1:7" x14ac:dyDescent="0.25">
      <c r="A8" t="s">
        <v>0</v>
      </c>
      <c r="B8" s="1">
        <v>5584.06</v>
      </c>
      <c r="C8" s="1">
        <v>6089.61</v>
      </c>
      <c r="D8" s="1">
        <v>4276.7299999999996</v>
      </c>
      <c r="E8" s="1">
        <v>1063.3800000000001</v>
      </c>
      <c r="F8" s="1">
        <v>0</v>
      </c>
      <c r="G8" s="1">
        <v>17013.8</v>
      </c>
    </row>
    <row r="9" spans="1:7" x14ac:dyDescent="0.25">
      <c r="A9" t="s">
        <v>30</v>
      </c>
      <c r="B9" s="1">
        <v>12849.1</v>
      </c>
      <c r="C9" s="1">
        <v>4439.96</v>
      </c>
      <c r="D9" s="1">
        <v>12259.7</v>
      </c>
      <c r="E9" s="1">
        <v>3051.6</v>
      </c>
      <c r="F9" s="1">
        <v>0</v>
      </c>
      <c r="G9" s="1">
        <v>32600.3</v>
      </c>
    </row>
    <row r="10" spans="1:7" x14ac:dyDescent="0.25">
      <c r="A10" t="s">
        <v>31</v>
      </c>
      <c r="B10" s="1">
        <v>4536.3100000000004</v>
      </c>
      <c r="C10" s="1">
        <v>10249.4</v>
      </c>
      <c r="D10" s="1">
        <v>5569.92</v>
      </c>
      <c r="E10" s="1">
        <v>1391.16</v>
      </c>
      <c r="F10" s="1">
        <v>0</v>
      </c>
      <c r="G10" s="1">
        <v>21746.7</v>
      </c>
    </row>
    <row r="11" spans="1:7" x14ac:dyDescent="0.25">
      <c r="A11" t="s">
        <v>3</v>
      </c>
      <c r="B11" s="1">
        <v>3517.9</v>
      </c>
      <c r="C11" s="1">
        <v>419.4</v>
      </c>
      <c r="D11" s="1">
        <v>160.24</v>
      </c>
      <c r="E11" s="1">
        <v>33.07</v>
      </c>
      <c r="F11" s="1">
        <v>0</v>
      </c>
      <c r="G11" s="1">
        <v>4130.6099999999997</v>
      </c>
    </row>
    <row r="12" spans="1:7" x14ac:dyDescent="0.25">
      <c r="A12" t="s">
        <v>4</v>
      </c>
      <c r="B12" s="1">
        <v>21464</v>
      </c>
      <c r="C12" s="1">
        <v>10951.9</v>
      </c>
      <c r="D12" s="1">
        <v>17182.3</v>
      </c>
      <c r="E12" s="1">
        <v>4522.09</v>
      </c>
      <c r="F12" s="1">
        <v>0</v>
      </c>
      <c r="G12" s="1">
        <v>54120.2</v>
      </c>
    </row>
    <row r="13" spans="1:7" x14ac:dyDescent="0.25">
      <c r="A13" t="s">
        <v>32</v>
      </c>
      <c r="B13" s="1">
        <v>21617.599999999999</v>
      </c>
      <c r="C13" s="1">
        <v>9683.56</v>
      </c>
      <c r="D13" s="1">
        <v>3344.51</v>
      </c>
      <c r="E13" s="1">
        <v>1019.19</v>
      </c>
      <c r="F13" s="1">
        <v>0</v>
      </c>
      <c r="G13" s="1">
        <v>35664.9</v>
      </c>
    </row>
    <row r="14" spans="1:7" x14ac:dyDescent="0.25">
      <c r="A14" t="s">
        <v>8</v>
      </c>
      <c r="B14" s="1">
        <v>1411666</v>
      </c>
      <c r="C14" s="1">
        <v>177962</v>
      </c>
      <c r="D14" s="1">
        <v>2200629</v>
      </c>
      <c r="E14" s="1">
        <v>1107432</v>
      </c>
      <c r="F14" s="1">
        <v>550172</v>
      </c>
      <c r="G14" s="1">
        <v>5447860</v>
      </c>
    </row>
    <row r="17" spans="1:7" x14ac:dyDescent="0.25">
      <c r="A17" t="s">
        <v>10</v>
      </c>
    </row>
    <row r="18" spans="1:7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</row>
    <row r="19" spans="1:7" x14ac:dyDescent="0.25">
      <c r="A19" t="s">
        <v>7</v>
      </c>
      <c r="B19" s="1">
        <v>44487.9</v>
      </c>
      <c r="C19" s="1">
        <v>0</v>
      </c>
      <c r="D19" s="1">
        <v>575027</v>
      </c>
      <c r="E19" s="1">
        <v>166102</v>
      </c>
      <c r="F19" s="1">
        <v>91890.7</v>
      </c>
      <c r="G19" s="1">
        <v>877507</v>
      </c>
    </row>
    <row r="20" spans="1:7" x14ac:dyDescent="0.25">
      <c r="A20" t="s">
        <v>6</v>
      </c>
      <c r="B20" s="1">
        <v>733660</v>
      </c>
      <c r="C20" s="1">
        <v>0</v>
      </c>
      <c r="D20" s="1">
        <v>3955519</v>
      </c>
      <c r="E20" s="1">
        <v>2338335</v>
      </c>
      <c r="F20" s="1">
        <v>47884.800000000003</v>
      </c>
      <c r="G20" s="1">
        <v>7075399</v>
      </c>
    </row>
    <row r="21" spans="1:7" x14ac:dyDescent="0.25">
      <c r="A2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127725</v>
      </c>
      <c r="G21" s="1">
        <v>127725</v>
      </c>
    </row>
    <row r="22" spans="1:7" x14ac:dyDescent="0.25">
      <c r="A22" t="s">
        <v>0</v>
      </c>
      <c r="B22" s="1">
        <v>3315.01</v>
      </c>
      <c r="C22" s="1">
        <v>0</v>
      </c>
      <c r="D22" s="1">
        <v>8265.61</v>
      </c>
      <c r="E22" s="1">
        <v>2068.37</v>
      </c>
      <c r="F22" s="1">
        <v>0</v>
      </c>
      <c r="G22" s="1">
        <v>13649</v>
      </c>
    </row>
    <row r="23" spans="1:7" x14ac:dyDescent="0.25">
      <c r="A23" t="s">
        <v>30</v>
      </c>
      <c r="B23" s="1">
        <v>6098.1</v>
      </c>
      <c r="C23" s="1">
        <v>0</v>
      </c>
      <c r="D23" s="1">
        <v>18086</v>
      </c>
      <c r="E23" s="1">
        <v>3944.1</v>
      </c>
      <c r="F23" s="1">
        <v>0</v>
      </c>
      <c r="G23" s="1">
        <v>28128.2</v>
      </c>
    </row>
    <row r="24" spans="1:7" x14ac:dyDescent="0.25">
      <c r="A24" t="s">
        <v>31</v>
      </c>
      <c r="B24" s="1">
        <v>1858.36</v>
      </c>
      <c r="C24" s="1">
        <v>0</v>
      </c>
      <c r="D24" s="1">
        <v>6850.16</v>
      </c>
      <c r="E24" s="1">
        <v>1852.6</v>
      </c>
      <c r="F24" s="1">
        <v>0</v>
      </c>
      <c r="G24" s="1">
        <v>10561.1</v>
      </c>
    </row>
    <row r="25" spans="1:7" x14ac:dyDescent="0.25">
      <c r="A25" t="s">
        <v>3</v>
      </c>
      <c r="B25" s="1">
        <v>32.369999999999997</v>
      </c>
      <c r="C25" s="1">
        <v>0</v>
      </c>
      <c r="D25" s="1">
        <v>1.66</v>
      </c>
      <c r="E25" s="1">
        <v>0.41</v>
      </c>
      <c r="F25" s="1">
        <v>0</v>
      </c>
      <c r="G25" s="1">
        <v>34.44</v>
      </c>
    </row>
    <row r="26" spans="1:7" x14ac:dyDescent="0.25">
      <c r="A26" t="s">
        <v>4</v>
      </c>
      <c r="B26" s="1">
        <v>12219.7</v>
      </c>
      <c r="C26" s="1">
        <v>0</v>
      </c>
      <c r="D26" s="1">
        <v>31181</v>
      </c>
      <c r="E26" s="1">
        <v>9631.92</v>
      </c>
      <c r="F26" s="1">
        <v>0</v>
      </c>
      <c r="G26" s="1">
        <v>53032.6</v>
      </c>
    </row>
    <row r="27" spans="1:7" x14ac:dyDescent="0.25">
      <c r="A27" t="s">
        <v>32</v>
      </c>
      <c r="B27" s="1">
        <v>7473.86</v>
      </c>
      <c r="C27" s="1">
        <v>0</v>
      </c>
      <c r="D27" s="1">
        <v>4284.3</v>
      </c>
      <c r="E27" s="1">
        <v>1230.27</v>
      </c>
      <c r="F27" s="1">
        <v>0</v>
      </c>
      <c r="G27" s="1">
        <v>12988.4</v>
      </c>
    </row>
    <row r="28" spans="1:7" x14ac:dyDescent="0.25">
      <c r="A28" t="s">
        <v>8</v>
      </c>
      <c r="B28" s="1">
        <v>809146</v>
      </c>
      <c r="C28" s="1">
        <v>0</v>
      </c>
      <c r="D28" s="1">
        <v>4599215</v>
      </c>
      <c r="E28" s="1">
        <v>2523164</v>
      </c>
      <c r="F28" s="1">
        <v>267500</v>
      </c>
      <c r="G28" s="1">
        <v>8199025</v>
      </c>
    </row>
    <row r="31" spans="1:7" x14ac:dyDescent="0.25">
      <c r="A31" t="s">
        <v>11</v>
      </c>
    </row>
    <row r="32" spans="1:7" x14ac:dyDescent="0.2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</row>
    <row r="33" spans="1:7" x14ac:dyDescent="0.25">
      <c r="A33" t="s">
        <v>7</v>
      </c>
      <c r="B33" s="1">
        <v>105333</v>
      </c>
      <c r="C33" s="1">
        <v>25861.8</v>
      </c>
      <c r="D33" s="1">
        <v>800633</v>
      </c>
      <c r="E33" s="1">
        <v>207732</v>
      </c>
      <c r="F33" s="1">
        <v>280580</v>
      </c>
      <c r="G33" s="1">
        <v>1420140</v>
      </c>
    </row>
    <row r="34" spans="1:7" x14ac:dyDescent="0.25">
      <c r="A34" t="s">
        <v>6</v>
      </c>
      <c r="B34" s="1">
        <v>2014912</v>
      </c>
      <c r="C34" s="1">
        <v>110266</v>
      </c>
      <c r="D34" s="1">
        <v>5887748</v>
      </c>
      <c r="E34" s="1">
        <v>3393055</v>
      </c>
      <c r="F34" s="1">
        <v>147003</v>
      </c>
      <c r="G34" s="1">
        <v>10000000</v>
      </c>
    </row>
    <row r="35" spans="1:7" x14ac:dyDescent="0.25">
      <c r="A35" t="s">
        <v>21</v>
      </c>
      <c r="B35" s="1">
        <v>0</v>
      </c>
      <c r="C35" s="1">
        <v>0</v>
      </c>
      <c r="D35" s="1">
        <v>0</v>
      </c>
      <c r="E35" s="1">
        <v>0</v>
      </c>
      <c r="F35" s="1">
        <v>390090</v>
      </c>
      <c r="G35" s="1">
        <v>390090</v>
      </c>
    </row>
    <row r="36" spans="1:7" x14ac:dyDescent="0.25">
      <c r="A36" t="s">
        <v>0</v>
      </c>
      <c r="B36" s="1">
        <v>8899.07</v>
      </c>
      <c r="C36" s="1">
        <v>6089.61</v>
      </c>
      <c r="D36" s="1">
        <v>12542.3</v>
      </c>
      <c r="E36" s="1">
        <v>3131.75</v>
      </c>
      <c r="F36" s="1">
        <v>0</v>
      </c>
      <c r="G36" s="1">
        <v>30662.799999999999</v>
      </c>
    </row>
    <row r="37" spans="1:7" x14ac:dyDescent="0.25">
      <c r="A37" t="s">
        <v>30</v>
      </c>
      <c r="B37" s="1">
        <v>18947.2</v>
      </c>
      <c r="C37" s="1">
        <v>4439.96</v>
      </c>
      <c r="D37" s="1">
        <v>30345.599999999999</v>
      </c>
      <c r="E37" s="1">
        <v>6995.69</v>
      </c>
      <c r="F37" s="1">
        <v>0</v>
      </c>
      <c r="G37" s="1">
        <v>60728.4</v>
      </c>
    </row>
    <row r="38" spans="1:7" x14ac:dyDescent="0.25">
      <c r="A38" t="s">
        <v>31</v>
      </c>
      <c r="B38" s="1">
        <v>6394.67</v>
      </c>
      <c r="C38" s="1">
        <v>10249.4</v>
      </c>
      <c r="D38" s="1">
        <v>12420.1</v>
      </c>
      <c r="E38" s="1">
        <v>3243.75</v>
      </c>
      <c r="F38" s="1">
        <v>0</v>
      </c>
      <c r="G38" s="1">
        <v>32307.9</v>
      </c>
    </row>
    <row r="39" spans="1:7" x14ac:dyDescent="0.25">
      <c r="A39" t="s">
        <v>3</v>
      </c>
      <c r="B39" s="1">
        <v>3550.27</v>
      </c>
      <c r="C39" s="1">
        <v>419.4</v>
      </c>
      <c r="D39" s="1">
        <v>161.88999999999999</v>
      </c>
      <c r="E39" s="1">
        <v>33.479999999999997</v>
      </c>
      <c r="F39" s="1">
        <v>0</v>
      </c>
      <c r="G39" s="1">
        <v>4165.04</v>
      </c>
    </row>
    <row r="40" spans="1:7" x14ac:dyDescent="0.25">
      <c r="A40" t="s">
        <v>4</v>
      </c>
      <c r="B40" s="1">
        <v>33683.699999999997</v>
      </c>
      <c r="C40" s="1">
        <v>10951.9</v>
      </c>
      <c r="D40" s="1">
        <v>48363.3</v>
      </c>
      <c r="E40" s="1">
        <v>14154</v>
      </c>
      <c r="F40" s="1">
        <v>0</v>
      </c>
      <c r="G40" s="1">
        <v>107153</v>
      </c>
    </row>
    <row r="41" spans="1:7" x14ac:dyDescent="0.25">
      <c r="A41" t="s">
        <v>32</v>
      </c>
      <c r="B41" s="1">
        <v>29091.5</v>
      </c>
      <c r="C41" s="1">
        <v>9683.56</v>
      </c>
      <c r="D41" s="1">
        <v>7628.82</v>
      </c>
      <c r="E41" s="1">
        <v>2249.46</v>
      </c>
      <c r="F41" s="1">
        <v>0</v>
      </c>
      <c r="G41" s="1">
        <v>48653.3</v>
      </c>
    </row>
    <row r="42" spans="1:7" x14ac:dyDescent="0.25">
      <c r="A42" t="s">
        <v>8</v>
      </c>
      <c r="B42" s="1">
        <v>2220812</v>
      </c>
      <c r="C42" s="1">
        <v>177962</v>
      </c>
      <c r="D42" s="1">
        <v>6799843</v>
      </c>
      <c r="E42" s="1">
        <v>3630596</v>
      </c>
      <c r="F42" s="1">
        <v>817672</v>
      </c>
      <c r="G42" s="1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Summary 2019</vt:lpstr>
      <vt:lpstr>Summary 2050</vt:lpstr>
      <vt:lpstr>Base_2019</vt:lpstr>
      <vt:lpstr>Low_2019</vt:lpstr>
      <vt:lpstr>Med_2019</vt:lpstr>
      <vt:lpstr>High_2019</vt:lpstr>
      <vt:lpstr>Base_2050</vt:lpstr>
      <vt:lpstr>Low_2050</vt:lpstr>
      <vt:lpstr>Med_2050</vt:lpstr>
      <vt:lpstr>High_2050</vt:lpstr>
      <vt:lpstr>Base_2019</vt:lpstr>
      <vt:lpstr>High_2019</vt:lpstr>
      <vt:lpstr>Low_2019</vt:lpstr>
      <vt:lpstr>Med_2019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Suzie Swim</cp:lastModifiedBy>
  <dcterms:created xsi:type="dcterms:W3CDTF">2021-02-09T17:36:28Z</dcterms:created>
  <dcterms:modified xsi:type="dcterms:W3CDTF">2021-02-10T01:03:26Z</dcterms:modified>
</cp:coreProperties>
</file>