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del\Projects\1 - WFRC\20010 - RTP - 2023-2050\01_External Forces\05_Telecommuting\Summary\Mode Shares\"/>
    </mc:Choice>
  </mc:AlternateContent>
  <xr:revisionPtr revIDLastSave="0" documentId="13_ncr:1_{690C1BCF-8730-4006-BC26-AD2C00F09051}" xr6:coauthVersionLast="45" xr6:coauthVersionMax="45" xr10:uidLastSave="{00000000-0000-0000-0000-000000000000}"/>
  <bookViews>
    <workbookView xWindow="3990" yWindow="1125" windowWidth="20625" windowHeight="13695" xr2:uid="{00000000-000D-0000-FFFF-FFFF00000000}"/>
  </bookViews>
  <sheets>
    <sheet name="Summary" sheetId="11" r:id="rId1"/>
    <sheet name="Summary 2019" sheetId="10" r:id="rId2"/>
    <sheet name="Summary 2050" sheetId="2" r:id="rId3"/>
    <sheet name="Base_2019" sheetId="1" r:id="rId4"/>
    <sheet name="Low_2019" sheetId="3" r:id="rId5"/>
    <sheet name="Med_2019" sheetId="4" r:id="rId6"/>
    <sheet name="High_2019" sheetId="5" r:id="rId7"/>
    <sheet name="Base_2050" sheetId="6" r:id="rId8"/>
    <sheet name="Low_2050" sheetId="7" r:id="rId9"/>
    <sheet name="Med_2050" sheetId="8" r:id="rId10"/>
    <sheet name="High_2050" sheetId="9" r:id="rId11"/>
  </sheets>
  <definedNames>
    <definedName name="Base_2019">Base_2019!$1:$1048576</definedName>
    <definedName name="High_2019">High_2019!$1:$1048576</definedName>
    <definedName name="Low_2019">Low_2019!$1:$1048576</definedName>
    <definedName name="Med_2019">Med_2019!$1:$1048576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8" i="10" l="1"/>
  <c r="M28" i="10"/>
  <c r="L28" i="10"/>
  <c r="J28" i="10"/>
  <c r="I28" i="10"/>
  <c r="H28" i="10"/>
  <c r="F28" i="10"/>
  <c r="E28" i="10"/>
  <c r="D28" i="10"/>
  <c r="N42" i="10"/>
  <c r="M42" i="10"/>
  <c r="L42" i="10"/>
  <c r="J42" i="10"/>
  <c r="I42" i="10"/>
  <c r="H42" i="10"/>
  <c r="F42" i="10"/>
  <c r="E42" i="10"/>
  <c r="D42" i="10"/>
  <c r="AB42" i="10"/>
  <c r="AA42" i="10"/>
  <c r="Z42" i="10"/>
  <c r="X42" i="10"/>
  <c r="W42" i="10"/>
  <c r="V42" i="10"/>
  <c r="T42" i="10"/>
  <c r="S42" i="10"/>
  <c r="R42" i="10"/>
  <c r="AB28" i="10"/>
  <c r="AA28" i="10"/>
  <c r="Z28" i="10"/>
  <c r="X28" i="10"/>
  <c r="W28" i="10"/>
  <c r="V28" i="10"/>
  <c r="T28" i="10"/>
  <c r="S28" i="10"/>
  <c r="R28" i="10"/>
  <c r="AB14" i="10"/>
  <c r="AA14" i="10"/>
  <c r="Z14" i="10"/>
  <c r="X14" i="10"/>
  <c r="W14" i="10"/>
  <c r="V14" i="10"/>
  <c r="T14" i="10"/>
  <c r="S14" i="10"/>
  <c r="R14" i="10"/>
  <c r="N14" i="10"/>
  <c r="M14" i="10"/>
  <c r="L14" i="10"/>
  <c r="J14" i="10"/>
  <c r="I14" i="10"/>
  <c r="H14" i="10"/>
  <c r="F14" i="10"/>
  <c r="E14" i="10"/>
  <c r="D14" i="10"/>
  <c r="R59" i="11" l="1"/>
  <c r="Q59" i="11"/>
  <c r="P59" i="11"/>
  <c r="R58" i="11"/>
  <c r="Q58" i="11"/>
  <c r="P58" i="11"/>
  <c r="R57" i="11"/>
  <c r="Q57" i="11"/>
  <c r="P57" i="11"/>
  <c r="R55" i="11"/>
  <c r="Q55" i="11"/>
  <c r="P55" i="11"/>
  <c r="R54" i="11"/>
  <c r="Q54" i="11"/>
  <c r="P54" i="11"/>
  <c r="R53" i="11"/>
  <c r="Q53" i="11"/>
  <c r="P53" i="11"/>
  <c r="R51" i="11"/>
  <c r="Q51" i="11"/>
  <c r="P51" i="11"/>
  <c r="R50" i="11"/>
  <c r="Q50" i="11"/>
  <c r="P50" i="11"/>
  <c r="R49" i="11"/>
  <c r="Q49" i="11"/>
  <c r="P49" i="11"/>
  <c r="R48" i="11"/>
  <c r="Q48" i="11"/>
  <c r="P48" i="11"/>
  <c r="R47" i="11"/>
  <c r="Q47" i="11"/>
  <c r="P47" i="11"/>
  <c r="R46" i="11"/>
  <c r="Q46" i="11"/>
  <c r="P46" i="11"/>
  <c r="R45" i="11"/>
  <c r="Q45" i="11"/>
  <c r="P45" i="11"/>
  <c r="R44" i="11"/>
  <c r="Q44" i="11"/>
  <c r="P44" i="11"/>
  <c r="L59" i="11"/>
  <c r="K59" i="11"/>
  <c r="J59" i="11"/>
  <c r="L58" i="11"/>
  <c r="K58" i="11"/>
  <c r="J58" i="11"/>
  <c r="L57" i="11"/>
  <c r="K57" i="11"/>
  <c r="J57" i="11"/>
  <c r="L55" i="11"/>
  <c r="K55" i="11"/>
  <c r="J55" i="11"/>
  <c r="L54" i="11"/>
  <c r="K54" i="11"/>
  <c r="J54" i="11"/>
  <c r="L53" i="11"/>
  <c r="K53" i="11"/>
  <c r="J53" i="11"/>
  <c r="L51" i="11"/>
  <c r="K51" i="11"/>
  <c r="J51" i="11"/>
  <c r="L50" i="11"/>
  <c r="K50" i="11"/>
  <c r="J50" i="11"/>
  <c r="L49" i="11"/>
  <c r="K49" i="11"/>
  <c r="J49" i="11"/>
  <c r="L48" i="11"/>
  <c r="K48" i="11"/>
  <c r="J48" i="11"/>
  <c r="L47" i="11"/>
  <c r="K47" i="11"/>
  <c r="J47" i="11"/>
  <c r="L46" i="11"/>
  <c r="K46" i="11"/>
  <c r="J46" i="11"/>
  <c r="L45" i="11"/>
  <c r="K45" i="11"/>
  <c r="J45" i="11"/>
  <c r="L44" i="11"/>
  <c r="K44" i="11"/>
  <c r="J44" i="11"/>
  <c r="F59" i="11"/>
  <c r="E59" i="11"/>
  <c r="D59" i="11"/>
  <c r="F58" i="11"/>
  <c r="E58" i="11"/>
  <c r="D58" i="11"/>
  <c r="F57" i="11"/>
  <c r="E57" i="11"/>
  <c r="D57" i="11"/>
  <c r="F55" i="11"/>
  <c r="E55" i="11"/>
  <c r="D55" i="11"/>
  <c r="F54" i="11"/>
  <c r="E54" i="11"/>
  <c r="D54" i="11"/>
  <c r="F53" i="11"/>
  <c r="E53" i="11"/>
  <c r="D53" i="11"/>
  <c r="F51" i="11"/>
  <c r="E51" i="11"/>
  <c r="D51" i="11"/>
  <c r="F50" i="11"/>
  <c r="E50" i="11"/>
  <c r="D50" i="11"/>
  <c r="F49" i="11"/>
  <c r="E49" i="11"/>
  <c r="D49" i="11"/>
  <c r="F48" i="11"/>
  <c r="E48" i="11"/>
  <c r="D48" i="11"/>
  <c r="F47" i="11"/>
  <c r="E47" i="11"/>
  <c r="D47" i="11"/>
  <c r="F46" i="11"/>
  <c r="E46" i="11"/>
  <c r="D46" i="11"/>
  <c r="F45" i="11"/>
  <c r="E45" i="11"/>
  <c r="D45" i="11"/>
  <c r="F44" i="11"/>
  <c r="E44" i="11"/>
  <c r="D44" i="11"/>
  <c r="R38" i="11"/>
  <c r="Q38" i="11"/>
  <c r="P38" i="11"/>
  <c r="O38" i="11"/>
  <c r="R37" i="11"/>
  <c r="Q37" i="11"/>
  <c r="P37" i="11"/>
  <c r="O37" i="11"/>
  <c r="L38" i="11"/>
  <c r="K38" i="11"/>
  <c r="J38" i="11"/>
  <c r="I38" i="11"/>
  <c r="L37" i="11"/>
  <c r="K37" i="11"/>
  <c r="J37" i="11"/>
  <c r="I37" i="11"/>
  <c r="F38" i="11"/>
  <c r="E38" i="11"/>
  <c r="D38" i="11"/>
  <c r="C38" i="11"/>
  <c r="F37" i="11"/>
  <c r="E37" i="11"/>
  <c r="D37" i="11"/>
  <c r="C37" i="11"/>
  <c r="R34" i="11"/>
  <c r="Q34" i="11"/>
  <c r="P34" i="11"/>
  <c r="O34" i="11"/>
  <c r="R33" i="11"/>
  <c r="Q33" i="11"/>
  <c r="P33" i="11"/>
  <c r="O33" i="11"/>
  <c r="L34" i="11"/>
  <c r="K34" i="11"/>
  <c r="J34" i="11"/>
  <c r="I34" i="11"/>
  <c r="L33" i="11"/>
  <c r="K33" i="11"/>
  <c r="J33" i="11"/>
  <c r="I33" i="11"/>
  <c r="D33" i="11"/>
  <c r="E33" i="11"/>
  <c r="F33" i="11"/>
  <c r="D34" i="11"/>
  <c r="E34" i="11"/>
  <c r="F34" i="11"/>
  <c r="C34" i="11"/>
  <c r="C33" i="11"/>
  <c r="R18" i="11"/>
  <c r="Q18" i="11"/>
  <c r="P18" i="11"/>
  <c r="O18" i="11"/>
  <c r="R17" i="11"/>
  <c r="R19" i="11" s="1"/>
  <c r="Q17" i="11"/>
  <c r="Q19" i="11" s="1"/>
  <c r="P17" i="11"/>
  <c r="P19" i="11" s="1"/>
  <c r="O17" i="11"/>
  <c r="O19" i="11" s="1"/>
  <c r="L19" i="11"/>
  <c r="L18" i="11"/>
  <c r="K18" i="11"/>
  <c r="J18" i="11"/>
  <c r="I18" i="11"/>
  <c r="L17" i="11"/>
  <c r="K17" i="11"/>
  <c r="K19" i="11" s="1"/>
  <c r="J17" i="11"/>
  <c r="J19" i="11" s="1"/>
  <c r="I17" i="11"/>
  <c r="I19" i="11" s="1"/>
  <c r="D17" i="11"/>
  <c r="D19" i="11" s="1"/>
  <c r="E17" i="11"/>
  <c r="E19" i="11" s="1"/>
  <c r="F17" i="11"/>
  <c r="D18" i="11"/>
  <c r="E18" i="11"/>
  <c r="F18" i="11"/>
  <c r="F19" i="11"/>
  <c r="C17" i="11"/>
  <c r="C19" i="11" s="1"/>
  <c r="R14" i="11"/>
  <c r="Q14" i="11"/>
  <c r="P14" i="11"/>
  <c r="O14" i="11"/>
  <c r="R13" i="11"/>
  <c r="R15" i="11" s="1"/>
  <c r="Q13" i="11"/>
  <c r="Q15" i="11" s="1"/>
  <c r="P13" i="11"/>
  <c r="P15" i="11" s="1"/>
  <c r="O13" i="11"/>
  <c r="O15" i="11" s="1"/>
  <c r="L14" i="11"/>
  <c r="K14" i="11"/>
  <c r="J14" i="11"/>
  <c r="I14" i="11"/>
  <c r="L13" i="11"/>
  <c r="L15" i="11" s="1"/>
  <c r="K13" i="11"/>
  <c r="K15" i="11" s="1"/>
  <c r="J13" i="11"/>
  <c r="J15" i="11" s="1"/>
  <c r="I13" i="11"/>
  <c r="I15" i="11" s="1"/>
  <c r="D13" i="11"/>
  <c r="E13" i="11"/>
  <c r="F13" i="11"/>
  <c r="D14" i="11"/>
  <c r="E14" i="11"/>
  <c r="F14" i="11"/>
  <c r="F15" i="11" s="1"/>
  <c r="D15" i="11"/>
  <c r="E15" i="11"/>
  <c r="C15" i="11"/>
  <c r="C14" i="11"/>
  <c r="C13" i="11"/>
  <c r="C18" i="11" l="1"/>
  <c r="O10" i="11"/>
  <c r="R9" i="11"/>
  <c r="O8" i="11"/>
  <c r="R7" i="11"/>
  <c r="O6" i="11"/>
  <c r="R5" i="11"/>
  <c r="O4" i="11"/>
  <c r="L10" i="11"/>
  <c r="J9" i="11"/>
  <c r="I9" i="11"/>
  <c r="L8" i="11"/>
  <c r="J7" i="11"/>
  <c r="I7" i="11"/>
  <c r="L6" i="11"/>
  <c r="J5" i="11"/>
  <c r="I5" i="11"/>
  <c r="L4" i="11"/>
  <c r="C10" i="11"/>
  <c r="F9" i="11"/>
  <c r="C9" i="11"/>
  <c r="C8" i="11"/>
  <c r="F7" i="11"/>
  <c r="C7" i="11"/>
  <c r="C6" i="11"/>
  <c r="F5" i="11"/>
  <c r="C5" i="11"/>
  <c r="C4" i="11"/>
  <c r="R11" i="11"/>
  <c r="C11" i="11"/>
  <c r="AI67" i="11"/>
  <c r="AC63" i="11"/>
  <c r="AD60" i="11"/>
  <c r="X67" i="11"/>
  <c r="V40" i="11"/>
  <c r="V38" i="11"/>
  <c r="V36" i="11"/>
  <c r="X35" i="11"/>
  <c r="V32" i="11"/>
  <c r="G42" i="9"/>
  <c r="G41" i="9"/>
  <c r="G40" i="9"/>
  <c r="G39" i="9"/>
  <c r="G38" i="9"/>
  <c r="G37" i="9"/>
  <c r="G36" i="9"/>
  <c r="G35" i="9"/>
  <c r="AK20" i="11" s="1"/>
  <c r="G34" i="9"/>
  <c r="G33" i="9"/>
  <c r="G42" i="8"/>
  <c r="G41" i="8"/>
  <c r="G40" i="8"/>
  <c r="G39" i="8"/>
  <c r="G38" i="8"/>
  <c r="G37" i="8"/>
  <c r="AJ22" i="11" s="1"/>
  <c r="G36" i="8"/>
  <c r="G35" i="8"/>
  <c r="AJ20" i="11" s="1"/>
  <c r="G34" i="8"/>
  <c r="G33" i="8"/>
  <c r="G42" i="7"/>
  <c r="G41" i="7"/>
  <c r="G40" i="7"/>
  <c r="G39" i="7"/>
  <c r="G38" i="7"/>
  <c r="G37" i="7"/>
  <c r="AI22" i="11" s="1"/>
  <c r="G36" i="7"/>
  <c r="G35" i="7"/>
  <c r="AI20" i="11" s="1"/>
  <c r="G34" i="7"/>
  <c r="G33" i="7"/>
  <c r="AI18" i="11" s="1"/>
  <c r="AH20" i="11"/>
  <c r="AK76" i="11" s="1"/>
  <c r="AH24" i="11"/>
  <c r="AH25" i="11"/>
  <c r="AH26" i="11"/>
  <c r="AH18" i="11"/>
  <c r="V18" i="11"/>
  <c r="W18" i="11"/>
  <c r="X18" i="11"/>
  <c r="Y18" i="11"/>
  <c r="AB18" i="11"/>
  <c r="AC18" i="11"/>
  <c r="AD18" i="11"/>
  <c r="AD74" i="11" s="1"/>
  <c r="AE18" i="11"/>
  <c r="AE74" i="11" s="1"/>
  <c r="AJ18" i="11"/>
  <c r="AK18" i="11"/>
  <c r="V19" i="11"/>
  <c r="W19" i="11"/>
  <c r="X19" i="11"/>
  <c r="Y19" i="11"/>
  <c r="AB19" i="11"/>
  <c r="AC75" i="11" s="1"/>
  <c r="AC19" i="11"/>
  <c r="AD19" i="11"/>
  <c r="AD75" i="11" s="1"/>
  <c r="AE19" i="11"/>
  <c r="AH19" i="11"/>
  <c r="AI19" i="11"/>
  <c r="AJ19" i="11"/>
  <c r="AK19" i="11"/>
  <c r="V20" i="11"/>
  <c r="W20" i="11"/>
  <c r="X20" i="11"/>
  <c r="Y20" i="11"/>
  <c r="AB20" i="11"/>
  <c r="AC20" i="11"/>
  <c r="AD20" i="11"/>
  <c r="AE20" i="11"/>
  <c r="V21" i="11"/>
  <c r="W21" i="11"/>
  <c r="X21" i="11"/>
  <c r="X77" i="11" s="1"/>
  <c r="Y21" i="11"/>
  <c r="AB21" i="11"/>
  <c r="AC21" i="11"/>
  <c r="AD21" i="11"/>
  <c r="AE21" i="11"/>
  <c r="AH21" i="11"/>
  <c r="AI21" i="11"/>
  <c r="AJ21" i="11"/>
  <c r="AJ77" i="11" s="1"/>
  <c r="AK21" i="11"/>
  <c r="V22" i="11"/>
  <c r="X78" i="11" s="1"/>
  <c r="W22" i="11"/>
  <c r="W78" i="11" s="1"/>
  <c r="X22" i="11"/>
  <c r="Y22" i="11"/>
  <c r="AB22" i="11"/>
  <c r="AC22" i="11"/>
  <c r="AD22" i="11"/>
  <c r="AE22" i="11"/>
  <c r="AH22" i="11"/>
  <c r="AK22" i="11"/>
  <c r="AK78" i="11" s="1"/>
  <c r="V23" i="11"/>
  <c r="W23" i="11"/>
  <c r="W79" i="11" s="1"/>
  <c r="X23" i="11"/>
  <c r="X79" i="11" s="1"/>
  <c r="Y23" i="11"/>
  <c r="Y79" i="11" s="1"/>
  <c r="AB23" i="11"/>
  <c r="AC23" i="11"/>
  <c r="AD23" i="11"/>
  <c r="AE23" i="11"/>
  <c r="AH23" i="11"/>
  <c r="AI23" i="11"/>
  <c r="AI79" i="11" s="1"/>
  <c r="AJ23" i="11"/>
  <c r="AJ79" i="11" s="1"/>
  <c r="AK23" i="11"/>
  <c r="V24" i="11"/>
  <c r="W24" i="11"/>
  <c r="X24" i="11"/>
  <c r="Y24" i="11"/>
  <c r="AB24" i="11"/>
  <c r="AD80" i="11" s="1"/>
  <c r="AC24" i="11"/>
  <c r="AD24" i="11"/>
  <c r="AE24" i="11"/>
  <c r="AI24" i="11"/>
  <c r="AJ24" i="11"/>
  <c r="AK24" i="11"/>
  <c r="V25" i="11"/>
  <c r="W25" i="11"/>
  <c r="X25" i="11"/>
  <c r="Y25" i="11"/>
  <c r="AB25" i="11"/>
  <c r="AC25" i="11"/>
  <c r="AC81" i="11" s="1"/>
  <c r="AD25" i="11"/>
  <c r="AE25" i="11"/>
  <c r="AI25" i="11"/>
  <c r="AJ25" i="11"/>
  <c r="AK25" i="11"/>
  <c r="AK81" i="11" s="1"/>
  <c r="V26" i="11"/>
  <c r="W82" i="11" s="1"/>
  <c r="W26" i="11"/>
  <c r="X26" i="11"/>
  <c r="Y26" i="11"/>
  <c r="AB26" i="11"/>
  <c r="AC26" i="11"/>
  <c r="AD26" i="11"/>
  <c r="AE26" i="11"/>
  <c r="AI26" i="11"/>
  <c r="AJ26" i="11"/>
  <c r="AJ82" i="11" s="1"/>
  <c r="AK26" i="11"/>
  <c r="AK82" i="11" s="1"/>
  <c r="AK12" i="11"/>
  <c r="R10" i="11" s="1"/>
  <c r="AJ12" i="11"/>
  <c r="AJ68" i="11" s="1"/>
  <c r="AI12" i="11"/>
  <c r="P10" i="11" s="1"/>
  <c r="AH12" i="11"/>
  <c r="AK11" i="11"/>
  <c r="AJ11" i="11"/>
  <c r="Q9" i="11" s="1"/>
  <c r="AI11" i="11"/>
  <c r="P9" i="11" s="1"/>
  <c r="AH11" i="11"/>
  <c r="O9" i="11" s="1"/>
  <c r="AK10" i="11"/>
  <c r="R8" i="11" s="1"/>
  <c r="AJ10" i="11"/>
  <c r="Q8" i="11" s="1"/>
  <c r="AI10" i="11"/>
  <c r="P8" i="11" s="1"/>
  <c r="AH10" i="11"/>
  <c r="AK9" i="11"/>
  <c r="AJ9" i="11"/>
  <c r="Q7" i="11" s="1"/>
  <c r="AI9" i="11"/>
  <c r="P7" i="11" s="1"/>
  <c r="AH9" i="11"/>
  <c r="O7" i="11" s="1"/>
  <c r="AK8" i="11"/>
  <c r="R6" i="11" s="1"/>
  <c r="AJ8" i="11"/>
  <c r="AJ64" i="11" s="1"/>
  <c r="AI8" i="11"/>
  <c r="P6" i="11" s="1"/>
  <c r="AH8" i="11"/>
  <c r="AK7" i="11"/>
  <c r="AJ7" i="11"/>
  <c r="Q5" i="11" s="1"/>
  <c r="AI7" i="11"/>
  <c r="P5" i="11" s="1"/>
  <c r="AH7" i="11"/>
  <c r="O5" i="11" s="1"/>
  <c r="AK6" i="11"/>
  <c r="AJ6" i="11"/>
  <c r="AJ62" i="11" s="1"/>
  <c r="AI6" i="11"/>
  <c r="AH6" i="11"/>
  <c r="AK5" i="11"/>
  <c r="AJ5" i="11"/>
  <c r="AI5" i="11"/>
  <c r="AH5" i="11"/>
  <c r="AK4" i="11"/>
  <c r="R4" i="11" s="1"/>
  <c r="AJ4" i="11"/>
  <c r="Q4" i="11" s="1"/>
  <c r="AI4" i="11"/>
  <c r="P4" i="11" s="1"/>
  <c r="AH4" i="11"/>
  <c r="AE12" i="11"/>
  <c r="AD12" i="11"/>
  <c r="AD68" i="11" s="1"/>
  <c r="AC12" i="11"/>
  <c r="J10" i="11" s="1"/>
  <c r="AB12" i="11"/>
  <c r="I10" i="11" s="1"/>
  <c r="Y12" i="11"/>
  <c r="Y68" i="11" s="1"/>
  <c r="X12" i="11"/>
  <c r="W12" i="11"/>
  <c r="D10" i="11" s="1"/>
  <c r="V12" i="11"/>
  <c r="AE11" i="11"/>
  <c r="L9" i="11" s="1"/>
  <c r="AD11" i="11"/>
  <c r="K9" i="11" s="1"/>
  <c r="AC11" i="11"/>
  <c r="AB11" i="11"/>
  <c r="AC67" i="11" s="1"/>
  <c r="Y11" i="11"/>
  <c r="X11" i="11"/>
  <c r="X39" i="11" s="1"/>
  <c r="W11" i="11"/>
  <c r="V11" i="11"/>
  <c r="AE10" i="11"/>
  <c r="AD10" i="11"/>
  <c r="K8" i="11" s="1"/>
  <c r="AC10" i="11"/>
  <c r="J8" i="11" s="1"/>
  <c r="AB10" i="11"/>
  <c r="I8" i="11" s="1"/>
  <c r="Y10" i="11"/>
  <c r="Y66" i="11" s="1"/>
  <c r="X10" i="11"/>
  <c r="W10" i="11"/>
  <c r="D8" i="11" s="1"/>
  <c r="V10" i="11"/>
  <c r="AE9" i="11"/>
  <c r="L7" i="11" s="1"/>
  <c r="AD9" i="11"/>
  <c r="K7" i="11" s="1"/>
  <c r="AC9" i="11"/>
  <c r="AB9" i="11"/>
  <c r="AC65" i="11" s="1"/>
  <c r="Y9" i="11"/>
  <c r="X9" i="11"/>
  <c r="X65" i="11" s="1"/>
  <c r="W9" i="11"/>
  <c r="D7" i="11" s="1"/>
  <c r="V9" i="11"/>
  <c r="AE8" i="11"/>
  <c r="AD8" i="11"/>
  <c r="K6" i="11" s="1"/>
  <c r="AC8" i="11"/>
  <c r="J6" i="11" s="1"/>
  <c r="AB8" i="11"/>
  <c r="I6" i="11" s="1"/>
  <c r="Y8" i="11"/>
  <c r="Y64" i="11" s="1"/>
  <c r="X8" i="11"/>
  <c r="X64" i="11" s="1"/>
  <c r="W8" i="11"/>
  <c r="D6" i="11" s="1"/>
  <c r="V8" i="11"/>
  <c r="AE7" i="11"/>
  <c r="L5" i="11" s="1"/>
  <c r="AD7" i="11"/>
  <c r="K5" i="11" s="1"/>
  <c r="AC7" i="11"/>
  <c r="AB7" i="11"/>
  <c r="Y7" i="11"/>
  <c r="X7" i="11"/>
  <c r="X63" i="11" s="1"/>
  <c r="W7" i="11"/>
  <c r="D5" i="11" s="1"/>
  <c r="V7" i="11"/>
  <c r="AE6" i="11"/>
  <c r="AD6" i="11"/>
  <c r="AC6" i="11"/>
  <c r="AB6" i="11"/>
  <c r="Y6" i="11"/>
  <c r="Y62" i="11" s="1"/>
  <c r="X6" i="11"/>
  <c r="W6" i="11"/>
  <c r="W62" i="11" s="1"/>
  <c r="V6" i="11"/>
  <c r="V34" i="11" s="1"/>
  <c r="AE5" i="11"/>
  <c r="AD5" i="11"/>
  <c r="AC5" i="11"/>
  <c r="AB5" i="11"/>
  <c r="Y5" i="11"/>
  <c r="X5" i="11"/>
  <c r="X61" i="11" s="1"/>
  <c r="W5" i="11"/>
  <c r="V5" i="11"/>
  <c r="AE4" i="11"/>
  <c r="AD4" i="11"/>
  <c r="AD13" i="11" s="1"/>
  <c r="AC4" i="11"/>
  <c r="J4" i="11" s="1"/>
  <c r="AB4" i="11"/>
  <c r="I4" i="11" s="1"/>
  <c r="Y4" i="11"/>
  <c r="F4" i="11" s="1"/>
  <c r="X4" i="11"/>
  <c r="X13" i="11" s="1"/>
  <c r="X69" i="11" s="1"/>
  <c r="W4" i="11"/>
  <c r="D4" i="11" s="1"/>
  <c r="V4" i="11"/>
  <c r="V13" i="11" s="1"/>
  <c r="AJ76" i="11" l="1"/>
  <c r="AE77" i="11"/>
  <c r="AD82" i="11"/>
  <c r="AD76" i="11"/>
  <c r="AJ78" i="11"/>
  <c r="AE80" i="11"/>
  <c r="AE81" i="11"/>
  <c r="AD81" i="11"/>
  <c r="W80" i="11"/>
  <c r="AC79" i="11"/>
  <c r="Y76" i="11"/>
  <c r="AK74" i="11"/>
  <c r="W74" i="11"/>
  <c r="J26" i="11"/>
  <c r="P29" i="11"/>
  <c r="C29" i="11"/>
  <c r="R29" i="11"/>
  <c r="J29" i="11"/>
  <c r="C26" i="11"/>
  <c r="L30" i="11"/>
  <c r="C27" i="11"/>
  <c r="O11" i="11"/>
  <c r="I11" i="11"/>
  <c r="C30" i="11"/>
  <c r="C28" i="11"/>
  <c r="J11" i="11"/>
  <c r="R27" i="11"/>
  <c r="C24" i="11"/>
  <c r="O28" i="11"/>
  <c r="L25" i="11"/>
  <c r="L11" i="11"/>
  <c r="O30" i="11"/>
  <c r="W67" i="11"/>
  <c r="D9" i="11"/>
  <c r="P11" i="11"/>
  <c r="P24" i="11"/>
  <c r="P26" i="11"/>
  <c r="P30" i="11"/>
  <c r="R24" i="11"/>
  <c r="R31" i="11" s="1"/>
  <c r="R26" i="11"/>
  <c r="R28" i="11"/>
  <c r="R30" i="11"/>
  <c r="R25" i="11"/>
  <c r="I28" i="11"/>
  <c r="X34" i="11"/>
  <c r="X38" i="11"/>
  <c r="X60" i="11"/>
  <c r="AD61" i="11"/>
  <c r="AJ60" i="11"/>
  <c r="V33" i="11"/>
  <c r="V35" i="11"/>
  <c r="V37" i="11"/>
  <c r="V41" i="11" s="1"/>
  <c r="V39" i="11"/>
  <c r="AJ81" i="11"/>
  <c r="AD77" i="11"/>
  <c r="AJ75" i="11"/>
  <c r="X75" i="11"/>
  <c r="X66" i="11"/>
  <c r="AJ66" i="11"/>
  <c r="E5" i="11"/>
  <c r="E7" i="11"/>
  <c r="E9" i="11"/>
  <c r="K4" i="11"/>
  <c r="K10" i="11"/>
  <c r="X40" i="11"/>
  <c r="X68" i="11"/>
  <c r="AI78" i="11"/>
  <c r="AE65" i="11"/>
  <c r="E6" i="11"/>
  <c r="E8" i="11"/>
  <c r="E10" i="11"/>
  <c r="Q6" i="11"/>
  <c r="Q10" i="11"/>
  <c r="C25" i="11"/>
  <c r="AI77" i="11"/>
  <c r="W77" i="11"/>
  <c r="W76" i="11"/>
  <c r="AC13" i="11"/>
  <c r="E4" i="11"/>
  <c r="F6" i="11"/>
  <c r="F8" i="11"/>
  <c r="F10" i="11"/>
  <c r="X36" i="11"/>
  <c r="X37" i="11"/>
  <c r="AE61" i="11"/>
  <c r="AE82" i="11"/>
  <c r="AE76" i="11"/>
  <c r="Y75" i="11"/>
  <c r="X33" i="11"/>
  <c r="AD32" i="11"/>
  <c r="W13" i="11"/>
  <c r="W69" i="11" s="1"/>
  <c r="W60" i="11"/>
  <c r="W61" i="11"/>
  <c r="W64" i="11"/>
  <c r="W66" i="11"/>
  <c r="W40" i="11"/>
  <c r="W68" i="11"/>
  <c r="AI62" i="11"/>
  <c r="AI66" i="11"/>
  <c r="AC82" i="11"/>
  <c r="W81" i="11"/>
  <c r="Y81" i="11"/>
  <c r="AE51" i="11"/>
  <c r="AE79" i="11"/>
  <c r="AI75" i="11"/>
  <c r="AD36" i="11"/>
  <c r="AD33" i="11"/>
  <c r="AD34" i="11"/>
  <c r="AD39" i="11"/>
  <c r="AD37" i="11"/>
  <c r="AD40" i="11"/>
  <c r="AD35" i="11"/>
  <c r="AH32" i="11"/>
  <c r="W63" i="11"/>
  <c r="W65" i="11"/>
  <c r="W37" i="11"/>
  <c r="AI13" i="11"/>
  <c r="AI38" i="11" s="1"/>
  <c r="AI60" i="11"/>
  <c r="AI64" i="11"/>
  <c r="AI68" i="11"/>
  <c r="AI81" i="11"/>
  <c r="AI53" i="11"/>
  <c r="Y80" i="11"/>
  <c r="AC77" i="11"/>
  <c r="AC27" i="11"/>
  <c r="AC49" i="11" s="1"/>
  <c r="AC48" i="11"/>
  <c r="AC76" i="11"/>
  <c r="W75" i="11"/>
  <c r="W47" i="11"/>
  <c r="Y27" i="11"/>
  <c r="Y46" i="11" s="1"/>
  <c r="Y74" i="11"/>
  <c r="AI76" i="11"/>
  <c r="AI48" i="11"/>
  <c r="AI80" i="11"/>
  <c r="Y13" i="11"/>
  <c r="Y38" i="11" s="1"/>
  <c r="Y60" i="11"/>
  <c r="Y33" i="11"/>
  <c r="Y61" i="11"/>
  <c r="Y35" i="11"/>
  <c r="Y63" i="11"/>
  <c r="Y36" i="11"/>
  <c r="Y37" i="11"/>
  <c r="Y65" i="11"/>
  <c r="Y67" i="11"/>
  <c r="Y39" i="11"/>
  <c r="AK13" i="11"/>
  <c r="AK32" i="11" s="1"/>
  <c r="AK60" i="11"/>
  <c r="AK62" i="11"/>
  <c r="AK64" i="11"/>
  <c r="AK66" i="11"/>
  <c r="AK68" i="11"/>
  <c r="Y82" i="11"/>
  <c r="AJ80" i="11"/>
  <c r="AE78" i="11"/>
  <c r="AE50" i="11"/>
  <c r="AK77" i="11"/>
  <c r="Y77" i="11"/>
  <c r="AE27" i="11"/>
  <c r="AE47" i="11" s="1"/>
  <c r="AE75" i="11"/>
  <c r="W27" i="11"/>
  <c r="W50" i="11" s="1"/>
  <c r="AB13" i="11"/>
  <c r="AB34" i="11" s="1"/>
  <c r="AE60" i="11"/>
  <c r="AC64" i="11"/>
  <c r="AE66" i="11"/>
  <c r="AC66" i="11"/>
  <c r="AI61" i="11"/>
  <c r="AH33" i="11"/>
  <c r="AK65" i="11"/>
  <c r="AJ65" i="11"/>
  <c r="AH39" i="11"/>
  <c r="X82" i="11"/>
  <c r="X80" i="11"/>
  <c r="AD78" i="11"/>
  <c r="X76" i="11"/>
  <c r="AJ74" i="11"/>
  <c r="V27" i="11"/>
  <c r="V50" i="11" s="1"/>
  <c r="V46" i="11"/>
  <c r="AB37" i="11"/>
  <c r="AD63" i="11"/>
  <c r="AK61" i="11"/>
  <c r="AC60" i="11"/>
  <c r="AC61" i="11"/>
  <c r="AC62" i="11"/>
  <c r="AC68" i="11"/>
  <c r="AI65" i="11"/>
  <c r="AD64" i="11"/>
  <c r="AI63" i="11"/>
  <c r="AD62" i="11"/>
  <c r="AD65" i="11"/>
  <c r="AD66" i="11"/>
  <c r="AD67" i="11"/>
  <c r="AJ61" i="11"/>
  <c r="AJ63" i="11"/>
  <c r="AJ67" i="11"/>
  <c r="AI82" i="11"/>
  <c r="AC78" i="11"/>
  <c r="AE13" i="11"/>
  <c r="AE34" i="11" s="1"/>
  <c r="AE62" i="11"/>
  <c r="AE63" i="11"/>
  <c r="AE64" i="11"/>
  <c r="AE67" i="11"/>
  <c r="AE68" i="11"/>
  <c r="AK63" i="11"/>
  <c r="AK67" i="11"/>
  <c r="X81" i="11"/>
  <c r="AC80" i="11"/>
  <c r="AC52" i="11"/>
  <c r="Y78" i="11"/>
  <c r="AE49" i="11"/>
  <c r="AK75" i="11"/>
  <c r="AC74" i="11"/>
  <c r="AC46" i="11"/>
  <c r="AB27" i="11"/>
  <c r="AB50" i="11" s="1"/>
  <c r="AD38" i="11"/>
  <c r="AE54" i="11"/>
  <c r="AK35" i="11"/>
  <c r="AK39" i="11"/>
  <c r="AK80" i="11"/>
  <c r="AI74" i="11"/>
  <c r="AJ13" i="11"/>
  <c r="AJ35" i="11" s="1"/>
  <c r="AD27" i="11"/>
  <c r="AD50" i="11" s="1"/>
  <c r="X27" i="11"/>
  <c r="X53" i="11" s="1"/>
  <c r="X62" i="11"/>
  <c r="X74" i="11"/>
  <c r="AK79" i="11"/>
  <c r="AH13" i="11"/>
  <c r="AH38" i="11" s="1"/>
  <c r="X32" i="11"/>
  <c r="AD79" i="11"/>
  <c r="AI27" i="11"/>
  <c r="AI54" i="11" s="1"/>
  <c r="AJ27" i="11"/>
  <c r="AJ52" i="11" s="1"/>
  <c r="AK27" i="11"/>
  <c r="AH27" i="11"/>
  <c r="Q33" i="2"/>
  <c r="R33" i="2"/>
  <c r="S33" i="2"/>
  <c r="T33" i="2"/>
  <c r="U33" i="2"/>
  <c r="V33" i="2"/>
  <c r="W33" i="2"/>
  <c r="X33" i="2"/>
  <c r="Y33" i="2"/>
  <c r="Z33" i="2"/>
  <c r="AA33" i="2"/>
  <c r="AB33" i="2"/>
  <c r="Q34" i="2"/>
  <c r="R34" i="2"/>
  <c r="S34" i="2"/>
  <c r="T34" i="2"/>
  <c r="U34" i="2"/>
  <c r="V34" i="2"/>
  <c r="W34" i="2"/>
  <c r="X34" i="2"/>
  <c r="Y34" i="2"/>
  <c r="Z34" i="2"/>
  <c r="AA34" i="2"/>
  <c r="AB34" i="2"/>
  <c r="Q35" i="2"/>
  <c r="R35" i="2"/>
  <c r="S35" i="2"/>
  <c r="T35" i="2"/>
  <c r="U35" i="2"/>
  <c r="V35" i="2"/>
  <c r="W35" i="2"/>
  <c r="X35" i="2"/>
  <c r="Y35" i="2"/>
  <c r="Z35" i="2"/>
  <c r="AA35" i="2"/>
  <c r="AB35" i="2"/>
  <c r="Q36" i="2"/>
  <c r="R36" i="2"/>
  <c r="S36" i="2"/>
  <c r="T36" i="2"/>
  <c r="U36" i="2"/>
  <c r="V36" i="2"/>
  <c r="W36" i="2"/>
  <c r="X36" i="2"/>
  <c r="Y36" i="2"/>
  <c r="Z36" i="2"/>
  <c r="AA36" i="2"/>
  <c r="AB36" i="2"/>
  <c r="Q37" i="2"/>
  <c r="R37" i="2"/>
  <c r="S37" i="2"/>
  <c r="T37" i="2"/>
  <c r="U37" i="2"/>
  <c r="V37" i="2"/>
  <c r="W37" i="2"/>
  <c r="X37" i="2"/>
  <c r="Y37" i="2"/>
  <c r="Z37" i="2"/>
  <c r="AA37" i="2"/>
  <c r="AB37" i="2"/>
  <c r="Q38" i="2"/>
  <c r="R38" i="2"/>
  <c r="S38" i="2"/>
  <c r="T38" i="2"/>
  <c r="U38" i="2"/>
  <c r="V38" i="2"/>
  <c r="W38" i="2"/>
  <c r="X38" i="2"/>
  <c r="Y38" i="2"/>
  <c r="Z38" i="2"/>
  <c r="AA38" i="2"/>
  <c r="AB38" i="2"/>
  <c r="Q39" i="2"/>
  <c r="R39" i="2"/>
  <c r="S39" i="2"/>
  <c r="T39" i="2"/>
  <c r="U39" i="2"/>
  <c r="V39" i="2"/>
  <c r="W39" i="2"/>
  <c r="X39" i="2"/>
  <c r="Y39" i="2"/>
  <c r="Z39" i="2"/>
  <c r="AA39" i="2"/>
  <c r="AB39" i="2"/>
  <c r="Q40" i="2"/>
  <c r="R40" i="2"/>
  <c r="S40" i="2"/>
  <c r="T40" i="2"/>
  <c r="U40" i="2"/>
  <c r="V40" i="2"/>
  <c r="W40" i="2"/>
  <c r="X40" i="2"/>
  <c r="Y40" i="2"/>
  <c r="Z40" i="2"/>
  <c r="AA40" i="2"/>
  <c r="AB40" i="2"/>
  <c r="Q41" i="2"/>
  <c r="R41" i="2"/>
  <c r="S41" i="2"/>
  <c r="T41" i="2"/>
  <c r="U41" i="2"/>
  <c r="V41" i="2"/>
  <c r="W41" i="2"/>
  <c r="X41" i="2"/>
  <c r="Y41" i="2"/>
  <c r="Z41" i="2"/>
  <c r="AA41" i="2"/>
  <c r="AB41" i="2"/>
  <c r="Q19" i="2"/>
  <c r="R19" i="2"/>
  <c r="S19" i="2"/>
  <c r="T19" i="2"/>
  <c r="U19" i="2"/>
  <c r="V19" i="2"/>
  <c r="W19" i="2"/>
  <c r="X19" i="2"/>
  <c r="Y19" i="2"/>
  <c r="Z19" i="2"/>
  <c r="AA19" i="2"/>
  <c r="AB19" i="2"/>
  <c r="Q20" i="2"/>
  <c r="R20" i="2"/>
  <c r="S20" i="2"/>
  <c r="T20" i="2"/>
  <c r="U20" i="2"/>
  <c r="V20" i="2"/>
  <c r="W20" i="2"/>
  <c r="X20" i="2"/>
  <c r="Y20" i="2"/>
  <c r="Z20" i="2"/>
  <c r="AA20" i="2"/>
  <c r="AB20" i="2"/>
  <c r="Q21" i="2"/>
  <c r="R21" i="2"/>
  <c r="S21" i="2"/>
  <c r="T21" i="2"/>
  <c r="U21" i="2"/>
  <c r="V21" i="2"/>
  <c r="W21" i="2"/>
  <c r="X21" i="2"/>
  <c r="Y21" i="2"/>
  <c r="Z21" i="2"/>
  <c r="AA21" i="2"/>
  <c r="AB21" i="2"/>
  <c r="Q22" i="2"/>
  <c r="R22" i="2"/>
  <c r="S22" i="2"/>
  <c r="T22" i="2"/>
  <c r="U22" i="2"/>
  <c r="V22" i="2"/>
  <c r="W22" i="2"/>
  <c r="X22" i="2"/>
  <c r="Y22" i="2"/>
  <c r="Z22" i="2"/>
  <c r="AA22" i="2"/>
  <c r="AB22" i="2"/>
  <c r="Q23" i="2"/>
  <c r="R23" i="2"/>
  <c r="S23" i="2"/>
  <c r="T23" i="2"/>
  <c r="U23" i="2"/>
  <c r="V23" i="2"/>
  <c r="W23" i="2"/>
  <c r="X23" i="2"/>
  <c r="Y23" i="2"/>
  <c r="Z23" i="2"/>
  <c r="AA23" i="2"/>
  <c r="AB23" i="2"/>
  <c r="Q24" i="2"/>
  <c r="R24" i="2"/>
  <c r="S24" i="2"/>
  <c r="T24" i="2"/>
  <c r="U24" i="2"/>
  <c r="V24" i="2"/>
  <c r="W24" i="2"/>
  <c r="X24" i="2"/>
  <c r="Y24" i="2"/>
  <c r="Z24" i="2"/>
  <c r="AA24" i="2"/>
  <c r="AB24" i="2"/>
  <c r="Q25" i="2"/>
  <c r="R25" i="2"/>
  <c r="S25" i="2"/>
  <c r="T25" i="2"/>
  <c r="U25" i="2"/>
  <c r="V25" i="2"/>
  <c r="W25" i="2"/>
  <c r="X25" i="2"/>
  <c r="Y25" i="2"/>
  <c r="Z25" i="2"/>
  <c r="AA25" i="2"/>
  <c r="AB25" i="2"/>
  <c r="Q26" i="2"/>
  <c r="R26" i="2"/>
  <c r="S26" i="2"/>
  <c r="T26" i="2"/>
  <c r="U26" i="2"/>
  <c r="V26" i="2"/>
  <c r="W26" i="2"/>
  <c r="X26" i="2"/>
  <c r="Y26" i="2"/>
  <c r="Z26" i="2"/>
  <c r="AA26" i="2"/>
  <c r="AB26" i="2"/>
  <c r="Q27" i="2"/>
  <c r="R27" i="2"/>
  <c r="S27" i="2"/>
  <c r="T27" i="2"/>
  <c r="U27" i="2"/>
  <c r="V27" i="2"/>
  <c r="W27" i="2"/>
  <c r="X27" i="2"/>
  <c r="Y27" i="2"/>
  <c r="Z27" i="2"/>
  <c r="AA27" i="2"/>
  <c r="AB27" i="2"/>
  <c r="Q5" i="2"/>
  <c r="R5" i="2"/>
  <c r="S5" i="2"/>
  <c r="T5" i="2"/>
  <c r="U5" i="2"/>
  <c r="V5" i="2"/>
  <c r="W5" i="2"/>
  <c r="X5" i="2"/>
  <c r="Y5" i="2"/>
  <c r="Z5" i="2"/>
  <c r="AA5" i="2"/>
  <c r="AB5" i="2"/>
  <c r="Q6" i="2"/>
  <c r="R6" i="2"/>
  <c r="S6" i="2"/>
  <c r="T6" i="2"/>
  <c r="U6" i="2"/>
  <c r="V6" i="2"/>
  <c r="W6" i="2"/>
  <c r="X6" i="2"/>
  <c r="Y6" i="2"/>
  <c r="Z6" i="2"/>
  <c r="AA6" i="2"/>
  <c r="AB6" i="2"/>
  <c r="Q7" i="2"/>
  <c r="R7" i="2"/>
  <c r="S7" i="2"/>
  <c r="T7" i="2"/>
  <c r="U7" i="2"/>
  <c r="V7" i="2"/>
  <c r="W7" i="2"/>
  <c r="X7" i="2"/>
  <c r="Y7" i="2"/>
  <c r="Z7" i="2"/>
  <c r="AA7" i="2"/>
  <c r="AB7" i="2"/>
  <c r="Q8" i="2"/>
  <c r="R8" i="2"/>
  <c r="S8" i="2"/>
  <c r="T8" i="2"/>
  <c r="U8" i="2"/>
  <c r="V8" i="2"/>
  <c r="W8" i="2"/>
  <c r="X8" i="2"/>
  <c r="Y8" i="2"/>
  <c r="Z8" i="2"/>
  <c r="AA8" i="2"/>
  <c r="AB8" i="2"/>
  <c r="Q9" i="2"/>
  <c r="R9" i="2"/>
  <c r="S9" i="2"/>
  <c r="T9" i="2"/>
  <c r="U9" i="2"/>
  <c r="V9" i="2"/>
  <c r="W9" i="2"/>
  <c r="X9" i="2"/>
  <c r="Y9" i="2"/>
  <c r="Z9" i="2"/>
  <c r="AA9" i="2"/>
  <c r="AB9" i="2"/>
  <c r="Q10" i="2"/>
  <c r="R10" i="2"/>
  <c r="S10" i="2"/>
  <c r="T10" i="2"/>
  <c r="U10" i="2"/>
  <c r="V10" i="2"/>
  <c r="W10" i="2"/>
  <c r="X10" i="2"/>
  <c r="Y10" i="2"/>
  <c r="Z10" i="2"/>
  <c r="AA10" i="2"/>
  <c r="AB10" i="2"/>
  <c r="Q11" i="2"/>
  <c r="R11" i="2"/>
  <c r="S11" i="2"/>
  <c r="T11" i="2"/>
  <c r="U11" i="2"/>
  <c r="V11" i="2"/>
  <c r="W11" i="2"/>
  <c r="X11" i="2"/>
  <c r="Y11" i="2"/>
  <c r="Z11" i="2"/>
  <c r="AA11" i="2"/>
  <c r="AB11" i="2"/>
  <c r="Q12" i="2"/>
  <c r="R12" i="2"/>
  <c r="S12" i="2"/>
  <c r="T12" i="2"/>
  <c r="U12" i="2"/>
  <c r="V12" i="2"/>
  <c r="W12" i="2"/>
  <c r="X12" i="2"/>
  <c r="Y12" i="2"/>
  <c r="Z12" i="2"/>
  <c r="AA12" i="2"/>
  <c r="AB12" i="2"/>
  <c r="Q13" i="2"/>
  <c r="R13" i="2"/>
  <c r="S13" i="2"/>
  <c r="T13" i="2"/>
  <c r="U13" i="2"/>
  <c r="V13" i="2"/>
  <c r="W13" i="2"/>
  <c r="X13" i="2"/>
  <c r="Y13" i="2"/>
  <c r="Z13" i="2"/>
  <c r="AA13" i="2"/>
  <c r="AB13" i="2"/>
  <c r="AB32" i="2"/>
  <c r="AA32" i="2"/>
  <c r="Z32" i="2"/>
  <c r="Y32" i="2"/>
  <c r="X32" i="2"/>
  <c r="W32" i="2"/>
  <c r="V32" i="2"/>
  <c r="U32" i="2"/>
  <c r="T32" i="2"/>
  <c r="S32" i="2"/>
  <c r="R32" i="2"/>
  <c r="Q32" i="2"/>
  <c r="AB18" i="2"/>
  <c r="AA18" i="2"/>
  <c r="Z18" i="2"/>
  <c r="Y18" i="2"/>
  <c r="X18" i="2"/>
  <c r="W18" i="2"/>
  <c r="V18" i="2"/>
  <c r="U18" i="2"/>
  <c r="T18" i="2"/>
  <c r="S18" i="2"/>
  <c r="R18" i="2"/>
  <c r="Q18" i="2"/>
  <c r="AB4" i="2"/>
  <c r="AA4" i="2"/>
  <c r="Z4" i="2"/>
  <c r="Y4" i="2"/>
  <c r="X4" i="2"/>
  <c r="W4" i="2"/>
  <c r="V4" i="2"/>
  <c r="U4" i="2"/>
  <c r="T4" i="2"/>
  <c r="S4" i="2"/>
  <c r="R4" i="2"/>
  <c r="Q4" i="2"/>
  <c r="C33" i="2"/>
  <c r="D33" i="2"/>
  <c r="E33" i="2"/>
  <c r="F33" i="2"/>
  <c r="G33" i="2"/>
  <c r="H33" i="2"/>
  <c r="I33" i="2"/>
  <c r="J33" i="2"/>
  <c r="K33" i="2"/>
  <c r="L33" i="2"/>
  <c r="M33" i="2"/>
  <c r="N33" i="2"/>
  <c r="C34" i="2"/>
  <c r="D34" i="2"/>
  <c r="E34" i="2"/>
  <c r="F34" i="2"/>
  <c r="G34" i="2"/>
  <c r="H34" i="2"/>
  <c r="I34" i="2"/>
  <c r="J34" i="2"/>
  <c r="K34" i="2"/>
  <c r="L34" i="2"/>
  <c r="M34" i="2"/>
  <c r="N34" i="2"/>
  <c r="C35" i="2"/>
  <c r="D35" i="2"/>
  <c r="E35" i="2"/>
  <c r="F35" i="2"/>
  <c r="G35" i="2"/>
  <c r="H35" i="2"/>
  <c r="I35" i="2"/>
  <c r="J35" i="2"/>
  <c r="K35" i="2"/>
  <c r="L35" i="2"/>
  <c r="M35" i="2"/>
  <c r="N35" i="2"/>
  <c r="C36" i="2"/>
  <c r="D36" i="2"/>
  <c r="E36" i="2"/>
  <c r="F36" i="2"/>
  <c r="G36" i="2"/>
  <c r="H36" i="2"/>
  <c r="I36" i="2"/>
  <c r="J36" i="2"/>
  <c r="K36" i="2"/>
  <c r="L36" i="2"/>
  <c r="M36" i="2"/>
  <c r="N36" i="2"/>
  <c r="C37" i="2"/>
  <c r="D37" i="2"/>
  <c r="E37" i="2"/>
  <c r="F37" i="2"/>
  <c r="G37" i="2"/>
  <c r="H37" i="2"/>
  <c r="I37" i="2"/>
  <c r="J37" i="2"/>
  <c r="K37" i="2"/>
  <c r="L37" i="2"/>
  <c r="M37" i="2"/>
  <c r="N37" i="2"/>
  <c r="C38" i="2"/>
  <c r="D38" i="2"/>
  <c r="E38" i="2"/>
  <c r="F38" i="2"/>
  <c r="G38" i="2"/>
  <c r="H38" i="2"/>
  <c r="I38" i="2"/>
  <c r="J38" i="2"/>
  <c r="K38" i="2"/>
  <c r="L38" i="2"/>
  <c r="M38" i="2"/>
  <c r="N38" i="2"/>
  <c r="C39" i="2"/>
  <c r="D39" i="2"/>
  <c r="E39" i="2"/>
  <c r="F39" i="2"/>
  <c r="G39" i="2"/>
  <c r="H39" i="2"/>
  <c r="I39" i="2"/>
  <c r="J39" i="2"/>
  <c r="K39" i="2"/>
  <c r="L39" i="2"/>
  <c r="M39" i="2"/>
  <c r="N39" i="2"/>
  <c r="C40" i="2"/>
  <c r="D40" i="2"/>
  <c r="E40" i="2"/>
  <c r="F40" i="2"/>
  <c r="G40" i="2"/>
  <c r="H40" i="2"/>
  <c r="I40" i="2"/>
  <c r="J40" i="2"/>
  <c r="K40" i="2"/>
  <c r="L40" i="2"/>
  <c r="M40" i="2"/>
  <c r="N40" i="2"/>
  <c r="C41" i="2"/>
  <c r="D41" i="2"/>
  <c r="E41" i="2"/>
  <c r="F41" i="2"/>
  <c r="G41" i="2"/>
  <c r="H41" i="2"/>
  <c r="I41" i="2"/>
  <c r="J41" i="2"/>
  <c r="K41" i="2"/>
  <c r="L41" i="2"/>
  <c r="M41" i="2"/>
  <c r="N41" i="2"/>
  <c r="N32" i="2"/>
  <c r="M32" i="2"/>
  <c r="L32" i="2"/>
  <c r="K32" i="2"/>
  <c r="J32" i="2"/>
  <c r="I32" i="2"/>
  <c r="H32" i="2"/>
  <c r="G32" i="2"/>
  <c r="F32" i="2"/>
  <c r="E32" i="2"/>
  <c r="D32" i="2"/>
  <c r="C32" i="2"/>
  <c r="C19" i="2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C21" i="2"/>
  <c r="D21" i="2"/>
  <c r="E21" i="2"/>
  <c r="F21" i="2"/>
  <c r="G21" i="2"/>
  <c r="H21" i="2"/>
  <c r="I21" i="2"/>
  <c r="J21" i="2"/>
  <c r="K21" i="2"/>
  <c r="L21" i="2"/>
  <c r="M21" i="2"/>
  <c r="N21" i="2"/>
  <c r="C22" i="2"/>
  <c r="D22" i="2"/>
  <c r="E22" i="2"/>
  <c r="F22" i="2"/>
  <c r="G22" i="2"/>
  <c r="H22" i="2"/>
  <c r="I22" i="2"/>
  <c r="J22" i="2"/>
  <c r="K22" i="2"/>
  <c r="L22" i="2"/>
  <c r="M22" i="2"/>
  <c r="N22" i="2"/>
  <c r="C23" i="2"/>
  <c r="D23" i="2"/>
  <c r="E23" i="2"/>
  <c r="F23" i="2"/>
  <c r="G23" i="2"/>
  <c r="H23" i="2"/>
  <c r="I23" i="2"/>
  <c r="J23" i="2"/>
  <c r="K23" i="2"/>
  <c r="L23" i="2"/>
  <c r="M23" i="2"/>
  <c r="N23" i="2"/>
  <c r="C24" i="2"/>
  <c r="D24" i="2"/>
  <c r="E24" i="2"/>
  <c r="F24" i="2"/>
  <c r="G24" i="2"/>
  <c r="H24" i="2"/>
  <c r="I24" i="2"/>
  <c r="J24" i="2"/>
  <c r="K24" i="2"/>
  <c r="L24" i="2"/>
  <c r="M24" i="2"/>
  <c r="N24" i="2"/>
  <c r="C25" i="2"/>
  <c r="D25" i="2"/>
  <c r="E25" i="2"/>
  <c r="F25" i="2"/>
  <c r="G25" i="2"/>
  <c r="H25" i="2"/>
  <c r="I25" i="2"/>
  <c r="J25" i="2"/>
  <c r="K25" i="2"/>
  <c r="L25" i="2"/>
  <c r="M25" i="2"/>
  <c r="N25" i="2"/>
  <c r="C26" i="2"/>
  <c r="D26" i="2"/>
  <c r="E26" i="2"/>
  <c r="F26" i="2"/>
  <c r="G26" i="2"/>
  <c r="H26" i="2"/>
  <c r="I26" i="2"/>
  <c r="J26" i="2"/>
  <c r="K26" i="2"/>
  <c r="L26" i="2"/>
  <c r="M26" i="2"/>
  <c r="N26" i="2"/>
  <c r="C27" i="2"/>
  <c r="D27" i="2"/>
  <c r="E27" i="2"/>
  <c r="F27" i="2"/>
  <c r="G27" i="2"/>
  <c r="H27" i="2"/>
  <c r="I27" i="2"/>
  <c r="J27" i="2"/>
  <c r="K27" i="2"/>
  <c r="L27" i="2"/>
  <c r="M27" i="2"/>
  <c r="N27" i="2"/>
  <c r="N18" i="2"/>
  <c r="M18" i="2"/>
  <c r="L18" i="2"/>
  <c r="K18" i="2"/>
  <c r="J18" i="2"/>
  <c r="I18" i="2"/>
  <c r="H18" i="2"/>
  <c r="G18" i="2"/>
  <c r="F18" i="2"/>
  <c r="E18" i="2"/>
  <c r="D18" i="2"/>
  <c r="C18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K13" i="2"/>
  <c r="L13" i="2"/>
  <c r="M13" i="2"/>
  <c r="N13" i="2"/>
  <c r="G5" i="2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N4" i="2"/>
  <c r="M4" i="2"/>
  <c r="L4" i="2"/>
  <c r="K4" i="2"/>
  <c r="J4" i="2"/>
  <c r="I4" i="2"/>
  <c r="H4" i="2"/>
  <c r="G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F4" i="2"/>
  <c r="E4" i="2"/>
  <c r="D4" i="2"/>
  <c r="C4" i="2"/>
  <c r="Z33" i="10"/>
  <c r="AA33" i="10"/>
  <c r="AB33" i="10"/>
  <c r="Z34" i="10"/>
  <c r="AA34" i="10"/>
  <c r="AB34" i="10"/>
  <c r="Z35" i="10"/>
  <c r="AA35" i="10"/>
  <c r="AB35" i="10"/>
  <c r="Z36" i="10"/>
  <c r="AA36" i="10"/>
  <c r="AB36" i="10"/>
  <c r="Z37" i="10"/>
  <c r="AA37" i="10"/>
  <c r="AB37" i="10"/>
  <c r="Z38" i="10"/>
  <c r="AA38" i="10"/>
  <c r="AB38" i="10"/>
  <c r="Z39" i="10"/>
  <c r="AA39" i="10"/>
  <c r="AB39" i="10"/>
  <c r="Z40" i="10"/>
  <c r="AA40" i="10"/>
  <c r="AB40" i="10"/>
  <c r="Z41" i="10"/>
  <c r="AA41" i="10"/>
  <c r="AB41" i="10"/>
  <c r="V33" i="10"/>
  <c r="W33" i="10"/>
  <c r="X33" i="10"/>
  <c r="V34" i="10"/>
  <c r="W34" i="10"/>
  <c r="X34" i="10"/>
  <c r="V35" i="10"/>
  <c r="W35" i="10"/>
  <c r="X35" i="10"/>
  <c r="V36" i="10"/>
  <c r="W36" i="10"/>
  <c r="X36" i="10"/>
  <c r="V37" i="10"/>
  <c r="W37" i="10"/>
  <c r="X37" i="10"/>
  <c r="V38" i="10"/>
  <c r="W38" i="10"/>
  <c r="X38" i="10"/>
  <c r="V39" i="10"/>
  <c r="W39" i="10"/>
  <c r="X39" i="10"/>
  <c r="V40" i="10"/>
  <c r="W40" i="10"/>
  <c r="X40" i="10"/>
  <c r="V41" i="10"/>
  <c r="W41" i="10"/>
  <c r="X41" i="10"/>
  <c r="AB32" i="10"/>
  <c r="AA32" i="10"/>
  <c r="X32" i="10"/>
  <c r="W32" i="10"/>
  <c r="R33" i="10"/>
  <c r="S33" i="10"/>
  <c r="T33" i="10"/>
  <c r="R34" i="10"/>
  <c r="S34" i="10"/>
  <c r="T34" i="10"/>
  <c r="R35" i="10"/>
  <c r="S35" i="10"/>
  <c r="T35" i="10"/>
  <c r="R36" i="10"/>
  <c r="S36" i="10"/>
  <c r="T36" i="10"/>
  <c r="R37" i="10"/>
  <c r="S37" i="10"/>
  <c r="T37" i="10"/>
  <c r="R38" i="10"/>
  <c r="S38" i="10"/>
  <c r="T38" i="10"/>
  <c r="R39" i="10"/>
  <c r="S39" i="10"/>
  <c r="T39" i="10"/>
  <c r="R40" i="10"/>
  <c r="S40" i="10"/>
  <c r="T40" i="10"/>
  <c r="R41" i="10"/>
  <c r="S41" i="10"/>
  <c r="T41" i="10"/>
  <c r="T32" i="10"/>
  <c r="S32" i="10"/>
  <c r="Z19" i="10"/>
  <c r="AA19" i="10"/>
  <c r="AB19" i="10"/>
  <c r="Z20" i="10"/>
  <c r="AA20" i="10"/>
  <c r="AB20" i="10"/>
  <c r="Z21" i="10"/>
  <c r="AA21" i="10"/>
  <c r="AB21" i="10"/>
  <c r="Z22" i="10"/>
  <c r="AA22" i="10"/>
  <c r="AB22" i="10"/>
  <c r="Z23" i="10"/>
  <c r="AA23" i="10"/>
  <c r="AB23" i="10"/>
  <c r="Z24" i="10"/>
  <c r="AA24" i="10"/>
  <c r="AB24" i="10"/>
  <c r="Z25" i="10"/>
  <c r="AA25" i="10"/>
  <c r="AB25" i="10"/>
  <c r="Z26" i="10"/>
  <c r="AA26" i="10"/>
  <c r="AB26" i="10"/>
  <c r="Z27" i="10"/>
  <c r="AA27" i="10"/>
  <c r="AB27" i="10"/>
  <c r="V19" i="10"/>
  <c r="W19" i="10"/>
  <c r="X19" i="10"/>
  <c r="V20" i="10"/>
  <c r="W20" i="10"/>
  <c r="X20" i="10"/>
  <c r="V21" i="10"/>
  <c r="W21" i="10"/>
  <c r="X21" i="10"/>
  <c r="V22" i="10"/>
  <c r="W22" i="10"/>
  <c r="X22" i="10"/>
  <c r="V23" i="10"/>
  <c r="W23" i="10"/>
  <c r="X23" i="10"/>
  <c r="V24" i="10"/>
  <c r="W24" i="10"/>
  <c r="X24" i="10"/>
  <c r="V25" i="10"/>
  <c r="W25" i="10"/>
  <c r="X25" i="10"/>
  <c r="V26" i="10"/>
  <c r="W26" i="10"/>
  <c r="X26" i="10"/>
  <c r="V27" i="10"/>
  <c r="W27" i="10"/>
  <c r="X27" i="10"/>
  <c r="R19" i="10"/>
  <c r="S19" i="10"/>
  <c r="T19" i="10"/>
  <c r="R20" i="10"/>
  <c r="S20" i="10"/>
  <c r="T20" i="10"/>
  <c r="R21" i="10"/>
  <c r="S21" i="10"/>
  <c r="T21" i="10"/>
  <c r="R22" i="10"/>
  <c r="S22" i="10"/>
  <c r="T22" i="10"/>
  <c r="R23" i="10"/>
  <c r="S23" i="10"/>
  <c r="T23" i="10"/>
  <c r="R24" i="10"/>
  <c r="S24" i="10"/>
  <c r="T24" i="10"/>
  <c r="R25" i="10"/>
  <c r="S25" i="10"/>
  <c r="T25" i="10"/>
  <c r="R26" i="10"/>
  <c r="S26" i="10"/>
  <c r="T26" i="10"/>
  <c r="R27" i="10"/>
  <c r="S27" i="10"/>
  <c r="T27" i="10"/>
  <c r="AB18" i="10"/>
  <c r="AA18" i="10"/>
  <c r="X18" i="10"/>
  <c r="W18" i="10"/>
  <c r="T18" i="10"/>
  <c r="S18" i="10"/>
  <c r="Z5" i="10"/>
  <c r="AA5" i="10"/>
  <c r="AB5" i="10"/>
  <c r="Z6" i="10"/>
  <c r="AA6" i="10"/>
  <c r="AB6" i="10"/>
  <c r="Z7" i="10"/>
  <c r="AA7" i="10"/>
  <c r="AB7" i="10"/>
  <c r="Z8" i="10"/>
  <c r="AA8" i="10"/>
  <c r="AB8" i="10"/>
  <c r="Z9" i="10"/>
  <c r="AA9" i="10"/>
  <c r="AB9" i="10"/>
  <c r="Z10" i="10"/>
  <c r="AA10" i="10"/>
  <c r="AB10" i="10"/>
  <c r="Z11" i="10"/>
  <c r="AA11" i="10"/>
  <c r="AB11" i="10"/>
  <c r="Z12" i="10"/>
  <c r="AA12" i="10"/>
  <c r="AB12" i="10"/>
  <c r="Z13" i="10"/>
  <c r="AA13" i="10"/>
  <c r="AB13" i="10"/>
  <c r="AB4" i="10"/>
  <c r="AA4" i="10"/>
  <c r="V5" i="10"/>
  <c r="W5" i="10"/>
  <c r="X5" i="10"/>
  <c r="V6" i="10"/>
  <c r="W6" i="10"/>
  <c r="X6" i="10"/>
  <c r="V7" i="10"/>
  <c r="W7" i="10"/>
  <c r="X7" i="10"/>
  <c r="V8" i="10"/>
  <c r="W8" i="10"/>
  <c r="X8" i="10"/>
  <c r="V9" i="10"/>
  <c r="W9" i="10"/>
  <c r="X9" i="10"/>
  <c r="V10" i="10"/>
  <c r="W10" i="10"/>
  <c r="X10" i="10"/>
  <c r="V11" i="10"/>
  <c r="W11" i="10"/>
  <c r="X11" i="10"/>
  <c r="V12" i="10"/>
  <c r="W12" i="10"/>
  <c r="X12" i="10"/>
  <c r="V13" i="10"/>
  <c r="W13" i="10"/>
  <c r="X13" i="10"/>
  <c r="X4" i="10"/>
  <c r="W4" i="10"/>
  <c r="R5" i="10"/>
  <c r="S5" i="10"/>
  <c r="T5" i="10"/>
  <c r="R6" i="10"/>
  <c r="S6" i="10"/>
  <c r="T6" i="10"/>
  <c r="R7" i="10"/>
  <c r="S7" i="10"/>
  <c r="T7" i="10"/>
  <c r="R8" i="10"/>
  <c r="S8" i="10"/>
  <c r="T8" i="10"/>
  <c r="R9" i="10"/>
  <c r="S9" i="10"/>
  <c r="T9" i="10"/>
  <c r="R10" i="10"/>
  <c r="S10" i="10"/>
  <c r="T10" i="10"/>
  <c r="R11" i="10"/>
  <c r="S11" i="10"/>
  <c r="T11" i="10"/>
  <c r="R12" i="10"/>
  <c r="S12" i="10"/>
  <c r="T12" i="10"/>
  <c r="R13" i="10"/>
  <c r="S13" i="10"/>
  <c r="T13" i="10"/>
  <c r="T4" i="10"/>
  <c r="S4" i="10"/>
  <c r="L33" i="10"/>
  <c r="M33" i="10"/>
  <c r="N33" i="10"/>
  <c r="L34" i="10"/>
  <c r="M34" i="10"/>
  <c r="N34" i="10"/>
  <c r="L35" i="10"/>
  <c r="M35" i="10"/>
  <c r="N35" i="10"/>
  <c r="L36" i="10"/>
  <c r="M36" i="10"/>
  <c r="N36" i="10"/>
  <c r="L37" i="10"/>
  <c r="M37" i="10"/>
  <c r="N37" i="10"/>
  <c r="L38" i="10"/>
  <c r="M38" i="10"/>
  <c r="N38" i="10"/>
  <c r="L39" i="10"/>
  <c r="M39" i="10"/>
  <c r="N39" i="10"/>
  <c r="L40" i="10"/>
  <c r="M40" i="10"/>
  <c r="N40" i="10"/>
  <c r="L41" i="10"/>
  <c r="M41" i="10"/>
  <c r="N41" i="10"/>
  <c r="N32" i="10"/>
  <c r="M32" i="10"/>
  <c r="H33" i="10"/>
  <c r="I33" i="10"/>
  <c r="J33" i="10"/>
  <c r="H34" i="10"/>
  <c r="I34" i="10"/>
  <c r="J34" i="10"/>
  <c r="H35" i="10"/>
  <c r="I35" i="10"/>
  <c r="J35" i="10"/>
  <c r="H36" i="10"/>
  <c r="I36" i="10"/>
  <c r="J36" i="10"/>
  <c r="H37" i="10"/>
  <c r="I37" i="10"/>
  <c r="J37" i="10"/>
  <c r="H38" i="10"/>
  <c r="I38" i="10"/>
  <c r="J38" i="10"/>
  <c r="H39" i="10"/>
  <c r="I39" i="10"/>
  <c r="J39" i="10"/>
  <c r="H40" i="10"/>
  <c r="I40" i="10"/>
  <c r="J40" i="10"/>
  <c r="H41" i="10"/>
  <c r="I41" i="10"/>
  <c r="J41" i="10"/>
  <c r="D33" i="10"/>
  <c r="E33" i="10"/>
  <c r="F33" i="10"/>
  <c r="D34" i="10"/>
  <c r="E34" i="10"/>
  <c r="F34" i="10"/>
  <c r="D35" i="10"/>
  <c r="E35" i="10"/>
  <c r="F35" i="10"/>
  <c r="D36" i="10"/>
  <c r="E36" i="10"/>
  <c r="F36" i="10"/>
  <c r="D37" i="10"/>
  <c r="E37" i="10"/>
  <c r="F37" i="10"/>
  <c r="D38" i="10"/>
  <c r="E38" i="10"/>
  <c r="F38" i="10"/>
  <c r="D39" i="10"/>
  <c r="E39" i="10"/>
  <c r="F39" i="10"/>
  <c r="D40" i="10"/>
  <c r="E40" i="10"/>
  <c r="F40" i="10"/>
  <c r="D41" i="10"/>
  <c r="E41" i="10"/>
  <c r="F41" i="10"/>
  <c r="J32" i="10"/>
  <c r="I32" i="10"/>
  <c r="F32" i="10"/>
  <c r="E32" i="10"/>
  <c r="L19" i="10"/>
  <c r="M19" i="10"/>
  <c r="N19" i="10"/>
  <c r="L20" i="10"/>
  <c r="M20" i="10"/>
  <c r="N20" i="10"/>
  <c r="L21" i="10"/>
  <c r="M21" i="10"/>
  <c r="N21" i="10"/>
  <c r="L22" i="10"/>
  <c r="M22" i="10"/>
  <c r="N22" i="10"/>
  <c r="L23" i="10"/>
  <c r="M23" i="10"/>
  <c r="N23" i="10"/>
  <c r="L24" i="10"/>
  <c r="M24" i="10"/>
  <c r="N24" i="10"/>
  <c r="L25" i="10"/>
  <c r="M25" i="10"/>
  <c r="N25" i="10"/>
  <c r="L26" i="10"/>
  <c r="M26" i="10"/>
  <c r="N26" i="10"/>
  <c r="L27" i="10"/>
  <c r="M27" i="10"/>
  <c r="N27" i="10"/>
  <c r="N18" i="10"/>
  <c r="M18" i="10"/>
  <c r="H19" i="10"/>
  <c r="I19" i="10"/>
  <c r="J19" i="10"/>
  <c r="H20" i="10"/>
  <c r="I20" i="10"/>
  <c r="J20" i="10"/>
  <c r="H21" i="10"/>
  <c r="I21" i="10"/>
  <c r="J21" i="10"/>
  <c r="H22" i="10"/>
  <c r="I22" i="10"/>
  <c r="J22" i="10"/>
  <c r="H23" i="10"/>
  <c r="I23" i="10"/>
  <c r="J23" i="10"/>
  <c r="H24" i="10"/>
  <c r="I24" i="10"/>
  <c r="J24" i="10"/>
  <c r="H25" i="10"/>
  <c r="I25" i="10"/>
  <c r="J25" i="10"/>
  <c r="H26" i="10"/>
  <c r="I26" i="10"/>
  <c r="J26" i="10"/>
  <c r="H27" i="10"/>
  <c r="I27" i="10"/>
  <c r="J27" i="10"/>
  <c r="J18" i="10"/>
  <c r="I18" i="10"/>
  <c r="D19" i="10"/>
  <c r="E19" i="10"/>
  <c r="F19" i="10"/>
  <c r="D20" i="10"/>
  <c r="E20" i="10"/>
  <c r="F20" i="10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F18" i="10"/>
  <c r="E18" i="10"/>
  <c r="AB51" i="11" l="1"/>
  <c r="AB53" i="11"/>
  <c r="AB47" i="11"/>
  <c r="V54" i="11"/>
  <c r="AC40" i="11"/>
  <c r="AC36" i="11"/>
  <c r="I24" i="11"/>
  <c r="AD46" i="11"/>
  <c r="I39" i="11"/>
  <c r="X41" i="11"/>
  <c r="Y50" i="11"/>
  <c r="AE40" i="11"/>
  <c r="AC38" i="11"/>
  <c r="AK38" i="11"/>
  <c r="W36" i="11"/>
  <c r="R35" i="11"/>
  <c r="P31" i="11"/>
  <c r="R39" i="11"/>
  <c r="I27" i="11"/>
  <c r="AC34" i="11"/>
  <c r="AC32" i="11"/>
  <c r="AC41" i="11" s="1"/>
  <c r="X49" i="11"/>
  <c r="AH36" i="11"/>
  <c r="Q26" i="11"/>
  <c r="O35" i="11"/>
  <c r="L26" i="11"/>
  <c r="L24" i="11"/>
  <c r="L31" i="11" s="1"/>
  <c r="O26" i="11"/>
  <c r="AI46" i="11"/>
  <c r="AE36" i="11"/>
  <c r="AC50" i="11"/>
  <c r="AH37" i="11"/>
  <c r="AK36" i="11"/>
  <c r="AH34" i="11"/>
  <c r="AD41" i="11"/>
  <c r="W35" i="11"/>
  <c r="F30" i="11"/>
  <c r="AC39" i="11"/>
  <c r="C35" i="11"/>
  <c r="E27" i="11"/>
  <c r="C31" i="11"/>
  <c r="P27" i="11"/>
  <c r="J25" i="11"/>
  <c r="P28" i="11"/>
  <c r="O29" i="11"/>
  <c r="X47" i="11"/>
  <c r="Y54" i="11"/>
  <c r="AC37" i="11"/>
  <c r="C39" i="11"/>
  <c r="K11" i="11"/>
  <c r="K24" i="11" s="1"/>
  <c r="AC35" i="11"/>
  <c r="I29" i="11"/>
  <c r="J28" i="11"/>
  <c r="J27" i="11"/>
  <c r="X48" i="11"/>
  <c r="X51" i="11"/>
  <c r="W33" i="11"/>
  <c r="F28" i="11"/>
  <c r="D29" i="11"/>
  <c r="L27" i="11"/>
  <c r="I30" i="11"/>
  <c r="AK34" i="11"/>
  <c r="W39" i="11"/>
  <c r="F11" i="11"/>
  <c r="F26" i="11"/>
  <c r="P25" i="11"/>
  <c r="D11" i="11"/>
  <c r="O27" i="11"/>
  <c r="I26" i="11"/>
  <c r="AC33" i="11"/>
  <c r="AE53" i="11"/>
  <c r="Y49" i="11"/>
  <c r="AK40" i="11"/>
  <c r="AI69" i="11"/>
  <c r="W32" i="11"/>
  <c r="E11" i="11"/>
  <c r="E29" i="11" s="1"/>
  <c r="O24" i="11"/>
  <c r="O25" i="11"/>
  <c r="I25" i="11"/>
  <c r="L29" i="11"/>
  <c r="J24" i="11"/>
  <c r="O39" i="11"/>
  <c r="Q11" i="11"/>
  <c r="L28" i="11"/>
  <c r="J30" i="11"/>
  <c r="AH50" i="11"/>
  <c r="AH48" i="11"/>
  <c r="AH46" i="11"/>
  <c r="AK83" i="11"/>
  <c r="AK52" i="11"/>
  <c r="AK48" i="11"/>
  <c r="AK47" i="11"/>
  <c r="AI83" i="11"/>
  <c r="AI49" i="11"/>
  <c r="AI51" i="11"/>
  <c r="AI50" i="11"/>
  <c r="V48" i="11"/>
  <c r="W54" i="11"/>
  <c r="AJ46" i="11"/>
  <c r="AH52" i="11"/>
  <c r="AK50" i="11"/>
  <c r="AI37" i="11"/>
  <c r="AH54" i="11"/>
  <c r="AH49" i="11"/>
  <c r="AI39" i="11"/>
  <c r="V52" i="11"/>
  <c r="AH35" i="11"/>
  <c r="AB36" i="11"/>
  <c r="AK33" i="11"/>
  <c r="AK69" i="11"/>
  <c r="AK37" i="11"/>
  <c r="AH53" i="11"/>
  <c r="AC83" i="11"/>
  <c r="AC47" i="11"/>
  <c r="AC53" i="11"/>
  <c r="AC51" i="11"/>
  <c r="AI40" i="11"/>
  <c r="V53" i="11"/>
  <c r="AK51" i="11"/>
  <c r="AH47" i="11"/>
  <c r="AB49" i="11"/>
  <c r="AB54" i="11"/>
  <c r="AB52" i="11"/>
  <c r="AB48" i="11"/>
  <c r="AB46" i="11"/>
  <c r="AE69" i="11"/>
  <c r="AE39" i="11"/>
  <c r="AE37" i="11"/>
  <c r="AE35" i="11"/>
  <c r="AE33" i="11"/>
  <c r="AI52" i="11"/>
  <c r="AB35" i="11"/>
  <c r="AE83" i="11"/>
  <c r="AE46" i="11"/>
  <c r="AE48" i="11"/>
  <c r="AE52" i="11"/>
  <c r="AI36" i="11"/>
  <c r="AH51" i="11"/>
  <c r="AK53" i="11"/>
  <c r="AB32" i="11"/>
  <c r="AJ83" i="11"/>
  <c r="AJ54" i="11"/>
  <c r="AJ50" i="11"/>
  <c r="AJ48" i="11"/>
  <c r="AJ51" i="11"/>
  <c r="AJ47" i="11"/>
  <c r="AJ49" i="11"/>
  <c r="AJ53" i="11"/>
  <c r="W51" i="11"/>
  <c r="W48" i="11"/>
  <c r="W49" i="11"/>
  <c r="W53" i="11"/>
  <c r="W52" i="11"/>
  <c r="W46" i="11"/>
  <c r="W83" i="11"/>
  <c r="AI34" i="11"/>
  <c r="X83" i="11"/>
  <c r="X46" i="11"/>
  <c r="X52" i="11"/>
  <c r="X50" i="11"/>
  <c r="AE32" i="11"/>
  <c r="AI35" i="11"/>
  <c r="AK54" i="11"/>
  <c r="X54" i="11"/>
  <c r="Y48" i="11"/>
  <c r="AH40" i="11"/>
  <c r="AH41" i="11" s="1"/>
  <c r="W34" i="11"/>
  <c r="AC54" i="11"/>
  <c r="W38" i="11"/>
  <c r="AJ69" i="11"/>
  <c r="AJ37" i="11"/>
  <c r="AJ33" i="11"/>
  <c r="AJ38" i="11"/>
  <c r="AJ34" i="11"/>
  <c r="AJ36" i="11"/>
  <c r="AJ40" i="11"/>
  <c r="AJ32" i="11"/>
  <c r="AB33" i="11"/>
  <c r="AB39" i="11"/>
  <c r="AD69" i="11"/>
  <c r="AI55" i="11"/>
  <c r="V51" i="11"/>
  <c r="V47" i="11"/>
  <c r="V49" i="11"/>
  <c r="AB38" i="11"/>
  <c r="AK49" i="11"/>
  <c r="AD83" i="11"/>
  <c r="AD52" i="11"/>
  <c r="AD48" i="11"/>
  <c r="AD55" i="11" s="1"/>
  <c r="AD54" i="11"/>
  <c r="AD49" i="11"/>
  <c r="AD51" i="11"/>
  <c r="AD47" i="11"/>
  <c r="AE38" i="11"/>
  <c r="AJ39" i="11"/>
  <c r="AC69" i="11"/>
  <c r="AI33" i="11"/>
  <c r="AK46" i="11"/>
  <c r="AB40" i="11"/>
  <c r="AD53" i="11"/>
  <c r="Y34" i="11"/>
  <c r="Y32" i="11"/>
  <c r="Y40" i="11"/>
  <c r="Y69" i="11"/>
  <c r="Y83" i="11"/>
  <c r="Y51" i="11"/>
  <c r="Y53" i="11"/>
  <c r="Y47" i="11"/>
  <c r="Y52" i="11"/>
  <c r="AI32" i="11"/>
  <c r="AI47" i="11"/>
  <c r="M5" i="10"/>
  <c r="N5" i="10"/>
  <c r="M6" i="10"/>
  <c r="N6" i="10"/>
  <c r="M7" i="10"/>
  <c r="N7" i="10"/>
  <c r="M8" i="10"/>
  <c r="N8" i="10"/>
  <c r="M9" i="10"/>
  <c r="N9" i="10"/>
  <c r="M10" i="10"/>
  <c r="N10" i="10"/>
  <c r="M11" i="10"/>
  <c r="N11" i="10"/>
  <c r="M12" i="10"/>
  <c r="N12" i="10"/>
  <c r="M13" i="10"/>
  <c r="N13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D5" i="10"/>
  <c r="E5" i="10"/>
  <c r="F5" i="10"/>
  <c r="D6" i="10"/>
  <c r="E6" i="10"/>
  <c r="F6" i="10"/>
  <c r="D7" i="10"/>
  <c r="E7" i="10"/>
  <c r="F7" i="10"/>
  <c r="D8" i="10"/>
  <c r="E8" i="10"/>
  <c r="F8" i="10"/>
  <c r="D9" i="10"/>
  <c r="E9" i="10"/>
  <c r="F9" i="10"/>
  <c r="D10" i="10"/>
  <c r="E10" i="10"/>
  <c r="F10" i="10"/>
  <c r="D11" i="10"/>
  <c r="E11" i="10"/>
  <c r="F11" i="10"/>
  <c r="D12" i="10"/>
  <c r="E12" i="10"/>
  <c r="F12" i="10"/>
  <c r="D13" i="10"/>
  <c r="E13" i="10"/>
  <c r="F13" i="10"/>
  <c r="N4" i="10"/>
  <c r="J4" i="10"/>
  <c r="F4" i="10"/>
  <c r="M4" i="10"/>
  <c r="I4" i="10"/>
  <c r="E4" i="10"/>
  <c r="Z32" i="10"/>
  <c r="V32" i="10"/>
  <c r="R32" i="10"/>
  <c r="Z18" i="10"/>
  <c r="V18" i="10"/>
  <c r="R18" i="10"/>
  <c r="Z4" i="10"/>
  <c r="V4" i="10"/>
  <c r="R4" i="10"/>
  <c r="L32" i="10"/>
  <c r="H32" i="10"/>
  <c r="D32" i="10"/>
  <c r="L18" i="10"/>
  <c r="H18" i="10"/>
  <c r="D18" i="10"/>
  <c r="L5" i="10"/>
  <c r="L6" i="10"/>
  <c r="L7" i="10"/>
  <c r="L8" i="10"/>
  <c r="L9" i="10"/>
  <c r="L10" i="10"/>
  <c r="L11" i="10"/>
  <c r="L12" i="10"/>
  <c r="L13" i="10"/>
  <c r="L4" i="10"/>
  <c r="H5" i="10"/>
  <c r="H6" i="10"/>
  <c r="H7" i="10"/>
  <c r="H8" i="10"/>
  <c r="H9" i="10"/>
  <c r="H10" i="10"/>
  <c r="H11" i="10"/>
  <c r="H12" i="10"/>
  <c r="H13" i="10"/>
  <c r="H4" i="10"/>
  <c r="D4" i="10"/>
  <c r="Y33" i="10"/>
  <c r="Y34" i="10"/>
  <c r="Y35" i="10"/>
  <c r="Y36" i="10"/>
  <c r="Y37" i="10"/>
  <c r="Y38" i="10"/>
  <c r="Y39" i="10"/>
  <c r="Y40" i="10"/>
  <c r="Y41" i="10"/>
  <c r="Y32" i="10"/>
  <c r="U33" i="10"/>
  <c r="U34" i="10"/>
  <c r="U35" i="10"/>
  <c r="U36" i="10"/>
  <c r="U37" i="10"/>
  <c r="U38" i="10"/>
  <c r="U39" i="10"/>
  <c r="U40" i="10"/>
  <c r="U41" i="10"/>
  <c r="U32" i="10"/>
  <c r="Q33" i="10"/>
  <c r="Q34" i="10"/>
  <c r="Q35" i="10"/>
  <c r="Q36" i="10"/>
  <c r="Q37" i="10"/>
  <c r="Q38" i="10"/>
  <c r="Q39" i="10"/>
  <c r="Q40" i="10"/>
  <c r="Q41" i="10"/>
  <c r="Q32" i="10"/>
  <c r="Y19" i="10"/>
  <c r="Y20" i="10"/>
  <c r="Y21" i="10"/>
  <c r="Y22" i="10"/>
  <c r="Y23" i="10"/>
  <c r="Y24" i="10"/>
  <c r="Y25" i="10"/>
  <c r="Y26" i="10"/>
  <c r="Y27" i="10"/>
  <c r="Y18" i="10"/>
  <c r="U19" i="10"/>
  <c r="U20" i="10"/>
  <c r="U21" i="10"/>
  <c r="U22" i="10"/>
  <c r="U23" i="10"/>
  <c r="U24" i="10"/>
  <c r="U25" i="10"/>
  <c r="U26" i="10"/>
  <c r="U27" i="10"/>
  <c r="U18" i="10"/>
  <c r="Q19" i="10"/>
  <c r="Q20" i="10"/>
  <c r="Q21" i="10"/>
  <c r="Q22" i="10"/>
  <c r="Q23" i="10"/>
  <c r="Q24" i="10"/>
  <c r="Q25" i="10"/>
  <c r="Q26" i="10"/>
  <c r="Q27" i="10"/>
  <c r="Q18" i="10"/>
  <c r="Y5" i="10"/>
  <c r="Y6" i="10"/>
  <c r="Y7" i="10"/>
  <c r="Y8" i="10"/>
  <c r="Y9" i="10"/>
  <c r="Y10" i="10"/>
  <c r="Y11" i="10"/>
  <c r="Y12" i="10"/>
  <c r="Y13" i="10"/>
  <c r="Y4" i="10"/>
  <c r="U5" i="10"/>
  <c r="U6" i="10"/>
  <c r="U7" i="10"/>
  <c r="U8" i="10"/>
  <c r="U9" i="10"/>
  <c r="U10" i="10"/>
  <c r="U11" i="10"/>
  <c r="U12" i="10"/>
  <c r="U13" i="10"/>
  <c r="U4" i="10"/>
  <c r="Q5" i="10"/>
  <c r="Q6" i="10"/>
  <c r="Q7" i="10"/>
  <c r="Q8" i="10"/>
  <c r="Q9" i="10"/>
  <c r="Q10" i="10"/>
  <c r="Q11" i="10"/>
  <c r="Q12" i="10"/>
  <c r="Q13" i="10"/>
  <c r="Q4" i="10"/>
  <c r="K33" i="10"/>
  <c r="K34" i="10"/>
  <c r="K35" i="10"/>
  <c r="K36" i="10"/>
  <c r="K37" i="10"/>
  <c r="K38" i="10"/>
  <c r="K39" i="10"/>
  <c r="K40" i="10"/>
  <c r="K41" i="10"/>
  <c r="K32" i="10"/>
  <c r="G33" i="10"/>
  <c r="G34" i="10"/>
  <c r="G35" i="10"/>
  <c r="G36" i="10"/>
  <c r="G37" i="10"/>
  <c r="G38" i="10"/>
  <c r="G39" i="10"/>
  <c r="G40" i="10"/>
  <c r="G41" i="10"/>
  <c r="G32" i="10"/>
  <c r="C33" i="10"/>
  <c r="C34" i="10"/>
  <c r="C35" i="10"/>
  <c r="C36" i="10"/>
  <c r="C37" i="10"/>
  <c r="C38" i="10"/>
  <c r="C39" i="10"/>
  <c r="C40" i="10"/>
  <c r="C41" i="10"/>
  <c r="C32" i="10"/>
  <c r="Q25" i="11" l="1"/>
  <c r="Q29" i="11"/>
  <c r="Q28" i="11"/>
  <c r="Q27" i="11"/>
  <c r="Q24" i="11"/>
  <c r="Q31" i="11" s="1"/>
  <c r="W41" i="11"/>
  <c r="AC55" i="11"/>
  <c r="L39" i="11"/>
  <c r="E28" i="11"/>
  <c r="E30" i="11"/>
  <c r="K28" i="11"/>
  <c r="K25" i="11"/>
  <c r="K27" i="11"/>
  <c r="K29" i="11"/>
  <c r="K26" i="11"/>
  <c r="K31" i="11" s="1"/>
  <c r="P35" i="11"/>
  <c r="E26" i="11"/>
  <c r="E25" i="11"/>
  <c r="E24" i="11"/>
  <c r="Y55" i="11"/>
  <c r="J31" i="11"/>
  <c r="E35" i="11"/>
  <c r="Q30" i="11"/>
  <c r="K30" i="11"/>
  <c r="J39" i="11"/>
  <c r="AK41" i="11"/>
  <c r="O31" i="11"/>
  <c r="P39" i="11"/>
  <c r="J35" i="11"/>
  <c r="V55" i="11"/>
  <c r="D27" i="11"/>
  <c r="D24" i="11"/>
  <c r="D28" i="11"/>
  <c r="D30" i="11"/>
  <c r="D35" i="11"/>
  <c r="D25" i="11"/>
  <c r="D26" i="11"/>
  <c r="F35" i="11"/>
  <c r="F24" i="11"/>
  <c r="F27" i="11"/>
  <c r="F25" i="11"/>
  <c r="F29" i="11"/>
  <c r="I31" i="11"/>
  <c r="L35" i="11"/>
  <c r="I35" i="11"/>
  <c r="X55" i="11"/>
  <c r="AI41" i="11"/>
  <c r="AB41" i="11"/>
  <c r="AB55" i="11"/>
  <c r="AH55" i="11"/>
  <c r="AE55" i="11"/>
  <c r="AJ41" i="11"/>
  <c r="AE41" i="11"/>
  <c r="W55" i="11"/>
  <c r="Y41" i="11"/>
  <c r="AK55" i="11"/>
  <c r="AJ55" i="11"/>
  <c r="K19" i="10"/>
  <c r="K20" i="10"/>
  <c r="K21" i="10"/>
  <c r="K22" i="10"/>
  <c r="K23" i="10"/>
  <c r="K24" i="10"/>
  <c r="K25" i="10"/>
  <c r="K26" i="10"/>
  <c r="K27" i="10"/>
  <c r="K18" i="10"/>
  <c r="G19" i="10"/>
  <c r="G20" i="10"/>
  <c r="G21" i="10"/>
  <c r="G22" i="10"/>
  <c r="G23" i="10"/>
  <c r="G24" i="10"/>
  <c r="G25" i="10"/>
  <c r="G26" i="10"/>
  <c r="G27" i="10"/>
  <c r="G18" i="10"/>
  <c r="K5" i="10"/>
  <c r="K6" i="10"/>
  <c r="K7" i="10"/>
  <c r="K8" i="10"/>
  <c r="K9" i="10"/>
  <c r="K10" i="10"/>
  <c r="K11" i="10"/>
  <c r="K12" i="10"/>
  <c r="K13" i="10"/>
  <c r="K4" i="10"/>
  <c r="G5" i="10"/>
  <c r="G6" i="10"/>
  <c r="G7" i="10"/>
  <c r="G8" i="10"/>
  <c r="G9" i="10"/>
  <c r="G10" i="10"/>
  <c r="G11" i="10"/>
  <c r="G12" i="10"/>
  <c r="G13" i="10"/>
  <c r="G4" i="10"/>
  <c r="C19" i="10"/>
  <c r="C20" i="10"/>
  <c r="C21" i="10"/>
  <c r="C22" i="10"/>
  <c r="C23" i="10"/>
  <c r="C24" i="10"/>
  <c r="C25" i="10"/>
  <c r="C26" i="10"/>
  <c r="C27" i="10"/>
  <c r="C18" i="10"/>
  <c r="C5" i="10"/>
  <c r="C6" i="10"/>
  <c r="C7" i="10"/>
  <c r="C8" i="10"/>
  <c r="C9" i="10"/>
  <c r="C10" i="10"/>
  <c r="C11" i="10"/>
  <c r="C12" i="10"/>
  <c r="C13" i="10"/>
  <c r="C4" i="10"/>
  <c r="K35" i="11" l="1"/>
  <c r="Q39" i="11"/>
  <c r="F39" i="11"/>
  <c r="E31" i="11"/>
  <c r="Q35" i="11"/>
  <c r="D31" i="11"/>
  <c r="D39" i="11"/>
  <c r="E39" i="11"/>
  <c r="F31" i="11"/>
  <c r="K39" i="11"/>
</calcChain>
</file>

<file path=xl/sharedStrings.xml><?xml version="1.0" encoding="utf-8"?>
<sst xmlns="http://schemas.openxmlformats.org/spreadsheetml/2006/main" count="1196" uniqueCount="42">
  <si>
    <t>Local Bus</t>
  </si>
  <si>
    <t>BRT</t>
  </si>
  <si>
    <t>MODE9</t>
  </si>
  <si>
    <t>Express Bus</t>
  </si>
  <si>
    <t>Light Rail</t>
  </si>
  <si>
    <t>Comm. Rail</t>
  </si>
  <si>
    <t>Auto</t>
  </si>
  <si>
    <t>Non-Motorized</t>
  </si>
  <si>
    <t>Total Trips</t>
  </si>
  <si>
    <t>Peak</t>
  </si>
  <si>
    <t>Off-Peak</t>
  </si>
  <si>
    <t>Daily</t>
  </si>
  <si>
    <t>Base</t>
  </si>
  <si>
    <t>Low</t>
  </si>
  <si>
    <t>Medium</t>
  </si>
  <si>
    <t>High</t>
  </si>
  <si>
    <t>Home Based Work</t>
  </si>
  <si>
    <t>Home Based College</t>
  </si>
  <si>
    <t>Home Based Other</t>
  </si>
  <si>
    <t xml:space="preserve">Non-Home Based </t>
  </si>
  <si>
    <t>Home Based School</t>
  </si>
  <si>
    <t>School Bus</t>
  </si>
  <si>
    <t>Scenarios\BY_2019 - base\</t>
  </si>
  <si>
    <t>Mode</t>
  </si>
  <si>
    <t>HBW</t>
  </si>
  <si>
    <t>HBC</t>
  </si>
  <si>
    <t>HBO</t>
  </si>
  <si>
    <t>NHB</t>
  </si>
  <si>
    <t>HBSch</t>
  </si>
  <si>
    <t>Total</t>
  </si>
  <si>
    <t>BRT 1</t>
  </si>
  <si>
    <t>BRT 3</t>
  </si>
  <si>
    <t>Commuter Rail</t>
  </si>
  <si>
    <t>Scenarios\BY_2019 - low\</t>
  </si>
  <si>
    <t>Scenarios\BY_2019 - medium\</t>
  </si>
  <si>
    <t>Scenarios\BY_2019 - high\</t>
  </si>
  <si>
    <t>Scenarios\RTP_2050 - low\</t>
  </si>
  <si>
    <t>Scenarios\RTP_2050 - medium\</t>
  </si>
  <si>
    <t>Scenarios\RTP_2050 - high\</t>
  </si>
  <si>
    <t>Scenarios\RTP_2050 - base\</t>
  </si>
  <si>
    <t>Non-Auto Trips</t>
  </si>
  <si>
    <t>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</si>
</sst>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1" applyNumberFormat="1" applyFont="1"/>
    <xf numFmtId="164" fontId="0" fillId="33" borderId="0" xfId="1" applyNumberFormat="1" applyFont="1" applyFill="1"/>
    <xf numFmtId="0" fontId="0" fillId="34" borderId="0" xfId="0" applyFill="1"/>
    <xf numFmtId="0" fontId="0" fillId="36" borderId="0" xfId="0" applyFont="1" applyFill="1"/>
    <xf numFmtId="0" fontId="16" fillId="36" borderId="0" xfId="0" applyFont="1" applyFill="1"/>
    <xf numFmtId="0" fontId="0" fillId="36" borderId="11" xfId="0" applyFont="1" applyFill="1" applyBorder="1"/>
    <xf numFmtId="0" fontId="0" fillId="36" borderId="12" xfId="0" applyFont="1" applyFill="1" applyBorder="1"/>
    <xf numFmtId="0" fontId="16" fillId="36" borderId="0" xfId="0" applyFont="1" applyFill="1" applyAlignment="1">
      <alignment horizontal="center"/>
    </xf>
    <xf numFmtId="164" fontId="0" fillId="35" borderId="0" xfId="1" applyNumberFormat="1" applyFont="1" applyFill="1"/>
    <xf numFmtId="164" fontId="0" fillId="35" borderId="14" xfId="1" applyNumberFormat="1" applyFont="1" applyFill="1" applyBorder="1"/>
    <xf numFmtId="164" fontId="0" fillId="35" borderId="0" xfId="1" applyNumberFormat="1" applyFont="1" applyFill="1" applyBorder="1"/>
    <xf numFmtId="164" fontId="0" fillId="35" borderId="12" xfId="1" applyNumberFormat="1" applyFont="1" applyFill="1" applyBorder="1"/>
    <xf numFmtId="0" fontId="0" fillId="36" borderId="15" xfId="0" applyFont="1" applyFill="1" applyBorder="1" applyAlignment="1">
      <alignment horizontal="center" vertical="center"/>
    </xf>
    <xf numFmtId="0" fontId="0" fillId="36" borderId="10" xfId="0" applyFont="1" applyFill="1" applyBorder="1" applyAlignment="1">
      <alignment horizontal="center" vertical="center"/>
    </xf>
    <xf numFmtId="0" fontId="0" fillId="36" borderId="13" xfId="0" applyFont="1" applyFill="1" applyBorder="1" applyAlignment="1">
      <alignment horizontal="center" vertical="center"/>
    </xf>
    <xf numFmtId="0" fontId="16" fillId="36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left"/>
    </xf>
    <xf numFmtId="0" fontId="0" fillId="36" borderId="0" xfId="0" applyFont="1" applyFill="1" applyBorder="1"/>
    <xf numFmtId="0" fontId="16" fillId="36" borderId="0" xfId="0" applyFont="1" applyFill="1" applyBorder="1" applyAlignment="1">
      <alignment horizontal="center"/>
    </xf>
    <xf numFmtId="0" fontId="0" fillId="34" borderId="0" xfId="0" applyFill="1" applyBorder="1"/>
    <xf numFmtId="0" fontId="16" fillId="36" borderId="0" xfId="0" applyFont="1" applyFill="1" applyBorder="1" applyAlignment="1">
      <alignment horizontal="left"/>
    </xf>
    <xf numFmtId="0" fontId="16" fillId="36" borderId="0" xfId="0" applyFont="1" applyFill="1" applyBorder="1" applyAlignment="1">
      <alignment horizontal="center" vertical="center"/>
    </xf>
    <xf numFmtId="164" fontId="19" fillId="35" borderId="0" xfId="1" applyNumberFormat="1" applyFont="1" applyFill="1" applyBorder="1"/>
    <xf numFmtId="164" fontId="0" fillId="35" borderId="16" xfId="1" applyNumberFormat="1" applyFont="1" applyFill="1" applyBorder="1"/>
    <xf numFmtId="164" fontId="0" fillId="37" borderId="0" xfId="1" applyNumberFormat="1" applyFont="1" applyFill="1"/>
    <xf numFmtId="164" fontId="20" fillId="35" borderId="0" xfId="1" applyNumberFormat="1" applyFont="1" applyFill="1" applyBorder="1"/>
    <xf numFmtId="165" fontId="20" fillId="35" borderId="0" xfId="43" applyNumberFormat="1" applyFont="1" applyFill="1" applyBorder="1" applyAlignment="1">
      <alignment horizontal="center"/>
    </xf>
    <xf numFmtId="165" fontId="0" fillId="35" borderId="16" xfId="43" applyNumberFormat="1" applyFont="1" applyFill="1" applyBorder="1" applyAlignment="1">
      <alignment horizontal="center"/>
    </xf>
    <xf numFmtId="165" fontId="21" fillId="36" borderId="0" xfId="43" applyNumberFormat="1" applyFont="1" applyFill="1" applyBorder="1" applyAlignment="1">
      <alignment horizontal="center"/>
    </xf>
    <xf numFmtId="165" fontId="21" fillId="36" borderId="16" xfId="43" applyNumberFormat="1" applyFont="1" applyFill="1" applyBorder="1" applyAlignment="1">
      <alignment horizontal="center"/>
    </xf>
    <xf numFmtId="165" fontId="20" fillId="35" borderId="16" xfId="43" applyNumberFormat="1" applyFont="1" applyFill="1" applyBorder="1" applyAlignment="1">
      <alignment horizontal="center"/>
    </xf>
    <xf numFmtId="164" fontId="19" fillId="38" borderId="0" xfId="1" applyNumberFormat="1" applyFont="1" applyFill="1" applyBorder="1"/>
    <xf numFmtId="164" fontId="0" fillId="38" borderId="16" xfId="1" applyNumberFormat="1" applyFont="1" applyFill="1" applyBorder="1"/>
    <xf numFmtId="164" fontId="0" fillId="35" borderId="16" xfId="1" applyNumberFormat="1" applyFont="1" applyFill="1" applyBorder="1" applyAlignment="1">
      <alignment horizontal="center"/>
    </xf>
    <xf numFmtId="164" fontId="21" fillId="35" borderId="0" xfId="1" applyNumberFormat="1" applyFont="1" applyFill="1" applyBorder="1" applyAlignment="1">
      <alignment horizontal="center"/>
    </xf>
    <xf numFmtId="0" fontId="21" fillId="34" borderId="0" xfId="0" applyFont="1" applyFill="1" applyBorder="1"/>
    <xf numFmtId="0" fontId="21" fillId="36" borderId="0" xfId="0" applyFont="1" applyFill="1" applyBorder="1"/>
    <xf numFmtId="165" fontId="0" fillId="34" borderId="0" xfId="43" applyNumberFormat="1" applyFont="1" applyFill="1"/>
    <xf numFmtId="0" fontId="18" fillId="36" borderId="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0" xfId="0" applyFont="1" applyFill="1" applyBorder="1" applyAlignment="1">
      <alignment horizontal="center"/>
    </xf>
    <xf numFmtId="0" fontId="0" fillId="36" borderId="13" xfId="0" applyFont="1" applyFill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205D-BF2E-4C9C-88F0-8FCB2F097044}">
  <sheetPr>
    <tabColor theme="7" tint="0.79998168889431442"/>
  </sheetPr>
  <dimension ref="B2:AK83"/>
  <sheetViews>
    <sheetView tabSelected="1" topLeftCell="U28" zoomScale="91" zoomScaleNormal="91" workbookViewId="0">
      <selection activeCell="AI62" sqref="AI62"/>
    </sheetView>
  </sheetViews>
  <sheetFormatPr defaultRowHeight="15" x14ac:dyDescent="0.25"/>
  <cols>
    <col min="1" max="1" width="3.7109375" style="3" customWidth="1"/>
    <col min="2" max="2" width="19.140625" style="3" customWidth="1"/>
    <col min="3" max="3" width="11" style="3" customWidth="1"/>
    <col min="4" max="6" width="11" style="3" bestFit="1" customWidth="1"/>
    <col min="7" max="7" width="4.5703125" style="3" customWidth="1"/>
    <col min="8" max="8" width="19.140625" style="3" customWidth="1"/>
    <col min="9" max="12" width="11" style="3" bestFit="1" customWidth="1"/>
    <col min="13" max="13" width="4.5703125" style="3" customWidth="1"/>
    <col min="14" max="14" width="19.140625" style="3" customWidth="1"/>
    <col min="15" max="18" width="12.28515625" style="3" customWidth="1"/>
    <col min="19" max="19" width="4.5703125" style="3" customWidth="1"/>
    <col min="20" max="20" width="9.140625" style="3"/>
    <col min="21" max="21" width="19.140625" style="3" customWidth="1"/>
    <col min="22" max="25" width="11" style="3" bestFit="1" customWidth="1"/>
    <col min="26" max="26" width="4.5703125" style="3" customWidth="1"/>
    <col min="27" max="27" width="19.140625" style="3" customWidth="1"/>
    <col min="28" max="31" width="11" style="3" bestFit="1" customWidth="1"/>
    <col min="32" max="32" width="4.5703125" style="3" customWidth="1"/>
    <col min="33" max="33" width="19.140625" style="3" customWidth="1"/>
    <col min="34" max="37" width="12.28515625" style="3" customWidth="1"/>
    <col min="38" max="38" width="4.5703125" style="3" customWidth="1"/>
    <col min="39" max="16384" width="9.140625" style="3"/>
  </cols>
  <sheetData>
    <row r="2" spans="2:37" s="20" customFormat="1" x14ac:dyDescent="0.25">
      <c r="B2" s="19">
        <v>2019</v>
      </c>
      <c r="C2" s="39" t="s">
        <v>11</v>
      </c>
      <c r="D2" s="39"/>
      <c r="E2" s="39"/>
      <c r="F2" s="39"/>
      <c r="H2" s="19">
        <v>2019</v>
      </c>
      <c r="I2" s="39" t="s">
        <v>11</v>
      </c>
      <c r="J2" s="39"/>
      <c r="K2" s="39"/>
      <c r="L2" s="39"/>
      <c r="N2" s="19">
        <v>2019</v>
      </c>
      <c r="O2" s="39" t="s">
        <v>11</v>
      </c>
      <c r="P2" s="39"/>
      <c r="Q2" s="39"/>
      <c r="R2" s="39"/>
      <c r="U2" s="19">
        <v>2019</v>
      </c>
      <c r="V2" s="39" t="s">
        <v>11</v>
      </c>
      <c r="W2" s="39"/>
      <c r="X2" s="39"/>
      <c r="Y2" s="39"/>
      <c r="AA2" s="19">
        <v>2019</v>
      </c>
      <c r="AB2" s="39" t="s">
        <v>11</v>
      </c>
      <c r="AC2" s="39"/>
      <c r="AD2" s="39"/>
      <c r="AE2" s="39"/>
      <c r="AG2" s="19">
        <v>2019</v>
      </c>
      <c r="AH2" s="39" t="s">
        <v>11</v>
      </c>
      <c r="AI2" s="39"/>
      <c r="AJ2" s="39"/>
      <c r="AK2" s="39"/>
    </row>
    <row r="3" spans="2:37" s="20" customFormat="1" x14ac:dyDescent="0.25">
      <c r="B3" s="21" t="s">
        <v>16</v>
      </c>
      <c r="C3" s="22" t="s">
        <v>12</v>
      </c>
      <c r="D3" s="22" t="s">
        <v>13</v>
      </c>
      <c r="E3" s="22" t="s">
        <v>14</v>
      </c>
      <c r="F3" s="22" t="s">
        <v>15</v>
      </c>
      <c r="H3" s="21" t="s">
        <v>19</v>
      </c>
      <c r="I3" s="22" t="s">
        <v>12</v>
      </c>
      <c r="J3" s="22" t="s">
        <v>13</v>
      </c>
      <c r="K3" s="22" t="s">
        <v>14</v>
      </c>
      <c r="L3" s="22" t="s">
        <v>15</v>
      </c>
      <c r="N3" s="21" t="s">
        <v>8</v>
      </c>
      <c r="O3" s="22" t="s">
        <v>12</v>
      </c>
      <c r="P3" s="22" t="s">
        <v>13</v>
      </c>
      <c r="Q3" s="22" t="s">
        <v>14</v>
      </c>
      <c r="R3" s="22" t="s">
        <v>15</v>
      </c>
      <c r="U3" s="21" t="s">
        <v>16</v>
      </c>
      <c r="V3" s="22" t="s">
        <v>12</v>
      </c>
      <c r="W3" s="22" t="s">
        <v>13</v>
      </c>
      <c r="X3" s="22" t="s">
        <v>14</v>
      </c>
      <c r="Y3" s="22" t="s">
        <v>15</v>
      </c>
      <c r="AA3" s="21" t="s">
        <v>19</v>
      </c>
      <c r="AB3" s="22" t="s">
        <v>12</v>
      </c>
      <c r="AC3" s="22" t="s">
        <v>13</v>
      </c>
      <c r="AD3" s="22" t="s">
        <v>14</v>
      </c>
      <c r="AE3" s="22" t="s">
        <v>15</v>
      </c>
      <c r="AG3" s="21" t="s">
        <v>8</v>
      </c>
      <c r="AH3" s="22" t="s">
        <v>12</v>
      </c>
      <c r="AI3" s="22" t="s">
        <v>13</v>
      </c>
      <c r="AJ3" s="22" t="s">
        <v>14</v>
      </c>
      <c r="AK3" s="22" t="s">
        <v>15</v>
      </c>
    </row>
    <row r="4" spans="2:37" s="20" customFormat="1" x14ac:dyDescent="0.25">
      <c r="B4" s="18" t="s">
        <v>7</v>
      </c>
      <c r="C4" s="26">
        <f>V4</f>
        <v>83661.3</v>
      </c>
      <c r="D4" s="26">
        <f t="shared" ref="D4:F4" si="0">W4</f>
        <v>73117.2</v>
      </c>
      <c r="E4" s="26">
        <f t="shared" si="0"/>
        <v>68752.899999999994</v>
      </c>
      <c r="F4" s="26">
        <f t="shared" si="0"/>
        <v>64469.4</v>
      </c>
      <c r="H4" s="18" t="s">
        <v>7</v>
      </c>
      <c r="I4" s="26">
        <f>AB4</f>
        <v>145706</v>
      </c>
      <c r="J4" s="26">
        <f t="shared" ref="J4" si="1">AC4</f>
        <v>142177</v>
      </c>
      <c r="K4" s="26">
        <f t="shared" ref="K4" si="2">AD4</f>
        <v>140500</v>
      </c>
      <c r="L4" s="26">
        <f t="shared" ref="L4" si="3">AE4</f>
        <v>138872</v>
      </c>
      <c r="N4" s="18" t="s">
        <v>7</v>
      </c>
      <c r="O4" s="26">
        <f>AH4</f>
        <v>1039314</v>
      </c>
      <c r="P4" s="26">
        <f t="shared" ref="P4" si="4">AI4</f>
        <v>1021797</v>
      </c>
      <c r="Q4" s="26">
        <f t="shared" ref="Q4" si="5">AJ4</f>
        <v>1014303</v>
      </c>
      <c r="R4" s="26">
        <f t="shared" ref="R4" si="6">AK4</f>
        <v>1007119</v>
      </c>
      <c r="U4" s="18" t="s">
        <v>7</v>
      </c>
      <c r="V4" s="23">
        <f>Base_2019!B33</f>
        <v>83661.3</v>
      </c>
      <c r="W4" s="23">
        <f>Low_2019!B33</f>
        <v>73117.2</v>
      </c>
      <c r="X4" s="23">
        <f>Med_2019!B33</f>
        <v>68752.899999999994</v>
      </c>
      <c r="Y4" s="23">
        <f>High_2019!B33</f>
        <v>64469.4</v>
      </c>
      <c r="AA4" s="18" t="s">
        <v>7</v>
      </c>
      <c r="AB4" s="23">
        <f>Base_2019!E33</f>
        <v>145706</v>
      </c>
      <c r="AC4" s="23">
        <f>Low_2019!E33</f>
        <v>142177</v>
      </c>
      <c r="AD4" s="23">
        <f>Med_2019!E33</f>
        <v>140500</v>
      </c>
      <c r="AE4" s="23">
        <f>High_2019!E33</f>
        <v>138872</v>
      </c>
      <c r="AG4" s="18" t="s">
        <v>7</v>
      </c>
      <c r="AH4" s="23">
        <f>Base_2019!G33</f>
        <v>1039314</v>
      </c>
      <c r="AI4" s="23">
        <f>Low_2019!G33</f>
        <v>1021797</v>
      </c>
      <c r="AJ4" s="23">
        <f>Med_2019!G33</f>
        <v>1014303</v>
      </c>
      <c r="AK4" s="23">
        <f>High_2019!G33</f>
        <v>1007119</v>
      </c>
    </row>
    <row r="5" spans="2:37" s="20" customFormat="1" x14ac:dyDescent="0.25">
      <c r="B5" s="18" t="s">
        <v>0</v>
      </c>
      <c r="C5" s="26">
        <f>V7</f>
        <v>16828.8</v>
      </c>
      <c r="D5" s="26">
        <f t="shared" ref="D5:F5" si="7">W7</f>
        <v>14731.9</v>
      </c>
      <c r="E5" s="26">
        <f t="shared" si="7"/>
        <v>13812.5</v>
      </c>
      <c r="F5" s="26">
        <f t="shared" si="7"/>
        <v>12900</v>
      </c>
      <c r="H5" s="18" t="s">
        <v>0</v>
      </c>
      <c r="I5" s="26">
        <f>AB7</f>
        <v>4345.71</v>
      </c>
      <c r="J5" s="26">
        <f t="shared" ref="J5:J10" si="8">AC7</f>
        <v>4251.51</v>
      </c>
      <c r="K5" s="26">
        <f t="shared" ref="K5:K10" si="9">AD7</f>
        <v>4202.1099999999997</v>
      </c>
      <c r="L5" s="26">
        <f t="shared" ref="L5:L10" si="10">AE7</f>
        <v>4154.6499999999996</v>
      </c>
      <c r="N5" s="18" t="s">
        <v>0</v>
      </c>
      <c r="O5" s="26">
        <f>AH7</f>
        <v>43529</v>
      </c>
      <c r="P5" s="26">
        <f t="shared" ref="P5:P10" si="11">AI7</f>
        <v>41394.199999999997</v>
      </c>
      <c r="Q5" s="26">
        <f t="shared" ref="Q5:Q10" si="12">AJ7</f>
        <v>40463.9</v>
      </c>
      <c r="R5" s="26">
        <f t="shared" ref="R5:R10" si="13">AK7</f>
        <v>39529.5</v>
      </c>
      <c r="U5" s="18" t="s">
        <v>6</v>
      </c>
      <c r="V5" s="23">
        <f>Base_2019!B34</f>
        <v>1651350</v>
      </c>
      <c r="W5" s="23">
        <f>Low_2019!B34</f>
        <v>1468085</v>
      </c>
      <c r="X5" s="23">
        <f>Med_2019!B34</f>
        <v>1390171</v>
      </c>
      <c r="Y5" s="23">
        <f>High_2019!B34</f>
        <v>1312431</v>
      </c>
      <c r="AA5" s="18" t="s">
        <v>6</v>
      </c>
      <c r="AB5" s="23">
        <f>Base_2019!E34</f>
        <v>2261638</v>
      </c>
      <c r="AC5" s="23">
        <f>Low_2019!E34</f>
        <v>2219131</v>
      </c>
      <c r="AD5" s="23">
        <f>Med_2019!E34</f>
        <v>2196815</v>
      </c>
      <c r="AE5" s="23">
        <f>High_2019!E34</f>
        <v>2174646</v>
      </c>
      <c r="AG5" s="18" t="s">
        <v>6</v>
      </c>
      <c r="AH5" s="23">
        <f>Base_2019!G34</f>
        <v>8115387</v>
      </c>
      <c r="AI5" s="23">
        <f>Low_2019!G34</f>
        <v>7892016</v>
      </c>
      <c r="AJ5" s="23">
        <f>Med_2019!G34</f>
        <v>7792895</v>
      </c>
      <c r="AK5" s="23">
        <f>High_2019!G34</f>
        <v>7694105</v>
      </c>
    </row>
    <row r="6" spans="2:37" s="20" customFormat="1" x14ac:dyDescent="0.25">
      <c r="B6" s="18" t="s">
        <v>1</v>
      </c>
      <c r="C6" s="26">
        <f t="shared" ref="C6:F6" si="14">V8</f>
        <v>200.36</v>
      </c>
      <c r="D6" s="26">
        <f t="shared" si="14"/>
        <v>184.02</v>
      </c>
      <c r="E6" s="26">
        <f t="shared" si="14"/>
        <v>175.45</v>
      </c>
      <c r="F6" s="26">
        <f t="shared" si="14"/>
        <v>166.77</v>
      </c>
      <c r="H6" s="18" t="s">
        <v>1</v>
      </c>
      <c r="I6" s="26">
        <f t="shared" ref="I6:I10" si="15">AB8</f>
        <v>59.32</v>
      </c>
      <c r="J6" s="26">
        <f t="shared" si="8"/>
        <v>58.52</v>
      </c>
      <c r="K6" s="26">
        <f t="shared" si="9"/>
        <v>58.02</v>
      </c>
      <c r="L6" s="26">
        <f t="shared" si="10"/>
        <v>57.57</v>
      </c>
      <c r="N6" s="18" t="s">
        <v>1</v>
      </c>
      <c r="O6" s="26">
        <f t="shared" ref="O6:O10" si="16">AH8</f>
        <v>535.79999999999995</v>
      </c>
      <c r="P6" s="26">
        <f t="shared" si="11"/>
        <v>519.77</v>
      </c>
      <c r="Q6" s="26">
        <f t="shared" si="12"/>
        <v>511.1</v>
      </c>
      <c r="R6" s="26">
        <f t="shared" si="13"/>
        <v>502.55</v>
      </c>
      <c r="U6" s="18" t="s">
        <v>21</v>
      </c>
      <c r="V6" s="23">
        <f>Base_2019!B35</f>
        <v>0</v>
      </c>
      <c r="W6" s="23">
        <f>Low_2019!B35</f>
        <v>0</v>
      </c>
      <c r="X6" s="23">
        <f>Med_2019!B35</f>
        <v>0</v>
      </c>
      <c r="Y6" s="23">
        <f>High_2019!B35</f>
        <v>0</v>
      </c>
      <c r="AA6" s="18" t="s">
        <v>21</v>
      </c>
      <c r="AB6" s="23">
        <f>Base_2019!E35</f>
        <v>0</v>
      </c>
      <c r="AC6" s="23">
        <f>Low_2019!E35</f>
        <v>0</v>
      </c>
      <c r="AD6" s="23">
        <f>Med_2019!E35</f>
        <v>0</v>
      </c>
      <c r="AE6" s="23">
        <f>High_2019!E35</f>
        <v>0</v>
      </c>
      <c r="AG6" s="18" t="s">
        <v>21</v>
      </c>
      <c r="AH6" s="23">
        <f>Base_2019!G35</f>
        <v>259198</v>
      </c>
      <c r="AI6" s="23">
        <f>Low_2019!G35</f>
        <v>260017</v>
      </c>
      <c r="AJ6" s="23">
        <f>Med_2019!G35</f>
        <v>260354</v>
      </c>
      <c r="AK6" s="23">
        <f>High_2019!G35</f>
        <v>260655</v>
      </c>
    </row>
    <row r="7" spans="2:37" s="20" customFormat="1" x14ac:dyDescent="0.25">
      <c r="B7" s="18" t="s">
        <v>2</v>
      </c>
      <c r="C7" s="26">
        <f t="shared" ref="C7:F7" si="17">V9</f>
        <v>2163.62</v>
      </c>
      <c r="D7" s="26">
        <f t="shared" si="17"/>
        <v>1875.2</v>
      </c>
      <c r="E7" s="26">
        <f t="shared" si="17"/>
        <v>1765.85</v>
      </c>
      <c r="F7" s="26">
        <f t="shared" si="17"/>
        <v>1658.79</v>
      </c>
      <c r="H7" s="18" t="s">
        <v>2</v>
      </c>
      <c r="I7" s="26">
        <f t="shared" si="15"/>
        <v>1224.1400000000001</v>
      </c>
      <c r="J7" s="26">
        <f t="shared" si="8"/>
        <v>1184.1099999999999</v>
      </c>
      <c r="K7" s="26">
        <f t="shared" si="9"/>
        <v>1168.25</v>
      </c>
      <c r="L7" s="26">
        <f t="shared" si="10"/>
        <v>1152.3</v>
      </c>
      <c r="N7" s="18" t="s">
        <v>2</v>
      </c>
      <c r="O7" s="26">
        <f t="shared" si="16"/>
        <v>13566.2</v>
      </c>
      <c r="P7" s="26">
        <f t="shared" si="11"/>
        <v>13196.4</v>
      </c>
      <c r="Q7" s="26">
        <f t="shared" si="12"/>
        <v>13069</v>
      </c>
      <c r="R7" s="26">
        <f t="shared" si="13"/>
        <v>12944.4</v>
      </c>
      <c r="U7" s="18" t="s">
        <v>0</v>
      </c>
      <c r="V7" s="23">
        <f>Base_2019!B36</f>
        <v>16828.8</v>
      </c>
      <c r="W7" s="23">
        <f>Low_2019!B36</f>
        <v>14731.9</v>
      </c>
      <c r="X7" s="23">
        <f>Med_2019!B36</f>
        <v>13812.5</v>
      </c>
      <c r="Y7" s="23">
        <f>High_2019!B36</f>
        <v>12900</v>
      </c>
      <c r="AA7" s="18" t="s">
        <v>0</v>
      </c>
      <c r="AB7" s="23">
        <f>Base_2019!E36</f>
        <v>4345.71</v>
      </c>
      <c r="AC7" s="23">
        <f>Low_2019!E36</f>
        <v>4251.51</v>
      </c>
      <c r="AD7" s="23">
        <f>Med_2019!E36</f>
        <v>4202.1099999999997</v>
      </c>
      <c r="AE7" s="23">
        <f>High_2019!E36</f>
        <v>4154.6499999999996</v>
      </c>
      <c r="AG7" s="18" t="s">
        <v>0</v>
      </c>
      <c r="AH7" s="23">
        <f>Base_2019!G36</f>
        <v>43529</v>
      </c>
      <c r="AI7" s="23">
        <f>Low_2019!G36</f>
        <v>41394.199999999997</v>
      </c>
      <c r="AJ7" s="23">
        <f>Med_2019!G36</f>
        <v>40463.9</v>
      </c>
      <c r="AK7" s="23">
        <f>High_2019!G36</f>
        <v>39529.5</v>
      </c>
    </row>
    <row r="8" spans="2:37" s="20" customFormat="1" x14ac:dyDescent="0.25">
      <c r="B8" s="18" t="s">
        <v>3</v>
      </c>
      <c r="C8" s="26">
        <f t="shared" ref="C8:F8" si="18">V10</f>
        <v>1643.13</v>
      </c>
      <c r="D8" s="26">
        <f t="shared" si="18"/>
        <v>1805.91</v>
      </c>
      <c r="E8" s="26">
        <f t="shared" si="18"/>
        <v>1822.58</v>
      </c>
      <c r="F8" s="26">
        <f t="shared" si="18"/>
        <v>1858.99</v>
      </c>
      <c r="H8" s="18" t="s">
        <v>3</v>
      </c>
      <c r="I8" s="26">
        <f t="shared" si="15"/>
        <v>11.03</v>
      </c>
      <c r="J8" s="26">
        <f t="shared" si="8"/>
        <v>14.2</v>
      </c>
      <c r="K8" s="26">
        <f t="shared" si="9"/>
        <v>15.49</v>
      </c>
      <c r="L8" s="26">
        <f t="shared" si="10"/>
        <v>17.23</v>
      </c>
      <c r="N8" s="18" t="s">
        <v>3</v>
      </c>
      <c r="O8" s="26">
        <f t="shared" si="16"/>
        <v>1821.29</v>
      </c>
      <c r="P8" s="26">
        <f t="shared" si="11"/>
        <v>2026.22</v>
      </c>
      <c r="Q8" s="26">
        <f t="shared" si="12"/>
        <v>2060.0300000000002</v>
      </c>
      <c r="R8" s="26">
        <f t="shared" si="13"/>
        <v>2117.9899999999998</v>
      </c>
      <c r="U8" s="18" t="s">
        <v>1</v>
      </c>
      <c r="V8" s="23">
        <f>Base_2019!B37</f>
        <v>200.36</v>
      </c>
      <c r="W8" s="23">
        <f>Low_2019!B37</f>
        <v>184.02</v>
      </c>
      <c r="X8" s="23">
        <f>Med_2019!B37</f>
        <v>175.45</v>
      </c>
      <c r="Y8" s="23">
        <f>High_2019!B37</f>
        <v>166.77</v>
      </c>
      <c r="AA8" s="18" t="s">
        <v>1</v>
      </c>
      <c r="AB8" s="23">
        <f>Base_2019!E37</f>
        <v>59.32</v>
      </c>
      <c r="AC8" s="23">
        <f>Low_2019!E37</f>
        <v>58.52</v>
      </c>
      <c r="AD8" s="23">
        <f>Med_2019!E37</f>
        <v>58.02</v>
      </c>
      <c r="AE8" s="23">
        <f>High_2019!E37</f>
        <v>57.57</v>
      </c>
      <c r="AG8" s="18" t="s">
        <v>1</v>
      </c>
      <c r="AH8" s="23">
        <f>Base_2019!G37</f>
        <v>535.79999999999995</v>
      </c>
      <c r="AI8" s="23">
        <f>Low_2019!G37</f>
        <v>519.77</v>
      </c>
      <c r="AJ8" s="23">
        <f>Med_2019!G37</f>
        <v>511.1</v>
      </c>
      <c r="AK8" s="23">
        <f>High_2019!G37</f>
        <v>502.55</v>
      </c>
    </row>
    <row r="9" spans="2:37" s="20" customFormat="1" x14ac:dyDescent="0.25">
      <c r="B9" s="18" t="s">
        <v>4</v>
      </c>
      <c r="C9" s="26">
        <f t="shared" ref="C9:F9" si="19">V11</f>
        <v>23982</v>
      </c>
      <c r="D9" s="26">
        <f t="shared" si="19"/>
        <v>20602.900000000001</v>
      </c>
      <c r="E9" s="26">
        <f t="shared" si="19"/>
        <v>19134</v>
      </c>
      <c r="F9" s="26">
        <f t="shared" si="19"/>
        <v>17758</v>
      </c>
      <c r="H9" s="18" t="s">
        <v>4</v>
      </c>
      <c r="I9" s="26">
        <f t="shared" si="15"/>
        <v>9846.2000000000007</v>
      </c>
      <c r="J9" s="26">
        <f t="shared" si="8"/>
        <v>9494.39</v>
      </c>
      <c r="K9" s="26">
        <f t="shared" si="9"/>
        <v>9325.2900000000009</v>
      </c>
      <c r="L9" s="26">
        <f t="shared" si="10"/>
        <v>9157.16</v>
      </c>
      <c r="N9" s="18" t="s">
        <v>4</v>
      </c>
      <c r="O9" s="26">
        <f t="shared" si="16"/>
        <v>60095.6</v>
      </c>
      <c r="P9" s="26">
        <f t="shared" si="11"/>
        <v>56271.199999999997</v>
      </c>
      <c r="Q9" s="26">
        <f t="shared" si="12"/>
        <v>54582.2</v>
      </c>
      <c r="R9" s="26">
        <f t="shared" si="13"/>
        <v>52991.8</v>
      </c>
      <c r="U9" s="18" t="s">
        <v>2</v>
      </c>
      <c r="V9" s="23">
        <f>Base_2019!B38</f>
        <v>2163.62</v>
      </c>
      <c r="W9" s="23">
        <f>Low_2019!B38</f>
        <v>1875.2</v>
      </c>
      <c r="X9" s="23">
        <f>Med_2019!B38</f>
        <v>1765.85</v>
      </c>
      <c r="Y9" s="23">
        <f>High_2019!B38</f>
        <v>1658.79</v>
      </c>
      <c r="AA9" s="18" t="s">
        <v>2</v>
      </c>
      <c r="AB9" s="23">
        <f>Base_2019!E38</f>
        <v>1224.1400000000001</v>
      </c>
      <c r="AC9" s="23">
        <f>Low_2019!E38</f>
        <v>1184.1099999999999</v>
      </c>
      <c r="AD9" s="23">
        <f>Med_2019!E38</f>
        <v>1168.25</v>
      </c>
      <c r="AE9" s="23">
        <f>High_2019!E38</f>
        <v>1152.3</v>
      </c>
      <c r="AG9" s="18" t="s">
        <v>2</v>
      </c>
      <c r="AH9" s="23">
        <f>Base_2019!G38</f>
        <v>13566.2</v>
      </c>
      <c r="AI9" s="23">
        <f>Low_2019!G38</f>
        <v>13196.4</v>
      </c>
      <c r="AJ9" s="23">
        <f>Med_2019!G38</f>
        <v>13069</v>
      </c>
      <c r="AK9" s="23">
        <f>High_2019!G38</f>
        <v>12944.4</v>
      </c>
    </row>
    <row r="10" spans="2:37" s="20" customFormat="1" x14ac:dyDescent="0.25">
      <c r="B10" s="18" t="s">
        <v>5</v>
      </c>
      <c r="C10" s="26">
        <f t="shared" ref="C10:F10" si="20">V12</f>
        <v>16277.9</v>
      </c>
      <c r="D10" s="26">
        <f t="shared" si="20"/>
        <v>13312.7</v>
      </c>
      <c r="E10" s="26">
        <f t="shared" si="20"/>
        <v>12111.5</v>
      </c>
      <c r="F10" s="26">
        <f t="shared" si="20"/>
        <v>10963</v>
      </c>
      <c r="H10" s="18" t="s">
        <v>5</v>
      </c>
      <c r="I10" s="26">
        <f t="shared" si="15"/>
        <v>1362.41</v>
      </c>
      <c r="J10" s="26">
        <f t="shared" si="8"/>
        <v>1304.72</v>
      </c>
      <c r="K10" s="26">
        <f t="shared" si="9"/>
        <v>1277.32</v>
      </c>
      <c r="L10" s="26">
        <f t="shared" si="10"/>
        <v>1257.69</v>
      </c>
      <c r="N10" s="18" t="s">
        <v>5</v>
      </c>
      <c r="O10" s="26">
        <f t="shared" si="16"/>
        <v>24838.3</v>
      </c>
      <c r="P10" s="26">
        <f t="shared" si="11"/>
        <v>21721.8</v>
      </c>
      <c r="Q10" s="26">
        <f t="shared" si="12"/>
        <v>20397.400000000001</v>
      </c>
      <c r="R10" s="26">
        <f t="shared" si="13"/>
        <v>19176.2</v>
      </c>
      <c r="U10" s="18" t="s">
        <v>3</v>
      </c>
      <c r="V10" s="23">
        <f>Base_2019!B39</f>
        <v>1643.13</v>
      </c>
      <c r="W10" s="23">
        <f>Low_2019!B39</f>
        <v>1805.91</v>
      </c>
      <c r="X10" s="23">
        <f>Med_2019!B39</f>
        <v>1822.58</v>
      </c>
      <c r="Y10" s="23">
        <f>High_2019!B39</f>
        <v>1858.99</v>
      </c>
      <c r="AA10" s="18" t="s">
        <v>3</v>
      </c>
      <c r="AB10" s="23">
        <f>Base_2019!E39</f>
        <v>11.03</v>
      </c>
      <c r="AC10" s="23">
        <f>Low_2019!E39</f>
        <v>14.2</v>
      </c>
      <c r="AD10" s="23">
        <f>Med_2019!E39</f>
        <v>15.49</v>
      </c>
      <c r="AE10" s="23">
        <f>High_2019!E39</f>
        <v>17.23</v>
      </c>
      <c r="AG10" s="18" t="s">
        <v>3</v>
      </c>
      <c r="AH10" s="23">
        <f>Base_2019!G39</f>
        <v>1821.29</v>
      </c>
      <c r="AI10" s="23">
        <f>Low_2019!G39</f>
        <v>2026.22</v>
      </c>
      <c r="AJ10" s="23">
        <f>Med_2019!G39</f>
        <v>2060.0300000000002</v>
      </c>
      <c r="AK10" s="23">
        <f>High_2019!G39</f>
        <v>2117.9899999999998</v>
      </c>
    </row>
    <row r="11" spans="2:37" s="20" customFormat="1" x14ac:dyDescent="0.25">
      <c r="B11" s="18" t="s">
        <v>40</v>
      </c>
      <c r="C11" s="24">
        <f>SUM(C4:C10)</f>
        <v>144757.11000000002</v>
      </c>
      <c r="D11" s="24">
        <f>SUM(D4:D10)</f>
        <v>125629.83</v>
      </c>
      <c r="E11" s="24">
        <f>SUM(E4:E10)</f>
        <v>117574.78</v>
      </c>
      <c r="F11" s="24">
        <f>SUM(F4:F10)</f>
        <v>109774.95</v>
      </c>
      <c r="H11" s="18" t="s">
        <v>40</v>
      </c>
      <c r="I11" s="24">
        <f>SUM(I4:I10)</f>
        <v>162554.81000000003</v>
      </c>
      <c r="J11" s="24">
        <f>SUM(J4:J10)</f>
        <v>158484.44999999998</v>
      </c>
      <c r="K11" s="24">
        <f>SUM(K4:K10)</f>
        <v>156546.47999999998</v>
      </c>
      <c r="L11" s="24">
        <f>SUM(L4:L10)</f>
        <v>154668.6</v>
      </c>
      <c r="N11" s="18" t="s">
        <v>40</v>
      </c>
      <c r="O11" s="24">
        <f>SUM(O4:O10)</f>
        <v>1183700.1900000002</v>
      </c>
      <c r="P11" s="24">
        <f>SUM(P4:P10)</f>
        <v>1156926.5899999999</v>
      </c>
      <c r="Q11" s="24">
        <f>SUM(Q4:Q10)</f>
        <v>1145386.6299999999</v>
      </c>
      <c r="R11" s="24">
        <f>SUM(R4:R10)</f>
        <v>1134381.44</v>
      </c>
      <c r="U11" s="18" t="s">
        <v>4</v>
      </c>
      <c r="V11" s="23">
        <f>Base_2019!B40</f>
        <v>23982</v>
      </c>
      <c r="W11" s="23">
        <f>Low_2019!B40</f>
        <v>20602.900000000001</v>
      </c>
      <c r="X11" s="23">
        <f>Med_2019!B40</f>
        <v>19134</v>
      </c>
      <c r="Y11" s="23">
        <f>High_2019!B40</f>
        <v>17758</v>
      </c>
      <c r="AA11" s="18" t="s">
        <v>4</v>
      </c>
      <c r="AB11" s="23">
        <f>Base_2019!E40</f>
        <v>9846.2000000000007</v>
      </c>
      <c r="AC11" s="23">
        <f>Low_2019!E40</f>
        <v>9494.39</v>
      </c>
      <c r="AD11" s="23">
        <f>Med_2019!E40</f>
        <v>9325.2900000000009</v>
      </c>
      <c r="AE11" s="23">
        <f>High_2019!E40</f>
        <v>9157.16</v>
      </c>
      <c r="AG11" s="18" t="s">
        <v>4</v>
      </c>
      <c r="AH11" s="23">
        <f>Base_2019!G40</f>
        <v>60095.6</v>
      </c>
      <c r="AI11" s="23">
        <f>Low_2019!G40</f>
        <v>56271.199999999997</v>
      </c>
      <c r="AJ11" s="23">
        <f>Med_2019!G40</f>
        <v>54582.2</v>
      </c>
      <c r="AK11" s="23">
        <f>High_2019!G40</f>
        <v>52991.8</v>
      </c>
    </row>
    <row r="12" spans="2:37" s="20" customFormat="1" x14ac:dyDescent="0.25">
      <c r="B12" s="18"/>
      <c r="C12" s="26"/>
      <c r="D12" s="26"/>
      <c r="E12" s="26"/>
      <c r="F12" s="26"/>
      <c r="G12" s="3"/>
      <c r="H12" s="18"/>
      <c r="I12" s="26"/>
      <c r="J12" s="26"/>
      <c r="K12" s="26"/>
      <c r="L12" s="26"/>
      <c r="M12" s="3"/>
      <c r="N12" s="18"/>
      <c r="O12" s="26"/>
      <c r="P12" s="26"/>
      <c r="Q12" s="26"/>
      <c r="R12" s="26"/>
      <c r="U12" s="18" t="s">
        <v>5</v>
      </c>
      <c r="V12" s="23">
        <f>Base_2019!B41</f>
        <v>16277.9</v>
      </c>
      <c r="W12" s="23">
        <f>Low_2019!B41</f>
        <v>13312.7</v>
      </c>
      <c r="X12" s="23">
        <f>Med_2019!B41</f>
        <v>12111.5</v>
      </c>
      <c r="Y12" s="23">
        <f>High_2019!B41</f>
        <v>10963</v>
      </c>
      <c r="AA12" s="18" t="s">
        <v>5</v>
      </c>
      <c r="AB12" s="23">
        <f>Base_2019!E41</f>
        <v>1362.41</v>
      </c>
      <c r="AC12" s="23">
        <f>Low_2019!E41</f>
        <v>1304.72</v>
      </c>
      <c r="AD12" s="23">
        <f>Med_2019!E41</f>
        <v>1277.32</v>
      </c>
      <c r="AE12" s="23">
        <f>High_2019!E41</f>
        <v>1257.69</v>
      </c>
      <c r="AG12" s="18" t="s">
        <v>5</v>
      </c>
      <c r="AH12" s="23">
        <f>Base_2019!G41</f>
        <v>24838.3</v>
      </c>
      <c r="AI12" s="23">
        <f>Low_2019!G41</f>
        <v>21721.8</v>
      </c>
      <c r="AJ12" s="23">
        <f>Med_2019!G41</f>
        <v>20397.400000000001</v>
      </c>
      <c r="AK12" s="23">
        <f>High_2019!G41</f>
        <v>19176.2</v>
      </c>
    </row>
    <row r="13" spans="2:37" s="20" customFormat="1" x14ac:dyDescent="0.25">
      <c r="B13" s="18" t="s">
        <v>7</v>
      </c>
      <c r="C13" s="35">
        <f>C4</f>
        <v>83661.3</v>
      </c>
      <c r="D13" s="35">
        <f t="shared" ref="D13:F13" si="21">D4</f>
        <v>73117.2</v>
      </c>
      <c r="E13" s="35">
        <f t="shared" si="21"/>
        <v>68752.899999999994</v>
      </c>
      <c r="F13" s="35">
        <f t="shared" si="21"/>
        <v>64469.4</v>
      </c>
      <c r="G13" s="36"/>
      <c r="H13" s="37" t="s">
        <v>7</v>
      </c>
      <c r="I13" s="35">
        <f>I4</f>
        <v>145706</v>
      </c>
      <c r="J13" s="35">
        <f t="shared" ref="J13:L13" si="22">J4</f>
        <v>142177</v>
      </c>
      <c r="K13" s="35">
        <f t="shared" si="22"/>
        <v>140500</v>
      </c>
      <c r="L13" s="35">
        <f t="shared" si="22"/>
        <v>138872</v>
      </c>
      <c r="M13" s="36"/>
      <c r="N13" s="37" t="s">
        <v>7</v>
      </c>
      <c r="O13" s="35">
        <f>O4</f>
        <v>1039314</v>
      </c>
      <c r="P13" s="35">
        <f t="shared" ref="P13:R13" si="23">P4</f>
        <v>1021797</v>
      </c>
      <c r="Q13" s="35">
        <f t="shared" si="23"/>
        <v>1014303</v>
      </c>
      <c r="R13" s="35">
        <f t="shared" si="23"/>
        <v>1007119</v>
      </c>
      <c r="U13" s="18" t="s">
        <v>8</v>
      </c>
      <c r="V13" s="24">
        <f>SUM(V4:V12)</f>
        <v>1796107.11</v>
      </c>
      <c r="W13" s="24">
        <f t="shared" ref="W13:Y13" si="24">SUM(W4:W12)</f>
        <v>1593714.8299999996</v>
      </c>
      <c r="X13" s="24">
        <f t="shared" si="24"/>
        <v>1507745.78</v>
      </c>
      <c r="Y13" s="24">
        <f t="shared" si="24"/>
        <v>1422205.95</v>
      </c>
      <c r="AA13" s="18" t="s">
        <v>8</v>
      </c>
      <c r="AB13" s="24">
        <f>SUM(AB4:AB12)</f>
        <v>2424192.81</v>
      </c>
      <c r="AC13" s="24">
        <f t="shared" ref="AC13" si="25">SUM(AC4:AC12)</f>
        <v>2377615.4500000002</v>
      </c>
      <c r="AD13" s="24">
        <f t="shared" ref="AD13" si="26">SUM(AD4:AD12)</f>
        <v>2353361.48</v>
      </c>
      <c r="AE13" s="24">
        <f t="shared" ref="AE13" si="27">SUM(AE4:AE12)</f>
        <v>2329314.5999999996</v>
      </c>
      <c r="AG13" s="18" t="s">
        <v>8</v>
      </c>
      <c r="AH13" s="24">
        <f>SUM(AH4:AH12)</f>
        <v>9558285.1899999995</v>
      </c>
      <c r="AI13" s="24">
        <f t="shared" ref="AI13" si="28">SUM(AI4:AI12)</f>
        <v>9308959.5899999999</v>
      </c>
      <c r="AJ13" s="24">
        <f t="shared" ref="AJ13" si="29">SUM(AJ4:AJ12)</f>
        <v>9198635.629999999</v>
      </c>
      <c r="AK13" s="24">
        <f t="shared" ref="AK13" si="30">SUM(AK4:AK12)</f>
        <v>9089141.4400000013</v>
      </c>
    </row>
    <row r="14" spans="2:37" x14ac:dyDescent="0.25">
      <c r="B14" s="18" t="s">
        <v>41</v>
      </c>
      <c r="C14" s="35">
        <f>SUM(C5:C10)</f>
        <v>61095.810000000005</v>
      </c>
      <c r="D14" s="35">
        <f t="shared" ref="D14:F14" si="31">SUM(D5:D10)</f>
        <v>52512.630000000005</v>
      </c>
      <c r="E14" s="35">
        <f t="shared" si="31"/>
        <v>48821.880000000005</v>
      </c>
      <c r="F14" s="35">
        <f t="shared" si="31"/>
        <v>45305.55</v>
      </c>
      <c r="G14" s="36"/>
      <c r="H14" s="37" t="s">
        <v>41</v>
      </c>
      <c r="I14" s="35">
        <f>SUM(I5:I10)</f>
        <v>16848.810000000001</v>
      </c>
      <c r="J14" s="35">
        <f t="shared" ref="J14:L14" si="32">SUM(J5:J10)</f>
        <v>16307.449999999999</v>
      </c>
      <c r="K14" s="35">
        <f t="shared" si="32"/>
        <v>16046.48</v>
      </c>
      <c r="L14" s="35">
        <f t="shared" si="32"/>
        <v>15796.6</v>
      </c>
      <c r="M14" s="36"/>
      <c r="N14" s="37" t="s">
        <v>41</v>
      </c>
      <c r="O14" s="35">
        <f>SUM(O5:O10)</f>
        <v>144386.19</v>
      </c>
      <c r="P14" s="35">
        <f t="shared" ref="P14:R14" si="33">SUM(P5:P10)</f>
        <v>135129.59</v>
      </c>
      <c r="Q14" s="35">
        <f t="shared" si="33"/>
        <v>131083.63</v>
      </c>
      <c r="R14" s="35">
        <f t="shared" si="33"/>
        <v>127262.44</v>
      </c>
    </row>
    <row r="15" spans="2:37" x14ac:dyDescent="0.25">
      <c r="B15" s="18"/>
      <c r="C15" s="34">
        <f>SUM(C13:C14)</f>
        <v>144757.11000000002</v>
      </c>
      <c r="D15" s="34">
        <f t="shared" ref="D15:F15" si="34">SUM(D13:D14)</f>
        <v>125629.83</v>
      </c>
      <c r="E15" s="34">
        <f t="shared" si="34"/>
        <v>117574.78</v>
      </c>
      <c r="F15" s="34">
        <f t="shared" si="34"/>
        <v>109774.95000000001</v>
      </c>
      <c r="G15" s="20"/>
      <c r="H15" s="18"/>
      <c r="I15" s="34">
        <f>SUM(I13:I14)</f>
        <v>162554.81</v>
      </c>
      <c r="J15" s="34">
        <f t="shared" ref="J15" si="35">SUM(J13:J14)</f>
        <v>158484.45000000001</v>
      </c>
      <c r="K15" s="34">
        <f t="shared" ref="K15" si="36">SUM(K13:K14)</f>
        <v>156546.48000000001</v>
      </c>
      <c r="L15" s="34">
        <f t="shared" ref="L15" si="37">SUM(L13:L14)</f>
        <v>154668.6</v>
      </c>
      <c r="M15" s="20"/>
      <c r="N15" s="18"/>
      <c r="O15" s="34">
        <f>SUM(O13:O14)</f>
        <v>1183700.19</v>
      </c>
      <c r="P15" s="34">
        <f t="shared" ref="P15" si="38">SUM(P13:P14)</f>
        <v>1156926.5900000001</v>
      </c>
      <c r="Q15" s="34">
        <f t="shared" ref="Q15" si="39">SUM(Q13:Q14)</f>
        <v>1145386.6299999999</v>
      </c>
      <c r="R15" s="34">
        <f t="shared" ref="R15" si="40">SUM(R13:R14)</f>
        <v>1134381.44</v>
      </c>
    </row>
    <row r="16" spans="2:37" x14ac:dyDescent="0.25">
      <c r="B16" s="18"/>
      <c r="C16" s="26"/>
      <c r="D16" s="26"/>
      <c r="E16" s="26"/>
      <c r="F16" s="26"/>
      <c r="H16" s="18"/>
      <c r="I16" s="26"/>
      <c r="J16" s="26"/>
      <c r="K16" s="26"/>
      <c r="L16" s="26"/>
      <c r="N16" s="18"/>
      <c r="O16" s="26"/>
      <c r="P16" s="26"/>
      <c r="Q16" s="26"/>
      <c r="R16" s="26"/>
      <c r="U16" s="19">
        <v>2050</v>
      </c>
      <c r="V16" s="39" t="s">
        <v>11</v>
      </c>
      <c r="W16" s="39"/>
      <c r="X16" s="39"/>
      <c r="Y16" s="39"/>
      <c r="AA16" s="19">
        <v>2050</v>
      </c>
      <c r="AB16" s="39" t="s">
        <v>11</v>
      </c>
      <c r="AC16" s="39"/>
      <c r="AD16" s="39"/>
      <c r="AE16" s="39"/>
      <c r="AG16" s="19">
        <v>2050</v>
      </c>
      <c r="AH16" s="39" t="s">
        <v>11</v>
      </c>
      <c r="AI16" s="39"/>
      <c r="AJ16" s="39"/>
      <c r="AK16" s="39"/>
    </row>
    <row r="17" spans="2:37" x14ac:dyDescent="0.25">
      <c r="B17" s="18" t="s">
        <v>40</v>
      </c>
      <c r="C17" s="35">
        <f>C15</f>
        <v>144757.11000000002</v>
      </c>
      <c r="D17" s="35">
        <f t="shared" ref="D17:F17" si="41">D15</f>
        <v>125629.83</v>
      </c>
      <c r="E17" s="35">
        <f t="shared" si="41"/>
        <v>117574.78</v>
      </c>
      <c r="F17" s="35">
        <f t="shared" si="41"/>
        <v>109774.95000000001</v>
      </c>
      <c r="H17" s="18" t="s">
        <v>40</v>
      </c>
      <c r="I17" s="35">
        <f>I15</f>
        <v>162554.81</v>
      </c>
      <c r="J17" s="35">
        <f t="shared" ref="J17:L17" si="42">J15</f>
        <v>158484.45000000001</v>
      </c>
      <c r="K17" s="35">
        <f t="shared" si="42"/>
        <v>156546.48000000001</v>
      </c>
      <c r="L17" s="35">
        <f t="shared" si="42"/>
        <v>154668.6</v>
      </c>
      <c r="N17" s="18" t="s">
        <v>40</v>
      </c>
      <c r="O17" s="35">
        <f>O15</f>
        <v>1183700.19</v>
      </c>
      <c r="P17" s="35">
        <f t="shared" ref="P17:R17" si="43">P15</f>
        <v>1156926.5900000001</v>
      </c>
      <c r="Q17" s="35">
        <f t="shared" si="43"/>
        <v>1145386.6299999999</v>
      </c>
      <c r="R17" s="35">
        <f t="shared" si="43"/>
        <v>1134381.44</v>
      </c>
      <c r="U17" s="21" t="s">
        <v>16</v>
      </c>
      <c r="V17" s="22" t="s">
        <v>12</v>
      </c>
      <c r="W17" s="22" t="s">
        <v>13</v>
      </c>
      <c r="X17" s="22" t="s">
        <v>14</v>
      </c>
      <c r="Y17" s="22" t="s">
        <v>15</v>
      </c>
      <c r="AA17" s="21" t="s">
        <v>19</v>
      </c>
      <c r="AB17" s="22" t="s">
        <v>12</v>
      </c>
      <c r="AC17" s="22" t="s">
        <v>13</v>
      </c>
      <c r="AD17" s="22" t="s">
        <v>14</v>
      </c>
      <c r="AE17" s="22" t="s">
        <v>15</v>
      </c>
      <c r="AG17" s="21" t="s">
        <v>8</v>
      </c>
      <c r="AH17" s="22" t="s">
        <v>12</v>
      </c>
      <c r="AI17" s="22" t="s">
        <v>13</v>
      </c>
      <c r="AJ17" s="22" t="s">
        <v>14</v>
      </c>
      <c r="AK17" s="22" t="s">
        <v>15</v>
      </c>
    </row>
    <row r="18" spans="2:37" x14ac:dyDescent="0.25">
      <c r="B18" s="18" t="s">
        <v>6</v>
      </c>
      <c r="C18" s="26">
        <f>V5</f>
        <v>1651350</v>
      </c>
      <c r="D18" s="26">
        <f t="shared" ref="D18:F18" si="44">W5</f>
        <v>1468085</v>
      </c>
      <c r="E18" s="26">
        <f t="shared" si="44"/>
        <v>1390171</v>
      </c>
      <c r="F18" s="26">
        <f t="shared" si="44"/>
        <v>1312431</v>
      </c>
      <c r="H18" s="18" t="s">
        <v>6</v>
      </c>
      <c r="I18" s="26">
        <f>AB5</f>
        <v>2261638</v>
      </c>
      <c r="J18" s="26">
        <f t="shared" ref="J18" si="45">AC5</f>
        <v>2219131</v>
      </c>
      <c r="K18" s="26">
        <f t="shared" ref="K18" si="46">AD5</f>
        <v>2196815</v>
      </c>
      <c r="L18" s="26">
        <f t="shared" ref="L18" si="47">AE5</f>
        <v>2174646</v>
      </c>
      <c r="N18" s="18" t="s">
        <v>6</v>
      </c>
      <c r="O18" s="26">
        <f>AH5</f>
        <v>8115387</v>
      </c>
      <c r="P18" s="26">
        <f t="shared" ref="P18" si="48">AI5</f>
        <v>7892016</v>
      </c>
      <c r="Q18" s="26">
        <f t="shared" ref="Q18" si="49">AJ5</f>
        <v>7792895</v>
      </c>
      <c r="R18" s="26">
        <f t="shared" ref="R18" si="50">AK5</f>
        <v>7694105</v>
      </c>
      <c r="U18" s="18" t="s">
        <v>7</v>
      </c>
      <c r="V18" s="23">
        <f>Base_2050!B33</f>
        <v>139868.62</v>
      </c>
      <c r="W18" s="23">
        <f>Low_2050!B33</f>
        <v>120878</v>
      </c>
      <c r="X18" s="23">
        <f>Med_2050!B33</f>
        <v>113057</v>
      </c>
      <c r="Y18" s="23">
        <f>High_2050!B33</f>
        <v>105333</v>
      </c>
      <c r="AA18" s="18" t="s">
        <v>7</v>
      </c>
      <c r="AB18" s="23">
        <f>Base_2050!E33</f>
        <v>219882.83</v>
      </c>
      <c r="AC18" s="23">
        <f>Low_2050!E33</f>
        <v>213551</v>
      </c>
      <c r="AD18" s="23">
        <f>Med_2050!E33</f>
        <v>210616</v>
      </c>
      <c r="AE18" s="23">
        <f>High_2050!E33</f>
        <v>207732</v>
      </c>
      <c r="AG18" s="18" t="s">
        <v>7</v>
      </c>
      <c r="AH18" s="32">
        <f>Base_2050!G33</f>
        <v>1481262.42</v>
      </c>
      <c r="AI18" s="23">
        <f>Low_2050!G33</f>
        <v>1447976.9</v>
      </c>
      <c r="AJ18" s="23">
        <f>Med_2050!G33</f>
        <v>1433996.1</v>
      </c>
      <c r="AK18" s="23">
        <f>High_2050!G33</f>
        <v>1420139.8</v>
      </c>
    </row>
    <row r="19" spans="2:37" x14ac:dyDescent="0.25">
      <c r="B19" s="18"/>
      <c r="C19" s="34">
        <f>SUM(C17:C18)</f>
        <v>1796107.11</v>
      </c>
      <c r="D19" s="34">
        <f t="shared" ref="D19:F19" si="51">SUM(D17:D18)</f>
        <v>1593714.83</v>
      </c>
      <c r="E19" s="34">
        <f t="shared" si="51"/>
        <v>1507745.78</v>
      </c>
      <c r="F19" s="34">
        <f t="shared" si="51"/>
        <v>1422205.95</v>
      </c>
      <c r="G19" s="20"/>
      <c r="H19" s="18"/>
      <c r="I19" s="34">
        <f>SUM(I17:I18)</f>
        <v>2424192.81</v>
      </c>
      <c r="J19" s="34">
        <f t="shared" ref="J19" si="52">SUM(J17:J18)</f>
        <v>2377615.4500000002</v>
      </c>
      <c r="K19" s="34">
        <f t="shared" ref="K19" si="53">SUM(K17:K18)</f>
        <v>2353361.48</v>
      </c>
      <c r="L19" s="34">
        <f t="shared" ref="L19" si="54">SUM(L17:L18)</f>
        <v>2329314.6</v>
      </c>
      <c r="M19" s="20"/>
      <c r="N19" s="18"/>
      <c r="O19" s="34">
        <f>SUM(O17:O18)</f>
        <v>9299087.1899999995</v>
      </c>
      <c r="P19" s="34">
        <f t="shared" ref="P19" si="55">SUM(P17:P18)</f>
        <v>9048942.5899999999</v>
      </c>
      <c r="Q19" s="34">
        <f t="shared" ref="Q19" si="56">SUM(Q17:Q18)</f>
        <v>8938281.629999999</v>
      </c>
      <c r="R19" s="34">
        <f t="shared" ref="R19" si="57">SUM(R17:R18)</f>
        <v>8828486.4399999995</v>
      </c>
      <c r="U19" s="18" t="s">
        <v>6</v>
      </c>
      <c r="V19" s="23">
        <f>Base_2050!B34</f>
        <v>2593983.0099999998</v>
      </c>
      <c r="W19" s="23">
        <f>Low_2050!B34</f>
        <v>2280932</v>
      </c>
      <c r="X19" s="23">
        <f>Med_2050!B34</f>
        <v>2148097</v>
      </c>
      <c r="Y19" s="23">
        <f>High_2050!B34</f>
        <v>2014912</v>
      </c>
      <c r="AA19" s="18" t="s">
        <v>6</v>
      </c>
      <c r="AB19" s="23">
        <f>Base_2050!E34</f>
        <v>3541322.89</v>
      </c>
      <c r="AC19" s="23">
        <f>Low_2050!E34</f>
        <v>3467645</v>
      </c>
      <c r="AD19" s="23">
        <f>Med_2050!E34</f>
        <v>3430578</v>
      </c>
      <c r="AE19" s="23">
        <f>High_2050!E34</f>
        <v>3393055</v>
      </c>
      <c r="AG19" s="18" t="s">
        <v>6</v>
      </c>
      <c r="AH19" s="32">
        <f>Base_2050!G34</f>
        <v>12269466</v>
      </c>
      <c r="AI19" s="23">
        <f>Low_2050!G34</f>
        <v>11888497</v>
      </c>
      <c r="AJ19" s="23">
        <f>Med_2050!G34</f>
        <v>11721269</v>
      </c>
      <c r="AK19" s="23">
        <f>High_2050!G34</f>
        <v>11552984</v>
      </c>
    </row>
    <row r="20" spans="2:37" x14ac:dyDescent="0.25">
      <c r="U20" s="18" t="s">
        <v>21</v>
      </c>
      <c r="V20" s="23">
        <f>Base_2050!B35</f>
        <v>0</v>
      </c>
      <c r="W20" s="23">
        <f>Low_2050!B35</f>
        <v>0</v>
      </c>
      <c r="X20" s="23">
        <f>Med_2050!B35</f>
        <v>0</v>
      </c>
      <c r="Y20" s="23">
        <f>High_2050!B35</f>
        <v>0</v>
      </c>
      <c r="AA20" s="18" t="s">
        <v>21</v>
      </c>
      <c r="AB20" s="23">
        <f>Base_2050!E35</f>
        <v>0</v>
      </c>
      <c r="AC20" s="23">
        <f>Low_2050!E35</f>
        <v>0</v>
      </c>
      <c r="AD20" s="23">
        <f>Med_2050!E35</f>
        <v>0</v>
      </c>
      <c r="AE20" s="23">
        <f>High_2050!E35</f>
        <v>0</v>
      </c>
      <c r="AG20" s="18" t="s">
        <v>21</v>
      </c>
      <c r="AH20" s="32">
        <f>Base_2050!G35</f>
        <v>387528.61</v>
      </c>
      <c r="AI20" s="23">
        <f>Low_2050!G35</f>
        <v>388964</v>
      </c>
      <c r="AJ20" s="23">
        <f>Med_2050!G35</f>
        <v>389525</v>
      </c>
      <c r="AK20" s="23">
        <f>High_2050!G35</f>
        <v>390090</v>
      </c>
    </row>
    <row r="21" spans="2:37" x14ac:dyDescent="0.25">
      <c r="U21" s="18" t="s">
        <v>0</v>
      </c>
      <c r="V21" s="23">
        <f>Base_2050!B36</f>
        <v>11751.38</v>
      </c>
      <c r="W21" s="23">
        <f>Low_2050!B36</f>
        <v>10223.9</v>
      </c>
      <c r="X21" s="23">
        <f>Med_2050!B36</f>
        <v>9555.41</v>
      </c>
      <c r="Y21" s="23">
        <f>High_2050!B36</f>
        <v>8899.07</v>
      </c>
      <c r="AA21" s="18" t="s">
        <v>0</v>
      </c>
      <c r="AB21" s="23">
        <f>Base_2050!E36</f>
        <v>3281.65</v>
      </c>
      <c r="AC21" s="23">
        <f>Low_2050!E36</f>
        <v>3202.31</v>
      </c>
      <c r="AD21" s="23">
        <f>Med_2050!E36</f>
        <v>3163.19</v>
      </c>
      <c r="AE21" s="23">
        <f>High_2050!E36</f>
        <v>3131.75</v>
      </c>
      <c r="AG21" s="18" t="s">
        <v>0</v>
      </c>
      <c r="AH21" s="32">
        <f>Base_2050!G36</f>
        <v>33571.440000000002</v>
      </c>
      <c r="AI21" s="23">
        <f>Low_2050!G36</f>
        <v>32015.41</v>
      </c>
      <c r="AJ21" s="23">
        <f>Med_2050!G36</f>
        <v>31313.639999999996</v>
      </c>
      <c r="AK21" s="23">
        <f>High_2050!G36</f>
        <v>30662.73</v>
      </c>
    </row>
    <row r="22" spans="2:37" x14ac:dyDescent="0.25">
      <c r="B22" s="19">
        <v>2019</v>
      </c>
      <c r="C22" s="39" t="s">
        <v>11</v>
      </c>
      <c r="D22" s="39"/>
      <c r="E22" s="39"/>
      <c r="F22" s="39"/>
      <c r="G22" s="20"/>
      <c r="H22" s="19">
        <v>2019</v>
      </c>
      <c r="I22" s="39" t="s">
        <v>11</v>
      </c>
      <c r="J22" s="39"/>
      <c r="K22" s="39"/>
      <c r="L22" s="39"/>
      <c r="M22" s="20"/>
      <c r="N22" s="19">
        <v>2019</v>
      </c>
      <c r="O22" s="39" t="s">
        <v>11</v>
      </c>
      <c r="P22" s="39"/>
      <c r="Q22" s="39"/>
      <c r="R22" s="39"/>
      <c r="U22" s="18" t="s">
        <v>1</v>
      </c>
      <c r="V22" s="23">
        <f>Base_2050!B37</f>
        <v>24569.09</v>
      </c>
      <c r="W22" s="23">
        <f>Low_2050!B37</f>
        <v>21623.9</v>
      </c>
      <c r="X22" s="23">
        <f>Med_2050!B37</f>
        <v>20280.599999999999</v>
      </c>
      <c r="Y22" s="23">
        <f>High_2050!B37</f>
        <v>18947.2</v>
      </c>
      <c r="AA22" s="18" t="s">
        <v>1</v>
      </c>
      <c r="AB22" s="23">
        <f>Base_2050!E37</f>
        <v>7338.33</v>
      </c>
      <c r="AC22" s="23">
        <f>Low_2050!E37</f>
        <v>7176.73</v>
      </c>
      <c r="AD22" s="23">
        <f>Med_2050!E37</f>
        <v>7085.66</v>
      </c>
      <c r="AE22" s="23">
        <f>High_2050!E37</f>
        <v>6995.69</v>
      </c>
      <c r="AG22" s="18" t="s">
        <v>1</v>
      </c>
      <c r="AH22" s="32">
        <f>Base_2050!G37</f>
        <v>66498.22</v>
      </c>
      <c r="AI22" s="23">
        <f>Low_2050!G37</f>
        <v>63524.22</v>
      </c>
      <c r="AJ22" s="23">
        <f>Med_2050!G37</f>
        <v>62136.42</v>
      </c>
      <c r="AK22" s="23">
        <f>High_2050!G37</f>
        <v>60728.45</v>
      </c>
    </row>
    <row r="23" spans="2:37" x14ac:dyDescent="0.25">
      <c r="B23" s="21" t="s">
        <v>16</v>
      </c>
      <c r="C23" s="22" t="s">
        <v>12</v>
      </c>
      <c r="D23" s="22" t="s">
        <v>13</v>
      </c>
      <c r="E23" s="22" t="s">
        <v>14</v>
      </c>
      <c r="F23" s="22" t="s">
        <v>15</v>
      </c>
      <c r="G23" s="20"/>
      <c r="H23" s="21" t="s">
        <v>19</v>
      </c>
      <c r="I23" s="22" t="s">
        <v>12</v>
      </c>
      <c r="J23" s="22" t="s">
        <v>13</v>
      </c>
      <c r="K23" s="22" t="s">
        <v>14</v>
      </c>
      <c r="L23" s="22" t="s">
        <v>15</v>
      </c>
      <c r="M23" s="20"/>
      <c r="N23" s="21" t="s">
        <v>8</v>
      </c>
      <c r="O23" s="22" t="s">
        <v>12</v>
      </c>
      <c r="P23" s="22" t="s">
        <v>13</v>
      </c>
      <c r="Q23" s="22" t="s">
        <v>14</v>
      </c>
      <c r="R23" s="22" t="s">
        <v>15</v>
      </c>
      <c r="U23" s="18" t="s">
        <v>2</v>
      </c>
      <c r="V23" s="23">
        <f>Base_2050!B38</f>
        <v>8294.1200000000008</v>
      </c>
      <c r="W23" s="23">
        <f>Low_2050!B38</f>
        <v>7267.09</v>
      </c>
      <c r="X23" s="23">
        <f>Med_2050!B38</f>
        <v>6818.79</v>
      </c>
      <c r="Y23" s="23">
        <f>High_2050!B38</f>
        <v>6394.67</v>
      </c>
      <c r="AA23" s="18" t="s">
        <v>2</v>
      </c>
      <c r="AB23" s="23">
        <f>Base_2050!E38</f>
        <v>3401.95</v>
      </c>
      <c r="AC23" s="23">
        <f>Low_2050!E38</f>
        <v>3319.74</v>
      </c>
      <c r="AD23" s="23">
        <f>Med_2050!E38</f>
        <v>3280.45</v>
      </c>
      <c r="AE23" s="23">
        <f>High_2050!E38</f>
        <v>3243.75</v>
      </c>
      <c r="AG23" s="18" t="s">
        <v>2</v>
      </c>
      <c r="AH23" s="32">
        <f>Base_2050!G38</f>
        <v>34280.33</v>
      </c>
      <c r="AI23" s="23">
        <f>Low_2050!G38</f>
        <v>33257.93</v>
      </c>
      <c r="AJ23" s="23">
        <f>Med_2050!G38</f>
        <v>32769.14</v>
      </c>
      <c r="AK23" s="23">
        <f>High_2050!G38</f>
        <v>32307.919999999998</v>
      </c>
    </row>
    <row r="24" spans="2:37" x14ac:dyDescent="0.25">
      <c r="B24" s="18" t="s">
        <v>7</v>
      </c>
      <c r="C24" s="27">
        <f>C4 / C11</f>
        <v>0.57794259639474699</v>
      </c>
      <c r="D24" s="27">
        <f>D4 / D11</f>
        <v>0.58200508589401101</v>
      </c>
      <c r="E24" s="27">
        <f>E4 / E11</f>
        <v>0.58475890833051092</v>
      </c>
      <c r="F24" s="27">
        <f>F4 / F11</f>
        <v>0.58728699033795961</v>
      </c>
      <c r="G24" s="20"/>
      <c r="H24" s="18" t="s">
        <v>7</v>
      </c>
      <c r="I24" s="27">
        <f>I4 / I11</f>
        <v>0.89634997574049013</v>
      </c>
      <c r="J24" s="27">
        <f>J4 / J11</f>
        <v>0.89710378526095158</v>
      </c>
      <c r="K24" s="27">
        <f>K4 / K11</f>
        <v>0.89749702452587898</v>
      </c>
      <c r="L24" s="27">
        <f>L4 / L11</f>
        <v>0.8978680869937401</v>
      </c>
      <c r="M24" s="20"/>
      <c r="N24" s="18" t="s">
        <v>7</v>
      </c>
      <c r="O24" s="27">
        <f>O4 / O11</f>
        <v>0.87802131720533039</v>
      </c>
      <c r="P24" s="27">
        <f>P4 / P11</f>
        <v>0.883199512252545</v>
      </c>
      <c r="Q24" s="27">
        <f>Q4 / Q11</f>
        <v>0.88555512473547915</v>
      </c>
      <c r="R24" s="27">
        <f>R4 / R11</f>
        <v>0.88781336196755833</v>
      </c>
      <c r="U24" s="18" t="s">
        <v>3</v>
      </c>
      <c r="V24" s="23">
        <f>Base_2050!B39</f>
        <v>2182.69</v>
      </c>
      <c r="W24" s="23">
        <f>Low_2050!B39</f>
        <v>2914.05</v>
      </c>
      <c r="X24" s="23">
        <f>Med_2050!B39</f>
        <v>3223.61</v>
      </c>
      <c r="Y24" s="23">
        <f>High_2050!B39</f>
        <v>3550.27</v>
      </c>
      <c r="AA24" s="18" t="s">
        <v>3</v>
      </c>
      <c r="AB24" s="23">
        <f>Base_2050!E39</f>
        <v>11.7</v>
      </c>
      <c r="AC24" s="23">
        <f>Low_2050!E39</f>
        <v>22.14</v>
      </c>
      <c r="AD24" s="23">
        <f>Med_2050!E39</f>
        <v>27.33</v>
      </c>
      <c r="AE24" s="23">
        <f>High_2050!E39</f>
        <v>33.479999999999997</v>
      </c>
      <c r="AG24" s="18" t="s">
        <v>3</v>
      </c>
      <c r="AH24" s="32">
        <f>Base_2050!G39</f>
        <v>2469.44</v>
      </c>
      <c r="AI24" s="23">
        <f>Low_2050!G39</f>
        <v>3316.5899999999997</v>
      </c>
      <c r="AJ24" s="23">
        <f>Med_2050!G39</f>
        <v>3684.36</v>
      </c>
      <c r="AK24" s="23">
        <f>High_2050!G39</f>
        <v>4165.04</v>
      </c>
    </row>
    <row r="25" spans="2:37" x14ac:dyDescent="0.25">
      <c r="B25" s="18" t="s">
        <v>0</v>
      </c>
      <c r="C25" s="27">
        <f>C5 / C11</f>
        <v>0.11625542952605228</v>
      </c>
      <c r="D25" s="27">
        <f>D5 / D11</f>
        <v>0.11726434716977648</v>
      </c>
      <c r="E25" s="27">
        <f>E5 / E11</f>
        <v>0.11747842522010248</v>
      </c>
      <c r="F25" s="27">
        <f>F5 / F11</f>
        <v>0.11751314849152744</v>
      </c>
      <c r="G25" s="20"/>
      <c r="H25" s="18" t="s">
        <v>0</v>
      </c>
      <c r="I25" s="27">
        <f>I5 / I11</f>
        <v>2.6733813659528125E-2</v>
      </c>
      <c r="J25" s="27">
        <f>J5 / J11</f>
        <v>2.6826038769103219E-2</v>
      </c>
      <c r="K25" s="27">
        <f>K5 / K11</f>
        <v>2.6842570973170398E-2</v>
      </c>
      <c r="L25" s="27">
        <f>L5 / L11</f>
        <v>2.6861625436578593E-2</v>
      </c>
      <c r="M25" s="20"/>
      <c r="N25" s="18" t="s">
        <v>0</v>
      </c>
      <c r="O25" s="27">
        <f>O5 / O11</f>
        <v>3.677366985976406E-2</v>
      </c>
      <c r="P25" s="27">
        <f>P5 / P11</f>
        <v>3.5779452523431073E-2</v>
      </c>
      <c r="Q25" s="27">
        <f>Q5 / Q11</f>
        <v>3.532772160960182E-2</v>
      </c>
      <c r="R25" s="27">
        <f>R5 / R11</f>
        <v>3.4846744319089004E-2</v>
      </c>
      <c r="U25" s="18" t="s">
        <v>4</v>
      </c>
      <c r="V25" s="23">
        <f>Base_2050!B40</f>
        <v>46716.56</v>
      </c>
      <c r="W25" s="23">
        <f>Low_2050!B40</f>
        <v>39685.1</v>
      </c>
      <c r="X25" s="23">
        <f>Med_2050!B40</f>
        <v>36649.800000000003</v>
      </c>
      <c r="Y25" s="23">
        <f>High_2050!B40</f>
        <v>33683.699999999997</v>
      </c>
      <c r="AA25" s="18" t="s">
        <v>4</v>
      </c>
      <c r="AB25" s="23">
        <f>Base_2050!E40</f>
        <v>15350.61</v>
      </c>
      <c r="AC25" s="23">
        <f>Low_2050!E40</f>
        <v>14706.9</v>
      </c>
      <c r="AD25" s="23">
        <f>Med_2050!E40</f>
        <v>14438.5</v>
      </c>
      <c r="AE25" s="23">
        <f>High_2050!E40</f>
        <v>14154</v>
      </c>
      <c r="AG25" s="18" t="s">
        <v>4</v>
      </c>
      <c r="AH25" s="32">
        <f>Base_2050!G40</f>
        <v>121952.15</v>
      </c>
      <c r="AI25" s="23">
        <f>Low_2050!G40</f>
        <v>114021</v>
      </c>
      <c r="AJ25" s="23">
        <f>Med_2050!G40</f>
        <v>110575.3</v>
      </c>
      <c r="AK25" s="23">
        <f>High_2050!G40</f>
        <v>107152.9</v>
      </c>
    </row>
    <row r="26" spans="2:37" x14ac:dyDescent="0.25">
      <c r="B26" s="18" t="s">
        <v>1</v>
      </c>
      <c r="C26" s="27">
        <f>C6 / C11</f>
        <v>1.3841116336185491E-3</v>
      </c>
      <c r="D26" s="27">
        <f>D6 / D11</f>
        <v>1.4647795034029736E-3</v>
      </c>
      <c r="E26" s="27">
        <f>E6 / E11</f>
        <v>1.4922417885876544E-3</v>
      </c>
      <c r="F26" s="27">
        <f>F6 / F11</f>
        <v>1.5191990522427931E-3</v>
      </c>
      <c r="G26" s="20"/>
      <c r="H26" s="18" t="s">
        <v>1</v>
      </c>
      <c r="I26" s="27">
        <f>I6 / I11</f>
        <v>3.6492306810238339E-4</v>
      </c>
      <c r="J26" s="27">
        <f>J6 / J11</f>
        <v>3.6924758233378738E-4</v>
      </c>
      <c r="K26" s="27">
        <f>K6 / K11</f>
        <v>3.7062474991453022E-4</v>
      </c>
      <c r="L26" s="27">
        <f>L6 / L11</f>
        <v>3.7221517489652067E-4</v>
      </c>
      <c r="M26" s="20"/>
      <c r="N26" s="18" t="s">
        <v>1</v>
      </c>
      <c r="O26" s="27">
        <f>O6 / O11</f>
        <v>4.5264840246414073E-4</v>
      </c>
      <c r="P26" s="27">
        <f>P6 / P11</f>
        <v>4.4926791768179524E-4</v>
      </c>
      <c r="Q26" s="27">
        <f>Q6 / Q11</f>
        <v>4.4622486993758611E-4</v>
      </c>
      <c r="R26" s="27">
        <f>R6 / R11</f>
        <v>4.4301676868055954E-4</v>
      </c>
      <c r="U26" s="18" t="s">
        <v>5</v>
      </c>
      <c r="V26" s="23">
        <f>Base_2050!B41</f>
        <v>42146.8</v>
      </c>
      <c r="W26" s="23">
        <f>Low_2050!B41</f>
        <v>35180.300000000003</v>
      </c>
      <c r="X26" s="23">
        <f>Med_2050!B41</f>
        <v>31944.6</v>
      </c>
      <c r="Y26" s="23">
        <f>High_2050!B41</f>
        <v>29091.5</v>
      </c>
      <c r="AA26" s="18" t="s">
        <v>5</v>
      </c>
      <c r="AB26" s="23">
        <f>Base_2050!E41</f>
        <v>2380.04</v>
      </c>
      <c r="AC26" s="23">
        <f>Low_2050!E41</f>
        <v>2324.2199999999998</v>
      </c>
      <c r="AD26" s="23">
        <f>Med_2050!E41</f>
        <v>2287.89</v>
      </c>
      <c r="AE26" s="23">
        <f>High_2050!E41</f>
        <v>2249.46</v>
      </c>
      <c r="AG26" s="18" t="s">
        <v>5</v>
      </c>
      <c r="AH26" s="32">
        <f>Base_2050!G41</f>
        <v>62096.76</v>
      </c>
      <c r="AI26" s="23">
        <f>Low_2050!G41</f>
        <v>54970.47</v>
      </c>
      <c r="AJ26" s="23">
        <f>Med_2050!G41</f>
        <v>51613.81</v>
      </c>
      <c r="AK26" s="23">
        <f>High_2050!G41</f>
        <v>48653.34</v>
      </c>
    </row>
    <row r="27" spans="2:37" x14ac:dyDescent="0.25">
      <c r="B27" s="18" t="s">
        <v>2</v>
      </c>
      <c r="C27" s="27">
        <f>C7 / C11</f>
        <v>1.4946554265970077E-2</v>
      </c>
      <c r="D27" s="27">
        <f>D7 / D11</f>
        <v>1.4926391287801632E-2</v>
      </c>
      <c r="E27" s="27">
        <f>E7 / E11</f>
        <v>1.5018952193659217E-2</v>
      </c>
      <c r="F27" s="27">
        <f>F7 / F11</f>
        <v>1.5110824464051225E-2</v>
      </c>
      <c r="G27" s="20"/>
      <c r="H27" s="18" t="s">
        <v>2</v>
      </c>
      <c r="I27" s="27">
        <f>I7 / I11</f>
        <v>7.5306292074654689E-3</v>
      </c>
      <c r="J27" s="27">
        <f>J7 / J11</f>
        <v>7.4714585563441715E-3</v>
      </c>
      <c r="K27" s="27">
        <f>K7 / K11</f>
        <v>7.4626398498388478E-3</v>
      </c>
      <c r="L27" s="27">
        <f>L7 / L11</f>
        <v>7.4501223907114953E-3</v>
      </c>
      <c r="M27" s="20"/>
      <c r="N27" s="18" t="s">
        <v>2</v>
      </c>
      <c r="O27" s="27">
        <f>O7 / O11</f>
        <v>1.1460841279412144E-2</v>
      </c>
      <c r="P27" s="27">
        <f>P7 / P11</f>
        <v>1.140642812954969E-2</v>
      </c>
      <c r="Q27" s="27">
        <f>Q7 / Q11</f>
        <v>1.1410120965005504E-2</v>
      </c>
      <c r="R27" s="27">
        <f>R7 / R11</f>
        <v>1.1410976540659904E-2</v>
      </c>
      <c r="U27" s="18" t="s">
        <v>8</v>
      </c>
      <c r="V27" s="24">
        <f>SUM(V18:V26)</f>
        <v>2869512.2699999996</v>
      </c>
      <c r="W27" s="24">
        <f t="shared" ref="W27" si="58">SUM(W18:W26)</f>
        <v>2518704.3399999994</v>
      </c>
      <c r="X27" s="24">
        <f t="shared" ref="X27" si="59">SUM(X18:X26)</f>
        <v>2369626.81</v>
      </c>
      <c r="Y27" s="24">
        <f t="shared" ref="Y27" si="60">SUM(Y18:Y26)</f>
        <v>2220811.41</v>
      </c>
      <c r="AA27" s="18" t="s">
        <v>8</v>
      </c>
      <c r="AB27" s="24">
        <f>SUM(AB18:AB26)</f>
        <v>3792970.0000000005</v>
      </c>
      <c r="AC27" s="24">
        <f t="shared" ref="AC27" si="61">SUM(AC18:AC26)</f>
        <v>3711948.0400000005</v>
      </c>
      <c r="AD27" s="24">
        <f t="shared" ref="AD27" si="62">SUM(AD18:AD26)</f>
        <v>3671477.0200000005</v>
      </c>
      <c r="AE27" s="24">
        <f t="shared" ref="AE27" si="63">SUM(AE18:AE26)</f>
        <v>3630595.13</v>
      </c>
      <c r="AG27" s="18" t="s">
        <v>8</v>
      </c>
      <c r="AH27" s="33">
        <f>SUM(AH18:AH26)</f>
        <v>14459125.369999999</v>
      </c>
      <c r="AI27" s="24">
        <f t="shared" ref="AI27" si="64">SUM(AI18:AI26)</f>
        <v>14026543.520000001</v>
      </c>
      <c r="AJ27" s="24">
        <f t="shared" ref="AJ27" si="65">SUM(AJ18:AJ26)</f>
        <v>13836882.770000001</v>
      </c>
      <c r="AK27" s="24">
        <f t="shared" ref="AK27" si="66">SUM(AK18:AK26)</f>
        <v>13646884.18</v>
      </c>
    </row>
    <row r="28" spans="2:37" x14ac:dyDescent="0.25">
      <c r="B28" s="18" t="s">
        <v>3</v>
      </c>
      <c r="C28" s="27">
        <f>C8 / C11</f>
        <v>1.1350945041663238E-2</v>
      </c>
      <c r="D28" s="27">
        <f>D8 / D11</f>
        <v>1.4374850304262929E-2</v>
      </c>
      <c r="E28" s="27">
        <f>E8 / E11</f>
        <v>1.5501453628065475E-2</v>
      </c>
      <c r="F28" s="27">
        <f>F8 / F11</f>
        <v>1.6934555652268573E-2</v>
      </c>
      <c r="G28" s="20"/>
      <c r="H28" s="18" t="s">
        <v>3</v>
      </c>
      <c r="I28" s="27">
        <f>I8 / I11</f>
        <v>6.7854036432388537E-5</v>
      </c>
      <c r="J28" s="27">
        <f>J8 / J11</f>
        <v>8.9598695644903963E-5</v>
      </c>
      <c r="K28" s="27">
        <f>K8 / K11</f>
        <v>9.8948248469080883E-5</v>
      </c>
      <c r="L28" s="27">
        <f>L8 / L11</f>
        <v>1.1139946957559582E-4</v>
      </c>
      <c r="M28" s="20"/>
      <c r="N28" s="18" t="s">
        <v>3</v>
      </c>
      <c r="O28" s="27">
        <f>O8 / O11</f>
        <v>1.5386413007165266E-3</v>
      </c>
      <c r="P28" s="27">
        <f>P8 / P11</f>
        <v>1.7513816498936205E-3</v>
      </c>
      <c r="Q28" s="27">
        <f>Q8 / Q11</f>
        <v>1.7985455269370486E-3</v>
      </c>
      <c r="R28" s="27">
        <f>R8 / R11</f>
        <v>1.8670880228787946E-3</v>
      </c>
    </row>
    <row r="29" spans="2:37" x14ac:dyDescent="0.25">
      <c r="B29" s="18" t="s">
        <v>4</v>
      </c>
      <c r="C29" s="27">
        <f>C9 / C11</f>
        <v>0.1656706188732284</v>
      </c>
      <c r="D29" s="27">
        <f>D9 / D11</f>
        <v>0.1639968787667706</v>
      </c>
      <c r="E29" s="27">
        <f>E9 / E11</f>
        <v>0.16273898194833961</v>
      </c>
      <c r="F29" s="27">
        <f>F9 / F11</f>
        <v>0.16176732487694143</v>
      </c>
      <c r="G29" s="20"/>
      <c r="H29" s="18" t="s">
        <v>4</v>
      </c>
      <c r="I29" s="27">
        <f>I9 / I11</f>
        <v>6.0571569675483605E-2</v>
      </c>
      <c r="J29" s="27">
        <f>J9 / J11</f>
        <v>5.9907391545353503E-2</v>
      </c>
      <c r="K29" s="27">
        <f>K9 / K11</f>
        <v>5.9568825820931919E-2</v>
      </c>
      <c r="L29" s="27">
        <f>L9 / L11</f>
        <v>5.9205035799121473E-2</v>
      </c>
      <c r="M29" s="20"/>
      <c r="N29" s="18" t="s">
        <v>4</v>
      </c>
      <c r="O29" s="27">
        <f>O9 / O11</f>
        <v>5.0769274608294175E-2</v>
      </c>
      <c r="P29" s="27">
        <f>P9 / P11</f>
        <v>4.8638522518529029E-2</v>
      </c>
      <c r="Q29" s="27">
        <f>Q9 / Q11</f>
        <v>4.7653952447480552E-2</v>
      </c>
      <c r="R29" s="27">
        <f>R9 / R11</f>
        <v>4.67142692320495E-2</v>
      </c>
    </row>
    <row r="30" spans="2:37" x14ac:dyDescent="0.25">
      <c r="B30" s="18" t="s">
        <v>5</v>
      </c>
      <c r="C30" s="27">
        <f>C10 / C11</f>
        <v>0.11244974426472039</v>
      </c>
      <c r="D30" s="27">
        <f>D10 / D11</f>
        <v>0.1059676670739744</v>
      </c>
      <c r="E30" s="27">
        <f>E10 / E11</f>
        <v>0.10301103689073456</v>
      </c>
      <c r="F30" s="27">
        <f>F10 / F11</f>
        <v>9.9867957125008941E-2</v>
      </c>
      <c r="G30" s="20"/>
      <c r="H30" s="18" t="s">
        <v>5</v>
      </c>
      <c r="I30" s="27">
        <f>I10 / I11</f>
        <v>8.3812346124977778E-3</v>
      </c>
      <c r="J30" s="27">
        <f>J10 / J11</f>
        <v>8.2324795902689509E-3</v>
      </c>
      <c r="K30" s="27">
        <f>K10 / K11</f>
        <v>8.1593658317964095E-3</v>
      </c>
      <c r="L30" s="27">
        <f>L10 / L11</f>
        <v>8.1315147353761535E-3</v>
      </c>
      <c r="M30" s="20"/>
      <c r="N30" s="18" t="s">
        <v>5</v>
      </c>
      <c r="O30" s="27">
        <f>O10 / O11</f>
        <v>2.0983607344018416E-2</v>
      </c>
      <c r="P30" s="27">
        <f>P10 / P11</f>
        <v>1.8775435008369892E-2</v>
      </c>
      <c r="Q30" s="27">
        <f>Q10 / Q11</f>
        <v>1.7808309845558441E-2</v>
      </c>
      <c r="R30" s="27">
        <f>R10 / R11</f>
        <v>1.6904543149083965E-2</v>
      </c>
      <c r="U30" s="19">
        <v>2019</v>
      </c>
      <c r="V30" s="39" t="s">
        <v>11</v>
      </c>
      <c r="W30" s="39"/>
      <c r="X30" s="39"/>
      <c r="Y30" s="39"/>
      <c r="Z30" s="20"/>
      <c r="AA30" s="19">
        <v>2019</v>
      </c>
      <c r="AB30" s="39" t="s">
        <v>11</v>
      </c>
      <c r="AC30" s="39"/>
      <c r="AD30" s="39"/>
      <c r="AE30" s="39"/>
      <c r="AF30" s="20"/>
      <c r="AG30" s="19">
        <v>2019</v>
      </c>
      <c r="AH30" s="39" t="s">
        <v>11</v>
      </c>
      <c r="AI30" s="39"/>
      <c r="AJ30" s="39"/>
      <c r="AK30" s="39"/>
    </row>
    <row r="31" spans="2:37" x14ac:dyDescent="0.25">
      <c r="B31" s="18"/>
      <c r="C31" s="28">
        <f>SUM(C24:C30)</f>
        <v>0.99999999999999989</v>
      </c>
      <c r="D31" s="28">
        <f t="shared" ref="D31:F31" si="67">SUM(D24:D30)</f>
        <v>1</v>
      </c>
      <c r="E31" s="28">
        <f t="shared" si="67"/>
        <v>0.99999999999999978</v>
      </c>
      <c r="F31" s="28">
        <f t="shared" si="67"/>
        <v>1</v>
      </c>
      <c r="G31" s="20"/>
      <c r="H31" s="18"/>
      <c r="I31" s="28">
        <f>SUM(I24:I30)</f>
        <v>0.99999999999999989</v>
      </c>
      <c r="J31" s="28">
        <f t="shared" ref="J31" si="68">SUM(J24:J30)</f>
        <v>1</v>
      </c>
      <c r="K31" s="28">
        <f t="shared" ref="K31" si="69">SUM(K24:K30)</f>
        <v>1.0000000000000002</v>
      </c>
      <c r="L31" s="28">
        <f t="shared" ref="L31" si="70">SUM(L24:L30)</f>
        <v>0.99999999999999989</v>
      </c>
      <c r="M31" s="20"/>
      <c r="N31" s="18"/>
      <c r="O31" s="28">
        <f>SUM(O24:O30)</f>
        <v>0.99999999999999989</v>
      </c>
      <c r="P31" s="28">
        <f t="shared" ref="P31" si="71">SUM(P24:P30)</f>
        <v>1.0000000000000002</v>
      </c>
      <c r="Q31" s="28">
        <f t="shared" ref="Q31" si="72">SUM(Q24:Q30)</f>
        <v>1</v>
      </c>
      <c r="R31" s="28">
        <f t="shared" ref="R31" si="73">SUM(R24:R30)</f>
        <v>1</v>
      </c>
      <c r="U31" s="21" t="s">
        <v>16</v>
      </c>
      <c r="V31" s="22" t="s">
        <v>12</v>
      </c>
      <c r="W31" s="22" t="s">
        <v>13</v>
      </c>
      <c r="X31" s="22" t="s">
        <v>14</v>
      </c>
      <c r="Y31" s="22" t="s">
        <v>15</v>
      </c>
      <c r="Z31" s="20"/>
      <c r="AA31" s="21" t="s">
        <v>19</v>
      </c>
      <c r="AB31" s="22" t="s">
        <v>12</v>
      </c>
      <c r="AC31" s="22" t="s">
        <v>13</v>
      </c>
      <c r="AD31" s="22" t="s">
        <v>14</v>
      </c>
      <c r="AE31" s="22" t="s">
        <v>15</v>
      </c>
      <c r="AF31" s="20"/>
      <c r="AG31" s="21" t="s">
        <v>8</v>
      </c>
      <c r="AH31" s="22" t="s">
        <v>12</v>
      </c>
      <c r="AI31" s="22" t="s">
        <v>13</v>
      </c>
      <c r="AJ31" s="22" t="s">
        <v>14</v>
      </c>
      <c r="AK31" s="22" t="s">
        <v>15</v>
      </c>
    </row>
    <row r="32" spans="2:37" x14ac:dyDescent="0.25">
      <c r="B32" s="18"/>
      <c r="C32" s="26"/>
      <c r="D32" s="26"/>
      <c r="E32" s="26"/>
      <c r="F32" s="26"/>
      <c r="H32" s="18"/>
      <c r="I32" s="26"/>
      <c r="J32" s="26"/>
      <c r="K32" s="26"/>
      <c r="L32" s="26"/>
      <c r="N32" s="18"/>
      <c r="O32" s="26"/>
      <c r="P32" s="26"/>
      <c r="Q32" s="26"/>
      <c r="R32" s="26"/>
      <c r="U32" s="18" t="s">
        <v>7</v>
      </c>
      <c r="V32" s="27">
        <f>V4/V13</f>
        <v>4.6579237693680747E-2</v>
      </c>
      <c r="W32" s="27">
        <f>W4/W13</f>
        <v>4.5878471244444663E-2</v>
      </c>
      <c r="X32" s="27">
        <f>X4/X13</f>
        <v>4.5599796008051169E-2</v>
      </c>
      <c r="Y32" s="27">
        <f>Y4/Y13</f>
        <v>4.5330565520415665E-2</v>
      </c>
      <c r="Z32" s="20"/>
      <c r="AA32" s="18" t="s">
        <v>7</v>
      </c>
      <c r="AB32" s="27">
        <f>AB4/AB13</f>
        <v>6.0104955100497966E-2</v>
      </c>
      <c r="AC32" s="27">
        <f>AC4/AC13</f>
        <v>5.9798147761867877E-2</v>
      </c>
      <c r="AD32" s="27">
        <f>AD4/AD13</f>
        <v>5.9701835520822755E-2</v>
      </c>
      <c r="AE32" s="27">
        <f>AE4/AE13</f>
        <v>5.9619254522338898E-2</v>
      </c>
      <c r="AF32" s="20"/>
      <c r="AG32" s="18" t="s">
        <v>7</v>
      </c>
      <c r="AH32" s="27">
        <f>AH4/AH13</f>
        <v>0.10873435761127358</v>
      </c>
      <c r="AI32" s="27">
        <f>AI4/AI13</f>
        <v>0.10976489801262528</v>
      </c>
      <c r="AJ32" s="27">
        <f>AJ4/AJ13</f>
        <v>0.11026667875527103</v>
      </c>
      <c r="AK32" s="27">
        <f>AK4/AK13</f>
        <v>0.11080463503052274</v>
      </c>
    </row>
    <row r="33" spans="2:37" x14ac:dyDescent="0.25">
      <c r="B33" s="18" t="s">
        <v>7</v>
      </c>
      <c r="C33" s="27">
        <f>C13 / C15</f>
        <v>0.57794259639474699</v>
      </c>
      <c r="D33" s="27">
        <f t="shared" ref="D33:F33" si="74">D13 / D15</f>
        <v>0.58200508589401101</v>
      </c>
      <c r="E33" s="27">
        <f t="shared" si="74"/>
        <v>0.58475890833051092</v>
      </c>
      <c r="F33" s="27">
        <f t="shared" si="74"/>
        <v>0.58728699033795961</v>
      </c>
      <c r="G33" s="20"/>
      <c r="H33" s="18" t="s">
        <v>7</v>
      </c>
      <c r="I33" s="27">
        <f>I13 / I15</f>
        <v>0.89634997574049025</v>
      </c>
      <c r="J33" s="27">
        <f t="shared" ref="J33:L33" si="75">J13 / J15</f>
        <v>0.89710378526095136</v>
      </c>
      <c r="K33" s="27">
        <f t="shared" si="75"/>
        <v>0.89749702452587876</v>
      </c>
      <c r="L33" s="27">
        <f t="shared" si="75"/>
        <v>0.8978680869937401</v>
      </c>
      <c r="M33" s="20"/>
      <c r="N33" s="18" t="s">
        <v>7</v>
      </c>
      <c r="O33" s="27">
        <f>O13 / O15</f>
        <v>0.87802131720533061</v>
      </c>
      <c r="P33" s="27">
        <f t="shared" ref="P33:R33" si="76">P13 / P15</f>
        <v>0.88319951225254489</v>
      </c>
      <c r="Q33" s="27">
        <f t="shared" si="76"/>
        <v>0.88555512473547915</v>
      </c>
      <c r="R33" s="27">
        <f t="shared" si="76"/>
        <v>0.88781336196755833</v>
      </c>
      <c r="U33" s="18" t="s">
        <v>6</v>
      </c>
      <c r="V33" s="27">
        <f>V5/V13</f>
        <v>0.9194050793552061</v>
      </c>
      <c r="W33" s="27">
        <f>W5/W13</f>
        <v>0.92117170046036423</v>
      </c>
      <c r="X33" s="27">
        <f>X5/X13</f>
        <v>0.92201949323313637</v>
      </c>
      <c r="Y33" s="27">
        <f>Y5/Y13</f>
        <v>0.92281360516034971</v>
      </c>
      <c r="Z33" s="20"/>
      <c r="AA33" s="18" t="s">
        <v>6</v>
      </c>
      <c r="AB33" s="27">
        <f>AB5/AB13</f>
        <v>0.9329447685310146</v>
      </c>
      <c r="AC33" s="27">
        <f>AC5/AC13</f>
        <v>0.93334311063633091</v>
      </c>
      <c r="AD33" s="27">
        <f>AD5/AD13</f>
        <v>0.93347962846744648</v>
      </c>
      <c r="AE33" s="27">
        <f>AE5/AE13</f>
        <v>0.93359909391372053</v>
      </c>
      <c r="AF33" s="20"/>
      <c r="AG33" s="18" t="s">
        <v>6</v>
      </c>
      <c r="AH33" s="27">
        <f>AH5/AH13</f>
        <v>0.8490421491598118</v>
      </c>
      <c r="AI33" s="27">
        <f>AI5/AI13</f>
        <v>0.84778711559537456</v>
      </c>
      <c r="AJ33" s="27">
        <f>AJ5/AJ13</f>
        <v>0.84717944197991901</v>
      </c>
      <c r="AK33" s="27">
        <f>AK5/AK13</f>
        <v>0.84651614795423391</v>
      </c>
    </row>
    <row r="34" spans="2:37" x14ac:dyDescent="0.25">
      <c r="B34" s="18" t="s">
        <v>41</v>
      </c>
      <c r="C34" s="27">
        <f>C14 / C15</f>
        <v>0.42205740360525296</v>
      </c>
      <c r="D34" s="27">
        <f t="shared" ref="D34:F34" si="77">D14 / D15</f>
        <v>0.41799491410598905</v>
      </c>
      <c r="E34" s="27">
        <f t="shared" si="77"/>
        <v>0.41524109166948903</v>
      </c>
      <c r="F34" s="27">
        <f t="shared" si="77"/>
        <v>0.41271300966204039</v>
      </c>
      <c r="G34" s="20"/>
      <c r="H34" s="18" t="s">
        <v>41</v>
      </c>
      <c r="I34" s="27">
        <f>I14 / I15</f>
        <v>0.10365002425950977</v>
      </c>
      <c r="J34" s="27">
        <f t="shared" ref="J34:L34" si="78">J14 / J15</f>
        <v>0.10289621473904852</v>
      </c>
      <c r="K34" s="27">
        <f t="shared" si="78"/>
        <v>0.10250297547412116</v>
      </c>
      <c r="L34" s="27">
        <f t="shared" si="78"/>
        <v>0.10213191300625983</v>
      </c>
      <c r="M34" s="20"/>
      <c r="N34" s="18" t="s">
        <v>41</v>
      </c>
      <c r="O34" s="27">
        <f>O14 / O15</f>
        <v>0.12197868279466949</v>
      </c>
      <c r="P34" s="27">
        <f t="shared" ref="P34:R34" si="79">P14 / P15</f>
        <v>0.11680048774745508</v>
      </c>
      <c r="Q34" s="27">
        <f t="shared" si="79"/>
        <v>0.11444487526452096</v>
      </c>
      <c r="R34" s="27">
        <f t="shared" si="79"/>
        <v>0.11218663803244172</v>
      </c>
      <c r="U34" s="18" t="s">
        <v>21</v>
      </c>
      <c r="V34" s="27">
        <f>V6/V13</f>
        <v>0</v>
      </c>
      <c r="W34" s="27">
        <f>W6/W13</f>
        <v>0</v>
      </c>
      <c r="X34" s="27">
        <f>X6/X13</f>
        <v>0</v>
      </c>
      <c r="Y34" s="27">
        <f>Y6/Y13</f>
        <v>0</v>
      </c>
      <c r="Z34" s="20"/>
      <c r="AA34" s="18" t="s">
        <v>21</v>
      </c>
      <c r="AB34" s="27">
        <f>AB6/AB13</f>
        <v>0</v>
      </c>
      <c r="AC34" s="27">
        <f>AC6/AC13</f>
        <v>0</v>
      </c>
      <c r="AD34" s="27">
        <f>AD6/AD13</f>
        <v>0</v>
      </c>
      <c r="AE34" s="27">
        <f>AE6/AE13</f>
        <v>0</v>
      </c>
      <c r="AF34" s="20"/>
      <c r="AG34" s="18" t="s">
        <v>21</v>
      </c>
      <c r="AH34" s="27">
        <f>AH6/AH13</f>
        <v>2.7117625687835333E-2</v>
      </c>
      <c r="AI34" s="27">
        <f>AI6/AI13</f>
        <v>2.7931907694531091E-2</v>
      </c>
      <c r="AJ34" s="27">
        <f>AJ6/AJ13</f>
        <v>2.830354527261561E-2</v>
      </c>
      <c r="AK34" s="27">
        <f>AK6/AK13</f>
        <v>2.8677626123507653E-2</v>
      </c>
    </row>
    <row r="35" spans="2:37" x14ac:dyDescent="0.25">
      <c r="B35" s="18"/>
      <c r="C35" s="28">
        <f>SUM(C33:C34)</f>
        <v>1</v>
      </c>
      <c r="D35" s="28">
        <f t="shared" ref="D35:F35" si="80">SUM(D33:D34)</f>
        <v>1</v>
      </c>
      <c r="E35" s="28">
        <f t="shared" si="80"/>
        <v>1</v>
      </c>
      <c r="F35" s="28">
        <f t="shared" si="80"/>
        <v>1</v>
      </c>
      <c r="G35" s="20"/>
      <c r="H35" s="18"/>
      <c r="I35" s="28">
        <f>SUM(I33:I34)</f>
        <v>1</v>
      </c>
      <c r="J35" s="28">
        <f t="shared" ref="J35" si="81">SUM(J33:J34)</f>
        <v>0.99999999999999989</v>
      </c>
      <c r="K35" s="28">
        <f t="shared" ref="K35" si="82">SUM(K33:K34)</f>
        <v>0.99999999999999989</v>
      </c>
      <c r="L35" s="28">
        <f t="shared" ref="L35" si="83">SUM(L33:L34)</f>
        <v>0.99999999999999989</v>
      </c>
      <c r="M35" s="20"/>
      <c r="N35" s="18"/>
      <c r="O35" s="28">
        <f>SUM(O33:O34)</f>
        <v>1</v>
      </c>
      <c r="P35" s="28">
        <f t="shared" ref="P35" si="84">SUM(P33:P34)</f>
        <v>1</v>
      </c>
      <c r="Q35" s="28">
        <f t="shared" ref="Q35" si="85">SUM(Q33:Q34)</f>
        <v>1</v>
      </c>
      <c r="R35" s="28">
        <f t="shared" ref="R35" si="86">SUM(R33:R34)</f>
        <v>1</v>
      </c>
      <c r="U35" s="18" t="s">
        <v>0</v>
      </c>
      <c r="V35" s="27">
        <f>V7/V13</f>
        <v>9.3695971171786057E-3</v>
      </c>
      <c r="W35" s="27">
        <f>W7/W13</f>
        <v>9.2437490840190043E-3</v>
      </c>
      <c r="X35" s="27">
        <f>X7/X13</f>
        <v>9.1610271328366778E-3</v>
      </c>
      <c r="Y35" s="27">
        <f>Y7/Y13</f>
        <v>9.0704162783174971E-3</v>
      </c>
      <c r="Z35" s="20"/>
      <c r="AA35" s="18" t="s">
        <v>0</v>
      </c>
      <c r="AB35" s="27">
        <f>AB7/AB13</f>
        <v>1.7926420629883809E-3</v>
      </c>
      <c r="AC35" s="27">
        <f>AC7/AC13</f>
        <v>1.7881402982976072E-3</v>
      </c>
      <c r="AD35" s="27">
        <f>AD7/AD13</f>
        <v>1.7855777940242311E-3</v>
      </c>
      <c r="AE35" s="27">
        <f>AE7/AE13</f>
        <v>1.7836362679390753E-3</v>
      </c>
      <c r="AF35" s="20"/>
      <c r="AG35" s="18" t="s">
        <v>0</v>
      </c>
      <c r="AH35" s="27">
        <f>AH7/AH13</f>
        <v>4.5540595551114751E-3</v>
      </c>
      <c r="AI35" s="27">
        <f>AI7/AI13</f>
        <v>4.4467053057644645E-3</v>
      </c>
      <c r="AJ35" s="27">
        <f>AJ7/AJ13</f>
        <v>4.3989023620017009E-3</v>
      </c>
      <c r="AK35" s="27">
        <f>AK7/AK13</f>
        <v>4.3490906441433913E-3</v>
      </c>
    </row>
    <row r="36" spans="2:37" x14ac:dyDescent="0.25">
      <c r="B36" s="18"/>
      <c r="C36" s="26"/>
      <c r="D36" s="26"/>
      <c r="E36" s="26"/>
      <c r="F36" s="26"/>
      <c r="H36" s="18"/>
      <c r="I36" s="26"/>
      <c r="J36" s="26"/>
      <c r="K36" s="26"/>
      <c r="L36" s="26"/>
      <c r="N36" s="18"/>
      <c r="O36" s="26"/>
      <c r="P36" s="26"/>
      <c r="Q36" s="26"/>
      <c r="R36" s="26"/>
      <c r="U36" s="18" t="s">
        <v>1</v>
      </c>
      <c r="V36" s="27">
        <f>V8/V13</f>
        <v>1.1155236727502293E-4</v>
      </c>
      <c r="W36" s="27">
        <f>W8/W13</f>
        <v>1.1546607745376884E-4</v>
      </c>
      <c r="X36" s="27">
        <f>X8/X13</f>
        <v>1.1636577089275619E-4</v>
      </c>
      <c r="Y36" s="27">
        <f>Y8/Y13</f>
        <v>1.1726149788643481E-4</v>
      </c>
      <c r="Z36" s="20"/>
      <c r="AA36" s="18" t="s">
        <v>1</v>
      </c>
      <c r="AB36" s="27">
        <f>AB8/AB13</f>
        <v>2.4470000799977622E-5</v>
      </c>
      <c r="AC36" s="27">
        <f>AC8/AC13</f>
        <v>2.4612895243425508E-5</v>
      </c>
      <c r="AD36" s="27">
        <f>AD8/AD13</f>
        <v>2.4654096063474278E-5</v>
      </c>
      <c r="AE36" s="27">
        <f>AE8/AE13</f>
        <v>2.4715424872192021E-5</v>
      </c>
      <c r="AF36" s="20"/>
      <c r="AG36" s="18" t="s">
        <v>1</v>
      </c>
      <c r="AH36" s="27">
        <f>AH8/AH13</f>
        <v>5.6056080076012044E-5</v>
      </c>
      <c r="AI36" s="27">
        <f>AI8/AI13</f>
        <v>5.5835455614003797E-5</v>
      </c>
      <c r="AJ36" s="27">
        <f>AJ8/AJ13</f>
        <v>5.5562587818254529E-5</v>
      </c>
      <c r="AK36" s="27">
        <f>AK8/AK13</f>
        <v>5.5291250919294744E-5</v>
      </c>
    </row>
    <row r="37" spans="2:37" x14ac:dyDescent="0.25">
      <c r="B37" s="18" t="s">
        <v>40</v>
      </c>
      <c r="C37" s="27">
        <f>C17 / C19</f>
        <v>8.0594920644793844E-2</v>
      </c>
      <c r="D37" s="27">
        <f t="shared" ref="D37:F37" si="87">D17 / D19</f>
        <v>7.8828299539635951E-2</v>
      </c>
      <c r="E37" s="27">
        <f t="shared" si="87"/>
        <v>7.7980506766863578E-2</v>
      </c>
      <c r="F37" s="27">
        <f t="shared" si="87"/>
        <v>7.7186394839650341E-2</v>
      </c>
      <c r="H37" s="18" t="s">
        <v>40</v>
      </c>
      <c r="I37" s="27">
        <f>I17 / I19</f>
        <v>6.7055231468985343E-2</v>
      </c>
      <c r="J37" s="27">
        <f t="shared" ref="J37:L37" si="88">J17 / J19</f>
        <v>6.6656889363668967E-2</v>
      </c>
      <c r="K37" s="27">
        <f t="shared" si="88"/>
        <v>6.652037153255351E-2</v>
      </c>
      <c r="L37" s="27">
        <f t="shared" si="88"/>
        <v>6.6400906086279632E-2</v>
      </c>
      <c r="N37" s="18" t="s">
        <v>40</v>
      </c>
      <c r="O37" s="27">
        <f>O17 / O19</f>
        <v>0.1272920842459592</v>
      </c>
      <c r="P37" s="27">
        <f t="shared" ref="P37:R37" si="89">P17 / P19</f>
        <v>0.12785213062115361</v>
      </c>
      <c r="Q37" s="27">
        <f t="shared" si="89"/>
        <v>0.12814394057082312</v>
      </c>
      <c r="R37" s="27">
        <f t="shared" si="89"/>
        <v>0.12849104404355863</v>
      </c>
      <c r="U37" s="18" t="s">
        <v>2</v>
      </c>
      <c r="V37" s="27">
        <f>V9/V13</f>
        <v>1.2046163549789633E-3</v>
      </c>
      <c r="W37" s="27">
        <f>W9/W13</f>
        <v>1.1766220434806399E-3</v>
      </c>
      <c r="X37" s="27">
        <f>X9/X13</f>
        <v>1.1711855031688431E-3</v>
      </c>
      <c r="Y37" s="27">
        <f>Y9/Y13</f>
        <v>1.1663500634349056E-3</v>
      </c>
      <c r="Z37" s="20"/>
      <c r="AA37" s="18" t="s">
        <v>2</v>
      </c>
      <c r="AB37" s="27">
        <f>AB9/AB13</f>
        <v>5.049680846136987E-4</v>
      </c>
      <c r="AC37" s="27">
        <f>AC9/AC13</f>
        <v>4.9802418637547117E-4</v>
      </c>
      <c r="AD37" s="27">
        <f>AD9/AD13</f>
        <v>4.9641757542491938E-4</v>
      </c>
      <c r="AE37" s="27">
        <f>AE9/AE13</f>
        <v>4.9469487719692312E-4</v>
      </c>
      <c r="AF37" s="20"/>
      <c r="AG37" s="18" t="s">
        <v>2</v>
      </c>
      <c r="AH37" s="27">
        <f>AH9/AH13</f>
        <v>1.4193131644777803E-3</v>
      </c>
      <c r="AI37" s="27">
        <f>AI9/AI13</f>
        <v>1.4176020287139306E-3</v>
      </c>
      <c r="AJ37" s="27">
        <f>AJ9/AJ13</f>
        <v>1.4207541776497133E-3</v>
      </c>
      <c r="AK37" s="27">
        <f>AK9/AK13</f>
        <v>1.4241609161271889E-3</v>
      </c>
    </row>
    <row r="38" spans="2:37" x14ac:dyDescent="0.25">
      <c r="B38" s="18" t="s">
        <v>6</v>
      </c>
      <c r="C38" s="27">
        <f>C18 / C19</f>
        <v>0.9194050793552061</v>
      </c>
      <c r="D38" s="27">
        <f t="shared" ref="D38:F38" si="90">D18 / D19</f>
        <v>0.92117170046036401</v>
      </c>
      <c r="E38" s="27">
        <f t="shared" si="90"/>
        <v>0.92201949323313637</v>
      </c>
      <c r="F38" s="27">
        <f t="shared" si="90"/>
        <v>0.92281360516034971</v>
      </c>
      <c r="H38" s="18" t="s">
        <v>6</v>
      </c>
      <c r="I38" s="27">
        <f>I18 / I19</f>
        <v>0.9329447685310146</v>
      </c>
      <c r="J38" s="27">
        <f t="shared" ref="J38:L38" si="91">J18 / J19</f>
        <v>0.93334311063633091</v>
      </c>
      <c r="K38" s="27">
        <f t="shared" si="91"/>
        <v>0.93347962846744648</v>
      </c>
      <c r="L38" s="27">
        <f t="shared" si="91"/>
        <v>0.93359909391372031</v>
      </c>
      <c r="N38" s="18" t="s">
        <v>6</v>
      </c>
      <c r="O38" s="27">
        <f>O18 / O19</f>
        <v>0.87270791575404083</v>
      </c>
      <c r="P38" s="27">
        <f t="shared" ref="P38:R38" si="92">P18 / P19</f>
        <v>0.87214786937884636</v>
      </c>
      <c r="Q38" s="27">
        <f t="shared" si="92"/>
        <v>0.87185605942917699</v>
      </c>
      <c r="R38" s="27">
        <f t="shared" si="92"/>
        <v>0.8715089559564414</v>
      </c>
      <c r="U38" s="18" t="s">
        <v>3</v>
      </c>
      <c r="V38" s="27">
        <f>V10/V13</f>
        <v>9.148285148762648E-4</v>
      </c>
      <c r="W38" s="27">
        <f>W10/W13</f>
        <v>1.1331450056218655E-3</v>
      </c>
      <c r="X38" s="27">
        <f>X10/X13</f>
        <v>1.2088112095395816E-3</v>
      </c>
      <c r="Y38" s="27">
        <f>Y10/Y13</f>
        <v>1.3071172990100344E-3</v>
      </c>
      <c r="Z38" s="20"/>
      <c r="AA38" s="18" t="s">
        <v>3</v>
      </c>
      <c r="AB38" s="27">
        <f>AB10/AB13</f>
        <v>4.5499681190787789E-6</v>
      </c>
      <c r="AC38" s="27">
        <f>AC10/AC13</f>
        <v>5.9723703427314112E-6</v>
      </c>
      <c r="AD38" s="27">
        <f>AD10/AD13</f>
        <v>6.5820742506586795E-6</v>
      </c>
      <c r="AE38" s="27">
        <f>AE10/AE13</f>
        <v>7.3970257173505044E-6</v>
      </c>
      <c r="AF38" s="20"/>
      <c r="AG38" s="18" t="s">
        <v>3</v>
      </c>
      <c r="AH38" s="27">
        <f>AH10/AH13</f>
        <v>1.9054568510944379E-4</v>
      </c>
      <c r="AI38" s="27">
        <f>AI10/AI13</f>
        <v>2.1766342204091574E-4</v>
      </c>
      <c r="AJ38" s="27">
        <f>AJ10/AJ13</f>
        <v>2.2394951630451748E-4</v>
      </c>
      <c r="AK38" s="27">
        <f>AK10/AK13</f>
        <v>2.3302420960015334E-4</v>
      </c>
    </row>
    <row r="39" spans="2:37" x14ac:dyDescent="0.25">
      <c r="B39" s="18"/>
      <c r="C39" s="28">
        <f>SUM(C37:C38)</f>
        <v>1</v>
      </c>
      <c r="D39" s="28">
        <f t="shared" ref="D39" si="93">SUM(D37:D38)</f>
        <v>1</v>
      </c>
      <c r="E39" s="28">
        <f t="shared" ref="E39" si="94">SUM(E37:E38)</f>
        <v>1</v>
      </c>
      <c r="F39" s="28">
        <f t="shared" ref="F39" si="95">SUM(F37:F38)</f>
        <v>1</v>
      </c>
      <c r="G39" s="20"/>
      <c r="H39" s="18"/>
      <c r="I39" s="28">
        <f>SUM(I37:I38)</f>
        <v>1</v>
      </c>
      <c r="J39" s="28">
        <f t="shared" ref="J39" si="96">SUM(J37:J38)</f>
        <v>0.99999999999999989</v>
      </c>
      <c r="K39" s="28">
        <f t="shared" ref="K39" si="97">SUM(K37:K38)</f>
        <v>1</v>
      </c>
      <c r="L39" s="28">
        <f t="shared" ref="L39" si="98">SUM(L37:L38)</f>
        <v>1</v>
      </c>
      <c r="M39" s="20"/>
      <c r="N39" s="18"/>
      <c r="O39" s="28">
        <f>SUM(O37:O38)</f>
        <v>1</v>
      </c>
      <c r="P39" s="28">
        <f t="shared" ref="P39" si="99">SUM(P37:P38)</f>
        <v>1</v>
      </c>
      <c r="Q39" s="28">
        <f t="shared" ref="Q39" si="100">SUM(Q37:Q38)</f>
        <v>1</v>
      </c>
      <c r="R39" s="28">
        <f t="shared" ref="R39" si="101">SUM(R37:R38)</f>
        <v>1</v>
      </c>
      <c r="U39" s="18" t="s">
        <v>4</v>
      </c>
      <c r="V39" s="27">
        <f>V11/V13</f>
        <v>1.3352210381261727E-2</v>
      </c>
      <c r="W39" s="27">
        <f>W11/W13</f>
        <v>1.2927595082992361E-2</v>
      </c>
      <c r="X39" s="27">
        <f>X11/X13</f>
        <v>1.2690468283054986E-2</v>
      </c>
      <c r="Y39" s="27">
        <f>Y11/Y13</f>
        <v>1.2486236610105591E-2</v>
      </c>
      <c r="Z39" s="20"/>
      <c r="AA39" s="18" t="s">
        <v>4</v>
      </c>
      <c r="AB39" s="27">
        <f>AB11/AB13</f>
        <v>4.0616406250293269E-3</v>
      </c>
      <c r="AC39" s="27">
        <f>AC11/AC13</f>
        <v>3.9932403703046258E-3</v>
      </c>
      <c r="AD39" s="27">
        <f>AD11/AD13</f>
        <v>3.9625404253663572E-3</v>
      </c>
      <c r="AE39" s="27">
        <f>AE11/AE13</f>
        <v>3.9312680219322892E-3</v>
      </c>
      <c r="AF39" s="20"/>
      <c r="AG39" s="18" t="s">
        <v>4</v>
      </c>
      <c r="AH39" s="27">
        <f>AH11/AH13</f>
        <v>6.2872783983127841E-3</v>
      </c>
      <c r="AI39" s="27">
        <f>AI11/AI13</f>
        <v>6.0448430843387082E-3</v>
      </c>
      <c r="AJ39" s="27">
        <f>AJ11/AJ13</f>
        <v>5.9337278043700495E-3</v>
      </c>
      <c r="AK39" s="27">
        <f>AK11/AK13</f>
        <v>5.8302316395683678E-3</v>
      </c>
    </row>
    <row r="40" spans="2:37" x14ac:dyDescent="0.25">
      <c r="U40" s="18" t="s">
        <v>5</v>
      </c>
      <c r="V40" s="27">
        <f>V12/V13</f>
        <v>9.0628782155425004E-3</v>
      </c>
      <c r="W40" s="27">
        <f>W12/W13</f>
        <v>8.3532510016236742E-3</v>
      </c>
      <c r="X40" s="27">
        <f>X12/X13</f>
        <v>8.03285285931956E-3</v>
      </c>
      <c r="Y40" s="27">
        <f>Y12/Y13</f>
        <v>7.708447570480211E-3</v>
      </c>
      <c r="Z40" s="20"/>
      <c r="AA40" s="18" t="s">
        <v>5</v>
      </c>
      <c r="AB40" s="27">
        <f>AB12/AB13</f>
        <v>5.6200562693691023E-4</v>
      </c>
      <c r="AC40" s="27">
        <f>AC12/AC13</f>
        <v>5.487514812372202E-4</v>
      </c>
      <c r="AD40" s="27">
        <f>AD12/AD13</f>
        <v>5.4276404660111971E-4</v>
      </c>
      <c r="AE40" s="27">
        <f>AE12/AE13</f>
        <v>5.3993994628291099E-4</v>
      </c>
      <c r="AF40" s="20"/>
      <c r="AG40" s="18" t="s">
        <v>5</v>
      </c>
      <c r="AH40" s="27">
        <f>AH12/AH13</f>
        <v>2.5986146579918068E-3</v>
      </c>
      <c r="AI40" s="27">
        <f>AI12/AI13</f>
        <v>2.3334294009971098E-3</v>
      </c>
      <c r="AJ40" s="27">
        <f>AJ12/AJ13</f>
        <v>2.2174375440502151E-3</v>
      </c>
      <c r="AK40" s="27">
        <f>AK12/AK13</f>
        <v>2.1097922313771363E-3</v>
      </c>
    </row>
    <row r="41" spans="2:37" x14ac:dyDescent="0.25">
      <c r="U41" s="18" t="s">
        <v>8</v>
      </c>
      <c r="V41" s="28">
        <f>SUM(V32:V40)</f>
        <v>0.99999999999999989</v>
      </c>
      <c r="W41" s="28">
        <f t="shared" ref="W41" si="102">SUM(W32:W40)</f>
        <v>1.0000000000000002</v>
      </c>
      <c r="X41" s="28">
        <f t="shared" ref="X41" si="103">SUM(X32:X40)</f>
        <v>1</v>
      </c>
      <c r="Y41" s="28">
        <f t="shared" ref="Y41" si="104">SUM(Y32:Y40)</f>
        <v>1.0000000000000002</v>
      </c>
      <c r="Z41" s="20"/>
      <c r="AA41" s="18" t="s">
        <v>8</v>
      </c>
      <c r="AB41" s="28">
        <f>SUM(AB32:AB40)</f>
        <v>0.99999999999999978</v>
      </c>
      <c r="AC41" s="28">
        <f t="shared" ref="AC41" si="105">SUM(AC32:AC40)</f>
        <v>0.99999999999999989</v>
      </c>
      <c r="AD41" s="28">
        <f t="shared" ref="AD41" si="106">SUM(AD32:AD40)</f>
        <v>1</v>
      </c>
      <c r="AE41" s="28">
        <f t="shared" ref="AE41" si="107">SUM(AE32:AE40)</f>
        <v>1.0000000000000002</v>
      </c>
      <c r="AF41" s="20"/>
      <c r="AG41" s="18" t="s">
        <v>8</v>
      </c>
      <c r="AH41" s="28">
        <f>SUM(AH32:AH40)</f>
        <v>1</v>
      </c>
      <c r="AI41" s="28">
        <f t="shared" ref="AI41" si="108">SUM(AI32:AI40)</f>
        <v>1</v>
      </c>
      <c r="AJ41" s="28">
        <f t="shared" ref="AJ41" si="109">SUM(AJ32:AJ40)</f>
        <v>1.0000000000000002</v>
      </c>
      <c r="AK41" s="28">
        <f t="shared" ref="AK41" si="110">SUM(AK32:AK40)</f>
        <v>0.99999999999999978</v>
      </c>
    </row>
    <row r="42" spans="2:37" x14ac:dyDescent="0.25">
      <c r="B42" s="19">
        <v>2019</v>
      </c>
      <c r="C42" s="39" t="s">
        <v>11</v>
      </c>
      <c r="D42" s="39"/>
      <c r="E42" s="39"/>
      <c r="F42" s="39"/>
      <c r="G42" s="20"/>
      <c r="H42" s="19">
        <v>2019</v>
      </c>
      <c r="I42" s="39" t="s">
        <v>11</v>
      </c>
      <c r="J42" s="39"/>
      <c r="K42" s="39"/>
      <c r="L42" s="39"/>
      <c r="M42" s="20"/>
      <c r="N42" s="19">
        <v>2019</v>
      </c>
      <c r="O42" s="39" t="s">
        <v>11</v>
      </c>
      <c r="P42" s="39"/>
      <c r="Q42" s="39"/>
      <c r="R42" s="39"/>
    </row>
    <row r="43" spans="2:37" x14ac:dyDescent="0.25">
      <c r="B43" s="21" t="s">
        <v>16</v>
      </c>
      <c r="C43" s="22" t="s">
        <v>12</v>
      </c>
      <c r="D43" s="22" t="s">
        <v>13</v>
      </c>
      <c r="E43" s="22" t="s">
        <v>14</v>
      </c>
      <c r="F43" s="22" t="s">
        <v>15</v>
      </c>
      <c r="G43" s="20"/>
      <c r="H43" s="21" t="s">
        <v>19</v>
      </c>
      <c r="I43" s="22" t="s">
        <v>12</v>
      </c>
      <c r="J43" s="22" t="s">
        <v>13</v>
      </c>
      <c r="K43" s="22" t="s">
        <v>14</v>
      </c>
      <c r="L43" s="22" t="s">
        <v>15</v>
      </c>
      <c r="M43" s="20"/>
      <c r="N43" s="21" t="s">
        <v>8</v>
      </c>
      <c r="O43" s="22" t="s">
        <v>12</v>
      </c>
      <c r="P43" s="22" t="s">
        <v>13</v>
      </c>
      <c r="Q43" s="22" t="s">
        <v>14</v>
      </c>
      <c r="R43" s="22" t="s">
        <v>15</v>
      </c>
    </row>
    <row r="44" spans="2:37" x14ac:dyDescent="0.25">
      <c r="B44" s="18" t="s">
        <v>7</v>
      </c>
      <c r="C44" s="18"/>
      <c r="D44" s="27">
        <f t="shared" ref="D44:D51" si="111">D4/C4 - 1</f>
        <v>-0.1260331838018296</v>
      </c>
      <c r="E44" s="27">
        <f t="shared" ref="E44:E51" si="112">E4/C4 - 1</f>
        <v>-0.1781994781338565</v>
      </c>
      <c r="F44" s="27">
        <f t="shared" ref="F44:F51" si="113">F4/C4 - 1</f>
        <v>-0.22939997346443342</v>
      </c>
      <c r="G44" s="20"/>
      <c r="H44" s="18" t="s">
        <v>7</v>
      </c>
      <c r="I44" s="18"/>
      <c r="J44" s="27">
        <f t="shared" ref="J44:J51" si="114">J4/I4 - 1</f>
        <v>-2.4220004666932082E-2</v>
      </c>
      <c r="K44" s="27">
        <f t="shared" ref="K44:K51" si="115">K4/I4 - 1</f>
        <v>-3.5729482656856937E-2</v>
      </c>
      <c r="L44" s="27">
        <f t="shared" ref="L44:L51" si="116">L4/I4 - 1</f>
        <v>-4.6902667014398824E-2</v>
      </c>
      <c r="M44" s="20"/>
      <c r="N44" s="18" t="s">
        <v>7</v>
      </c>
      <c r="O44" s="18"/>
      <c r="P44" s="27">
        <f t="shared" ref="P44:P51" si="117">P4/O4 - 1</f>
        <v>-1.6854386643497588E-2</v>
      </c>
      <c r="Q44" s="27">
        <f t="shared" ref="Q44:Q51" si="118">Q4/O4 - 1</f>
        <v>-2.4064912047754627E-2</v>
      </c>
      <c r="R44" s="27">
        <f t="shared" ref="R44:R51" si="119">R4/O4 - 1</f>
        <v>-3.0977163783033834E-2</v>
      </c>
      <c r="U44" s="19">
        <v>2050</v>
      </c>
      <c r="V44" s="39" t="s">
        <v>11</v>
      </c>
      <c r="W44" s="39"/>
      <c r="X44" s="39"/>
      <c r="Y44" s="39"/>
      <c r="AA44" s="19">
        <v>2050</v>
      </c>
      <c r="AB44" s="39" t="s">
        <v>11</v>
      </c>
      <c r="AC44" s="39"/>
      <c r="AD44" s="39"/>
      <c r="AE44" s="39"/>
      <c r="AG44" s="19">
        <v>2050</v>
      </c>
      <c r="AH44" s="39" t="s">
        <v>11</v>
      </c>
      <c r="AI44" s="39"/>
      <c r="AJ44" s="39"/>
      <c r="AK44" s="39"/>
    </row>
    <row r="45" spans="2:37" x14ac:dyDescent="0.25">
      <c r="B45" s="18" t="s">
        <v>0</v>
      </c>
      <c r="C45" s="18"/>
      <c r="D45" s="27">
        <f t="shared" si="111"/>
        <v>-0.12460187297965386</v>
      </c>
      <c r="E45" s="27">
        <f t="shared" si="112"/>
        <v>-0.17923440768206877</v>
      </c>
      <c r="F45" s="27">
        <f t="shared" si="113"/>
        <v>-0.2334569309754706</v>
      </c>
      <c r="G45" s="20"/>
      <c r="H45" s="18" t="s">
        <v>0</v>
      </c>
      <c r="I45" s="18"/>
      <c r="J45" s="27">
        <f t="shared" si="114"/>
        <v>-2.1676549976873738E-2</v>
      </c>
      <c r="K45" s="27">
        <f t="shared" si="115"/>
        <v>-3.3044082554979592E-2</v>
      </c>
      <c r="L45" s="27">
        <f t="shared" si="116"/>
        <v>-4.3965197861799421E-2</v>
      </c>
      <c r="M45" s="20"/>
      <c r="N45" s="18" t="s">
        <v>0</v>
      </c>
      <c r="O45" s="18"/>
      <c r="P45" s="27">
        <f t="shared" si="117"/>
        <v>-4.9043166624549217E-2</v>
      </c>
      <c r="Q45" s="27">
        <f t="shared" si="118"/>
        <v>-7.0415125548484836E-2</v>
      </c>
      <c r="R45" s="27">
        <f t="shared" si="119"/>
        <v>-9.1881274552597092E-2</v>
      </c>
      <c r="U45" s="21" t="s">
        <v>16</v>
      </c>
      <c r="V45" s="22" t="s">
        <v>12</v>
      </c>
      <c r="W45" s="22" t="s">
        <v>13</v>
      </c>
      <c r="X45" s="22" t="s">
        <v>14</v>
      </c>
      <c r="Y45" s="22" t="s">
        <v>15</v>
      </c>
      <c r="AA45" s="21" t="s">
        <v>19</v>
      </c>
      <c r="AB45" s="22" t="s">
        <v>12</v>
      </c>
      <c r="AC45" s="22" t="s">
        <v>13</v>
      </c>
      <c r="AD45" s="22" t="s">
        <v>14</v>
      </c>
      <c r="AE45" s="22" t="s">
        <v>15</v>
      </c>
      <c r="AG45" s="21" t="s">
        <v>8</v>
      </c>
      <c r="AH45" s="22" t="s">
        <v>12</v>
      </c>
      <c r="AI45" s="22" t="s">
        <v>13</v>
      </c>
      <c r="AJ45" s="22" t="s">
        <v>14</v>
      </c>
      <c r="AK45" s="22" t="s">
        <v>15</v>
      </c>
    </row>
    <row r="46" spans="2:37" x14ac:dyDescent="0.25">
      <c r="B46" s="18" t="s">
        <v>1</v>
      </c>
      <c r="C46" s="18"/>
      <c r="D46" s="27">
        <f t="shared" si="111"/>
        <v>-8.1553204232381771E-2</v>
      </c>
      <c r="E46" s="27">
        <f t="shared" si="112"/>
        <v>-0.12432621281692968</v>
      </c>
      <c r="F46" s="27">
        <f t="shared" si="113"/>
        <v>-0.16764823318027555</v>
      </c>
      <c r="G46" s="20"/>
      <c r="H46" s="18" t="s">
        <v>1</v>
      </c>
      <c r="I46" s="18"/>
      <c r="J46" s="27">
        <f t="shared" si="114"/>
        <v>-1.3486176668914274E-2</v>
      </c>
      <c r="K46" s="27">
        <f t="shared" si="115"/>
        <v>-2.1915037086985834E-2</v>
      </c>
      <c r="L46" s="27">
        <f t="shared" si="116"/>
        <v>-2.9501011463250126E-2</v>
      </c>
      <c r="M46" s="20"/>
      <c r="N46" s="18" t="s">
        <v>1</v>
      </c>
      <c r="O46" s="18"/>
      <c r="P46" s="27">
        <f t="shared" si="117"/>
        <v>-2.9917879805897662E-2</v>
      </c>
      <c r="Q46" s="27">
        <f t="shared" si="118"/>
        <v>-4.6099290780141744E-2</v>
      </c>
      <c r="R46" s="27">
        <f t="shared" si="119"/>
        <v>-6.2056737588652378E-2</v>
      </c>
      <c r="U46" s="18" t="s">
        <v>7</v>
      </c>
      <c r="V46" s="27">
        <f>V18/V27</f>
        <v>4.8742994223195994E-2</v>
      </c>
      <c r="W46" s="27">
        <f>W18/W27</f>
        <v>4.7992135512022832E-2</v>
      </c>
      <c r="X46" s="27">
        <f>X18/X27</f>
        <v>4.7710888281180447E-2</v>
      </c>
      <c r="Y46" s="27">
        <f>Y18/Y27</f>
        <v>4.7429961646315563E-2</v>
      </c>
      <c r="AA46" s="18" t="s">
        <v>7</v>
      </c>
      <c r="AB46" s="27">
        <f>AB18/AB27</f>
        <v>5.797114925770569E-2</v>
      </c>
      <c r="AC46" s="27">
        <f>AC18/AC27</f>
        <v>5.7530708323169304E-2</v>
      </c>
      <c r="AD46" s="27">
        <f>AD18/AD27</f>
        <v>5.736546867995921E-2</v>
      </c>
      <c r="AE46" s="27">
        <f>AE18/AE27</f>
        <v>5.7217065677053341E-2</v>
      </c>
      <c r="AG46" s="18" t="s">
        <v>7</v>
      </c>
      <c r="AH46" s="27">
        <f>AH18/AH27</f>
        <v>0.10244481475161316</v>
      </c>
      <c r="AI46" s="27">
        <f>AI18/AI27</f>
        <v>0.10323119861535208</v>
      </c>
      <c r="AJ46" s="27">
        <f>AJ18/AJ27</f>
        <v>0.10363577720764341</v>
      </c>
      <c r="AK46" s="27">
        <f>AK18/AK27</f>
        <v>0.1040632998176438</v>
      </c>
    </row>
    <row r="47" spans="2:37" x14ac:dyDescent="0.25">
      <c r="B47" s="18" t="s">
        <v>2</v>
      </c>
      <c r="C47" s="18"/>
      <c r="D47" s="27">
        <f t="shared" si="111"/>
        <v>-0.13330436952884506</v>
      </c>
      <c r="E47" s="27">
        <f t="shared" si="112"/>
        <v>-0.18384466773278119</v>
      </c>
      <c r="F47" s="27">
        <f t="shared" si="113"/>
        <v>-0.23332655457058071</v>
      </c>
      <c r="G47" s="20"/>
      <c r="H47" s="18" t="s">
        <v>2</v>
      </c>
      <c r="I47" s="18"/>
      <c r="J47" s="27">
        <f t="shared" si="114"/>
        <v>-3.2700508111817461E-2</v>
      </c>
      <c r="K47" s="27">
        <f t="shared" si="115"/>
        <v>-4.5656542552322543E-2</v>
      </c>
      <c r="L47" s="27">
        <f t="shared" si="116"/>
        <v>-5.8686097995327424E-2</v>
      </c>
      <c r="M47" s="20"/>
      <c r="N47" s="18" t="s">
        <v>2</v>
      </c>
      <c r="O47" s="18"/>
      <c r="P47" s="27">
        <f t="shared" si="117"/>
        <v>-2.7258922911353345E-2</v>
      </c>
      <c r="Q47" s="27">
        <f t="shared" si="118"/>
        <v>-3.664990933349066E-2</v>
      </c>
      <c r="R47" s="27">
        <f t="shared" si="119"/>
        <v>-4.5834500449646987E-2</v>
      </c>
      <c r="U47" s="18" t="s">
        <v>6</v>
      </c>
      <c r="V47" s="27">
        <f>V19/V27</f>
        <v>0.90398045588423293</v>
      </c>
      <c r="W47" s="27">
        <f>W19/W27</f>
        <v>0.90559735963292953</v>
      </c>
      <c r="X47" s="27">
        <f>X19/X27</f>
        <v>0.90651278544573854</v>
      </c>
      <c r="Y47" s="27">
        <f>Y19/Y27</f>
        <v>0.90728640483705003</v>
      </c>
      <c r="AA47" s="18" t="s">
        <v>6</v>
      </c>
      <c r="AB47" s="27">
        <f>AB19/AB27</f>
        <v>0.93365433683894139</v>
      </c>
      <c r="AC47" s="27">
        <f>AC19/AC27</f>
        <v>0.93418468217566952</v>
      </c>
      <c r="AD47" s="27">
        <f>AD19/AD27</f>
        <v>0.93438634677876853</v>
      </c>
      <c r="AE47" s="27">
        <f>AE19/AE27</f>
        <v>0.93457267431524371</v>
      </c>
      <c r="AG47" s="18" t="s">
        <v>6</v>
      </c>
      <c r="AH47" s="27">
        <f>AH19/AH27</f>
        <v>0.84856211465299725</v>
      </c>
      <c r="AI47" s="27">
        <f>AI19/AI27</f>
        <v>0.84757139084540467</v>
      </c>
      <c r="AJ47" s="27">
        <f>AJ19/AJ27</f>
        <v>0.84710329593982669</v>
      </c>
      <c r="AK47" s="27">
        <f>AK19/AK27</f>
        <v>0.84656569570153706</v>
      </c>
    </row>
    <row r="48" spans="2:37" x14ac:dyDescent="0.25">
      <c r="B48" s="18" t="s">
        <v>3</v>
      </c>
      <c r="C48" s="18"/>
      <c r="D48" s="27">
        <f t="shared" si="111"/>
        <v>9.9067024520275382E-2</v>
      </c>
      <c r="E48" s="27">
        <f t="shared" si="112"/>
        <v>0.1092122960447437</v>
      </c>
      <c r="F48" s="27">
        <f t="shared" si="113"/>
        <v>0.13137122443142046</v>
      </c>
      <c r="G48" s="20"/>
      <c r="H48" s="18" t="s">
        <v>3</v>
      </c>
      <c r="I48" s="18"/>
      <c r="J48" s="27">
        <f t="shared" si="114"/>
        <v>0.28739800543970984</v>
      </c>
      <c r="K48" s="27">
        <f t="shared" si="115"/>
        <v>0.40435176790571181</v>
      </c>
      <c r="L48" s="27">
        <f t="shared" si="116"/>
        <v>0.56210335448776072</v>
      </c>
      <c r="M48" s="20"/>
      <c r="N48" s="18" t="s">
        <v>3</v>
      </c>
      <c r="O48" s="18"/>
      <c r="P48" s="27">
        <f t="shared" si="117"/>
        <v>0.11251914851561251</v>
      </c>
      <c r="Q48" s="27">
        <f t="shared" si="118"/>
        <v>0.13108291375892933</v>
      </c>
      <c r="R48" s="27">
        <f t="shared" si="119"/>
        <v>0.16290651131890033</v>
      </c>
      <c r="U48" s="18" t="s">
        <v>21</v>
      </c>
      <c r="V48" s="27">
        <f>V20/V27</f>
        <v>0</v>
      </c>
      <c r="W48" s="27">
        <f>W20/W27</f>
        <v>0</v>
      </c>
      <c r="X48" s="27">
        <f>X20/X27</f>
        <v>0</v>
      </c>
      <c r="Y48" s="27">
        <f>Y20/Y27</f>
        <v>0</v>
      </c>
      <c r="AA48" s="18" t="s">
        <v>21</v>
      </c>
      <c r="AB48" s="27">
        <f>AB20/AB27</f>
        <v>0</v>
      </c>
      <c r="AC48" s="27">
        <f>AC20/AC27</f>
        <v>0</v>
      </c>
      <c r="AD48" s="27">
        <f>AD20/AD27</f>
        <v>0</v>
      </c>
      <c r="AE48" s="27">
        <f>AE20/AE27</f>
        <v>0</v>
      </c>
      <c r="AG48" s="18" t="s">
        <v>21</v>
      </c>
      <c r="AH48" s="27">
        <f>AH20/AH27</f>
        <v>2.6801663315268703E-2</v>
      </c>
      <c r="AI48" s="27">
        <f>AI20/AI27</f>
        <v>2.7730566653530048E-2</v>
      </c>
      <c r="AJ48" s="27">
        <f>AJ20/AJ27</f>
        <v>2.8151210534538621E-2</v>
      </c>
      <c r="AK48" s="27">
        <f>AK20/AK27</f>
        <v>2.8584546835364145E-2</v>
      </c>
    </row>
    <row r="49" spans="2:37" x14ac:dyDescent="0.25">
      <c r="B49" s="18" t="s">
        <v>4</v>
      </c>
      <c r="C49" s="18"/>
      <c r="D49" s="27">
        <f t="shared" si="111"/>
        <v>-0.14090150946543234</v>
      </c>
      <c r="E49" s="27">
        <f t="shared" si="112"/>
        <v>-0.20215161371028267</v>
      </c>
      <c r="F49" s="27">
        <f t="shared" si="113"/>
        <v>-0.25952797931782168</v>
      </c>
      <c r="G49" s="20"/>
      <c r="H49" s="18" t="s">
        <v>4</v>
      </c>
      <c r="I49" s="18"/>
      <c r="J49" s="27">
        <f t="shared" si="114"/>
        <v>-3.5730535638114347E-2</v>
      </c>
      <c r="K49" s="27">
        <f t="shared" si="115"/>
        <v>-5.2904673884341169E-2</v>
      </c>
      <c r="L49" s="27">
        <f t="shared" si="116"/>
        <v>-6.998029696735808E-2</v>
      </c>
      <c r="M49" s="20"/>
      <c r="N49" s="18" t="s">
        <v>4</v>
      </c>
      <c r="O49" s="18"/>
      <c r="P49" s="27">
        <f t="shared" si="117"/>
        <v>-6.3638602493360619E-2</v>
      </c>
      <c r="Q49" s="27">
        <f t="shared" si="118"/>
        <v>-9.1743821511059087E-2</v>
      </c>
      <c r="R49" s="27">
        <f t="shared" si="119"/>
        <v>-0.11820832140789006</v>
      </c>
      <c r="U49" s="18" t="s">
        <v>0</v>
      </c>
      <c r="V49" s="27">
        <f>V21/V27</f>
        <v>4.0952534417983168E-3</v>
      </c>
      <c r="W49" s="27">
        <f>W21/W27</f>
        <v>4.0591902104714691E-3</v>
      </c>
      <c r="X49" s="27">
        <f>X21/X27</f>
        <v>4.0324535322083053E-3</v>
      </c>
      <c r="Y49" s="27">
        <f>Y21/Y27</f>
        <v>4.0071254857250568E-3</v>
      </c>
      <c r="AA49" s="18" t="s">
        <v>0</v>
      </c>
      <c r="AB49" s="27">
        <f>AB21/AB27</f>
        <v>8.6519271177995071E-4</v>
      </c>
      <c r="AC49" s="27">
        <f>AC21/AC27</f>
        <v>8.6270334753931507E-4</v>
      </c>
      <c r="AD49" s="27">
        <f>AD21/AD27</f>
        <v>8.6155789148858672E-4</v>
      </c>
      <c r="AE49" s="27">
        <f>AE21/AE27</f>
        <v>8.625996256431931E-4</v>
      </c>
      <c r="AG49" s="18" t="s">
        <v>0</v>
      </c>
      <c r="AH49" s="27">
        <f>AH21/AH27</f>
        <v>2.3218167863496438E-3</v>
      </c>
      <c r="AI49" s="27">
        <f>AI21/AI27</f>
        <v>2.2824874819908588E-3</v>
      </c>
      <c r="AJ49" s="27">
        <f>AJ21/AJ27</f>
        <v>2.2630559585206339E-3</v>
      </c>
      <c r="AK49" s="27">
        <f>AK21/AK27</f>
        <v>2.2468667276400963E-3</v>
      </c>
    </row>
    <row r="50" spans="2:37" x14ac:dyDescent="0.25">
      <c r="B50" s="18" t="s">
        <v>5</v>
      </c>
      <c r="C50" s="18"/>
      <c r="D50" s="27">
        <f t="shared" si="111"/>
        <v>-0.18216108957543653</v>
      </c>
      <c r="E50" s="27">
        <f t="shared" si="112"/>
        <v>-0.25595439215132176</v>
      </c>
      <c r="F50" s="27">
        <f t="shared" si="113"/>
        <v>-0.32651017637410229</v>
      </c>
      <c r="G50" s="20"/>
      <c r="H50" s="18" t="s">
        <v>5</v>
      </c>
      <c r="I50" s="18"/>
      <c r="J50" s="27">
        <f t="shared" si="114"/>
        <v>-4.2344081443911885E-2</v>
      </c>
      <c r="K50" s="27">
        <f t="shared" si="115"/>
        <v>-6.2455501647815326E-2</v>
      </c>
      <c r="L50" s="27">
        <f t="shared" si="116"/>
        <v>-7.6863792837692069E-2</v>
      </c>
      <c r="M50" s="20"/>
      <c r="N50" s="18" t="s">
        <v>5</v>
      </c>
      <c r="O50" s="18"/>
      <c r="P50" s="27">
        <f t="shared" si="117"/>
        <v>-0.12547154998530496</v>
      </c>
      <c r="Q50" s="27">
        <f t="shared" si="118"/>
        <v>-0.17879242943357632</v>
      </c>
      <c r="R50" s="27">
        <f t="shared" si="119"/>
        <v>-0.22795843515860581</v>
      </c>
      <c r="U50" s="18" t="s">
        <v>1</v>
      </c>
      <c r="V50" s="27">
        <f>V22/V27</f>
        <v>8.5621135887319292E-3</v>
      </c>
      <c r="W50" s="27">
        <f>W22/W27</f>
        <v>8.5853268510269077E-3</v>
      </c>
      <c r="X50" s="27">
        <f>X22/X27</f>
        <v>8.5585628565706499E-3</v>
      </c>
      <c r="Y50" s="27">
        <f>Y22/Y27</f>
        <v>8.5316564543407129E-3</v>
      </c>
      <c r="AA50" s="18" t="s">
        <v>1</v>
      </c>
      <c r="AB50" s="27">
        <f>AB22/AB27</f>
        <v>1.9347187032852881E-3</v>
      </c>
      <c r="AC50" s="27">
        <f>AC22/AC27</f>
        <v>1.9334133782756286E-3</v>
      </c>
      <c r="AD50" s="27">
        <f>AD22/AD27</f>
        <v>1.9299208360563289E-3</v>
      </c>
      <c r="AE50" s="27">
        <f>AE22/AE27</f>
        <v>1.9268714217660508E-3</v>
      </c>
      <c r="AG50" s="18" t="s">
        <v>1</v>
      </c>
      <c r="AH50" s="27">
        <f>AH22/AH27</f>
        <v>4.5990485799349565E-3</v>
      </c>
      <c r="AI50" s="27">
        <f>AI22/AI27</f>
        <v>4.5288577267395096E-3</v>
      </c>
      <c r="AJ50" s="27">
        <f>AJ22/AJ27</f>
        <v>4.490637163936888E-3</v>
      </c>
      <c r="AK50" s="27">
        <f>AK22/AK27</f>
        <v>4.4499864730294797E-3</v>
      </c>
    </row>
    <row r="51" spans="2:37" x14ac:dyDescent="0.25">
      <c r="B51" s="18"/>
      <c r="C51" s="18"/>
      <c r="D51" s="31">
        <f t="shared" si="111"/>
        <v>-0.13213361333339702</v>
      </c>
      <c r="E51" s="31">
        <f t="shared" si="112"/>
        <v>-0.18777889390027203</v>
      </c>
      <c r="F51" s="31">
        <f t="shared" si="113"/>
        <v>-0.24166108317581092</v>
      </c>
      <c r="G51" s="20"/>
      <c r="H51" s="18"/>
      <c r="I51" s="18"/>
      <c r="J51" s="31">
        <f t="shared" si="114"/>
        <v>-2.5039923457202184E-2</v>
      </c>
      <c r="K51" s="31">
        <f t="shared" si="115"/>
        <v>-3.6961871506601685E-2</v>
      </c>
      <c r="L51" s="31">
        <f t="shared" si="116"/>
        <v>-4.8514159624067799E-2</v>
      </c>
      <c r="M51" s="20"/>
      <c r="N51" s="18"/>
      <c r="O51" s="18"/>
      <c r="P51" s="31">
        <f t="shared" si="117"/>
        <v>-2.2618565263557433E-2</v>
      </c>
      <c r="Q51" s="31">
        <f t="shared" si="118"/>
        <v>-3.2367621737055097E-2</v>
      </c>
      <c r="R51" s="31">
        <f t="shared" si="119"/>
        <v>-4.1664899960859314E-2</v>
      </c>
      <c r="U51" s="18" t="s">
        <v>2</v>
      </c>
      <c r="V51" s="27">
        <f>V23/V27</f>
        <v>2.890428483862173E-3</v>
      </c>
      <c r="W51" s="27">
        <f>W23/W27</f>
        <v>2.8852493262468441E-3</v>
      </c>
      <c r="X51" s="27">
        <f>X23/X27</f>
        <v>2.8775796978765611E-3</v>
      </c>
      <c r="Y51" s="27">
        <f>Y23/Y27</f>
        <v>2.879429550481281E-3</v>
      </c>
      <c r="AA51" s="18" t="s">
        <v>2</v>
      </c>
      <c r="AB51" s="27">
        <f>AB23/AB27</f>
        <v>8.9690928217201805E-4</v>
      </c>
      <c r="AC51" s="27">
        <f>AC23/AC27</f>
        <v>8.9433902743961879E-4</v>
      </c>
      <c r="AD51" s="27">
        <f>AD23/AD27</f>
        <v>8.9349599143071835E-4</v>
      </c>
      <c r="AE51" s="27">
        <f>AE23/AE27</f>
        <v>8.9344856252258572E-4</v>
      </c>
      <c r="AG51" s="18" t="s">
        <v>2</v>
      </c>
      <c r="AH51" s="27">
        <f>AH23/AH27</f>
        <v>2.3708439565179595E-3</v>
      </c>
      <c r="AI51" s="27">
        <f>AI23/AI27</f>
        <v>2.3710709593264068E-3</v>
      </c>
      <c r="AJ51" s="27">
        <f>AJ23/AJ27</f>
        <v>2.3682458357634838E-3</v>
      </c>
      <c r="AK51" s="27">
        <f>AK23/AK27</f>
        <v>2.3674209859088874E-3</v>
      </c>
    </row>
    <row r="52" spans="2:37" x14ac:dyDescent="0.25">
      <c r="B52" s="18"/>
      <c r="C52" s="18"/>
      <c r="D52" s="26"/>
      <c r="E52" s="26"/>
      <c r="F52" s="26"/>
      <c r="H52" s="18"/>
      <c r="I52" s="18"/>
      <c r="J52" s="26"/>
      <c r="K52" s="26"/>
      <c r="L52" s="26"/>
      <c r="N52" s="18"/>
      <c r="O52" s="18"/>
      <c r="P52" s="26"/>
      <c r="Q52" s="26"/>
      <c r="R52" s="26"/>
      <c r="U52" s="18" t="s">
        <v>3</v>
      </c>
      <c r="V52" s="27">
        <f>V24/V27</f>
        <v>7.6064842894015591E-4</v>
      </c>
      <c r="W52" s="27">
        <f>W24/W27</f>
        <v>1.1569639015272435E-3</v>
      </c>
      <c r="X52" s="27">
        <f>X24/X27</f>
        <v>1.3603872079755884E-3</v>
      </c>
      <c r="Y52" s="27">
        <f>Y24/Y27</f>
        <v>1.598636419109536E-3</v>
      </c>
      <c r="AA52" s="18" t="s">
        <v>3</v>
      </c>
      <c r="AB52" s="27">
        <f>AB24/AB27</f>
        <v>3.0846539782808715E-6</v>
      </c>
      <c r="AC52" s="27">
        <f>AC24/AC27</f>
        <v>5.9645231456418763E-6</v>
      </c>
      <c r="AD52" s="27">
        <f>AD24/AD27</f>
        <v>7.4438706414673391E-6</v>
      </c>
      <c r="AE52" s="27">
        <f>AE24/AE27</f>
        <v>9.221628631446987E-6</v>
      </c>
      <c r="AG52" s="18" t="s">
        <v>3</v>
      </c>
      <c r="AH52" s="27">
        <f>AH24/AH27</f>
        <v>1.7078764702625995E-4</v>
      </c>
      <c r="AI52" s="27">
        <f>AI24/AI27</f>
        <v>2.364509827578676E-4</v>
      </c>
      <c r="AJ52" s="27">
        <f>AJ24/AJ27</f>
        <v>2.6627095576672286E-4</v>
      </c>
      <c r="AK52" s="27">
        <f>AK24/AK27</f>
        <v>3.0520080225374932E-4</v>
      </c>
    </row>
    <row r="53" spans="2:37" x14ac:dyDescent="0.25">
      <c r="B53" s="18" t="s">
        <v>7</v>
      </c>
      <c r="C53" s="18"/>
      <c r="D53" s="27">
        <f t="shared" ref="D53:D55" si="120">D13/C13 - 1</f>
        <v>-0.1260331838018296</v>
      </c>
      <c r="E53" s="27">
        <f t="shared" ref="E53:E55" si="121">E13/C13 - 1</f>
        <v>-0.1781994781338565</v>
      </c>
      <c r="F53" s="27">
        <f t="shared" ref="F53:F55" si="122">F13/C13 - 1</f>
        <v>-0.22939997346443342</v>
      </c>
      <c r="G53" s="20"/>
      <c r="H53" s="18" t="s">
        <v>7</v>
      </c>
      <c r="I53" s="18"/>
      <c r="J53" s="27">
        <f t="shared" ref="J53:J55" si="123">J13/I13 - 1</f>
        <v>-2.4220004666932082E-2</v>
      </c>
      <c r="K53" s="27">
        <f t="shared" ref="K53:K55" si="124">K13/I13 - 1</f>
        <v>-3.5729482656856937E-2</v>
      </c>
      <c r="L53" s="27">
        <f t="shared" ref="L53:L55" si="125">L13/I13 - 1</f>
        <v>-4.6902667014398824E-2</v>
      </c>
      <c r="M53" s="20"/>
      <c r="N53" s="18" t="s">
        <v>7</v>
      </c>
      <c r="O53" s="18"/>
      <c r="P53" s="27">
        <f t="shared" ref="P53:P55" si="126">P13/O13 - 1</f>
        <v>-1.6854386643497588E-2</v>
      </c>
      <c r="Q53" s="27">
        <f t="shared" ref="Q53:Q55" si="127">Q13/O13 - 1</f>
        <v>-2.4064912047754627E-2</v>
      </c>
      <c r="R53" s="27">
        <f t="shared" ref="R53:R55" si="128">R13/O13 - 1</f>
        <v>-3.0977163783033834E-2</v>
      </c>
      <c r="U53" s="18" t="s">
        <v>4</v>
      </c>
      <c r="V53" s="27">
        <f>V25/V27</f>
        <v>1.6280313727322034E-2</v>
      </c>
      <c r="W53" s="27">
        <f>W25/W27</f>
        <v>1.5756156595974267E-2</v>
      </c>
      <c r="X53" s="27">
        <f>X25/X27</f>
        <v>1.5466486049759035E-2</v>
      </c>
      <c r="Y53" s="27">
        <f>Y25/Y27</f>
        <v>1.5167294191810728E-2</v>
      </c>
      <c r="AA53" s="18" t="s">
        <v>4</v>
      </c>
      <c r="AB53" s="27">
        <f>AB25/AB27</f>
        <v>4.0471213850887299E-3</v>
      </c>
      <c r="AC53" s="27">
        <f>AC25/AC27</f>
        <v>3.962043606623329E-3</v>
      </c>
      <c r="AD53" s="27">
        <f>AD25/AD27</f>
        <v>3.9326134744539403E-3</v>
      </c>
      <c r="AE53" s="27">
        <f>AE25/AE27</f>
        <v>3.8985343981332338E-3</v>
      </c>
      <c r="AG53" s="18" t="s">
        <v>4</v>
      </c>
      <c r="AH53" s="27">
        <f>AH25/AH27</f>
        <v>8.4342688011425689E-3</v>
      </c>
      <c r="AI53" s="27">
        <f>AI25/AI27</f>
        <v>8.128944941953882E-3</v>
      </c>
      <c r="AJ53" s="27">
        <f>AJ25/AJ27</f>
        <v>7.991344715280839E-3</v>
      </c>
      <c r="AK53" s="27">
        <f>AK25/AK27</f>
        <v>7.8518216016690776E-3</v>
      </c>
    </row>
    <row r="54" spans="2:37" x14ac:dyDescent="0.25">
      <c r="B54" s="18" t="s">
        <v>41</v>
      </c>
      <c r="C54" s="18"/>
      <c r="D54" s="27">
        <f t="shared" si="120"/>
        <v>-0.14048721180715995</v>
      </c>
      <c r="E54" s="27">
        <f t="shared" si="121"/>
        <v>-0.20089642808565755</v>
      </c>
      <c r="F54" s="27">
        <f t="shared" si="122"/>
        <v>-0.25845078410450739</v>
      </c>
      <c r="G54" s="20"/>
      <c r="H54" s="18" t="s">
        <v>41</v>
      </c>
      <c r="I54" s="18"/>
      <c r="J54" s="27">
        <f t="shared" si="123"/>
        <v>-3.2130459065061734E-2</v>
      </c>
      <c r="K54" s="27">
        <f t="shared" si="124"/>
        <v>-4.7619386769748195E-2</v>
      </c>
      <c r="L54" s="27">
        <f t="shared" si="125"/>
        <v>-6.2450107752416995E-2</v>
      </c>
      <c r="M54" s="20"/>
      <c r="N54" s="18" t="s">
        <v>41</v>
      </c>
      <c r="O54" s="18"/>
      <c r="P54" s="27">
        <f t="shared" si="126"/>
        <v>-6.4110009412950086E-2</v>
      </c>
      <c r="Q54" s="27">
        <f t="shared" si="127"/>
        <v>-9.2131802909959704E-2</v>
      </c>
      <c r="R54" s="27">
        <f t="shared" si="128"/>
        <v>-0.11859686857863627</v>
      </c>
      <c r="U54" s="18" t="s">
        <v>5</v>
      </c>
      <c r="V54" s="27">
        <f>V26/V27</f>
        <v>1.4687792221916518E-2</v>
      </c>
      <c r="W54" s="27">
        <f>W26/W27</f>
        <v>1.3967617969801097E-2</v>
      </c>
      <c r="X54" s="27">
        <f>X26/X27</f>
        <v>1.3480856928690808E-2</v>
      </c>
      <c r="Y54" s="27">
        <f>Y26/Y27</f>
        <v>1.3099491415167034E-2</v>
      </c>
      <c r="AA54" s="18" t="s">
        <v>5</v>
      </c>
      <c r="AB54" s="27">
        <f>AB26/AB27</f>
        <v>6.274871670485134E-4</v>
      </c>
      <c r="AC54" s="27">
        <f>AC26/AC27</f>
        <v>6.2614561813747788E-4</v>
      </c>
      <c r="AD54" s="27">
        <f>AD26/AD27</f>
        <v>6.2315247720112375E-4</v>
      </c>
      <c r="AE54" s="27">
        <f>AE26/AE27</f>
        <v>6.1958437100641402E-4</v>
      </c>
      <c r="AG54" s="18" t="s">
        <v>5</v>
      </c>
      <c r="AH54" s="27">
        <f>AH26/AH27</f>
        <v>4.2946415091495958E-3</v>
      </c>
      <c r="AI54" s="27">
        <f>AI26/AI27</f>
        <v>3.9190317929445242E-3</v>
      </c>
      <c r="AJ54" s="27">
        <f>AJ26/AJ27</f>
        <v>3.7301616887226107E-3</v>
      </c>
      <c r="AK54" s="27">
        <f>AK26/AK27</f>
        <v>3.5651610549537176E-3</v>
      </c>
    </row>
    <row r="55" spans="2:37" x14ac:dyDescent="0.25">
      <c r="B55" s="18"/>
      <c r="C55" s="18"/>
      <c r="D55" s="31">
        <f t="shared" si="120"/>
        <v>-0.13213361333339702</v>
      </c>
      <c r="E55" s="31">
        <f t="shared" si="121"/>
        <v>-0.18777889390027203</v>
      </c>
      <c r="F55" s="31">
        <f t="shared" si="122"/>
        <v>-0.24166108317581081</v>
      </c>
      <c r="G55" s="20"/>
      <c r="H55" s="18"/>
      <c r="I55" s="18"/>
      <c r="J55" s="31">
        <f t="shared" si="123"/>
        <v>-2.5039923457201851E-2</v>
      </c>
      <c r="K55" s="31">
        <f t="shared" si="124"/>
        <v>-3.696187150660124E-2</v>
      </c>
      <c r="L55" s="31">
        <f t="shared" si="125"/>
        <v>-4.8514159624067688E-2</v>
      </c>
      <c r="M55" s="20"/>
      <c r="N55" s="18"/>
      <c r="O55" s="18"/>
      <c r="P55" s="31">
        <f t="shared" si="126"/>
        <v>-2.2618565263556989E-2</v>
      </c>
      <c r="Q55" s="31">
        <f t="shared" si="127"/>
        <v>-3.2367621737054986E-2</v>
      </c>
      <c r="R55" s="31">
        <f t="shared" si="128"/>
        <v>-4.1664899960859203E-2</v>
      </c>
      <c r="U55" s="18" t="s">
        <v>8</v>
      </c>
      <c r="V55" s="28">
        <f>SUM(V46:V54)</f>
        <v>1</v>
      </c>
      <c r="W55" s="28">
        <f t="shared" ref="W55" si="129">SUM(W46:W54)</f>
        <v>1.0000000000000002</v>
      </c>
      <c r="X55" s="28">
        <f t="shared" ref="X55" si="130">SUM(X46:X54)</f>
        <v>1</v>
      </c>
      <c r="Y55" s="28">
        <f t="shared" ref="Y55" si="131">SUM(Y46:Y54)</f>
        <v>0.99999999999999989</v>
      </c>
      <c r="AA55" s="18" t="s">
        <v>8</v>
      </c>
      <c r="AB55" s="28">
        <f>SUM(AB46:AB54)</f>
        <v>1</v>
      </c>
      <c r="AC55" s="28">
        <f t="shared" ref="AC55" si="132">SUM(AC46:AC54)</f>
        <v>0.99999999999999989</v>
      </c>
      <c r="AD55" s="28">
        <f t="shared" ref="AD55" si="133">SUM(AD46:AD54)</f>
        <v>0.99999999999999989</v>
      </c>
      <c r="AE55" s="28">
        <f t="shared" ref="AE55" si="134">SUM(AE46:AE54)</f>
        <v>1</v>
      </c>
      <c r="AG55" s="18" t="s">
        <v>8</v>
      </c>
      <c r="AH55" s="28">
        <f>SUM(AH46:AH54)</f>
        <v>1.0000000000000002</v>
      </c>
      <c r="AI55" s="28">
        <f t="shared" ref="AI55" si="135">SUM(AI46:AI54)</f>
        <v>0.99999999999999989</v>
      </c>
      <c r="AJ55" s="28">
        <f t="shared" ref="AJ55" si="136">SUM(AJ46:AJ54)</f>
        <v>0.99999999999999989</v>
      </c>
      <c r="AK55" s="28">
        <f t="shared" ref="AK55" si="137">SUM(AK46:AK54)</f>
        <v>1</v>
      </c>
    </row>
    <row r="56" spans="2:37" x14ac:dyDescent="0.25">
      <c r="B56" s="18"/>
      <c r="C56" s="18"/>
      <c r="D56" s="26"/>
      <c r="E56" s="26"/>
      <c r="F56" s="26"/>
      <c r="H56" s="18"/>
      <c r="I56" s="18"/>
      <c r="J56" s="26"/>
      <c r="K56" s="26"/>
      <c r="L56" s="26"/>
      <c r="N56" s="18"/>
      <c r="O56" s="18"/>
      <c r="P56" s="26"/>
      <c r="Q56" s="26"/>
      <c r="R56" s="26"/>
    </row>
    <row r="57" spans="2:37" x14ac:dyDescent="0.25">
      <c r="B57" s="18" t="s">
        <v>40</v>
      </c>
      <c r="C57" s="18"/>
      <c r="D57" s="27">
        <f t="shared" ref="D57:D59" si="138">D17/C17 - 1</f>
        <v>-0.13213361333339702</v>
      </c>
      <c r="E57" s="27">
        <f t="shared" ref="E57:E59" si="139">E17/C17 - 1</f>
        <v>-0.18777889390027203</v>
      </c>
      <c r="F57" s="27">
        <f t="shared" ref="F57:F59" si="140">F17/C17 - 1</f>
        <v>-0.24166108317581081</v>
      </c>
      <c r="H57" s="18" t="s">
        <v>40</v>
      </c>
      <c r="I57" s="18"/>
      <c r="J57" s="27">
        <f t="shared" ref="J57:J59" si="141">J17/I17 - 1</f>
        <v>-2.5039923457201851E-2</v>
      </c>
      <c r="K57" s="27">
        <f t="shared" ref="K57:K59" si="142">K17/I17 - 1</f>
        <v>-3.696187150660124E-2</v>
      </c>
      <c r="L57" s="27">
        <f t="shared" ref="L57:L59" si="143">L17/I17 - 1</f>
        <v>-4.8514159624067688E-2</v>
      </c>
      <c r="N57" s="18" t="s">
        <v>40</v>
      </c>
      <c r="O57" s="18"/>
      <c r="P57" s="27">
        <f t="shared" ref="P57:P59" si="144">P17/O17 - 1</f>
        <v>-2.2618565263556989E-2</v>
      </c>
      <c r="Q57" s="27">
        <f t="shared" ref="Q57:Q59" si="145">Q17/O17 - 1</f>
        <v>-3.2367621737054986E-2</v>
      </c>
      <c r="R57" s="27">
        <f t="shared" ref="R57:R59" si="146">R17/O17 - 1</f>
        <v>-4.1664899960859203E-2</v>
      </c>
    </row>
    <row r="58" spans="2:37" x14ac:dyDescent="0.25">
      <c r="B58" s="18" t="s">
        <v>6</v>
      </c>
      <c r="C58" s="18"/>
      <c r="D58" s="27">
        <f t="shared" si="138"/>
        <v>-0.11097889605474309</v>
      </c>
      <c r="E58" s="27">
        <f t="shared" si="139"/>
        <v>-0.15816089865867322</v>
      </c>
      <c r="F58" s="27">
        <f t="shared" si="140"/>
        <v>-0.20523753292760472</v>
      </c>
      <c r="H58" s="18" t="s">
        <v>6</v>
      </c>
      <c r="I58" s="18"/>
      <c r="J58" s="27">
        <f t="shared" si="141"/>
        <v>-1.8794785018645732E-2</v>
      </c>
      <c r="K58" s="27">
        <f t="shared" si="142"/>
        <v>-2.8661969775888085E-2</v>
      </c>
      <c r="L58" s="27">
        <f t="shared" si="143"/>
        <v>-3.8464157393888865E-2</v>
      </c>
      <c r="N58" s="18" t="s">
        <v>6</v>
      </c>
      <c r="O58" s="18"/>
      <c r="P58" s="27">
        <f t="shared" si="144"/>
        <v>-2.7524380537859772E-2</v>
      </c>
      <c r="Q58" s="27">
        <f t="shared" si="145"/>
        <v>-3.9738339034232184E-2</v>
      </c>
      <c r="R58" s="27">
        <f t="shared" si="146"/>
        <v>-5.1911510812731376E-2</v>
      </c>
      <c r="U58" s="19">
        <v>2019</v>
      </c>
      <c r="V58" s="39" t="s">
        <v>11</v>
      </c>
      <c r="W58" s="39"/>
      <c r="X58" s="39"/>
      <c r="Y58" s="39"/>
      <c r="Z58" s="20"/>
      <c r="AA58" s="19">
        <v>2019</v>
      </c>
      <c r="AB58" s="39" t="s">
        <v>11</v>
      </c>
      <c r="AC58" s="39"/>
      <c r="AD58" s="39"/>
      <c r="AE58" s="39"/>
      <c r="AF58" s="20"/>
      <c r="AG58" s="19">
        <v>2019</v>
      </c>
      <c r="AH58" s="39" t="s">
        <v>11</v>
      </c>
      <c r="AI58" s="39"/>
      <c r="AJ58" s="39"/>
      <c r="AK58" s="39"/>
    </row>
    <row r="59" spans="2:37" x14ac:dyDescent="0.25">
      <c r="B59" s="18"/>
      <c r="C59" s="18"/>
      <c r="D59" s="31">
        <f t="shared" si="138"/>
        <v>-0.11268385881507925</v>
      </c>
      <c r="E59" s="31">
        <f t="shared" si="139"/>
        <v>-0.16054795863482774</v>
      </c>
      <c r="F59" s="31">
        <f t="shared" si="140"/>
        <v>-0.20817308606946061</v>
      </c>
      <c r="G59" s="20"/>
      <c r="H59" s="18"/>
      <c r="I59" s="18"/>
      <c r="J59" s="31">
        <f t="shared" si="141"/>
        <v>-1.9213554222198947E-2</v>
      </c>
      <c r="K59" s="31">
        <f t="shared" si="142"/>
        <v>-2.9218521607610959E-2</v>
      </c>
      <c r="L59" s="31">
        <f t="shared" si="143"/>
        <v>-3.9138062619697322E-2</v>
      </c>
      <c r="M59" s="20"/>
      <c r="N59" s="18"/>
      <c r="O59" s="18"/>
      <c r="P59" s="31">
        <f t="shared" si="144"/>
        <v>-2.6899909086668061E-2</v>
      </c>
      <c r="Q59" s="31">
        <f t="shared" si="145"/>
        <v>-3.8800105067086754E-2</v>
      </c>
      <c r="R59" s="31">
        <f t="shared" si="146"/>
        <v>-5.0607198360939298E-2</v>
      </c>
      <c r="U59" s="21" t="s">
        <v>16</v>
      </c>
      <c r="V59" s="22" t="s">
        <v>12</v>
      </c>
      <c r="W59" s="22" t="s">
        <v>13</v>
      </c>
      <c r="X59" s="22" t="s">
        <v>14</v>
      </c>
      <c r="Y59" s="22" t="s">
        <v>15</v>
      </c>
      <c r="Z59" s="20"/>
      <c r="AA59" s="21" t="s">
        <v>19</v>
      </c>
      <c r="AB59" s="22" t="s">
        <v>12</v>
      </c>
      <c r="AC59" s="22" t="s">
        <v>13</v>
      </c>
      <c r="AD59" s="22" t="s">
        <v>14</v>
      </c>
      <c r="AE59" s="22" t="s">
        <v>15</v>
      </c>
      <c r="AF59" s="20"/>
      <c r="AG59" s="21" t="s">
        <v>8</v>
      </c>
      <c r="AH59" s="22" t="s">
        <v>12</v>
      </c>
      <c r="AI59" s="22" t="s">
        <v>13</v>
      </c>
      <c r="AJ59" s="22" t="s">
        <v>14</v>
      </c>
      <c r="AK59" s="22" t="s">
        <v>15</v>
      </c>
    </row>
    <row r="60" spans="2:37" x14ac:dyDescent="0.25">
      <c r="U60" s="18" t="s">
        <v>7</v>
      </c>
      <c r="V60" s="29"/>
      <c r="W60" s="27">
        <f t="shared" ref="W60:W69" si="147">IFERROR(W4 / V4 - 1,  0)</f>
        <v>-0.1260331838018296</v>
      </c>
      <c r="X60" s="27">
        <f t="shared" ref="X60:X69" si="148">IFERROR(X4 / V4 - 1,  0)</f>
        <v>-0.1781994781338565</v>
      </c>
      <c r="Y60" s="27">
        <f t="shared" ref="Y60:Y69" si="149">IFERROR(Y4 / V4 - 1,  0)</f>
        <v>-0.22939997346443342</v>
      </c>
      <c r="Z60" s="20"/>
      <c r="AA60" s="18" t="s">
        <v>7</v>
      </c>
      <c r="AB60" s="29"/>
      <c r="AC60" s="27">
        <f t="shared" ref="AC60:AC69" si="150">IFERROR(AC4 / AB4 - 1,  0)</f>
        <v>-2.4220004666932082E-2</v>
      </c>
      <c r="AD60" s="27">
        <f t="shared" ref="AD60:AD69" si="151">IFERROR(AD4 / AB4 - 1,  0)</f>
        <v>-3.5729482656856937E-2</v>
      </c>
      <c r="AE60" s="27">
        <f t="shared" ref="AE60:AE69" si="152">IFERROR(AE4 / AB4 - 1,  0)</f>
        <v>-4.6902667014398824E-2</v>
      </c>
      <c r="AF60" s="20"/>
      <c r="AG60" s="18" t="s">
        <v>7</v>
      </c>
      <c r="AH60" s="29"/>
      <c r="AI60" s="27">
        <f t="shared" ref="AI60:AI69" si="153">IFERROR(AI4 / AH4 - 1,  0)</f>
        <v>-1.6854386643497588E-2</v>
      </c>
      <c r="AJ60" s="27">
        <f t="shared" ref="AJ60:AJ69" si="154">IFERROR(AJ4 / AH4 - 1,  0)</f>
        <v>-2.4064912047754627E-2</v>
      </c>
      <c r="AK60" s="27">
        <f t="shared" ref="AK60:AK69" si="155">IFERROR(AK4 / AH4 - 1,  0)</f>
        <v>-3.0977163783033834E-2</v>
      </c>
    </row>
    <row r="61" spans="2:37" x14ac:dyDescent="0.25">
      <c r="U61" s="18" t="s">
        <v>6</v>
      </c>
      <c r="V61" s="29"/>
      <c r="W61" s="27">
        <f t="shared" si="147"/>
        <v>-0.11097889605474309</v>
      </c>
      <c r="X61" s="27">
        <f t="shared" si="148"/>
        <v>-0.15816089865867322</v>
      </c>
      <c r="Y61" s="27">
        <f t="shared" si="149"/>
        <v>-0.20523753292760472</v>
      </c>
      <c r="Z61" s="20"/>
      <c r="AA61" s="18" t="s">
        <v>6</v>
      </c>
      <c r="AB61" s="29"/>
      <c r="AC61" s="27">
        <f t="shared" si="150"/>
        <v>-1.8794785018645732E-2</v>
      </c>
      <c r="AD61" s="27">
        <f t="shared" si="151"/>
        <v>-2.8661969775888085E-2</v>
      </c>
      <c r="AE61" s="27">
        <f t="shared" si="152"/>
        <v>-3.8464157393888865E-2</v>
      </c>
      <c r="AF61" s="20"/>
      <c r="AG61" s="18" t="s">
        <v>6</v>
      </c>
      <c r="AH61" s="29"/>
      <c r="AI61" s="27">
        <f t="shared" si="153"/>
        <v>-2.7524380537859772E-2</v>
      </c>
      <c r="AJ61" s="27">
        <f t="shared" si="154"/>
        <v>-3.9738339034232184E-2</v>
      </c>
      <c r="AK61" s="27">
        <f t="shared" si="155"/>
        <v>-5.1911510812731376E-2</v>
      </c>
    </row>
    <row r="62" spans="2:37" x14ac:dyDescent="0.25">
      <c r="U62" s="18" t="s">
        <v>21</v>
      </c>
      <c r="V62" s="29"/>
      <c r="W62" s="27">
        <f t="shared" si="147"/>
        <v>0</v>
      </c>
      <c r="X62" s="27">
        <f t="shared" si="148"/>
        <v>0</v>
      </c>
      <c r="Y62" s="27">
        <f t="shared" si="149"/>
        <v>0</v>
      </c>
      <c r="Z62" s="20"/>
      <c r="AA62" s="18" t="s">
        <v>21</v>
      </c>
      <c r="AB62" s="29"/>
      <c r="AC62" s="27">
        <f t="shared" si="150"/>
        <v>0</v>
      </c>
      <c r="AD62" s="27">
        <f t="shared" si="151"/>
        <v>0</v>
      </c>
      <c r="AE62" s="27">
        <f t="shared" si="152"/>
        <v>0</v>
      </c>
      <c r="AF62" s="20"/>
      <c r="AG62" s="18" t="s">
        <v>21</v>
      </c>
      <c r="AH62" s="29"/>
      <c r="AI62" s="27">
        <f t="shared" si="153"/>
        <v>3.1597466029831267E-3</v>
      </c>
      <c r="AJ62" s="27">
        <f t="shared" si="154"/>
        <v>4.4599109561029859E-3</v>
      </c>
      <c r="AK62" s="27">
        <f t="shared" si="155"/>
        <v>5.6211853486523022E-3</v>
      </c>
    </row>
    <row r="63" spans="2:37" x14ac:dyDescent="0.25">
      <c r="U63" s="18" t="s">
        <v>0</v>
      </c>
      <c r="V63" s="29"/>
      <c r="W63" s="27">
        <f t="shared" si="147"/>
        <v>-0.12460187297965386</v>
      </c>
      <c r="X63" s="27">
        <f t="shared" si="148"/>
        <v>-0.17923440768206877</v>
      </c>
      <c r="Y63" s="27">
        <f t="shared" si="149"/>
        <v>-0.2334569309754706</v>
      </c>
      <c r="Z63" s="20"/>
      <c r="AA63" s="18" t="s">
        <v>0</v>
      </c>
      <c r="AB63" s="29"/>
      <c r="AC63" s="27">
        <f t="shared" si="150"/>
        <v>-2.1676549976873738E-2</v>
      </c>
      <c r="AD63" s="27">
        <f t="shared" si="151"/>
        <v>-3.3044082554979592E-2</v>
      </c>
      <c r="AE63" s="27">
        <f t="shared" si="152"/>
        <v>-4.3965197861799421E-2</v>
      </c>
      <c r="AF63" s="20"/>
      <c r="AG63" s="18" t="s">
        <v>0</v>
      </c>
      <c r="AH63" s="29"/>
      <c r="AI63" s="27">
        <f t="shared" si="153"/>
        <v>-4.9043166624549217E-2</v>
      </c>
      <c r="AJ63" s="27">
        <f t="shared" si="154"/>
        <v>-7.0415125548484836E-2</v>
      </c>
      <c r="AK63" s="27">
        <f t="shared" si="155"/>
        <v>-9.1881274552597092E-2</v>
      </c>
    </row>
    <row r="64" spans="2:37" x14ac:dyDescent="0.25">
      <c r="U64" s="18" t="s">
        <v>1</v>
      </c>
      <c r="V64" s="29"/>
      <c r="W64" s="27">
        <f t="shared" si="147"/>
        <v>-8.1553204232381771E-2</v>
      </c>
      <c r="X64" s="27">
        <f t="shared" si="148"/>
        <v>-0.12432621281692968</v>
      </c>
      <c r="Y64" s="27">
        <f t="shared" si="149"/>
        <v>-0.16764823318027555</v>
      </c>
      <c r="Z64" s="20"/>
      <c r="AA64" s="18" t="s">
        <v>1</v>
      </c>
      <c r="AB64" s="29"/>
      <c r="AC64" s="27">
        <f t="shared" si="150"/>
        <v>-1.3486176668914274E-2</v>
      </c>
      <c r="AD64" s="27">
        <f t="shared" si="151"/>
        <v>-2.1915037086985834E-2</v>
      </c>
      <c r="AE64" s="27">
        <f t="shared" si="152"/>
        <v>-2.9501011463250126E-2</v>
      </c>
      <c r="AF64" s="20"/>
      <c r="AG64" s="18" t="s">
        <v>1</v>
      </c>
      <c r="AH64" s="29"/>
      <c r="AI64" s="27">
        <f t="shared" si="153"/>
        <v>-2.9917879805897662E-2</v>
      </c>
      <c r="AJ64" s="27">
        <f t="shared" si="154"/>
        <v>-4.6099290780141744E-2</v>
      </c>
      <c r="AK64" s="27">
        <f t="shared" si="155"/>
        <v>-6.2056737588652378E-2</v>
      </c>
    </row>
    <row r="65" spans="21:37" x14ac:dyDescent="0.25">
      <c r="U65" s="18" t="s">
        <v>2</v>
      </c>
      <c r="V65" s="29"/>
      <c r="W65" s="27">
        <f t="shared" si="147"/>
        <v>-0.13330436952884506</v>
      </c>
      <c r="X65" s="27">
        <f t="shared" si="148"/>
        <v>-0.18384466773278119</v>
      </c>
      <c r="Y65" s="27">
        <f t="shared" si="149"/>
        <v>-0.23332655457058071</v>
      </c>
      <c r="Z65" s="20"/>
      <c r="AA65" s="18" t="s">
        <v>2</v>
      </c>
      <c r="AB65" s="29"/>
      <c r="AC65" s="27">
        <f t="shared" si="150"/>
        <v>-3.2700508111817461E-2</v>
      </c>
      <c r="AD65" s="27">
        <f t="shared" si="151"/>
        <v>-4.5656542552322543E-2</v>
      </c>
      <c r="AE65" s="27">
        <f t="shared" si="152"/>
        <v>-5.8686097995327424E-2</v>
      </c>
      <c r="AF65" s="20"/>
      <c r="AG65" s="18" t="s">
        <v>2</v>
      </c>
      <c r="AH65" s="29"/>
      <c r="AI65" s="27">
        <f t="shared" si="153"/>
        <v>-2.7258922911353345E-2</v>
      </c>
      <c r="AJ65" s="27">
        <f t="shared" si="154"/>
        <v>-3.664990933349066E-2</v>
      </c>
      <c r="AK65" s="27">
        <f t="shared" si="155"/>
        <v>-4.5834500449646987E-2</v>
      </c>
    </row>
    <row r="66" spans="21:37" x14ac:dyDescent="0.25">
      <c r="U66" s="18" t="s">
        <v>3</v>
      </c>
      <c r="V66" s="29"/>
      <c r="W66" s="27">
        <f t="shared" si="147"/>
        <v>9.9067024520275382E-2</v>
      </c>
      <c r="X66" s="27">
        <f t="shared" si="148"/>
        <v>0.1092122960447437</v>
      </c>
      <c r="Y66" s="27">
        <f t="shared" si="149"/>
        <v>0.13137122443142046</v>
      </c>
      <c r="Z66" s="20"/>
      <c r="AA66" s="18" t="s">
        <v>3</v>
      </c>
      <c r="AB66" s="29"/>
      <c r="AC66" s="27">
        <f t="shared" si="150"/>
        <v>0.28739800543970984</v>
      </c>
      <c r="AD66" s="27">
        <f t="shared" si="151"/>
        <v>0.40435176790571181</v>
      </c>
      <c r="AE66" s="27">
        <f t="shared" si="152"/>
        <v>0.56210335448776072</v>
      </c>
      <c r="AF66" s="20"/>
      <c r="AG66" s="18" t="s">
        <v>3</v>
      </c>
      <c r="AH66" s="29"/>
      <c r="AI66" s="27">
        <f t="shared" si="153"/>
        <v>0.11251914851561251</v>
      </c>
      <c r="AJ66" s="27">
        <f t="shared" si="154"/>
        <v>0.13108291375892933</v>
      </c>
      <c r="AK66" s="27">
        <f t="shared" si="155"/>
        <v>0.16290651131890033</v>
      </c>
    </row>
    <row r="67" spans="21:37" x14ac:dyDescent="0.25">
      <c r="U67" s="18" t="s">
        <v>4</v>
      </c>
      <c r="V67" s="29"/>
      <c r="W67" s="27">
        <f t="shared" si="147"/>
        <v>-0.14090150946543234</v>
      </c>
      <c r="X67" s="27">
        <f t="shared" si="148"/>
        <v>-0.20215161371028267</v>
      </c>
      <c r="Y67" s="27">
        <f t="shared" si="149"/>
        <v>-0.25952797931782168</v>
      </c>
      <c r="Z67" s="20"/>
      <c r="AA67" s="18" t="s">
        <v>4</v>
      </c>
      <c r="AB67" s="29"/>
      <c r="AC67" s="27">
        <f t="shared" si="150"/>
        <v>-3.5730535638114347E-2</v>
      </c>
      <c r="AD67" s="27">
        <f t="shared" si="151"/>
        <v>-5.2904673884341169E-2</v>
      </c>
      <c r="AE67" s="27">
        <f t="shared" si="152"/>
        <v>-6.998029696735808E-2</v>
      </c>
      <c r="AF67" s="20"/>
      <c r="AG67" s="18" t="s">
        <v>4</v>
      </c>
      <c r="AH67" s="29"/>
      <c r="AI67" s="27">
        <f t="shared" si="153"/>
        <v>-6.3638602493360619E-2</v>
      </c>
      <c r="AJ67" s="27">
        <f t="shared" si="154"/>
        <v>-9.1743821511059087E-2</v>
      </c>
      <c r="AK67" s="27">
        <f t="shared" si="155"/>
        <v>-0.11820832140789006</v>
      </c>
    </row>
    <row r="68" spans="21:37" x14ac:dyDescent="0.25">
      <c r="U68" s="18" t="s">
        <v>5</v>
      </c>
      <c r="V68" s="29"/>
      <c r="W68" s="27">
        <f t="shared" si="147"/>
        <v>-0.18216108957543653</v>
      </c>
      <c r="X68" s="27">
        <f t="shared" si="148"/>
        <v>-0.25595439215132176</v>
      </c>
      <c r="Y68" s="27">
        <f t="shared" si="149"/>
        <v>-0.32651017637410229</v>
      </c>
      <c r="Z68" s="20"/>
      <c r="AA68" s="18" t="s">
        <v>5</v>
      </c>
      <c r="AB68" s="29"/>
      <c r="AC68" s="27">
        <f t="shared" si="150"/>
        <v>-4.2344081443911885E-2</v>
      </c>
      <c r="AD68" s="27">
        <f t="shared" si="151"/>
        <v>-6.2455501647815326E-2</v>
      </c>
      <c r="AE68" s="27">
        <f t="shared" si="152"/>
        <v>-7.6863792837692069E-2</v>
      </c>
      <c r="AF68" s="20"/>
      <c r="AG68" s="18" t="s">
        <v>5</v>
      </c>
      <c r="AH68" s="29"/>
      <c r="AI68" s="27">
        <f t="shared" si="153"/>
        <v>-0.12547154998530496</v>
      </c>
      <c r="AJ68" s="27">
        <f t="shared" si="154"/>
        <v>-0.17879242943357632</v>
      </c>
      <c r="AK68" s="27">
        <f t="shared" si="155"/>
        <v>-0.22795843515860581</v>
      </c>
    </row>
    <row r="69" spans="21:37" x14ac:dyDescent="0.25">
      <c r="U69" s="18" t="s">
        <v>8</v>
      </c>
      <c r="V69" s="30"/>
      <c r="W69" s="31">
        <f t="shared" si="147"/>
        <v>-0.11268385881507947</v>
      </c>
      <c r="X69" s="31">
        <f t="shared" si="148"/>
        <v>-0.16054795863482774</v>
      </c>
      <c r="Y69" s="31">
        <f t="shared" si="149"/>
        <v>-0.20817308606946061</v>
      </c>
      <c r="Z69" s="20"/>
      <c r="AA69" s="18" t="s">
        <v>8</v>
      </c>
      <c r="AB69" s="30"/>
      <c r="AC69" s="31">
        <f t="shared" si="150"/>
        <v>-1.9213554222198947E-2</v>
      </c>
      <c r="AD69" s="31">
        <f t="shared" si="151"/>
        <v>-2.9218521607610959E-2</v>
      </c>
      <c r="AE69" s="31">
        <f t="shared" si="152"/>
        <v>-3.9138062619697545E-2</v>
      </c>
      <c r="AF69" s="20"/>
      <c r="AG69" s="18" t="s">
        <v>8</v>
      </c>
      <c r="AH69" s="30"/>
      <c r="AI69" s="31">
        <f t="shared" si="153"/>
        <v>-2.6084762595370847E-2</v>
      </c>
      <c r="AJ69" s="31">
        <f t="shared" si="154"/>
        <v>-3.7626996145320168E-2</v>
      </c>
      <c r="AK69" s="31">
        <f t="shared" si="155"/>
        <v>-4.9082418098470471E-2</v>
      </c>
    </row>
    <row r="72" spans="21:37" x14ac:dyDescent="0.25">
      <c r="U72" s="19">
        <v>2050</v>
      </c>
      <c r="V72" s="39" t="s">
        <v>11</v>
      </c>
      <c r="W72" s="39"/>
      <c r="X72" s="39"/>
      <c r="Y72" s="39"/>
      <c r="AA72" s="19">
        <v>2050</v>
      </c>
      <c r="AB72" s="39" t="s">
        <v>11</v>
      </c>
      <c r="AC72" s="39"/>
      <c r="AD72" s="39"/>
      <c r="AE72" s="39"/>
      <c r="AG72" s="19">
        <v>2050</v>
      </c>
      <c r="AH72" s="39" t="s">
        <v>11</v>
      </c>
      <c r="AI72" s="39"/>
      <c r="AJ72" s="39"/>
      <c r="AK72" s="39"/>
    </row>
    <row r="73" spans="21:37" x14ac:dyDescent="0.25">
      <c r="U73" s="21" t="s">
        <v>16</v>
      </c>
      <c r="V73" s="22" t="s">
        <v>12</v>
      </c>
      <c r="W73" s="22" t="s">
        <v>13</v>
      </c>
      <c r="X73" s="22" t="s">
        <v>14</v>
      </c>
      <c r="Y73" s="22" t="s">
        <v>15</v>
      </c>
      <c r="AA73" s="21" t="s">
        <v>19</v>
      </c>
      <c r="AB73" s="22" t="s">
        <v>12</v>
      </c>
      <c r="AC73" s="22" t="s">
        <v>13</v>
      </c>
      <c r="AD73" s="22" t="s">
        <v>14</v>
      </c>
      <c r="AE73" s="22" t="s">
        <v>15</v>
      </c>
      <c r="AG73" s="21" t="s">
        <v>8</v>
      </c>
      <c r="AH73" s="22" t="s">
        <v>12</v>
      </c>
      <c r="AI73" s="22" t="s">
        <v>13</v>
      </c>
      <c r="AJ73" s="22" t="s">
        <v>14</v>
      </c>
      <c r="AK73" s="22" t="s">
        <v>15</v>
      </c>
    </row>
    <row r="74" spans="21:37" x14ac:dyDescent="0.25">
      <c r="U74" s="18" t="s">
        <v>7</v>
      </c>
      <c r="V74" s="29"/>
      <c r="W74" s="27">
        <f t="shared" ref="W74:W83" si="156">IFERROR(W18 / V18 - 1,  0)</f>
        <v>-0.13577470057258012</v>
      </c>
      <c r="X74" s="27">
        <f t="shared" ref="X74:X83" si="157">IFERROR(X18 / V18 - 1,  0)</f>
        <v>-0.19169146017169536</v>
      </c>
      <c r="Y74" s="27">
        <f t="shared" ref="Y74:Y83" si="158">IFERROR(Y18 / V18 - 1,  0)</f>
        <v>-0.24691471182027813</v>
      </c>
      <c r="AA74" s="18" t="s">
        <v>7</v>
      </c>
      <c r="AB74" s="29"/>
      <c r="AC74" s="27">
        <f t="shared" ref="AC74:AC83" si="159">IFERROR(AC18 / AB18 - 1,  0)</f>
        <v>-2.8796382145890975E-2</v>
      </c>
      <c r="AD74" s="27">
        <f t="shared" ref="AD74:AD83" si="160">IFERROR(AD18 / AB18 - 1,  0)</f>
        <v>-4.2144400269907289E-2</v>
      </c>
      <c r="AE74" s="27">
        <f t="shared" ref="AE74:AE83" si="161">IFERROR(AE18 / AB18 - 1,  0)</f>
        <v>-5.5260476682058246E-2</v>
      </c>
      <c r="AG74" s="18" t="s">
        <v>7</v>
      </c>
      <c r="AH74" s="29"/>
      <c r="AI74" s="27">
        <f t="shared" ref="AI74:AI83" si="162">IFERROR(AI18 / AH18 - 1,  0)</f>
        <v>-2.2471048715324904E-2</v>
      </c>
      <c r="AJ74" s="27">
        <f t="shared" ref="AJ74:AJ83" si="163">IFERROR(AJ18 / AH18 - 1,  0)</f>
        <v>-3.1909484343766614E-2</v>
      </c>
      <c r="AK74" s="27">
        <f t="shared" ref="AK74:AK83" si="164">IFERROR(AK18 / AH18 - 1,  0)</f>
        <v>-4.1263870044039752E-2</v>
      </c>
    </row>
    <row r="75" spans="21:37" x14ac:dyDescent="0.25">
      <c r="U75" s="18" t="s">
        <v>6</v>
      </c>
      <c r="V75" s="29"/>
      <c r="W75" s="27">
        <f t="shared" si="156"/>
        <v>-0.12068352367504509</v>
      </c>
      <c r="X75" s="27">
        <f t="shared" si="157"/>
        <v>-0.17189241729073612</v>
      </c>
      <c r="Y75" s="27">
        <f t="shared" si="158"/>
        <v>-0.22323623854421459</v>
      </c>
      <c r="AA75" s="18" t="s">
        <v>6</v>
      </c>
      <c r="AB75" s="29"/>
      <c r="AC75" s="27">
        <f t="shared" si="159"/>
        <v>-2.0805188424939169E-2</v>
      </c>
      <c r="AD75" s="27">
        <f t="shared" si="160"/>
        <v>-3.1272180888312073E-2</v>
      </c>
      <c r="AE75" s="27">
        <f t="shared" si="161"/>
        <v>-4.186793879165307E-2</v>
      </c>
      <c r="AG75" s="18" t="s">
        <v>6</v>
      </c>
      <c r="AH75" s="29"/>
      <c r="AI75" s="27">
        <f t="shared" si="162"/>
        <v>-3.1050169583582532E-2</v>
      </c>
      <c r="AJ75" s="27">
        <f t="shared" si="163"/>
        <v>-4.4679776609674815E-2</v>
      </c>
      <c r="AK75" s="27">
        <f t="shared" si="164"/>
        <v>-5.8395532454305621E-2</v>
      </c>
    </row>
    <row r="76" spans="21:37" x14ac:dyDescent="0.25">
      <c r="U76" s="18" t="s">
        <v>21</v>
      </c>
      <c r="V76" s="29"/>
      <c r="W76" s="27">
        <f t="shared" si="156"/>
        <v>0</v>
      </c>
      <c r="X76" s="27">
        <f t="shared" si="157"/>
        <v>0</v>
      </c>
      <c r="Y76" s="27">
        <f t="shared" si="158"/>
        <v>0</v>
      </c>
      <c r="AA76" s="18" t="s">
        <v>21</v>
      </c>
      <c r="AB76" s="29"/>
      <c r="AC76" s="27">
        <f t="shared" si="159"/>
        <v>0</v>
      </c>
      <c r="AD76" s="27">
        <f t="shared" si="160"/>
        <v>0</v>
      </c>
      <c r="AE76" s="27">
        <f t="shared" si="161"/>
        <v>0</v>
      </c>
      <c r="AG76" s="18" t="s">
        <v>21</v>
      </c>
      <c r="AH76" s="29"/>
      <c r="AI76" s="27">
        <f t="shared" si="162"/>
        <v>3.7039587864236001E-3</v>
      </c>
      <c r="AJ76" s="27">
        <f t="shared" si="163"/>
        <v>5.1515938397426186E-3</v>
      </c>
      <c r="AK76" s="27">
        <f t="shared" si="164"/>
        <v>6.609550711623724E-3</v>
      </c>
    </row>
    <row r="77" spans="21:37" x14ac:dyDescent="0.25">
      <c r="U77" s="18" t="s">
        <v>0</v>
      </c>
      <c r="V77" s="29"/>
      <c r="W77" s="27">
        <f t="shared" si="156"/>
        <v>-0.12998303178009729</v>
      </c>
      <c r="X77" s="27">
        <f t="shared" si="157"/>
        <v>-0.18686911664842765</v>
      </c>
      <c r="Y77" s="27">
        <f t="shared" si="158"/>
        <v>-0.24272128039430263</v>
      </c>
      <c r="AA77" s="18" t="s">
        <v>0</v>
      </c>
      <c r="AB77" s="29"/>
      <c r="AC77" s="27">
        <f t="shared" si="159"/>
        <v>-2.4176862249173481E-2</v>
      </c>
      <c r="AD77" s="27">
        <f t="shared" si="160"/>
        <v>-3.6097694757210586E-2</v>
      </c>
      <c r="AE77" s="27">
        <f t="shared" si="161"/>
        <v>-4.5678241128700559E-2</v>
      </c>
      <c r="AG77" s="18" t="s">
        <v>0</v>
      </c>
      <c r="AH77" s="29"/>
      <c r="AI77" s="27">
        <f t="shared" si="162"/>
        <v>-4.6349814008574075E-2</v>
      </c>
      <c r="AJ77" s="27">
        <f t="shared" si="163"/>
        <v>-6.7253594126436278E-2</v>
      </c>
      <c r="AK77" s="27">
        <f t="shared" si="164"/>
        <v>-8.6642396036631264E-2</v>
      </c>
    </row>
    <row r="78" spans="21:37" x14ac:dyDescent="0.25">
      <c r="U78" s="18" t="s">
        <v>1</v>
      </c>
      <c r="V78" s="29"/>
      <c r="W78" s="27">
        <f t="shared" si="156"/>
        <v>-0.11987379263945053</v>
      </c>
      <c r="X78" s="27">
        <f t="shared" si="157"/>
        <v>-0.17454818228920976</v>
      </c>
      <c r="Y78" s="27">
        <f t="shared" si="158"/>
        <v>-0.22881962661213739</v>
      </c>
      <c r="AA78" s="18" t="s">
        <v>1</v>
      </c>
      <c r="AB78" s="29"/>
      <c r="AC78" s="27">
        <f t="shared" si="159"/>
        <v>-2.2021359083061132E-2</v>
      </c>
      <c r="AD78" s="27">
        <f t="shared" si="160"/>
        <v>-3.4431539600971894E-2</v>
      </c>
      <c r="AE78" s="27">
        <f t="shared" si="161"/>
        <v>-4.6691822253837056E-2</v>
      </c>
      <c r="AG78" s="18" t="s">
        <v>1</v>
      </c>
      <c r="AH78" s="29"/>
      <c r="AI78" s="27">
        <f t="shared" si="162"/>
        <v>-4.4723001608163337E-2</v>
      </c>
      <c r="AJ78" s="27">
        <f t="shared" si="163"/>
        <v>-6.5592733158872596E-2</v>
      </c>
      <c r="AK78" s="27">
        <f t="shared" si="164"/>
        <v>-8.6765781099103156E-2</v>
      </c>
    </row>
    <row r="79" spans="21:37" x14ac:dyDescent="0.25">
      <c r="U79" s="18" t="s">
        <v>2</v>
      </c>
      <c r="V79" s="29"/>
      <c r="W79" s="27">
        <f t="shared" si="156"/>
        <v>-0.12382627692871584</v>
      </c>
      <c r="X79" s="27">
        <f t="shared" si="157"/>
        <v>-0.17787661620521533</v>
      </c>
      <c r="Y79" s="27">
        <f t="shared" si="158"/>
        <v>-0.22901163715981931</v>
      </c>
      <c r="AA79" s="18" t="s">
        <v>2</v>
      </c>
      <c r="AB79" s="29"/>
      <c r="AC79" s="27">
        <f t="shared" si="159"/>
        <v>-2.416555210981941E-2</v>
      </c>
      <c r="AD79" s="27">
        <f t="shared" si="160"/>
        <v>-3.5714810623318938E-2</v>
      </c>
      <c r="AE79" s="27">
        <f t="shared" si="161"/>
        <v>-4.6502741074971654E-2</v>
      </c>
      <c r="AG79" s="18" t="s">
        <v>2</v>
      </c>
      <c r="AH79" s="29"/>
      <c r="AI79" s="27">
        <f t="shared" si="162"/>
        <v>-2.9824683718038925E-2</v>
      </c>
      <c r="AJ79" s="27">
        <f t="shared" si="163"/>
        <v>-4.4083297914576769E-2</v>
      </c>
      <c r="AK79" s="27">
        <f t="shared" si="164"/>
        <v>-5.7537660810149771E-2</v>
      </c>
    </row>
    <row r="80" spans="21:37" x14ac:dyDescent="0.25">
      <c r="U80" s="18" t="s">
        <v>3</v>
      </c>
      <c r="V80" s="29"/>
      <c r="W80" s="27">
        <f t="shared" si="156"/>
        <v>0.33507277716945616</v>
      </c>
      <c r="X80" s="27">
        <f t="shared" si="157"/>
        <v>0.47689777293156621</v>
      </c>
      <c r="Y80" s="27">
        <f t="shared" si="158"/>
        <v>0.62655713821019021</v>
      </c>
      <c r="AA80" s="18" t="s">
        <v>3</v>
      </c>
      <c r="AB80" s="29"/>
      <c r="AC80" s="27">
        <f t="shared" si="159"/>
        <v>0.89230769230769247</v>
      </c>
      <c r="AD80" s="27">
        <f t="shared" si="160"/>
        <v>1.335897435897436</v>
      </c>
      <c r="AE80" s="27">
        <f t="shared" si="161"/>
        <v>1.8615384615384616</v>
      </c>
      <c r="AG80" s="18" t="s">
        <v>3</v>
      </c>
      <c r="AH80" s="29"/>
      <c r="AI80" s="27">
        <f t="shared" si="162"/>
        <v>0.34305348581054806</v>
      </c>
      <c r="AJ80" s="27">
        <f t="shared" si="163"/>
        <v>0.49198198781910074</v>
      </c>
      <c r="AK80" s="27">
        <f t="shared" si="164"/>
        <v>0.68663340676428652</v>
      </c>
    </row>
    <row r="81" spans="21:37" x14ac:dyDescent="0.25">
      <c r="U81" s="18" t="s">
        <v>4</v>
      </c>
      <c r="V81" s="29"/>
      <c r="W81" s="27">
        <f t="shared" si="156"/>
        <v>-0.15051322272016598</v>
      </c>
      <c r="X81" s="27">
        <f t="shared" si="157"/>
        <v>-0.21548590050294791</v>
      </c>
      <c r="Y81" s="27">
        <f t="shared" si="158"/>
        <v>-0.2789773048358013</v>
      </c>
      <c r="AA81" s="18" t="s">
        <v>4</v>
      </c>
      <c r="AB81" s="29"/>
      <c r="AC81" s="27">
        <f t="shared" si="159"/>
        <v>-4.1933838459839778E-2</v>
      </c>
      <c r="AD81" s="27">
        <f t="shared" si="160"/>
        <v>-5.9418485649755937E-2</v>
      </c>
      <c r="AE81" s="27">
        <f t="shared" si="161"/>
        <v>-7.7951951095103111E-2</v>
      </c>
      <c r="AG81" s="18" t="s">
        <v>4</v>
      </c>
      <c r="AH81" s="29"/>
      <c r="AI81" s="27">
        <f t="shared" si="162"/>
        <v>-6.5034933783455151E-2</v>
      </c>
      <c r="AJ81" s="27">
        <f t="shared" si="163"/>
        <v>-9.3289458201433861E-2</v>
      </c>
      <c r="AK81" s="27">
        <f t="shared" si="164"/>
        <v>-0.12135292407718934</v>
      </c>
    </row>
    <row r="82" spans="21:37" x14ac:dyDescent="0.25">
      <c r="U82" s="18" t="s">
        <v>5</v>
      </c>
      <c r="V82" s="29"/>
      <c r="W82" s="27">
        <f t="shared" si="156"/>
        <v>-0.16529131511763639</v>
      </c>
      <c r="X82" s="27">
        <f t="shared" si="157"/>
        <v>-0.24206345440223231</v>
      </c>
      <c r="Y82" s="27">
        <f t="shared" si="158"/>
        <v>-0.30975779893135424</v>
      </c>
      <c r="AA82" s="18" t="s">
        <v>5</v>
      </c>
      <c r="AB82" s="29"/>
      <c r="AC82" s="27">
        <f t="shared" si="159"/>
        <v>-2.3453387338028042E-2</v>
      </c>
      <c r="AD82" s="27">
        <f t="shared" si="160"/>
        <v>-3.8717836675013939E-2</v>
      </c>
      <c r="AE82" s="27">
        <f t="shared" si="161"/>
        <v>-5.4864624123964312E-2</v>
      </c>
      <c r="AG82" s="18" t="s">
        <v>5</v>
      </c>
      <c r="AH82" s="29"/>
      <c r="AI82" s="27">
        <f t="shared" si="162"/>
        <v>-0.11476105999733321</v>
      </c>
      <c r="AJ82" s="27">
        <f t="shared" si="163"/>
        <v>-0.16881637624893797</v>
      </c>
      <c r="AK82" s="27">
        <f t="shared" si="164"/>
        <v>-0.21649148844480781</v>
      </c>
    </row>
    <row r="83" spans="21:37" x14ac:dyDescent="0.25">
      <c r="U83" s="18" t="s">
        <v>8</v>
      </c>
      <c r="V83" s="30"/>
      <c r="W83" s="31">
        <f t="shared" si="156"/>
        <v>-0.12225350407719293</v>
      </c>
      <c r="X83" s="31">
        <f t="shared" si="157"/>
        <v>-0.17420572312102345</v>
      </c>
      <c r="Y83" s="31">
        <f t="shared" si="158"/>
        <v>-0.22606659214598845</v>
      </c>
      <c r="AA83" s="18" t="s">
        <v>8</v>
      </c>
      <c r="AB83" s="30"/>
      <c r="AC83" s="31">
        <f t="shared" si="159"/>
        <v>-2.1361086430949916E-2</v>
      </c>
      <c r="AD83" s="31">
        <f t="shared" si="160"/>
        <v>-3.203109436668361E-2</v>
      </c>
      <c r="AE83" s="31">
        <f t="shared" si="161"/>
        <v>-4.2809426386183014E-2</v>
      </c>
      <c r="AG83" s="18" t="s">
        <v>8</v>
      </c>
      <c r="AH83" s="30"/>
      <c r="AI83" s="31">
        <f t="shared" si="162"/>
        <v>-2.991756686040814E-2</v>
      </c>
      <c r="AJ83" s="31">
        <f t="shared" si="163"/>
        <v>-4.3034594699001394E-2</v>
      </c>
      <c r="AK83" s="31">
        <f t="shared" si="164"/>
        <v>-5.6174987712967028E-2</v>
      </c>
    </row>
  </sheetData>
  <mergeCells count="27">
    <mergeCell ref="C2:F2"/>
    <mergeCell ref="I2:L2"/>
    <mergeCell ref="O2:R2"/>
    <mergeCell ref="C22:F22"/>
    <mergeCell ref="V58:Y58"/>
    <mergeCell ref="I22:L22"/>
    <mergeCell ref="O22:R22"/>
    <mergeCell ref="C42:F42"/>
    <mergeCell ref="I42:L42"/>
    <mergeCell ref="O42:R42"/>
    <mergeCell ref="AB58:AE58"/>
    <mergeCell ref="AH58:AK58"/>
    <mergeCell ref="V72:Y72"/>
    <mergeCell ref="AB72:AE72"/>
    <mergeCell ref="AH72:AK72"/>
    <mergeCell ref="AH2:AK2"/>
    <mergeCell ref="AH16:AK16"/>
    <mergeCell ref="V44:Y44"/>
    <mergeCell ref="AB44:AE44"/>
    <mergeCell ref="AH44:AK44"/>
    <mergeCell ref="V16:Y16"/>
    <mergeCell ref="AB16:AE16"/>
    <mergeCell ref="V30:Y30"/>
    <mergeCell ref="V2:Y2"/>
    <mergeCell ref="AB2:AE2"/>
    <mergeCell ref="AB30:AE30"/>
    <mergeCell ref="AH30:AK3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5B54-F014-4D77-9B98-EE1815537CCD}">
  <sheetPr>
    <tabColor theme="7" tint="0.79998168889431442"/>
  </sheetPr>
  <dimension ref="B2:AB42"/>
  <sheetViews>
    <sheetView zoomScale="91" zoomScaleNormal="91" workbookViewId="0">
      <selection activeCell="D28" sqref="D28:N28"/>
    </sheetView>
  </sheetViews>
  <sheetFormatPr defaultRowHeight="15" x14ac:dyDescent="0.25"/>
  <cols>
    <col min="1" max="1" width="3.7109375" style="3" customWidth="1"/>
    <col min="2" max="2" width="19.140625" style="3" customWidth="1"/>
    <col min="3" max="14" width="11" style="3" bestFit="1" customWidth="1"/>
    <col min="15" max="15" width="4.5703125" style="3" customWidth="1"/>
    <col min="16" max="16" width="19.42578125" style="3" customWidth="1"/>
    <col min="17" max="28" width="11" style="3" bestFit="1" customWidth="1"/>
    <col min="29" max="16384" width="9.140625" style="3"/>
  </cols>
  <sheetData>
    <row r="2" spans="2:28" x14ac:dyDescent="0.25">
      <c r="B2" s="8">
        <v>2019</v>
      </c>
      <c r="C2" s="40" t="s">
        <v>9</v>
      </c>
      <c r="D2" s="41"/>
      <c r="E2" s="41"/>
      <c r="F2" s="42"/>
      <c r="G2" s="40" t="s">
        <v>10</v>
      </c>
      <c r="H2" s="41"/>
      <c r="I2" s="41"/>
      <c r="J2" s="42"/>
      <c r="K2" s="40" t="s">
        <v>11</v>
      </c>
      <c r="L2" s="41"/>
      <c r="M2" s="41"/>
      <c r="N2" s="41"/>
      <c r="P2" s="8">
        <v>2019</v>
      </c>
      <c r="Q2" s="40" t="s">
        <v>9</v>
      </c>
      <c r="R2" s="41"/>
      <c r="S2" s="41"/>
      <c r="T2" s="42"/>
      <c r="U2" s="40" t="s">
        <v>10</v>
      </c>
      <c r="V2" s="41"/>
      <c r="W2" s="41"/>
      <c r="X2" s="42"/>
      <c r="Y2" s="40" t="s">
        <v>11</v>
      </c>
      <c r="Z2" s="41"/>
      <c r="AA2" s="41"/>
      <c r="AB2" s="41"/>
    </row>
    <row r="3" spans="2:28" x14ac:dyDescent="0.25">
      <c r="B3" s="17" t="s">
        <v>16</v>
      </c>
      <c r="C3" s="13" t="s">
        <v>12</v>
      </c>
      <c r="D3" s="14" t="s">
        <v>13</v>
      </c>
      <c r="E3" s="14" t="s">
        <v>14</v>
      </c>
      <c r="F3" s="15" t="s">
        <v>15</v>
      </c>
      <c r="G3" s="13" t="s">
        <v>12</v>
      </c>
      <c r="H3" s="14" t="s">
        <v>13</v>
      </c>
      <c r="I3" s="14" t="s">
        <v>14</v>
      </c>
      <c r="J3" s="15" t="s">
        <v>15</v>
      </c>
      <c r="K3" s="14" t="s">
        <v>12</v>
      </c>
      <c r="L3" s="14" t="s">
        <v>13</v>
      </c>
      <c r="M3" s="14" t="s">
        <v>14</v>
      </c>
      <c r="N3" s="14" t="s">
        <v>15</v>
      </c>
      <c r="P3" s="5" t="s">
        <v>19</v>
      </c>
      <c r="Q3" s="13" t="s">
        <v>12</v>
      </c>
      <c r="R3" s="14" t="s">
        <v>13</v>
      </c>
      <c r="S3" s="14" t="s">
        <v>14</v>
      </c>
      <c r="T3" s="15" t="s">
        <v>15</v>
      </c>
      <c r="U3" s="13" t="s">
        <v>12</v>
      </c>
      <c r="V3" s="14" t="s">
        <v>13</v>
      </c>
      <c r="W3" s="14" t="s">
        <v>14</v>
      </c>
      <c r="X3" s="15" t="s">
        <v>15</v>
      </c>
      <c r="Y3" s="14" t="s">
        <v>12</v>
      </c>
      <c r="Z3" s="14" t="s">
        <v>13</v>
      </c>
      <c r="AA3" s="14" t="s">
        <v>14</v>
      </c>
      <c r="AB3" s="14" t="s">
        <v>15</v>
      </c>
    </row>
    <row r="4" spans="2:28" x14ac:dyDescent="0.25">
      <c r="B4" s="6" t="s">
        <v>7</v>
      </c>
      <c r="C4" s="10">
        <f>Base_2019!B5</f>
        <v>48337.1</v>
      </c>
      <c r="D4" s="11">
        <f>Low_2019!B5</f>
        <v>42205.599999999999</v>
      </c>
      <c r="E4" s="11">
        <f>Med_2019!B5</f>
        <v>39651.9</v>
      </c>
      <c r="F4" s="12">
        <f>High_2019!B5</f>
        <v>37172.699999999997</v>
      </c>
      <c r="G4" s="10">
        <f>Base_2019!B19</f>
        <v>35324.199999999997</v>
      </c>
      <c r="H4" s="11">
        <f>Low_2019!B19</f>
        <v>30911.5</v>
      </c>
      <c r="I4" s="11">
        <f>Med_2019!B19</f>
        <v>29101</v>
      </c>
      <c r="J4" s="12">
        <f>High_2019!B19</f>
        <v>27296.7</v>
      </c>
      <c r="K4" s="9">
        <f>Base_2019!B33</f>
        <v>83661.3</v>
      </c>
      <c r="L4" s="9">
        <f>Low_2019!B33</f>
        <v>73117.2</v>
      </c>
      <c r="M4" s="9">
        <f>Med_2019!B33</f>
        <v>68752.899999999994</v>
      </c>
      <c r="N4" s="9">
        <f>High_2019!B33</f>
        <v>64469.4</v>
      </c>
      <c r="P4" s="4" t="s">
        <v>7</v>
      </c>
      <c r="Q4" s="10">
        <f>Base_2019!E5</f>
        <v>29219.1</v>
      </c>
      <c r="R4" s="11">
        <f>Low_2019!E5</f>
        <v>28486.7</v>
      </c>
      <c r="S4" s="11">
        <f>Med_2019!E5</f>
        <v>28141.599999999999</v>
      </c>
      <c r="T4" s="12">
        <f>High_2019!E5</f>
        <v>27807</v>
      </c>
      <c r="U4" s="10">
        <f>Base_2019!E19</f>
        <v>116487</v>
      </c>
      <c r="V4" s="11">
        <f>Low_2019!E19</f>
        <v>113691</v>
      </c>
      <c r="W4" s="11">
        <f>Med_2019!E19</f>
        <v>112358</v>
      </c>
      <c r="X4" s="12">
        <f>High_2019!E19</f>
        <v>111065</v>
      </c>
      <c r="Y4" s="9">
        <f>Base_2019!E33</f>
        <v>145706</v>
      </c>
      <c r="Z4" s="9">
        <f>Low_2019!E33</f>
        <v>142177</v>
      </c>
      <c r="AA4" s="9">
        <f>Med_2019!E33</f>
        <v>140500</v>
      </c>
      <c r="AB4" s="9">
        <f>High_2019!E33</f>
        <v>138872</v>
      </c>
    </row>
    <row r="5" spans="2:28" x14ac:dyDescent="0.25">
      <c r="B5" s="7" t="s">
        <v>6</v>
      </c>
      <c r="C5" s="10">
        <f>Base_2019!B6</f>
        <v>1050350</v>
      </c>
      <c r="D5" s="11">
        <f>Low_2019!B6</f>
        <v>934773</v>
      </c>
      <c r="E5" s="11">
        <f>Med_2019!B6</f>
        <v>884814</v>
      </c>
      <c r="F5" s="12">
        <f>High_2019!B6</f>
        <v>835960</v>
      </c>
      <c r="G5" s="10">
        <f>Base_2019!B20</f>
        <v>601000</v>
      </c>
      <c r="H5" s="11">
        <f>Low_2019!B20</f>
        <v>533312</v>
      </c>
      <c r="I5" s="11">
        <f>Med_2019!B20</f>
        <v>505358</v>
      </c>
      <c r="J5" s="12">
        <f>High_2019!B20</f>
        <v>476471</v>
      </c>
      <c r="K5" s="9">
        <f>Base_2019!B34</f>
        <v>1651350</v>
      </c>
      <c r="L5" s="9">
        <f>Low_2019!B34</f>
        <v>1468085</v>
      </c>
      <c r="M5" s="9">
        <f>Med_2019!B34</f>
        <v>1390171</v>
      </c>
      <c r="N5" s="9">
        <f>High_2019!B34</f>
        <v>1312431</v>
      </c>
      <c r="P5" s="4" t="s">
        <v>6</v>
      </c>
      <c r="Q5" s="10">
        <f>Base_2019!E6</f>
        <v>704036</v>
      </c>
      <c r="R5" s="11">
        <f>Low_2019!E6</f>
        <v>690847</v>
      </c>
      <c r="S5" s="11">
        <f>Med_2019!E6</f>
        <v>683935</v>
      </c>
      <c r="T5" s="12">
        <f>High_2019!E6</f>
        <v>677068</v>
      </c>
      <c r="U5" s="10">
        <f>Base_2019!E20</f>
        <v>1557602</v>
      </c>
      <c r="V5" s="11">
        <f>Low_2019!E20</f>
        <v>1528285</v>
      </c>
      <c r="W5" s="11">
        <f>Med_2019!E20</f>
        <v>1512880</v>
      </c>
      <c r="X5" s="12">
        <f>High_2019!E20</f>
        <v>1497578</v>
      </c>
      <c r="Y5" s="9">
        <f>Base_2019!E34</f>
        <v>2261638</v>
      </c>
      <c r="Z5" s="9">
        <f>Low_2019!E34</f>
        <v>2219131</v>
      </c>
      <c r="AA5" s="9">
        <f>Med_2019!E34</f>
        <v>2196815</v>
      </c>
      <c r="AB5" s="9">
        <f>High_2019!E34</f>
        <v>2174646</v>
      </c>
    </row>
    <row r="6" spans="2:28" x14ac:dyDescent="0.25">
      <c r="B6" s="7" t="s">
        <v>21</v>
      </c>
      <c r="C6" s="10">
        <f>Base_2019!B7</f>
        <v>0</v>
      </c>
      <c r="D6" s="11">
        <f>Low_2019!B7</f>
        <v>0</v>
      </c>
      <c r="E6" s="11">
        <f>Med_2019!B7</f>
        <v>0</v>
      </c>
      <c r="F6" s="12">
        <f>High_2019!B7</f>
        <v>0</v>
      </c>
      <c r="G6" s="10">
        <f>Base_2019!B21</f>
        <v>0</v>
      </c>
      <c r="H6" s="11">
        <f>Low_2019!B21</f>
        <v>0</v>
      </c>
      <c r="I6" s="11">
        <f>Med_2019!B21</f>
        <v>0</v>
      </c>
      <c r="J6" s="12">
        <f>High_2019!B21</f>
        <v>0</v>
      </c>
      <c r="K6" s="9">
        <f>Base_2019!B35</f>
        <v>0</v>
      </c>
      <c r="L6" s="9">
        <f>Low_2019!B35</f>
        <v>0</v>
      </c>
      <c r="M6" s="9">
        <f>Med_2019!B35</f>
        <v>0</v>
      </c>
      <c r="N6" s="9">
        <f>High_2019!B35</f>
        <v>0</v>
      </c>
      <c r="P6" s="7" t="s">
        <v>21</v>
      </c>
      <c r="Q6" s="10">
        <f>Base_2019!E7</f>
        <v>0</v>
      </c>
      <c r="R6" s="11">
        <f>Low_2019!E7</f>
        <v>0</v>
      </c>
      <c r="S6" s="11">
        <f>Med_2019!E7</f>
        <v>0</v>
      </c>
      <c r="T6" s="12">
        <f>High_2019!E7</f>
        <v>0</v>
      </c>
      <c r="U6" s="10">
        <f>Base_2019!E21</f>
        <v>0</v>
      </c>
      <c r="V6" s="11">
        <f>Low_2019!E21</f>
        <v>0</v>
      </c>
      <c r="W6" s="11">
        <f>Med_2019!E21</f>
        <v>0</v>
      </c>
      <c r="X6" s="12">
        <f>High_2019!E21</f>
        <v>0</v>
      </c>
      <c r="Y6" s="9">
        <f>Base_2019!E35</f>
        <v>0</v>
      </c>
      <c r="Z6" s="9">
        <f>Low_2019!E35</f>
        <v>0</v>
      </c>
      <c r="AA6" s="9">
        <f>Med_2019!E35</f>
        <v>0</v>
      </c>
      <c r="AB6" s="9">
        <f>High_2019!E35</f>
        <v>0</v>
      </c>
    </row>
    <row r="7" spans="2:28" x14ac:dyDescent="0.25">
      <c r="B7" s="7" t="s">
        <v>0</v>
      </c>
      <c r="C7" s="10">
        <f>Base_2019!B8</f>
        <v>10556</v>
      </c>
      <c r="D7" s="11">
        <f>Low_2019!B8</f>
        <v>9285.4699999999993</v>
      </c>
      <c r="E7" s="11">
        <f>Med_2019!B8</f>
        <v>8696.67</v>
      </c>
      <c r="F7" s="12">
        <f>High_2019!B8</f>
        <v>8142.31</v>
      </c>
      <c r="G7" s="10">
        <f>Base_2019!B22</f>
        <v>6272.83</v>
      </c>
      <c r="H7" s="11">
        <f>Low_2019!B22</f>
        <v>5446.42</v>
      </c>
      <c r="I7" s="11">
        <f>Med_2019!B22</f>
        <v>5115.79</v>
      </c>
      <c r="J7" s="12">
        <f>High_2019!B22</f>
        <v>4757.66</v>
      </c>
      <c r="K7" s="9">
        <f>Base_2019!B36</f>
        <v>16828.8</v>
      </c>
      <c r="L7" s="9">
        <f>Low_2019!B36</f>
        <v>14731.9</v>
      </c>
      <c r="M7" s="9">
        <f>Med_2019!B36</f>
        <v>13812.5</v>
      </c>
      <c r="N7" s="9">
        <f>High_2019!B36</f>
        <v>12900</v>
      </c>
      <c r="P7" s="4" t="s">
        <v>0</v>
      </c>
      <c r="Q7" s="10">
        <f>Base_2019!E8</f>
        <v>1529.98</v>
      </c>
      <c r="R7" s="11">
        <f>Low_2019!E8</f>
        <v>1495.44</v>
      </c>
      <c r="S7" s="11">
        <f>Med_2019!E8</f>
        <v>1478.49</v>
      </c>
      <c r="T7" s="12">
        <f>High_2019!E8</f>
        <v>1462.39</v>
      </c>
      <c r="U7" s="10">
        <f>Base_2019!E22</f>
        <v>2815.73</v>
      </c>
      <c r="V7" s="11">
        <f>Low_2019!E22</f>
        <v>2756.07</v>
      </c>
      <c r="W7" s="11">
        <f>Med_2019!E22</f>
        <v>2723.61</v>
      </c>
      <c r="X7" s="12">
        <f>High_2019!E22</f>
        <v>2692.26</v>
      </c>
      <c r="Y7" s="9">
        <f>Base_2019!E36</f>
        <v>4345.71</v>
      </c>
      <c r="Z7" s="9">
        <f>Low_2019!E36</f>
        <v>4251.51</v>
      </c>
      <c r="AA7" s="9">
        <f>Med_2019!E36</f>
        <v>4202.1099999999997</v>
      </c>
      <c r="AB7" s="9">
        <f>High_2019!E36</f>
        <v>4154.6499999999996</v>
      </c>
    </row>
    <row r="8" spans="2:28" x14ac:dyDescent="0.25">
      <c r="B8" s="7" t="s">
        <v>1</v>
      </c>
      <c r="C8" s="10">
        <f>Base_2019!B9</f>
        <v>128.30000000000001</v>
      </c>
      <c r="D8" s="11">
        <f>Low_2019!B9</f>
        <v>118.42</v>
      </c>
      <c r="E8" s="11">
        <f>Med_2019!B9</f>
        <v>112.65</v>
      </c>
      <c r="F8" s="12">
        <f>High_2019!B9</f>
        <v>106.84</v>
      </c>
      <c r="G8" s="10">
        <f>Base_2019!B23</f>
        <v>72.069999999999993</v>
      </c>
      <c r="H8" s="11">
        <f>Low_2019!B23</f>
        <v>65.61</v>
      </c>
      <c r="I8" s="11">
        <f>Med_2019!B23</f>
        <v>62.8</v>
      </c>
      <c r="J8" s="12">
        <f>High_2019!B23</f>
        <v>59.93</v>
      </c>
      <c r="K8" s="9">
        <f>Base_2019!B37</f>
        <v>200.36</v>
      </c>
      <c r="L8" s="9">
        <f>Low_2019!B37</f>
        <v>184.02</v>
      </c>
      <c r="M8" s="9">
        <f>Med_2019!B37</f>
        <v>175.45</v>
      </c>
      <c r="N8" s="9">
        <f>High_2019!B37</f>
        <v>166.77</v>
      </c>
      <c r="P8" s="4" t="s">
        <v>1</v>
      </c>
      <c r="Q8" s="10">
        <f>Base_2019!E9</f>
        <v>20.43</v>
      </c>
      <c r="R8" s="11">
        <f>Low_2019!E9</f>
        <v>20.12</v>
      </c>
      <c r="S8" s="11">
        <f>Med_2019!E9</f>
        <v>19.93</v>
      </c>
      <c r="T8" s="12">
        <f>High_2019!E9</f>
        <v>19.760000000000002</v>
      </c>
      <c r="U8" s="10">
        <f>Base_2019!E23</f>
        <v>38.89</v>
      </c>
      <c r="V8" s="11">
        <f>Low_2019!E23</f>
        <v>38.4</v>
      </c>
      <c r="W8" s="11">
        <f>Med_2019!E23</f>
        <v>38.08</v>
      </c>
      <c r="X8" s="12">
        <f>High_2019!E23</f>
        <v>37.81</v>
      </c>
      <c r="Y8" s="9">
        <f>Base_2019!E37</f>
        <v>59.32</v>
      </c>
      <c r="Z8" s="9">
        <f>Low_2019!E37</f>
        <v>58.52</v>
      </c>
      <c r="AA8" s="9">
        <f>Med_2019!E37</f>
        <v>58.02</v>
      </c>
      <c r="AB8" s="9">
        <f>High_2019!E37</f>
        <v>57.57</v>
      </c>
    </row>
    <row r="9" spans="2:28" x14ac:dyDescent="0.25">
      <c r="B9" s="7" t="s">
        <v>2</v>
      </c>
      <c r="C9" s="10">
        <f>Base_2019!B10</f>
        <v>1482.81</v>
      </c>
      <c r="D9" s="11">
        <f>Low_2019!B10</f>
        <v>1290.45</v>
      </c>
      <c r="E9" s="11">
        <f>Med_2019!B10</f>
        <v>1214.27</v>
      </c>
      <c r="F9" s="12">
        <f>High_2019!B10</f>
        <v>1140.6199999999999</v>
      </c>
      <c r="G9" s="10">
        <f>Base_2019!B24</f>
        <v>680.81</v>
      </c>
      <c r="H9" s="11">
        <f>Low_2019!B24</f>
        <v>584.75</v>
      </c>
      <c r="I9" s="11">
        <f>Med_2019!B24</f>
        <v>551.58000000000004</v>
      </c>
      <c r="J9" s="12">
        <f>High_2019!B24</f>
        <v>518.17999999999995</v>
      </c>
      <c r="K9" s="9">
        <f>Base_2019!B38</f>
        <v>2163.62</v>
      </c>
      <c r="L9" s="9">
        <f>Low_2019!B38</f>
        <v>1875.2</v>
      </c>
      <c r="M9" s="9">
        <f>Med_2019!B38</f>
        <v>1765.85</v>
      </c>
      <c r="N9" s="9">
        <f>High_2019!B38</f>
        <v>1658.79</v>
      </c>
      <c r="P9" s="4" t="s">
        <v>2</v>
      </c>
      <c r="Q9" s="10">
        <f>Base_2019!E10</f>
        <v>496.64</v>
      </c>
      <c r="R9" s="11">
        <f>Low_2019!E10</f>
        <v>481.42</v>
      </c>
      <c r="S9" s="11">
        <f>Med_2019!E10</f>
        <v>474.77</v>
      </c>
      <c r="T9" s="12">
        <f>High_2019!E10</f>
        <v>468.19</v>
      </c>
      <c r="U9" s="10">
        <f>Base_2019!E24</f>
        <v>727.5</v>
      </c>
      <c r="V9" s="11">
        <f>Low_2019!E24</f>
        <v>702.69</v>
      </c>
      <c r="W9" s="11">
        <f>Med_2019!E24</f>
        <v>693.49</v>
      </c>
      <c r="X9" s="12">
        <f>High_2019!E24</f>
        <v>684.12</v>
      </c>
      <c r="Y9" s="9">
        <f>Base_2019!E38</f>
        <v>1224.1400000000001</v>
      </c>
      <c r="Z9" s="9">
        <f>Low_2019!E38</f>
        <v>1184.1099999999999</v>
      </c>
      <c r="AA9" s="9">
        <f>Med_2019!E38</f>
        <v>1168.25</v>
      </c>
      <c r="AB9" s="9">
        <f>High_2019!E38</f>
        <v>1152.3</v>
      </c>
    </row>
    <row r="10" spans="2:28" x14ac:dyDescent="0.25">
      <c r="B10" s="7" t="s">
        <v>3</v>
      </c>
      <c r="C10" s="10">
        <f>Base_2019!B11</f>
        <v>1643.13</v>
      </c>
      <c r="D10" s="11">
        <f>Low_2019!B11</f>
        <v>1805.91</v>
      </c>
      <c r="E10" s="11">
        <f>Med_2019!B11</f>
        <v>1822.58</v>
      </c>
      <c r="F10" s="12">
        <f>High_2019!B11</f>
        <v>1858.99</v>
      </c>
      <c r="G10" s="10">
        <f>Base_2019!B25</f>
        <v>0</v>
      </c>
      <c r="H10" s="11">
        <f>Low_2019!B25</f>
        <v>0</v>
      </c>
      <c r="I10" s="11">
        <f>Med_2019!B25</f>
        <v>0</v>
      </c>
      <c r="J10" s="12">
        <f>High_2019!B25</f>
        <v>0</v>
      </c>
      <c r="K10" s="9">
        <f>Base_2019!B39</f>
        <v>1643.13</v>
      </c>
      <c r="L10" s="9">
        <f>Low_2019!B39</f>
        <v>1805.91</v>
      </c>
      <c r="M10" s="9">
        <f>Med_2019!B39</f>
        <v>1822.58</v>
      </c>
      <c r="N10" s="9">
        <f>High_2019!B39</f>
        <v>1858.99</v>
      </c>
      <c r="P10" s="4" t="s">
        <v>3</v>
      </c>
      <c r="Q10" s="10">
        <f>Base_2019!E11</f>
        <v>11.03</v>
      </c>
      <c r="R10" s="11">
        <f>Low_2019!E11</f>
        <v>14.2</v>
      </c>
      <c r="S10" s="11">
        <f>Med_2019!E11</f>
        <v>15.49</v>
      </c>
      <c r="T10" s="12">
        <f>High_2019!E11</f>
        <v>17.23</v>
      </c>
      <c r="U10" s="10">
        <f>Base_2019!E25</f>
        <v>0</v>
      </c>
      <c r="V10" s="11">
        <f>Low_2019!E25</f>
        <v>0</v>
      </c>
      <c r="W10" s="11">
        <f>Med_2019!E25</f>
        <v>0</v>
      </c>
      <c r="X10" s="12">
        <f>High_2019!E25</f>
        <v>0</v>
      </c>
      <c r="Y10" s="9">
        <f>Base_2019!E39</f>
        <v>11.03</v>
      </c>
      <c r="Z10" s="9">
        <f>Low_2019!E39</f>
        <v>14.2</v>
      </c>
      <c r="AA10" s="9">
        <f>Med_2019!E39</f>
        <v>15.49</v>
      </c>
      <c r="AB10" s="9">
        <f>High_2019!E39</f>
        <v>17.23</v>
      </c>
    </row>
    <row r="11" spans="2:28" x14ac:dyDescent="0.25">
      <c r="B11" s="7" t="s">
        <v>4</v>
      </c>
      <c r="C11" s="10">
        <f>Base_2019!B12</f>
        <v>16070.6</v>
      </c>
      <c r="D11" s="11">
        <f>Low_2019!B12</f>
        <v>13748</v>
      </c>
      <c r="E11" s="11">
        <f>Med_2019!B12</f>
        <v>12715.4</v>
      </c>
      <c r="F11" s="12">
        <f>High_2019!B12</f>
        <v>11789.3</v>
      </c>
      <c r="G11" s="10">
        <f>Base_2019!B26</f>
        <v>7911.35</v>
      </c>
      <c r="H11" s="11">
        <f>Low_2019!B26</f>
        <v>6854.93</v>
      </c>
      <c r="I11" s="11">
        <f>Med_2019!B26</f>
        <v>6418.55</v>
      </c>
      <c r="J11" s="12">
        <f>High_2019!B26</f>
        <v>5968.72</v>
      </c>
      <c r="K11" s="9">
        <f>Base_2019!B40</f>
        <v>23982</v>
      </c>
      <c r="L11" s="9">
        <f>Low_2019!B40</f>
        <v>20602.900000000001</v>
      </c>
      <c r="M11" s="9">
        <f>Med_2019!B40</f>
        <v>19134</v>
      </c>
      <c r="N11" s="9">
        <f>High_2019!B40</f>
        <v>17758</v>
      </c>
      <c r="P11" s="4" t="s">
        <v>4</v>
      </c>
      <c r="Q11" s="10">
        <f>Base_2019!E12</f>
        <v>3427.58</v>
      </c>
      <c r="R11" s="11">
        <f>Low_2019!E12</f>
        <v>3286.05</v>
      </c>
      <c r="S11" s="11">
        <f>Med_2019!E12</f>
        <v>3217.28</v>
      </c>
      <c r="T11" s="12">
        <f>High_2019!E12</f>
        <v>3150.24</v>
      </c>
      <c r="U11" s="10">
        <f>Base_2019!E26</f>
        <v>6418.62</v>
      </c>
      <c r="V11" s="11">
        <f>Low_2019!E26</f>
        <v>6208.33</v>
      </c>
      <c r="W11" s="11">
        <f>Med_2019!E26</f>
        <v>6108.01</v>
      </c>
      <c r="X11" s="12">
        <f>High_2019!E26</f>
        <v>6006.92</v>
      </c>
      <c r="Y11" s="9">
        <f>Base_2019!E40</f>
        <v>9846.2000000000007</v>
      </c>
      <c r="Z11" s="9">
        <f>Low_2019!E40</f>
        <v>9494.39</v>
      </c>
      <c r="AA11" s="9">
        <f>Med_2019!E40</f>
        <v>9325.2900000000009</v>
      </c>
      <c r="AB11" s="9">
        <f>High_2019!E40</f>
        <v>9157.16</v>
      </c>
    </row>
    <row r="12" spans="2:28" x14ac:dyDescent="0.25">
      <c r="B12" s="7" t="s">
        <v>5</v>
      </c>
      <c r="C12" s="10">
        <f>Base_2019!B13</f>
        <v>12718.6</v>
      </c>
      <c r="D12" s="11">
        <f>Low_2019!B13</f>
        <v>10249.799999999999</v>
      </c>
      <c r="E12" s="11">
        <f>Med_2019!B13</f>
        <v>9235.2999999999993</v>
      </c>
      <c r="F12" s="12">
        <f>High_2019!B13</f>
        <v>8315.6</v>
      </c>
      <c r="G12" s="10">
        <f>Base_2019!B27</f>
        <v>3559.3</v>
      </c>
      <c r="H12" s="11">
        <f>Low_2019!B27</f>
        <v>3062.97</v>
      </c>
      <c r="I12" s="11">
        <f>Med_2019!B27</f>
        <v>2876.15</v>
      </c>
      <c r="J12" s="12">
        <f>High_2019!B27</f>
        <v>2647.45</v>
      </c>
      <c r="K12" s="9">
        <f>Base_2019!B41</f>
        <v>16277.9</v>
      </c>
      <c r="L12" s="9">
        <f>Low_2019!B41</f>
        <v>13312.7</v>
      </c>
      <c r="M12" s="9">
        <f>Med_2019!B41</f>
        <v>12111.5</v>
      </c>
      <c r="N12" s="9">
        <f>High_2019!B41</f>
        <v>10963</v>
      </c>
      <c r="P12" s="4" t="s">
        <v>5</v>
      </c>
      <c r="Q12" s="10">
        <f>Base_2019!E13</f>
        <v>604.45000000000005</v>
      </c>
      <c r="R12" s="11">
        <f>Low_2019!E13</f>
        <v>566</v>
      </c>
      <c r="S12" s="11">
        <f>Med_2019!E13</f>
        <v>547.36</v>
      </c>
      <c r="T12" s="12">
        <f>High_2019!E13</f>
        <v>530.52</v>
      </c>
      <c r="U12" s="10">
        <f>Base_2019!E27</f>
        <v>757.97</v>
      </c>
      <c r="V12" s="11">
        <f>Low_2019!E27</f>
        <v>738.72</v>
      </c>
      <c r="W12" s="11">
        <f>Med_2019!E27</f>
        <v>729.96</v>
      </c>
      <c r="X12" s="12">
        <f>High_2019!E27</f>
        <v>727.17</v>
      </c>
      <c r="Y12" s="9">
        <f>Base_2019!E41</f>
        <v>1362.41</v>
      </c>
      <c r="Z12" s="9">
        <f>Low_2019!E41</f>
        <v>1304.72</v>
      </c>
      <c r="AA12" s="9">
        <f>Med_2019!E41</f>
        <v>1277.32</v>
      </c>
      <c r="AB12" s="9">
        <f>High_2019!E41</f>
        <v>1257.69</v>
      </c>
    </row>
    <row r="13" spans="2:28" x14ac:dyDescent="0.25">
      <c r="B13" s="7" t="s">
        <v>8</v>
      </c>
      <c r="C13" s="10">
        <f>Base_2019!B14</f>
        <v>1141287</v>
      </c>
      <c r="D13" s="11">
        <f>Low_2019!B14</f>
        <v>1013477</v>
      </c>
      <c r="E13" s="11">
        <f>Med_2019!B14</f>
        <v>958263</v>
      </c>
      <c r="F13" s="12">
        <f>High_2019!B14</f>
        <v>904486</v>
      </c>
      <c r="G13" s="10">
        <f>Base_2019!B28</f>
        <v>654821</v>
      </c>
      <c r="H13" s="11">
        <f>Low_2019!B28</f>
        <v>580238</v>
      </c>
      <c r="I13" s="11">
        <f>Med_2019!B28</f>
        <v>549483</v>
      </c>
      <c r="J13" s="12">
        <f>High_2019!B28</f>
        <v>517720</v>
      </c>
      <c r="K13" s="9">
        <f>Base_2019!B42</f>
        <v>1796108</v>
      </c>
      <c r="L13" s="9">
        <f>Low_2019!B42</f>
        <v>1593715</v>
      </c>
      <c r="M13" s="9">
        <f>Med_2019!B42</f>
        <v>1507746</v>
      </c>
      <c r="N13" s="9">
        <f>High_2019!B42</f>
        <v>1422206</v>
      </c>
      <c r="P13" s="4" t="s">
        <v>8</v>
      </c>
      <c r="Q13" s="10">
        <f>Base_2019!E14</f>
        <v>739345</v>
      </c>
      <c r="R13" s="11">
        <f>Low_2019!E14</f>
        <v>725197</v>
      </c>
      <c r="S13" s="11">
        <f>Med_2019!E14</f>
        <v>717830</v>
      </c>
      <c r="T13" s="12">
        <f>High_2019!E14</f>
        <v>710524</v>
      </c>
      <c r="U13" s="10">
        <f>Base_2019!E28</f>
        <v>1684848</v>
      </c>
      <c r="V13" s="11">
        <f>Low_2019!E28</f>
        <v>1652419</v>
      </c>
      <c r="W13" s="11">
        <f>Med_2019!E28</f>
        <v>1635531</v>
      </c>
      <c r="X13" s="12">
        <f>High_2019!E28</f>
        <v>1618791</v>
      </c>
      <c r="Y13" s="9">
        <f>Base_2019!E42</f>
        <v>2424193</v>
      </c>
      <c r="Z13" s="9">
        <f>Low_2019!E42</f>
        <v>2377616</v>
      </c>
      <c r="AA13" s="9">
        <f>Med_2019!E42</f>
        <v>2353361</v>
      </c>
      <c r="AB13" s="9">
        <f>High_2019!E42</f>
        <v>2329314</v>
      </c>
    </row>
    <row r="14" spans="2:28" x14ac:dyDescent="0.25">
      <c r="D14" s="38">
        <f>D13/C13 - 1</f>
        <v>-0.11198760697353072</v>
      </c>
      <c r="E14" s="38">
        <f>E13/C13 - 1</f>
        <v>-0.16036632328239964</v>
      </c>
      <c r="F14" s="38">
        <f>F13/C13 - 1</f>
        <v>-0.20748593473858901</v>
      </c>
      <c r="H14" s="38">
        <f>H13/G13 - 1</f>
        <v>-0.11389830197870865</v>
      </c>
      <c r="I14" s="38">
        <f>I13/G13 - 1</f>
        <v>-0.1608653357176999</v>
      </c>
      <c r="J14" s="38">
        <f>J13/G13 - 1</f>
        <v>-0.20937172143226923</v>
      </c>
      <c r="L14" s="38">
        <f>L13/K13 - 1</f>
        <v>-0.11268420384520306</v>
      </c>
      <c r="M14" s="38">
        <f>M13/K13 - 1</f>
        <v>-0.16054825210956136</v>
      </c>
      <c r="N14" s="38">
        <f>N13/K13 - 1</f>
        <v>-0.20817345059428494</v>
      </c>
      <c r="R14" s="38">
        <f>R13/Q13 - 1</f>
        <v>-1.9135856738058732E-2</v>
      </c>
      <c r="S14" s="38">
        <f>S13/Q13 - 1</f>
        <v>-2.9100081829186664E-2</v>
      </c>
      <c r="T14" s="38">
        <f>T13/Q13 - 1</f>
        <v>-3.898180145939989E-2</v>
      </c>
      <c r="V14" s="38">
        <f>V13/U13 - 1</f>
        <v>-1.9247433596383812E-2</v>
      </c>
      <c r="W14" s="38">
        <f>W13/U13 - 1</f>
        <v>-2.9270889718241655E-2</v>
      </c>
      <c r="X14" s="38">
        <f>X13/U13 - 1</f>
        <v>-3.9206504088202587E-2</v>
      </c>
      <c r="Z14" s="38">
        <f>Z13/Y13 - 1</f>
        <v>-1.921340421327844E-2</v>
      </c>
      <c r="AA14" s="38">
        <f>AA13/Y13 - 1</f>
        <v>-2.9218795698197297E-2</v>
      </c>
      <c r="AB14" s="38">
        <f>AB13/Y13 - 1</f>
        <v>-3.9138385433833078E-2</v>
      </c>
    </row>
    <row r="16" spans="2:28" x14ac:dyDescent="0.25">
      <c r="B16" s="8">
        <v>2019</v>
      </c>
      <c r="C16" s="40" t="s">
        <v>9</v>
      </c>
      <c r="D16" s="41"/>
      <c r="E16" s="41"/>
      <c r="F16" s="42"/>
      <c r="G16" s="40" t="s">
        <v>10</v>
      </c>
      <c r="H16" s="41"/>
      <c r="I16" s="41"/>
      <c r="J16" s="42"/>
      <c r="K16" s="40" t="s">
        <v>11</v>
      </c>
      <c r="L16" s="41"/>
      <c r="M16" s="41"/>
      <c r="N16" s="41"/>
      <c r="P16" s="8">
        <v>2019</v>
      </c>
      <c r="Q16" s="40" t="s">
        <v>9</v>
      </c>
      <c r="R16" s="41"/>
      <c r="S16" s="41"/>
      <c r="T16" s="42"/>
      <c r="U16" s="40" t="s">
        <v>10</v>
      </c>
      <c r="V16" s="41"/>
      <c r="W16" s="41"/>
      <c r="X16" s="42"/>
      <c r="Y16" s="40" t="s">
        <v>11</v>
      </c>
      <c r="Z16" s="41"/>
      <c r="AA16" s="41"/>
      <c r="AB16" s="41"/>
    </row>
    <row r="17" spans="2:28" x14ac:dyDescent="0.25">
      <c r="B17" s="17" t="s">
        <v>17</v>
      </c>
      <c r="C17" s="13" t="s">
        <v>12</v>
      </c>
      <c r="D17" s="14" t="s">
        <v>13</v>
      </c>
      <c r="E17" s="14" t="s">
        <v>14</v>
      </c>
      <c r="F17" s="15" t="s">
        <v>15</v>
      </c>
      <c r="G17" s="13" t="s">
        <v>12</v>
      </c>
      <c r="H17" s="14" t="s">
        <v>13</v>
      </c>
      <c r="I17" s="14" t="s">
        <v>14</v>
      </c>
      <c r="J17" s="15" t="s">
        <v>15</v>
      </c>
      <c r="K17" s="14" t="s">
        <v>12</v>
      </c>
      <c r="L17" s="14" t="s">
        <v>13</v>
      </c>
      <c r="M17" s="14" t="s">
        <v>14</v>
      </c>
      <c r="N17" s="14" t="s">
        <v>15</v>
      </c>
      <c r="P17" s="5" t="s">
        <v>20</v>
      </c>
      <c r="Q17" s="13" t="s">
        <v>12</v>
      </c>
      <c r="R17" s="14" t="s">
        <v>13</v>
      </c>
      <c r="S17" s="14" t="s">
        <v>14</v>
      </c>
      <c r="T17" s="15" t="s">
        <v>15</v>
      </c>
      <c r="U17" s="13" t="s">
        <v>12</v>
      </c>
      <c r="V17" s="14" t="s">
        <v>13</v>
      </c>
      <c r="W17" s="14" t="s">
        <v>14</v>
      </c>
      <c r="X17" s="15" t="s">
        <v>15</v>
      </c>
      <c r="Y17" s="14" t="s">
        <v>12</v>
      </c>
      <c r="Z17" s="14" t="s">
        <v>13</v>
      </c>
      <c r="AA17" s="14" t="s">
        <v>14</v>
      </c>
      <c r="AB17" s="14" t="s">
        <v>15</v>
      </c>
    </row>
    <row r="18" spans="2:28" x14ac:dyDescent="0.25">
      <c r="B18" s="6" t="s">
        <v>7</v>
      </c>
      <c r="C18" s="10">
        <f>Base_2019!C5</f>
        <v>22397.1</v>
      </c>
      <c r="D18" s="11">
        <f>Low_2019!C5</f>
        <v>22345.599999999999</v>
      </c>
      <c r="E18" s="11">
        <f>Med_2019!C5</f>
        <v>22328.9</v>
      </c>
      <c r="F18" s="12">
        <f>High_2019!C5</f>
        <v>22312</v>
      </c>
      <c r="G18" s="10">
        <f>Base_2019!C19</f>
        <v>0</v>
      </c>
      <c r="H18" s="11">
        <f>Low_2019!C19</f>
        <v>0</v>
      </c>
      <c r="I18" s="11">
        <f>Med_2019!C19</f>
        <v>0</v>
      </c>
      <c r="J18" s="12">
        <f>High_2019!C19</f>
        <v>0</v>
      </c>
      <c r="K18" s="9">
        <f>Base_2019!C33</f>
        <v>22397.1</v>
      </c>
      <c r="L18" s="9">
        <f>Low_2019!C33</f>
        <v>22345.599999999999</v>
      </c>
      <c r="M18" s="9">
        <f>Med_2019!C33</f>
        <v>22328.9</v>
      </c>
      <c r="N18" s="9">
        <f>High_2019!C33</f>
        <v>22312</v>
      </c>
      <c r="P18" s="4" t="s">
        <v>7</v>
      </c>
      <c r="Q18" s="10">
        <f>Base_2019!F5</f>
        <v>182360</v>
      </c>
      <c r="R18" s="11">
        <f>Low_2019!F5</f>
        <v>181810</v>
      </c>
      <c r="S18" s="11">
        <f>Med_2019!F5</f>
        <v>181586</v>
      </c>
      <c r="T18" s="12">
        <f>High_2019!F5</f>
        <v>181386</v>
      </c>
      <c r="U18" s="10">
        <f>Base_2019!F19</f>
        <v>88808.3</v>
      </c>
      <c r="V18" s="11">
        <f>Low_2019!F19</f>
        <v>88540.3</v>
      </c>
      <c r="W18" s="11">
        <f>Med_2019!F19</f>
        <v>88431.6</v>
      </c>
      <c r="X18" s="12">
        <f>High_2019!F19</f>
        <v>88333.2</v>
      </c>
      <c r="Y18" s="9">
        <f>Base_2019!F33</f>
        <v>271169</v>
      </c>
      <c r="Z18" s="9">
        <f>Low_2019!F33</f>
        <v>270351</v>
      </c>
      <c r="AA18" s="9">
        <f>Med_2019!F33</f>
        <v>270017</v>
      </c>
      <c r="AB18" s="9">
        <f>High_2019!F33</f>
        <v>269719</v>
      </c>
    </row>
    <row r="19" spans="2:28" x14ac:dyDescent="0.25">
      <c r="B19" s="7" t="s">
        <v>6</v>
      </c>
      <c r="C19" s="10">
        <f>Base_2019!C6</f>
        <v>79886.100000000006</v>
      </c>
      <c r="D19" s="11">
        <f>Low_2019!C6</f>
        <v>80041.8</v>
      </c>
      <c r="E19" s="11">
        <f>Med_2019!C6</f>
        <v>80141.5</v>
      </c>
      <c r="F19" s="12">
        <f>High_2019!C6</f>
        <v>80204.399999999994</v>
      </c>
      <c r="G19" s="10">
        <f>Base_2019!C20</f>
        <v>0</v>
      </c>
      <c r="H19" s="11">
        <f>Low_2019!C20</f>
        <v>0</v>
      </c>
      <c r="I19" s="11">
        <f>Med_2019!C20</f>
        <v>0</v>
      </c>
      <c r="J19" s="12">
        <f>High_2019!C20</f>
        <v>0</v>
      </c>
      <c r="K19" s="9">
        <f>Base_2019!C34</f>
        <v>79886.100000000006</v>
      </c>
      <c r="L19" s="9">
        <f>Low_2019!C34</f>
        <v>80041.8</v>
      </c>
      <c r="M19" s="9">
        <f>Med_2019!C34</f>
        <v>80141.5</v>
      </c>
      <c r="N19" s="9">
        <f>High_2019!C34</f>
        <v>80204.399999999994</v>
      </c>
      <c r="P19" s="4" t="s">
        <v>6</v>
      </c>
      <c r="Q19" s="10">
        <f>Base_2019!F6</f>
        <v>77705.5</v>
      </c>
      <c r="R19" s="11">
        <f>Low_2019!F6</f>
        <v>77700.399999999994</v>
      </c>
      <c r="S19" s="11">
        <f>Med_2019!F6</f>
        <v>77697.399999999994</v>
      </c>
      <c r="T19" s="12">
        <f>High_2019!F6</f>
        <v>77697.7</v>
      </c>
      <c r="U19" s="10">
        <f>Base_2019!F20</f>
        <v>37511.199999999997</v>
      </c>
      <c r="V19" s="11">
        <f>Low_2019!F20</f>
        <v>37502.400000000001</v>
      </c>
      <c r="W19" s="11">
        <f>Med_2019!F20</f>
        <v>37500</v>
      </c>
      <c r="X19" s="12">
        <f>High_2019!F20</f>
        <v>37495.1</v>
      </c>
      <c r="Y19" s="9">
        <f>Base_2019!F34</f>
        <v>115217</v>
      </c>
      <c r="Z19" s="9">
        <f>Low_2019!F34</f>
        <v>115203</v>
      </c>
      <c r="AA19" s="9">
        <f>Med_2019!F34</f>
        <v>115197</v>
      </c>
      <c r="AB19" s="9">
        <f>High_2019!F34</f>
        <v>115193</v>
      </c>
    </row>
    <row r="20" spans="2:28" x14ac:dyDescent="0.25">
      <c r="B20" s="7" t="s">
        <v>21</v>
      </c>
      <c r="C20" s="10">
        <f>Base_2019!C7</f>
        <v>0</v>
      </c>
      <c r="D20" s="11">
        <f>Low_2019!C7</f>
        <v>0</v>
      </c>
      <c r="E20" s="11">
        <f>Med_2019!C7</f>
        <v>0</v>
      </c>
      <c r="F20" s="12">
        <f>High_2019!C7</f>
        <v>0</v>
      </c>
      <c r="G20" s="10">
        <f>Base_2019!C21</f>
        <v>0</v>
      </c>
      <c r="H20" s="11">
        <f>Low_2019!C21</f>
        <v>0</v>
      </c>
      <c r="I20" s="11">
        <f>Med_2019!C21</f>
        <v>0</v>
      </c>
      <c r="J20" s="12">
        <f>High_2019!C21</f>
        <v>0</v>
      </c>
      <c r="K20" s="9">
        <f>Base_2019!C35</f>
        <v>0</v>
      </c>
      <c r="L20" s="9">
        <f>Low_2019!C35</f>
        <v>0</v>
      </c>
      <c r="M20" s="9">
        <f>Med_2019!C35</f>
        <v>0</v>
      </c>
      <c r="N20" s="9">
        <f>High_2019!C35</f>
        <v>0</v>
      </c>
      <c r="P20" s="7" t="s">
        <v>21</v>
      </c>
      <c r="Q20" s="10">
        <f>Base_2019!F7</f>
        <v>174377</v>
      </c>
      <c r="R20" s="11">
        <f>Low_2019!F7</f>
        <v>174933</v>
      </c>
      <c r="S20" s="11">
        <f>Med_2019!F7</f>
        <v>175163</v>
      </c>
      <c r="T20" s="12">
        <f>High_2019!F7</f>
        <v>175365</v>
      </c>
      <c r="U20" s="10">
        <f>Base_2019!F21</f>
        <v>84821.7</v>
      </c>
      <c r="V20" s="11">
        <f>Low_2019!F21</f>
        <v>85083.5</v>
      </c>
      <c r="W20" s="11">
        <f>Med_2019!F21</f>
        <v>85191.5</v>
      </c>
      <c r="X20" s="12">
        <f>High_2019!F21</f>
        <v>85289.7</v>
      </c>
      <c r="Y20" s="9">
        <f>Base_2019!F35</f>
        <v>259198</v>
      </c>
      <c r="Z20" s="9">
        <f>Low_2019!F35</f>
        <v>260017</v>
      </c>
      <c r="AA20" s="9">
        <f>Med_2019!F35</f>
        <v>260354</v>
      </c>
      <c r="AB20" s="9">
        <f>High_2019!F35</f>
        <v>260655</v>
      </c>
    </row>
    <row r="21" spans="2:28" x14ac:dyDescent="0.25">
      <c r="B21" s="7" t="s">
        <v>0</v>
      </c>
      <c r="C21" s="10">
        <f>Base_2019!C8</f>
        <v>7310.87</v>
      </c>
      <c r="D21" s="11">
        <f>Low_2019!C8</f>
        <v>7331.17</v>
      </c>
      <c r="E21" s="11">
        <f>Med_2019!C8</f>
        <v>7361.93</v>
      </c>
      <c r="F21" s="12">
        <f>High_2019!C8</f>
        <v>7366.47</v>
      </c>
      <c r="G21" s="10">
        <f>Base_2019!C22</f>
        <v>0</v>
      </c>
      <c r="H21" s="11">
        <f>Low_2019!C22</f>
        <v>0</v>
      </c>
      <c r="I21" s="11">
        <f>Med_2019!C22</f>
        <v>0</v>
      </c>
      <c r="J21" s="12">
        <f>High_2019!C22</f>
        <v>0</v>
      </c>
      <c r="K21" s="9">
        <f>Base_2019!C36</f>
        <v>7310.87</v>
      </c>
      <c r="L21" s="9">
        <f>Low_2019!C36</f>
        <v>7331.17</v>
      </c>
      <c r="M21" s="9">
        <f>Med_2019!C36</f>
        <v>7361.93</v>
      </c>
      <c r="N21" s="9">
        <f>High_2019!C36</f>
        <v>7366.47</v>
      </c>
      <c r="P21" s="4" t="s">
        <v>0</v>
      </c>
      <c r="Q21" s="10">
        <f>Base_2019!F8</f>
        <v>0</v>
      </c>
      <c r="R21" s="11">
        <f>Low_2019!F8</f>
        <v>0</v>
      </c>
      <c r="S21" s="11">
        <f>Med_2019!F8</f>
        <v>0</v>
      </c>
      <c r="T21" s="12">
        <f>High_2019!F8</f>
        <v>0</v>
      </c>
      <c r="U21" s="10">
        <f>Base_2019!F22</f>
        <v>0</v>
      </c>
      <c r="V21" s="11">
        <f>Low_2019!F22</f>
        <v>0</v>
      </c>
      <c r="W21" s="11">
        <f>Med_2019!F22</f>
        <v>0</v>
      </c>
      <c r="X21" s="12">
        <f>High_2019!F22</f>
        <v>0</v>
      </c>
      <c r="Y21" s="9">
        <f>Base_2019!F36</f>
        <v>0</v>
      </c>
      <c r="Z21" s="9">
        <f>Low_2019!F36</f>
        <v>0</v>
      </c>
      <c r="AA21" s="9">
        <f>Med_2019!F36</f>
        <v>0</v>
      </c>
      <c r="AB21" s="9">
        <f>High_2019!F36</f>
        <v>0</v>
      </c>
    </row>
    <row r="22" spans="2:28" x14ac:dyDescent="0.25">
      <c r="B22" s="7" t="s">
        <v>1</v>
      </c>
      <c r="C22" s="10">
        <f>Base_2019!C9</f>
        <v>33.86</v>
      </c>
      <c r="D22" s="11">
        <f>Low_2019!C9</f>
        <v>34.130000000000003</v>
      </c>
      <c r="E22" s="11">
        <f>Med_2019!C9</f>
        <v>34.229999999999997</v>
      </c>
      <c r="F22" s="12">
        <f>High_2019!C9</f>
        <v>34.08</v>
      </c>
      <c r="G22" s="10">
        <f>Base_2019!C23</f>
        <v>0</v>
      </c>
      <c r="H22" s="11">
        <f>Low_2019!C23</f>
        <v>0</v>
      </c>
      <c r="I22" s="11">
        <f>Med_2019!C23</f>
        <v>0</v>
      </c>
      <c r="J22" s="12">
        <f>High_2019!C23</f>
        <v>0</v>
      </c>
      <c r="K22" s="9">
        <f>Base_2019!C37</f>
        <v>33.86</v>
      </c>
      <c r="L22" s="9">
        <f>Low_2019!C37</f>
        <v>34.130000000000003</v>
      </c>
      <c r="M22" s="9">
        <f>Med_2019!C37</f>
        <v>34.229999999999997</v>
      </c>
      <c r="N22" s="9">
        <f>High_2019!C37</f>
        <v>34.08</v>
      </c>
      <c r="P22" s="4" t="s">
        <v>1</v>
      </c>
      <c r="Q22" s="10">
        <f>Base_2019!F9</f>
        <v>0</v>
      </c>
      <c r="R22" s="11">
        <f>Low_2019!F9</f>
        <v>0</v>
      </c>
      <c r="S22" s="11">
        <f>Med_2019!F9</f>
        <v>0</v>
      </c>
      <c r="T22" s="12">
        <f>High_2019!F9</f>
        <v>0</v>
      </c>
      <c r="U22" s="10">
        <f>Base_2019!F23</f>
        <v>0</v>
      </c>
      <c r="V22" s="11">
        <f>Low_2019!F23</f>
        <v>0</v>
      </c>
      <c r="W22" s="11">
        <f>Med_2019!F23</f>
        <v>0</v>
      </c>
      <c r="X22" s="12">
        <f>High_2019!F23</f>
        <v>0</v>
      </c>
      <c r="Y22" s="9">
        <f>Base_2019!F37</f>
        <v>0</v>
      </c>
      <c r="Z22" s="9">
        <f>Low_2019!F37</f>
        <v>0</v>
      </c>
      <c r="AA22" s="9">
        <f>Med_2019!F37</f>
        <v>0</v>
      </c>
      <c r="AB22" s="9">
        <f>High_2019!F37</f>
        <v>0</v>
      </c>
    </row>
    <row r="23" spans="2:28" x14ac:dyDescent="0.25">
      <c r="B23" s="7" t="s">
        <v>2</v>
      </c>
      <c r="C23" s="10">
        <f>Base_2019!C10</f>
        <v>7009.28</v>
      </c>
      <c r="D23" s="11">
        <f>Low_2019!C10</f>
        <v>7003.69</v>
      </c>
      <c r="E23" s="11">
        <f>Med_2019!C10</f>
        <v>7001.88</v>
      </c>
      <c r="F23" s="12">
        <f>High_2019!C10</f>
        <v>7000.63</v>
      </c>
      <c r="G23" s="10">
        <f>Base_2019!C24</f>
        <v>0</v>
      </c>
      <c r="H23" s="11">
        <f>Low_2019!C24</f>
        <v>0</v>
      </c>
      <c r="I23" s="11">
        <f>Med_2019!C24</f>
        <v>0</v>
      </c>
      <c r="J23" s="12">
        <f>High_2019!C24</f>
        <v>0</v>
      </c>
      <c r="K23" s="9">
        <f>Base_2019!C38</f>
        <v>7009.28</v>
      </c>
      <c r="L23" s="9">
        <f>Low_2019!C38</f>
        <v>7003.69</v>
      </c>
      <c r="M23" s="9">
        <f>Med_2019!C38</f>
        <v>7001.88</v>
      </c>
      <c r="N23" s="9">
        <f>High_2019!C38</f>
        <v>7000.63</v>
      </c>
      <c r="P23" s="4" t="s">
        <v>2</v>
      </c>
      <c r="Q23" s="10">
        <f>Base_2019!F10</f>
        <v>0</v>
      </c>
      <c r="R23" s="11">
        <f>Low_2019!F10</f>
        <v>0</v>
      </c>
      <c r="S23" s="11">
        <f>Med_2019!F10</f>
        <v>0</v>
      </c>
      <c r="T23" s="12">
        <f>High_2019!F10</f>
        <v>0</v>
      </c>
      <c r="U23" s="10">
        <f>Base_2019!F24</f>
        <v>0</v>
      </c>
      <c r="V23" s="11">
        <f>Low_2019!F24</f>
        <v>0</v>
      </c>
      <c r="W23" s="11">
        <f>Med_2019!F24</f>
        <v>0</v>
      </c>
      <c r="X23" s="12">
        <f>High_2019!F24</f>
        <v>0</v>
      </c>
      <c r="Y23" s="9">
        <f>Base_2019!F38</f>
        <v>0</v>
      </c>
      <c r="Z23" s="9">
        <f>Low_2019!F38</f>
        <v>0</v>
      </c>
      <c r="AA23" s="9">
        <f>Med_2019!F38</f>
        <v>0</v>
      </c>
      <c r="AB23" s="9">
        <f>High_2019!F38</f>
        <v>0</v>
      </c>
    </row>
    <row r="24" spans="2:28" x14ac:dyDescent="0.25">
      <c r="B24" s="7" t="s">
        <v>3</v>
      </c>
      <c r="C24" s="10">
        <f>Base_2019!C11</f>
        <v>101.12</v>
      </c>
      <c r="D24" s="11">
        <f>Low_2019!C11</f>
        <v>134.29</v>
      </c>
      <c r="E24" s="11">
        <f>Med_2019!C11</f>
        <v>148.06</v>
      </c>
      <c r="F24" s="12">
        <f>High_2019!C11</f>
        <v>165.3</v>
      </c>
      <c r="G24" s="10">
        <f>Base_2019!C25</f>
        <v>0</v>
      </c>
      <c r="H24" s="11">
        <f>Low_2019!C25</f>
        <v>0</v>
      </c>
      <c r="I24" s="11">
        <f>Med_2019!C25</f>
        <v>0</v>
      </c>
      <c r="J24" s="12">
        <f>High_2019!C25</f>
        <v>0</v>
      </c>
      <c r="K24" s="9">
        <f>Base_2019!C39</f>
        <v>101.12</v>
      </c>
      <c r="L24" s="9">
        <f>Low_2019!C39</f>
        <v>134.29</v>
      </c>
      <c r="M24" s="9">
        <f>Med_2019!C39</f>
        <v>148.06</v>
      </c>
      <c r="N24" s="9">
        <f>High_2019!C39</f>
        <v>165.3</v>
      </c>
      <c r="P24" s="4" t="s">
        <v>3</v>
      </c>
      <c r="Q24" s="10">
        <f>Base_2019!F11</f>
        <v>0</v>
      </c>
      <c r="R24" s="11">
        <f>Low_2019!F11</f>
        <v>0</v>
      </c>
      <c r="S24" s="11">
        <f>Med_2019!F11</f>
        <v>0</v>
      </c>
      <c r="T24" s="12">
        <f>High_2019!F11</f>
        <v>0</v>
      </c>
      <c r="U24" s="10">
        <f>Base_2019!F25</f>
        <v>0</v>
      </c>
      <c r="V24" s="11">
        <f>Low_2019!F25</f>
        <v>0</v>
      </c>
      <c r="W24" s="11">
        <f>Med_2019!F25</f>
        <v>0</v>
      </c>
      <c r="X24" s="12">
        <f>High_2019!F25</f>
        <v>0</v>
      </c>
      <c r="Y24" s="9">
        <f>Base_2019!F39</f>
        <v>0</v>
      </c>
      <c r="Z24" s="9">
        <f>Low_2019!F39</f>
        <v>0</v>
      </c>
      <c r="AA24" s="9">
        <f>Med_2019!F39</f>
        <v>0</v>
      </c>
      <c r="AB24" s="9">
        <f>High_2019!F39</f>
        <v>0</v>
      </c>
    </row>
    <row r="25" spans="2:28" x14ac:dyDescent="0.25">
      <c r="B25" s="7" t="s">
        <v>4</v>
      </c>
      <c r="C25" s="10">
        <f>Base_2019!C12</f>
        <v>6700.86</v>
      </c>
      <c r="D25" s="11">
        <f>Low_2019!C12</f>
        <v>6627.18</v>
      </c>
      <c r="E25" s="11">
        <f>Med_2019!C12</f>
        <v>6587.77</v>
      </c>
      <c r="F25" s="12">
        <f>High_2019!C12</f>
        <v>6572.18</v>
      </c>
      <c r="G25" s="10">
        <f>Base_2019!C26</f>
        <v>0</v>
      </c>
      <c r="H25" s="11">
        <f>Low_2019!C26</f>
        <v>0</v>
      </c>
      <c r="I25" s="11">
        <f>Med_2019!C26</f>
        <v>0</v>
      </c>
      <c r="J25" s="12">
        <f>High_2019!C26</f>
        <v>0</v>
      </c>
      <c r="K25" s="9">
        <f>Base_2019!C40</f>
        <v>6700.86</v>
      </c>
      <c r="L25" s="9">
        <f>Low_2019!C40</f>
        <v>6627.18</v>
      </c>
      <c r="M25" s="9">
        <f>Med_2019!C40</f>
        <v>6587.77</v>
      </c>
      <c r="N25" s="9">
        <f>High_2019!C40</f>
        <v>6572.18</v>
      </c>
      <c r="P25" s="4" t="s">
        <v>4</v>
      </c>
      <c r="Q25" s="10">
        <f>Base_2019!F12</f>
        <v>0</v>
      </c>
      <c r="R25" s="11">
        <f>Low_2019!F12</f>
        <v>0</v>
      </c>
      <c r="S25" s="11">
        <f>Med_2019!F12</f>
        <v>0</v>
      </c>
      <c r="T25" s="12">
        <f>High_2019!F12</f>
        <v>0</v>
      </c>
      <c r="U25" s="10">
        <f>Base_2019!F26</f>
        <v>0</v>
      </c>
      <c r="V25" s="11">
        <f>Low_2019!F26</f>
        <v>0</v>
      </c>
      <c r="W25" s="11">
        <f>Med_2019!F26</f>
        <v>0</v>
      </c>
      <c r="X25" s="12">
        <f>High_2019!F26</f>
        <v>0</v>
      </c>
      <c r="Y25" s="9">
        <f>Base_2019!F40</f>
        <v>0</v>
      </c>
      <c r="Z25" s="9">
        <f>Low_2019!F40</f>
        <v>0</v>
      </c>
      <c r="AA25" s="9">
        <f>Med_2019!F40</f>
        <v>0</v>
      </c>
      <c r="AB25" s="9">
        <f>High_2019!F40</f>
        <v>0</v>
      </c>
    </row>
    <row r="26" spans="2:28" x14ac:dyDescent="0.25">
      <c r="B26" s="7" t="s">
        <v>5</v>
      </c>
      <c r="C26" s="10">
        <f>Base_2019!C13</f>
        <v>4073.22</v>
      </c>
      <c r="D26" s="11">
        <f>Low_2019!C13</f>
        <v>3994.54</v>
      </c>
      <c r="E26" s="11">
        <f>Med_2019!C13</f>
        <v>3908.24</v>
      </c>
      <c r="F26" s="12">
        <f>High_2019!C13</f>
        <v>3857.38</v>
      </c>
      <c r="G26" s="10">
        <f>Base_2019!C27</f>
        <v>0</v>
      </c>
      <c r="H26" s="11">
        <f>Low_2019!C27</f>
        <v>0</v>
      </c>
      <c r="I26" s="11">
        <f>Med_2019!C27</f>
        <v>0</v>
      </c>
      <c r="J26" s="12">
        <f>High_2019!C27</f>
        <v>0</v>
      </c>
      <c r="K26" s="9">
        <f>Base_2019!C41</f>
        <v>4073.22</v>
      </c>
      <c r="L26" s="9">
        <f>Low_2019!C41</f>
        <v>3994.54</v>
      </c>
      <c r="M26" s="9">
        <f>Med_2019!C41</f>
        <v>3908.24</v>
      </c>
      <c r="N26" s="9">
        <f>High_2019!C41</f>
        <v>3857.38</v>
      </c>
      <c r="P26" s="4" t="s">
        <v>5</v>
      </c>
      <c r="Q26" s="10">
        <f>Base_2019!F13</f>
        <v>0</v>
      </c>
      <c r="R26" s="11">
        <f>Low_2019!F13</f>
        <v>0</v>
      </c>
      <c r="S26" s="11">
        <f>Med_2019!F13</f>
        <v>0</v>
      </c>
      <c r="T26" s="12">
        <f>High_2019!F13</f>
        <v>0</v>
      </c>
      <c r="U26" s="10">
        <f>Base_2019!F27</f>
        <v>0</v>
      </c>
      <c r="V26" s="11">
        <f>Low_2019!F27</f>
        <v>0</v>
      </c>
      <c r="W26" s="11">
        <f>Med_2019!F27</f>
        <v>0</v>
      </c>
      <c r="X26" s="12">
        <f>High_2019!F27</f>
        <v>0</v>
      </c>
      <c r="Y26" s="9">
        <f>Base_2019!F41</f>
        <v>0</v>
      </c>
      <c r="Z26" s="9">
        <f>Low_2019!F41</f>
        <v>0</v>
      </c>
      <c r="AA26" s="9">
        <f>Med_2019!F41</f>
        <v>0</v>
      </c>
      <c r="AB26" s="9">
        <f>High_2019!F41</f>
        <v>0</v>
      </c>
    </row>
    <row r="27" spans="2:28" x14ac:dyDescent="0.25">
      <c r="B27" s="7" t="s">
        <v>8</v>
      </c>
      <c r="C27" s="10">
        <f>Base_2019!C14</f>
        <v>127512</v>
      </c>
      <c r="D27" s="11">
        <f>Low_2019!C14</f>
        <v>127512</v>
      </c>
      <c r="E27" s="11">
        <f>Med_2019!C14</f>
        <v>127512</v>
      </c>
      <c r="F27" s="12">
        <f>High_2019!C14</f>
        <v>127512</v>
      </c>
      <c r="G27" s="10">
        <f>Base_2019!C28</f>
        <v>0</v>
      </c>
      <c r="H27" s="11">
        <f>Low_2019!C28</f>
        <v>0</v>
      </c>
      <c r="I27" s="11">
        <f>Med_2019!C28</f>
        <v>0</v>
      </c>
      <c r="J27" s="12">
        <f>High_2019!C28</f>
        <v>0</v>
      </c>
      <c r="K27" s="9">
        <f>Base_2019!C42</f>
        <v>127512</v>
      </c>
      <c r="L27" s="9">
        <f>Low_2019!C42</f>
        <v>127512</v>
      </c>
      <c r="M27" s="9">
        <f>Med_2019!C42</f>
        <v>127512</v>
      </c>
      <c r="N27" s="9">
        <f>High_2019!C42</f>
        <v>127512</v>
      </c>
      <c r="P27" s="4" t="s">
        <v>8</v>
      </c>
      <c r="Q27" s="10">
        <f>Base_2019!F14</f>
        <v>434442</v>
      </c>
      <c r="R27" s="11">
        <f>Low_2019!F14</f>
        <v>434444</v>
      </c>
      <c r="S27" s="11">
        <f>Med_2019!F14</f>
        <v>434446</v>
      </c>
      <c r="T27" s="12">
        <f>High_2019!F14</f>
        <v>434448</v>
      </c>
      <c r="U27" s="10">
        <f>Base_2019!F28</f>
        <v>211141</v>
      </c>
      <c r="V27" s="11">
        <f>Low_2019!F28</f>
        <v>211126</v>
      </c>
      <c r="W27" s="11">
        <f>Med_2019!F28</f>
        <v>211123</v>
      </c>
      <c r="X27" s="12">
        <f>High_2019!F28</f>
        <v>211118</v>
      </c>
      <c r="Y27" s="9">
        <f>Base_2019!F42</f>
        <v>645584</v>
      </c>
      <c r="Z27" s="9">
        <f>Low_2019!F42</f>
        <v>645570</v>
      </c>
      <c r="AA27" s="9">
        <f>Med_2019!F42</f>
        <v>645569</v>
      </c>
      <c r="AB27" s="9">
        <f>High_2019!F42</f>
        <v>645566</v>
      </c>
    </row>
    <row r="28" spans="2:28" x14ac:dyDescent="0.25">
      <c r="D28" s="38">
        <f>D27/C27 - 1</f>
        <v>0</v>
      </c>
      <c r="E28" s="38">
        <f>E27/C27 - 1</f>
        <v>0</v>
      </c>
      <c r="F28" s="38">
        <f>F27/C27 - 1</f>
        <v>0</v>
      </c>
      <c r="H28" s="38" t="e">
        <f>H27/G27 - 1</f>
        <v>#DIV/0!</v>
      </c>
      <c r="I28" s="38" t="e">
        <f>I27/G27 - 1</f>
        <v>#DIV/0!</v>
      </c>
      <c r="J28" s="38" t="e">
        <f>J27/G27 - 1</f>
        <v>#DIV/0!</v>
      </c>
      <c r="L28" s="38">
        <f>L27/K27 - 1</f>
        <v>0</v>
      </c>
      <c r="M28" s="38">
        <f>M27/K27 - 1</f>
        <v>0</v>
      </c>
      <c r="N28" s="38">
        <f>N27/K27 - 1</f>
        <v>0</v>
      </c>
      <c r="R28" s="38">
        <f>R27/Q27 - 1</f>
        <v>4.6036064653698361E-6</v>
      </c>
      <c r="S28" s="38">
        <f>S27/Q27 - 1</f>
        <v>9.2072129305176276E-6</v>
      </c>
      <c r="T28" s="38">
        <f>T27/Q27 - 1</f>
        <v>1.3810819395887464E-5</v>
      </c>
      <c r="V28" s="38">
        <f>V27/U27 - 1</f>
        <v>-7.1042573446145063E-5</v>
      </c>
      <c r="W28" s="38">
        <f>W27/U27 - 1</f>
        <v>-8.525108813539628E-5</v>
      </c>
      <c r="X28" s="38">
        <f>X27/U27 - 1</f>
        <v>-1.0893194595085198E-4</v>
      </c>
      <c r="Z28" s="38">
        <f>Z27/Y27 - 1</f>
        <v>-2.1685791469439053E-5</v>
      </c>
      <c r="AA28" s="38">
        <f>AA27/Y27 - 1</f>
        <v>-2.3234776574398985E-5</v>
      </c>
      <c r="AB28" s="38">
        <f>AB27/Y27 - 1</f>
        <v>-2.7881731889278782E-5</v>
      </c>
    </row>
    <row r="30" spans="2:28" x14ac:dyDescent="0.25">
      <c r="B30" s="8">
        <v>2019</v>
      </c>
      <c r="C30" s="40" t="s">
        <v>9</v>
      </c>
      <c r="D30" s="41"/>
      <c r="E30" s="41"/>
      <c r="F30" s="42"/>
      <c r="G30" s="40" t="s">
        <v>10</v>
      </c>
      <c r="H30" s="41"/>
      <c r="I30" s="41"/>
      <c r="J30" s="42"/>
      <c r="K30" s="40" t="s">
        <v>11</v>
      </c>
      <c r="L30" s="41"/>
      <c r="M30" s="41"/>
      <c r="N30" s="41"/>
      <c r="P30" s="8">
        <v>2019</v>
      </c>
      <c r="Q30" s="40" t="s">
        <v>9</v>
      </c>
      <c r="R30" s="41"/>
      <c r="S30" s="41"/>
      <c r="T30" s="42"/>
      <c r="U30" s="40" t="s">
        <v>10</v>
      </c>
      <c r="V30" s="41"/>
      <c r="W30" s="41"/>
      <c r="X30" s="42"/>
      <c r="Y30" s="40" t="s">
        <v>11</v>
      </c>
      <c r="Z30" s="41"/>
      <c r="AA30" s="41"/>
      <c r="AB30" s="41"/>
    </row>
    <row r="31" spans="2:28" x14ac:dyDescent="0.25">
      <c r="B31" s="17" t="s">
        <v>18</v>
      </c>
      <c r="C31" s="13" t="s">
        <v>12</v>
      </c>
      <c r="D31" s="14" t="s">
        <v>13</v>
      </c>
      <c r="E31" s="14" t="s">
        <v>14</v>
      </c>
      <c r="F31" s="15" t="s">
        <v>15</v>
      </c>
      <c r="G31" s="13" t="s">
        <v>12</v>
      </c>
      <c r="H31" s="14" t="s">
        <v>13</v>
      </c>
      <c r="I31" s="14" t="s">
        <v>14</v>
      </c>
      <c r="J31" s="15" t="s">
        <v>15</v>
      </c>
      <c r="K31" s="14" t="s">
        <v>12</v>
      </c>
      <c r="L31" s="14" t="s">
        <v>13</v>
      </c>
      <c r="M31" s="14" t="s">
        <v>14</v>
      </c>
      <c r="N31" s="14" t="s">
        <v>15</v>
      </c>
      <c r="P31" s="5" t="s">
        <v>8</v>
      </c>
      <c r="Q31" s="13" t="s">
        <v>12</v>
      </c>
      <c r="R31" s="14" t="s">
        <v>13</v>
      </c>
      <c r="S31" s="14" t="s">
        <v>14</v>
      </c>
      <c r="T31" s="15" t="s">
        <v>15</v>
      </c>
      <c r="U31" s="13" t="s">
        <v>12</v>
      </c>
      <c r="V31" s="14" t="s">
        <v>13</v>
      </c>
      <c r="W31" s="14" t="s">
        <v>14</v>
      </c>
      <c r="X31" s="15" t="s">
        <v>15</v>
      </c>
      <c r="Y31" s="14" t="s">
        <v>12</v>
      </c>
      <c r="Z31" s="14" t="s">
        <v>13</v>
      </c>
      <c r="AA31" s="14" t="s">
        <v>14</v>
      </c>
      <c r="AB31" s="14" t="s">
        <v>15</v>
      </c>
    </row>
    <row r="32" spans="2:28" x14ac:dyDescent="0.25">
      <c r="B32" s="6" t="s">
        <v>7</v>
      </c>
      <c r="C32" s="10">
        <f>Base_2019!D5</f>
        <v>147453</v>
      </c>
      <c r="D32" s="11">
        <f>Low_2019!D5</f>
        <v>146588</v>
      </c>
      <c r="E32" s="11">
        <f>Med_2019!D5</f>
        <v>146229</v>
      </c>
      <c r="F32" s="12">
        <f>High_2019!D5</f>
        <v>145912</v>
      </c>
      <c r="G32" s="10">
        <f>Base_2019!D19</f>
        <v>368928</v>
      </c>
      <c r="H32" s="11">
        <f>Low_2019!D19</f>
        <v>367219</v>
      </c>
      <c r="I32" s="11">
        <f>Med_2019!D19</f>
        <v>366475</v>
      </c>
      <c r="J32" s="12">
        <f>High_2019!D19</f>
        <v>365834</v>
      </c>
      <c r="K32" s="9">
        <f>Base_2019!D33</f>
        <v>516381</v>
      </c>
      <c r="L32" s="9">
        <f>Low_2019!D33</f>
        <v>513807</v>
      </c>
      <c r="M32" s="9">
        <f>Med_2019!D33</f>
        <v>512704</v>
      </c>
      <c r="N32" s="9">
        <f>High_2019!D33</f>
        <v>511747</v>
      </c>
      <c r="P32" s="4" t="s">
        <v>7</v>
      </c>
      <c r="Q32" s="10">
        <f>Base_2019!G5</f>
        <v>429767</v>
      </c>
      <c r="R32" s="11">
        <f>Low_2019!G5</f>
        <v>421436</v>
      </c>
      <c r="S32" s="11">
        <f>Med_2019!G5</f>
        <v>417937</v>
      </c>
      <c r="T32" s="12">
        <f>High_2019!G5</f>
        <v>414590</v>
      </c>
      <c r="U32" s="10">
        <f>Base_2019!G19</f>
        <v>609547</v>
      </c>
      <c r="V32" s="11">
        <f>Low_2019!G19</f>
        <v>600361</v>
      </c>
      <c r="W32" s="11">
        <f>Med_2019!G19</f>
        <v>596366</v>
      </c>
      <c r="X32" s="12">
        <f>High_2019!G19</f>
        <v>592529</v>
      </c>
      <c r="Y32" s="9">
        <f>Base_2019!G33</f>
        <v>1039314</v>
      </c>
      <c r="Z32" s="9">
        <f>Low_2019!G33</f>
        <v>1021797</v>
      </c>
      <c r="AA32" s="9">
        <f>Med_2019!G33</f>
        <v>1014303</v>
      </c>
      <c r="AB32" s="9">
        <f>High_2019!G33</f>
        <v>1007119</v>
      </c>
    </row>
    <row r="33" spans="2:28" x14ac:dyDescent="0.25">
      <c r="B33" s="7" t="s">
        <v>6</v>
      </c>
      <c r="C33" s="10">
        <f>Base_2019!D6</f>
        <v>1313694</v>
      </c>
      <c r="D33" s="11">
        <f>Low_2019!D6</f>
        <v>1314480</v>
      </c>
      <c r="E33" s="11">
        <f>Med_2019!D6</f>
        <v>1314837</v>
      </c>
      <c r="F33" s="12">
        <f>High_2019!D6</f>
        <v>1315222</v>
      </c>
      <c r="G33" s="10">
        <f>Base_2019!D20</f>
        <v>2693602</v>
      </c>
      <c r="H33" s="11">
        <f>Low_2019!D20</f>
        <v>2695075</v>
      </c>
      <c r="I33" s="11">
        <f>Med_2019!D20</f>
        <v>2695733</v>
      </c>
      <c r="J33" s="12">
        <f>High_2019!D20</f>
        <v>2696409</v>
      </c>
      <c r="K33" s="9">
        <f>Base_2019!D34</f>
        <v>4007296</v>
      </c>
      <c r="L33" s="9">
        <f>Low_2019!D34</f>
        <v>4009555</v>
      </c>
      <c r="M33" s="9">
        <f>Med_2019!D34</f>
        <v>4010570</v>
      </c>
      <c r="N33" s="9">
        <f>High_2019!D34</f>
        <v>4011630</v>
      </c>
      <c r="P33" s="4" t="s">
        <v>6</v>
      </c>
      <c r="Q33" s="10">
        <f>Base_2019!G6</f>
        <v>3225671</v>
      </c>
      <c r="R33" s="11">
        <f>Low_2019!G6</f>
        <v>3097842</v>
      </c>
      <c r="S33" s="11">
        <f>Med_2019!G6</f>
        <v>3041425</v>
      </c>
      <c r="T33" s="12">
        <f>High_2019!G6</f>
        <v>2986152</v>
      </c>
      <c r="U33" s="10">
        <f>Base_2019!G20</f>
        <v>4889716</v>
      </c>
      <c r="V33" s="11">
        <f>Low_2019!G20</f>
        <v>4794174</v>
      </c>
      <c r="W33" s="11">
        <f>Med_2019!G20</f>
        <v>4751470</v>
      </c>
      <c r="X33" s="12">
        <f>High_2019!G20</f>
        <v>4707953</v>
      </c>
      <c r="Y33" s="9">
        <f>Base_2019!G34</f>
        <v>8115387</v>
      </c>
      <c r="Z33" s="9">
        <f>Low_2019!G34</f>
        <v>7892016</v>
      </c>
      <c r="AA33" s="9">
        <f>Med_2019!G34</f>
        <v>7792895</v>
      </c>
      <c r="AB33" s="9">
        <f>High_2019!G34</f>
        <v>7694105</v>
      </c>
    </row>
    <row r="34" spans="2:28" x14ac:dyDescent="0.25">
      <c r="B34" s="7" t="s">
        <v>21</v>
      </c>
      <c r="C34" s="10">
        <f>Base_2019!D7</f>
        <v>0</v>
      </c>
      <c r="D34" s="11">
        <f>Low_2019!D7</f>
        <v>0</v>
      </c>
      <c r="E34" s="11">
        <f>Med_2019!D7</f>
        <v>0</v>
      </c>
      <c r="F34" s="12">
        <f>High_2019!D7</f>
        <v>0</v>
      </c>
      <c r="G34" s="10">
        <f>Base_2019!D21</f>
        <v>0</v>
      </c>
      <c r="H34" s="11">
        <f>Low_2019!D21</f>
        <v>0</v>
      </c>
      <c r="I34" s="11">
        <f>Med_2019!D21</f>
        <v>0</v>
      </c>
      <c r="J34" s="12">
        <f>High_2019!D21</f>
        <v>0</v>
      </c>
      <c r="K34" s="9">
        <f>Base_2019!D35</f>
        <v>0</v>
      </c>
      <c r="L34" s="9">
        <f>Low_2019!D35</f>
        <v>0</v>
      </c>
      <c r="M34" s="9">
        <f>Med_2019!D35</f>
        <v>0</v>
      </c>
      <c r="N34" s="9">
        <f>High_2019!D35</f>
        <v>0</v>
      </c>
      <c r="P34" s="7" t="s">
        <v>21</v>
      </c>
      <c r="Q34" s="10">
        <f>Base_2019!G7</f>
        <v>174377</v>
      </c>
      <c r="R34" s="11">
        <f>Low_2019!G7</f>
        <v>174933</v>
      </c>
      <c r="S34" s="11">
        <f>Med_2019!G7</f>
        <v>175163</v>
      </c>
      <c r="T34" s="12">
        <f>High_2019!G7</f>
        <v>175365</v>
      </c>
      <c r="U34" s="10">
        <f>Base_2019!G21</f>
        <v>84821.7</v>
      </c>
      <c r="V34" s="11">
        <f>Low_2019!G21</f>
        <v>85083.5</v>
      </c>
      <c r="W34" s="11">
        <f>Med_2019!G21</f>
        <v>85191.5</v>
      </c>
      <c r="X34" s="12">
        <f>High_2019!G21</f>
        <v>85289.7</v>
      </c>
      <c r="Y34" s="9">
        <f>Base_2019!G35</f>
        <v>259198</v>
      </c>
      <c r="Z34" s="9">
        <f>Low_2019!G35</f>
        <v>260017</v>
      </c>
      <c r="AA34" s="9">
        <f>Med_2019!G35</f>
        <v>260354</v>
      </c>
      <c r="AB34" s="9">
        <f>High_2019!G35</f>
        <v>260655</v>
      </c>
    </row>
    <row r="35" spans="2:28" x14ac:dyDescent="0.25">
      <c r="B35" s="7" t="s">
        <v>0</v>
      </c>
      <c r="C35" s="10">
        <f>Base_2019!D8</f>
        <v>5221.78</v>
      </c>
      <c r="D35" s="11">
        <f>Low_2019!D8</f>
        <v>5237.96</v>
      </c>
      <c r="E35" s="11">
        <f>Med_2019!D8</f>
        <v>5241.5</v>
      </c>
      <c r="F35" s="12">
        <f>High_2019!D8</f>
        <v>5249.3</v>
      </c>
      <c r="G35" s="10">
        <f>Base_2019!D22</f>
        <v>9821.81</v>
      </c>
      <c r="H35" s="11">
        <f>Low_2019!D22</f>
        <v>9841.65</v>
      </c>
      <c r="I35" s="11">
        <f>Med_2019!D22</f>
        <v>9845.89</v>
      </c>
      <c r="J35" s="12">
        <f>High_2019!D22</f>
        <v>9859.07</v>
      </c>
      <c r="K35" s="9">
        <f>Base_2019!D36</f>
        <v>15043.6</v>
      </c>
      <c r="L35" s="9">
        <f>Low_2019!D36</f>
        <v>15079.6</v>
      </c>
      <c r="M35" s="9">
        <f>Med_2019!D36</f>
        <v>15087.4</v>
      </c>
      <c r="N35" s="9">
        <f>High_2019!D36</f>
        <v>15108.4</v>
      </c>
      <c r="P35" s="4" t="s">
        <v>0</v>
      </c>
      <c r="Q35" s="10">
        <f>Base_2019!G8</f>
        <v>24618.6</v>
      </c>
      <c r="R35" s="11">
        <f>Low_2019!G8</f>
        <v>23350</v>
      </c>
      <c r="S35" s="11">
        <f>Med_2019!G8</f>
        <v>22778.6</v>
      </c>
      <c r="T35" s="12">
        <f>High_2019!G8</f>
        <v>22220.5</v>
      </c>
      <c r="U35" s="10">
        <f>Base_2019!G22</f>
        <v>18910.400000000001</v>
      </c>
      <c r="V35" s="11">
        <f>Low_2019!G22</f>
        <v>18044.099999999999</v>
      </c>
      <c r="W35" s="11">
        <f>Med_2019!G22</f>
        <v>17685.3</v>
      </c>
      <c r="X35" s="12">
        <f>High_2019!G22</f>
        <v>17309</v>
      </c>
      <c r="Y35" s="9">
        <f>Base_2019!G36</f>
        <v>43529</v>
      </c>
      <c r="Z35" s="9">
        <f>Low_2019!G36</f>
        <v>41394.199999999997</v>
      </c>
      <c r="AA35" s="9">
        <f>Med_2019!G36</f>
        <v>40463.9</v>
      </c>
      <c r="AB35" s="9">
        <f>High_2019!G36</f>
        <v>39529.5</v>
      </c>
    </row>
    <row r="36" spans="2:28" x14ac:dyDescent="0.25">
      <c r="B36" s="7" t="s">
        <v>1</v>
      </c>
      <c r="C36" s="10">
        <f>Base_2019!D9</f>
        <v>87.83</v>
      </c>
      <c r="D36" s="11">
        <f>Low_2019!D9</f>
        <v>88.11</v>
      </c>
      <c r="E36" s="11">
        <f>Med_2019!D9</f>
        <v>88.21</v>
      </c>
      <c r="F36" s="12">
        <f>High_2019!D9</f>
        <v>88.5</v>
      </c>
      <c r="G36" s="10">
        <f>Base_2019!D23</f>
        <v>154.41999999999999</v>
      </c>
      <c r="H36" s="11">
        <f>Low_2019!D23</f>
        <v>154.99</v>
      </c>
      <c r="I36" s="11">
        <f>Med_2019!D23</f>
        <v>155.19</v>
      </c>
      <c r="J36" s="12">
        <f>High_2019!D23</f>
        <v>155.63</v>
      </c>
      <c r="K36" s="9">
        <f>Base_2019!D37</f>
        <v>242.25</v>
      </c>
      <c r="L36" s="9">
        <f>Low_2019!D37</f>
        <v>243.1</v>
      </c>
      <c r="M36" s="9">
        <f>Med_2019!D37</f>
        <v>243.4</v>
      </c>
      <c r="N36" s="9">
        <f>High_2019!D37</f>
        <v>244.13</v>
      </c>
      <c r="P36" s="4" t="s">
        <v>1</v>
      </c>
      <c r="Q36" s="10">
        <f>Base_2019!G9</f>
        <v>270.43</v>
      </c>
      <c r="R36" s="11">
        <f>Low_2019!G9</f>
        <v>260.77999999999997</v>
      </c>
      <c r="S36" s="11">
        <f>Med_2019!G9</f>
        <v>255.03</v>
      </c>
      <c r="T36" s="12">
        <f>High_2019!G9</f>
        <v>249.18</v>
      </c>
      <c r="U36" s="10">
        <f>Base_2019!G23</f>
        <v>265.37</v>
      </c>
      <c r="V36" s="11">
        <f>Low_2019!G23</f>
        <v>259</v>
      </c>
      <c r="W36" s="11">
        <f>Med_2019!G23</f>
        <v>256.07</v>
      </c>
      <c r="X36" s="12">
        <f>High_2019!G23</f>
        <v>253.37</v>
      </c>
      <c r="Y36" s="9">
        <f>Base_2019!G37</f>
        <v>535.79999999999995</v>
      </c>
      <c r="Z36" s="9">
        <f>Low_2019!G37</f>
        <v>519.77</v>
      </c>
      <c r="AA36" s="9">
        <f>Med_2019!G37</f>
        <v>511.1</v>
      </c>
      <c r="AB36" s="9">
        <f>High_2019!G37</f>
        <v>502.55</v>
      </c>
    </row>
    <row r="37" spans="2:28" x14ac:dyDescent="0.25">
      <c r="B37" s="7" t="s">
        <v>2</v>
      </c>
      <c r="C37" s="10">
        <f>Base_2019!D10</f>
        <v>1366.42</v>
      </c>
      <c r="D37" s="11">
        <f>Low_2019!D10</f>
        <v>1365.37</v>
      </c>
      <c r="E37" s="11">
        <f>Med_2019!D10</f>
        <v>1364.51</v>
      </c>
      <c r="F37" s="12">
        <f>High_2019!D10</f>
        <v>1364.13</v>
      </c>
      <c r="G37" s="10">
        <f>Base_2019!D24</f>
        <v>1802.74</v>
      </c>
      <c r="H37" s="11">
        <f>Low_2019!D24</f>
        <v>1768.07</v>
      </c>
      <c r="I37" s="11">
        <f>Med_2019!D24</f>
        <v>1768.53</v>
      </c>
      <c r="J37" s="12">
        <f>High_2019!D24</f>
        <v>1768.53</v>
      </c>
      <c r="K37" s="9">
        <f>Base_2019!D38</f>
        <v>3169.17</v>
      </c>
      <c r="L37" s="9">
        <f>Low_2019!D38</f>
        <v>3133.44</v>
      </c>
      <c r="M37" s="9">
        <f>Med_2019!D38</f>
        <v>3133.04</v>
      </c>
      <c r="N37" s="9">
        <f>High_2019!D38</f>
        <v>3132.66</v>
      </c>
      <c r="P37" s="4" t="s">
        <v>2</v>
      </c>
      <c r="Q37" s="10">
        <f>Base_2019!G10</f>
        <v>10355.200000000001</v>
      </c>
      <c r="R37" s="11">
        <f>Low_2019!G10</f>
        <v>10140.9</v>
      </c>
      <c r="S37" s="11">
        <f>Med_2019!G10</f>
        <v>10055.4</v>
      </c>
      <c r="T37" s="12">
        <f>High_2019!G10</f>
        <v>9973.56</v>
      </c>
      <c r="U37" s="10">
        <f>Base_2019!G24</f>
        <v>3211.05</v>
      </c>
      <c r="V37" s="11">
        <f>Low_2019!G24</f>
        <v>3055.51</v>
      </c>
      <c r="W37" s="11">
        <f>Med_2019!G24</f>
        <v>3013.59</v>
      </c>
      <c r="X37" s="12">
        <f>High_2019!G24</f>
        <v>2970.83</v>
      </c>
      <c r="Y37" s="9">
        <f>Base_2019!G38</f>
        <v>13566.2</v>
      </c>
      <c r="Z37" s="9">
        <f>Low_2019!G38</f>
        <v>13196.4</v>
      </c>
      <c r="AA37" s="9">
        <f>Med_2019!G38</f>
        <v>13069</v>
      </c>
      <c r="AB37" s="9">
        <f>High_2019!G38</f>
        <v>12944.4</v>
      </c>
    </row>
    <row r="38" spans="2:28" x14ac:dyDescent="0.25">
      <c r="B38" s="7" t="s">
        <v>3</v>
      </c>
      <c r="C38" s="10">
        <f>Base_2019!D11</f>
        <v>66.010000000000005</v>
      </c>
      <c r="D38" s="11">
        <f>Low_2019!D11</f>
        <v>71.83</v>
      </c>
      <c r="E38" s="11">
        <f>Med_2019!D11</f>
        <v>73.900000000000006</v>
      </c>
      <c r="F38" s="12">
        <f>High_2019!D11</f>
        <v>76.459999999999994</v>
      </c>
      <c r="G38" s="10">
        <f>Base_2019!D25</f>
        <v>0</v>
      </c>
      <c r="H38" s="11">
        <f>Low_2019!D25</f>
        <v>0</v>
      </c>
      <c r="I38" s="11">
        <f>Med_2019!D25</f>
        <v>0</v>
      </c>
      <c r="J38" s="12">
        <f>High_2019!D25</f>
        <v>0</v>
      </c>
      <c r="K38" s="9">
        <f>Base_2019!D39</f>
        <v>66.010000000000005</v>
      </c>
      <c r="L38" s="9">
        <f>Low_2019!D39</f>
        <v>71.83</v>
      </c>
      <c r="M38" s="9">
        <f>Med_2019!D39</f>
        <v>73.900000000000006</v>
      </c>
      <c r="N38" s="9">
        <f>High_2019!D39</f>
        <v>76.459999999999994</v>
      </c>
      <c r="P38" s="4" t="s">
        <v>3</v>
      </c>
      <c r="Q38" s="10">
        <f>Base_2019!G11</f>
        <v>1821.29</v>
      </c>
      <c r="R38" s="11">
        <f>Low_2019!G11</f>
        <v>2026.22</v>
      </c>
      <c r="S38" s="11">
        <f>Med_2019!G11</f>
        <v>2060.0300000000002</v>
      </c>
      <c r="T38" s="12">
        <f>High_2019!G11</f>
        <v>2117.9899999999998</v>
      </c>
      <c r="U38" s="10">
        <f>Base_2019!G25</f>
        <v>0</v>
      </c>
      <c r="V38" s="11">
        <f>Low_2019!G25</f>
        <v>0</v>
      </c>
      <c r="W38" s="11">
        <f>Med_2019!G25</f>
        <v>0</v>
      </c>
      <c r="X38" s="12">
        <f>High_2019!G25</f>
        <v>0</v>
      </c>
      <c r="Y38" s="9">
        <f>Base_2019!G39</f>
        <v>1821.29</v>
      </c>
      <c r="Z38" s="9">
        <f>Low_2019!G39</f>
        <v>2026.22</v>
      </c>
      <c r="AA38" s="9">
        <f>Med_2019!G39</f>
        <v>2060.0300000000002</v>
      </c>
      <c r="AB38" s="9">
        <f>High_2019!G39</f>
        <v>2117.9899999999998</v>
      </c>
    </row>
    <row r="39" spans="2:28" x14ac:dyDescent="0.25">
      <c r="B39" s="7" t="s">
        <v>4</v>
      </c>
      <c r="C39" s="10">
        <f>Base_2019!D12</f>
        <v>7638.61</v>
      </c>
      <c r="D39" s="11">
        <f>Low_2019!D12</f>
        <v>7601.1</v>
      </c>
      <c r="E39" s="11">
        <f>Med_2019!D12</f>
        <v>7579.25</v>
      </c>
      <c r="F39" s="12">
        <f>High_2019!D12</f>
        <v>7557.92</v>
      </c>
      <c r="G39" s="10">
        <f>Base_2019!D26</f>
        <v>11928</v>
      </c>
      <c r="H39" s="11">
        <f>Low_2019!D26</f>
        <v>11945.6</v>
      </c>
      <c r="I39" s="11">
        <f>Med_2019!D26</f>
        <v>11955.9</v>
      </c>
      <c r="J39" s="12">
        <f>High_2019!D26</f>
        <v>11946.5</v>
      </c>
      <c r="K39" s="9">
        <f>Base_2019!D40</f>
        <v>19566.599999999999</v>
      </c>
      <c r="L39" s="9">
        <f>Low_2019!D40</f>
        <v>19546.7</v>
      </c>
      <c r="M39" s="9">
        <f>Med_2019!D40</f>
        <v>19535.099999999999</v>
      </c>
      <c r="N39" s="9">
        <f>High_2019!D40</f>
        <v>19504.400000000001</v>
      </c>
      <c r="P39" s="4" t="s">
        <v>4</v>
      </c>
      <c r="Q39" s="10">
        <f>Base_2019!G12</f>
        <v>33837.699999999997</v>
      </c>
      <c r="R39" s="11">
        <f>Low_2019!G12</f>
        <v>31262.400000000001</v>
      </c>
      <c r="S39" s="11">
        <f>Med_2019!G12</f>
        <v>30099.7</v>
      </c>
      <c r="T39" s="12">
        <f>High_2019!G12</f>
        <v>29069.599999999999</v>
      </c>
      <c r="U39" s="10">
        <f>Base_2019!G26</f>
        <v>26258</v>
      </c>
      <c r="V39" s="11">
        <f>Low_2019!G26</f>
        <v>25008.799999999999</v>
      </c>
      <c r="W39" s="11">
        <f>Med_2019!G26</f>
        <v>24482.400000000001</v>
      </c>
      <c r="X39" s="12">
        <f>High_2019!G26</f>
        <v>23922.1</v>
      </c>
      <c r="Y39" s="9">
        <f>Base_2019!G40</f>
        <v>60095.6</v>
      </c>
      <c r="Z39" s="9">
        <f>Low_2019!G40</f>
        <v>56271.199999999997</v>
      </c>
      <c r="AA39" s="9">
        <f>Med_2019!G40</f>
        <v>54582.2</v>
      </c>
      <c r="AB39" s="9">
        <f>High_2019!G40</f>
        <v>52991.8</v>
      </c>
    </row>
    <row r="40" spans="2:28" x14ac:dyDescent="0.25">
      <c r="B40" s="7" t="s">
        <v>5</v>
      </c>
      <c r="C40" s="10">
        <f>Base_2019!D13</f>
        <v>1474.28</v>
      </c>
      <c r="D40" s="11">
        <f>Low_2019!D13</f>
        <v>1439.52</v>
      </c>
      <c r="E40" s="11">
        <f>Med_2019!D13</f>
        <v>1421.2</v>
      </c>
      <c r="F40" s="12">
        <f>High_2019!D13</f>
        <v>1407.13</v>
      </c>
      <c r="G40" s="10">
        <f>Base_2019!D27</f>
        <v>1650.5</v>
      </c>
      <c r="H40" s="11">
        <f>Low_2019!D27</f>
        <v>1670.31</v>
      </c>
      <c r="I40" s="11">
        <f>Med_2019!D27</f>
        <v>1679.16</v>
      </c>
      <c r="J40" s="12">
        <f>High_2019!D27</f>
        <v>1690.98</v>
      </c>
      <c r="K40" s="9">
        <f>Base_2019!D41</f>
        <v>3124.78</v>
      </c>
      <c r="L40" s="9">
        <f>Low_2019!D41</f>
        <v>3109.83</v>
      </c>
      <c r="M40" s="9">
        <f>Med_2019!D41</f>
        <v>3100.37</v>
      </c>
      <c r="N40" s="9">
        <f>High_2019!D41</f>
        <v>3098.11</v>
      </c>
      <c r="P40" s="4" t="s">
        <v>5</v>
      </c>
      <c r="Q40" s="10">
        <f>Base_2019!G13</f>
        <v>18870.599999999999</v>
      </c>
      <c r="R40" s="11">
        <f>Low_2019!G13</f>
        <v>16249.8</v>
      </c>
      <c r="S40" s="11">
        <f>Med_2019!G13</f>
        <v>15112.1</v>
      </c>
      <c r="T40" s="12">
        <f>High_2019!G13</f>
        <v>14110.6</v>
      </c>
      <c r="U40" s="10">
        <f>Base_2019!G27</f>
        <v>5967.77</v>
      </c>
      <c r="V40" s="11">
        <f>Low_2019!G27</f>
        <v>5472</v>
      </c>
      <c r="W40" s="11">
        <f>Med_2019!G27</f>
        <v>5285.28</v>
      </c>
      <c r="X40" s="12">
        <f>High_2019!G27</f>
        <v>5065.6000000000004</v>
      </c>
      <c r="Y40" s="9">
        <f>Base_2019!G41</f>
        <v>24838.3</v>
      </c>
      <c r="Z40" s="9">
        <f>Low_2019!G41</f>
        <v>21721.8</v>
      </c>
      <c r="AA40" s="9">
        <f>Med_2019!G41</f>
        <v>20397.400000000001</v>
      </c>
      <c r="AB40" s="9">
        <f>High_2019!G41</f>
        <v>19176.2</v>
      </c>
    </row>
    <row r="41" spans="2:28" x14ac:dyDescent="0.25">
      <c r="B41" s="7" t="s">
        <v>8</v>
      </c>
      <c r="C41" s="10">
        <f>Base_2019!D14</f>
        <v>1477002</v>
      </c>
      <c r="D41" s="11">
        <f>Low_2019!D14</f>
        <v>1476872</v>
      </c>
      <c r="E41" s="11">
        <f>Med_2019!D14</f>
        <v>1476835</v>
      </c>
      <c r="F41" s="12">
        <f>High_2019!D14</f>
        <v>1476878</v>
      </c>
      <c r="G41" s="10">
        <f>Base_2019!D28</f>
        <v>3087888</v>
      </c>
      <c r="H41" s="11">
        <f>Low_2019!D28</f>
        <v>3087674</v>
      </c>
      <c r="I41" s="11">
        <f>Med_2019!D28</f>
        <v>3087613</v>
      </c>
      <c r="J41" s="12">
        <f>High_2019!D28</f>
        <v>3087664</v>
      </c>
      <c r="K41" s="9">
        <f>Base_2019!D42</f>
        <v>4564889</v>
      </c>
      <c r="L41" s="9">
        <f>Low_2019!D42</f>
        <v>4564546</v>
      </c>
      <c r="M41" s="9">
        <f>Med_2019!D42</f>
        <v>4564448</v>
      </c>
      <c r="N41" s="9">
        <f>High_2019!D42</f>
        <v>4564541</v>
      </c>
      <c r="P41" s="4" t="s">
        <v>8</v>
      </c>
      <c r="Q41" s="10">
        <f>Base_2019!G14</f>
        <v>3919589</v>
      </c>
      <c r="R41" s="11">
        <f>Low_2019!G14</f>
        <v>3777502</v>
      </c>
      <c r="S41" s="11">
        <f>Med_2019!G14</f>
        <v>3714886</v>
      </c>
      <c r="T41" s="12">
        <f>High_2019!G14</f>
        <v>3653848</v>
      </c>
      <c r="U41" s="10">
        <f>Base_2019!G28</f>
        <v>5638697</v>
      </c>
      <c r="V41" s="11">
        <f>Low_2019!G28</f>
        <v>5531458</v>
      </c>
      <c r="W41" s="11">
        <f>Med_2019!G28</f>
        <v>5483750</v>
      </c>
      <c r="X41" s="12">
        <f>High_2019!G28</f>
        <v>5435292</v>
      </c>
      <c r="Y41" s="9">
        <f>Base_2019!G42</f>
        <v>9558286</v>
      </c>
      <c r="Z41" s="9">
        <f>Low_2019!G42</f>
        <v>9308959</v>
      </c>
      <c r="AA41" s="9">
        <f>Med_2019!G42</f>
        <v>9198636</v>
      </c>
      <c r="AB41" s="9">
        <f>High_2019!G42</f>
        <v>9089141</v>
      </c>
    </row>
    <row r="42" spans="2:28" x14ac:dyDescent="0.25">
      <c r="D42" s="38">
        <f>D41/C41 - 1</f>
        <v>-8.8016129971335566E-5</v>
      </c>
      <c r="E42" s="38">
        <f>E41/C41 - 1</f>
        <v>-1.1306687465550969E-4</v>
      </c>
      <c r="F42" s="38">
        <f>F41/C41 - 1</f>
        <v>-8.395384704962261E-5</v>
      </c>
      <c r="H42" s="38">
        <f>H41/G41 - 1</f>
        <v>-6.9303031716150265E-5</v>
      </c>
      <c r="I42" s="38">
        <f>I41/G41 - 1</f>
        <v>-8.9057634214739778E-5</v>
      </c>
      <c r="J42" s="38">
        <f>J41/G41 - 1</f>
        <v>-7.2541491142219527E-5</v>
      </c>
      <c r="L42" s="38">
        <f>L41/K41 - 1</f>
        <v>-7.5138738313218489E-5</v>
      </c>
      <c r="M42" s="38">
        <f>M41/K41 - 1</f>
        <v>-9.6606949259836483E-5</v>
      </c>
      <c r="N42" s="38">
        <f>N41/K41 - 1</f>
        <v>-7.6234055198298734E-5</v>
      </c>
      <c r="R42" s="38">
        <f>R41/Q41 - 1</f>
        <v>-3.6250484425790597E-2</v>
      </c>
      <c r="S42" s="38">
        <f>S41/Q41 - 1</f>
        <v>-5.2225628758525433E-2</v>
      </c>
      <c r="T42" s="38">
        <f>T41/Q41 - 1</f>
        <v>-6.7798179860184327E-2</v>
      </c>
      <c r="V42" s="38">
        <f>V41/U41 - 1</f>
        <v>-1.9018400882331532E-2</v>
      </c>
      <c r="W42" s="38">
        <f>W41/U41 - 1</f>
        <v>-2.7479220819987327E-2</v>
      </c>
      <c r="X42" s="38">
        <f>X41/U41 - 1</f>
        <v>-3.6073050210004176E-2</v>
      </c>
      <c r="Z42" s="38">
        <f>Z41/Y41 - 1</f>
        <v>-2.6084906854639045E-2</v>
      </c>
      <c r="AA42" s="38">
        <f>AA41/Y41 - 1</f>
        <v>-3.7627038990044825E-2</v>
      </c>
      <c r="AB42" s="38">
        <f>AB41/Y41 - 1</f>
        <v>-4.9082544715652987E-2</v>
      </c>
    </row>
  </sheetData>
  <mergeCells count="18">
    <mergeCell ref="Y30:AB30"/>
    <mergeCell ref="C16:F16"/>
    <mergeCell ref="G16:J16"/>
    <mergeCell ref="K16:N16"/>
    <mergeCell ref="Q16:T16"/>
    <mergeCell ref="U16:X16"/>
    <mergeCell ref="Y16:AB16"/>
    <mergeCell ref="C30:F30"/>
    <mergeCell ref="G30:J30"/>
    <mergeCell ref="K30:N30"/>
    <mergeCell ref="Q30:T30"/>
    <mergeCell ref="U30:X30"/>
    <mergeCell ref="Y2:AB2"/>
    <mergeCell ref="C2:F2"/>
    <mergeCell ref="G2:J2"/>
    <mergeCell ref="K2:N2"/>
    <mergeCell ref="Q2:T2"/>
    <mergeCell ref="U2:X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2:AB41"/>
  <sheetViews>
    <sheetView topLeftCell="L1" zoomScale="91" zoomScaleNormal="91" workbookViewId="0">
      <selection activeCell="Z33" sqref="Z33"/>
    </sheetView>
  </sheetViews>
  <sheetFormatPr defaultRowHeight="15" x14ac:dyDescent="0.25"/>
  <cols>
    <col min="1" max="1" width="9.140625" style="3"/>
    <col min="2" max="2" width="19.140625" style="3" customWidth="1"/>
    <col min="3" max="14" width="11" style="3" bestFit="1" customWidth="1"/>
    <col min="15" max="15" width="9.140625" style="3"/>
    <col min="16" max="16" width="19.42578125" style="3" customWidth="1"/>
    <col min="17" max="24" width="11" style="3" bestFit="1" customWidth="1"/>
    <col min="25" max="28" width="12.140625" style="3" bestFit="1" customWidth="1"/>
    <col min="29" max="16384" width="9.140625" style="3"/>
  </cols>
  <sheetData>
    <row r="2" spans="2:28" x14ac:dyDescent="0.25">
      <c r="B2" s="8">
        <v>2050</v>
      </c>
      <c r="C2" s="40" t="s">
        <v>9</v>
      </c>
      <c r="D2" s="41"/>
      <c r="E2" s="41"/>
      <c r="F2" s="42"/>
      <c r="G2" s="40" t="s">
        <v>10</v>
      </c>
      <c r="H2" s="41"/>
      <c r="I2" s="41"/>
      <c r="J2" s="42"/>
      <c r="K2" s="40" t="s">
        <v>11</v>
      </c>
      <c r="L2" s="41"/>
      <c r="M2" s="41"/>
      <c r="N2" s="41"/>
      <c r="P2" s="16">
        <v>2050</v>
      </c>
      <c r="Q2" s="40" t="s">
        <v>9</v>
      </c>
      <c r="R2" s="41"/>
      <c r="S2" s="41"/>
      <c r="T2" s="42"/>
      <c r="U2" s="40" t="s">
        <v>10</v>
      </c>
      <c r="V2" s="41"/>
      <c r="W2" s="41"/>
      <c r="X2" s="42"/>
      <c r="Y2" s="40" t="s">
        <v>11</v>
      </c>
      <c r="Z2" s="41"/>
      <c r="AA2" s="41"/>
      <c r="AB2" s="41"/>
    </row>
    <row r="3" spans="2:28" x14ac:dyDescent="0.25">
      <c r="B3" s="17" t="s">
        <v>16</v>
      </c>
      <c r="C3" s="13" t="s">
        <v>12</v>
      </c>
      <c r="D3" s="14" t="s">
        <v>13</v>
      </c>
      <c r="E3" s="14" t="s">
        <v>14</v>
      </c>
      <c r="F3" s="15" t="s">
        <v>15</v>
      </c>
      <c r="G3" s="13" t="s">
        <v>12</v>
      </c>
      <c r="H3" s="14" t="s">
        <v>13</v>
      </c>
      <c r="I3" s="14" t="s">
        <v>14</v>
      </c>
      <c r="J3" s="15" t="s">
        <v>15</v>
      </c>
      <c r="K3" s="14" t="s">
        <v>12</v>
      </c>
      <c r="L3" s="14" t="s">
        <v>13</v>
      </c>
      <c r="M3" s="14" t="s">
        <v>14</v>
      </c>
      <c r="N3" s="14" t="s">
        <v>15</v>
      </c>
      <c r="P3" s="5" t="s">
        <v>19</v>
      </c>
      <c r="Q3" s="13" t="s">
        <v>12</v>
      </c>
      <c r="R3" s="14" t="s">
        <v>13</v>
      </c>
      <c r="S3" s="14" t="s">
        <v>14</v>
      </c>
      <c r="T3" s="15" t="s">
        <v>15</v>
      </c>
      <c r="U3" s="13" t="s">
        <v>12</v>
      </c>
      <c r="V3" s="14" t="s">
        <v>13</v>
      </c>
      <c r="W3" s="14" t="s">
        <v>14</v>
      </c>
      <c r="X3" s="15" t="s">
        <v>15</v>
      </c>
      <c r="Y3" s="14" t="s">
        <v>12</v>
      </c>
      <c r="Z3" s="14" t="s">
        <v>13</v>
      </c>
      <c r="AA3" s="14" t="s">
        <v>14</v>
      </c>
      <c r="AB3" s="14" t="s">
        <v>15</v>
      </c>
    </row>
    <row r="4" spans="2:28" x14ac:dyDescent="0.25">
      <c r="B4" s="6" t="s">
        <v>7</v>
      </c>
      <c r="C4" s="10">
        <f>Base_2050!B5</f>
        <v>81021.289999999994</v>
      </c>
      <c r="D4" s="11">
        <f>Low_2050!B5</f>
        <v>69917.7</v>
      </c>
      <c r="E4" s="11">
        <f>Med_2050!B5</f>
        <v>65325.8</v>
      </c>
      <c r="F4" s="12">
        <f>High_2050!B5</f>
        <v>60845.2</v>
      </c>
      <c r="G4" s="10">
        <f>Base_2050!B19</f>
        <v>58847.32</v>
      </c>
      <c r="H4" s="11">
        <f>Low_2050!B19</f>
        <v>50960.1</v>
      </c>
      <c r="I4" s="11">
        <f>Med_2050!B19</f>
        <v>47731.1</v>
      </c>
      <c r="J4" s="12">
        <f>High_2050!B19</f>
        <v>44487.9</v>
      </c>
      <c r="K4" s="9">
        <f>Base_2050!B33</f>
        <v>139868.62</v>
      </c>
      <c r="L4" s="9">
        <f>Low_2050!B33</f>
        <v>120878</v>
      </c>
      <c r="M4" s="9">
        <f>Med_2050!B33</f>
        <v>113057</v>
      </c>
      <c r="N4" s="9">
        <f>High_2050!B33</f>
        <v>105333</v>
      </c>
      <c r="P4" s="4" t="s">
        <v>7</v>
      </c>
      <c r="Q4" s="10">
        <f>Base_2050!E5</f>
        <v>44177.34</v>
      </c>
      <c r="R4" s="11">
        <f>Low_2050!E5</f>
        <v>42843.1</v>
      </c>
      <c r="S4" s="11">
        <f>Med_2050!E5</f>
        <v>42230.3</v>
      </c>
      <c r="T4" s="12">
        <f>High_2050!E5</f>
        <v>41630.400000000001</v>
      </c>
      <c r="U4" s="10">
        <f>Base_2050!E19</f>
        <v>175705.49</v>
      </c>
      <c r="V4" s="11">
        <f>Low_2050!E19</f>
        <v>170708</v>
      </c>
      <c r="W4" s="11">
        <f>Med_2050!E19</f>
        <v>168386</v>
      </c>
      <c r="X4" s="12">
        <f>High_2050!E19</f>
        <v>166102</v>
      </c>
      <c r="Y4" s="9">
        <f>Base_2050!E33</f>
        <v>219882.83</v>
      </c>
      <c r="Z4" s="9">
        <f>Low_2050!E33</f>
        <v>213551</v>
      </c>
      <c r="AA4" s="9">
        <f>Med_2050!E33</f>
        <v>210616</v>
      </c>
      <c r="AB4" s="9">
        <f>High_2050!E33</f>
        <v>207732</v>
      </c>
    </row>
    <row r="5" spans="2:28" x14ac:dyDescent="0.25">
      <c r="B5" s="7" t="s">
        <v>6</v>
      </c>
      <c r="C5" s="10">
        <f>Base_2050!B6</f>
        <v>1646769.41</v>
      </c>
      <c r="D5" s="11">
        <f>Low_2050!B6</f>
        <v>1449515</v>
      </c>
      <c r="E5" s="11">
        <f>Med_2050!B6</f>
        <v>1364486</v>
      </c>
      <c r="F5" s="12">
        <f>High_2050!B6</f>
        <v>1281252</v>
      </c>
      <c r="G5" s="10">
        <f>Base_2050!B20</f>
        <v>947213.6</v>
      </c>
      <c r="H5" s="11">
        <f>Low_2050!B20</f>
        <v>831417</v>
      </c>
      <c r="I5" s="11">
        <f>Med_2050!B20</f>
        <v>783611</v>
      </c>
      <c r="J5" s="12">
        <f>High_2050!B20</f>
        <v>733660</v>
      </c>
      <c r="K5" s="9">
        <f>Base_2050!B34</f>
        <v>2593983.0099999998</v>
      </c>
      <c r="L5" s="9">
        <f>Low_2050!B34</f>
        <v>2280932</v>
      </c>
      <c r="M5" s="9">
        <f>Med_2050!B34</f>
        <v>2148097</v>
      </c>
      <c r="N5" s="9">
        <f>High_2050!B34</f>
        <v>2014912</v>
      </c>
      <c r="P5" s="4" t="s">
        <v>6</v>
      </c>
      <c r="Q5" s="10">
        <f>Base_2050!E6</f>
        <v>1100545.46</v>
      </c>
      <c r="R5" s="11">
        <f>Low_2050!E6</f>
        <v>1077766</v>
      </c>
      <c r="S5" s="11">
        <f>Med_2050!E6</f>
        <v>1066283</v>
      </c>
      <c r="T5" s="12">
        <f>High_2050!E6</f>
        <v>1054721</v>
      </c>
      <c r="U5" s="10">
        <f>Base_2050!E20</f>
        <v>2440777.4300000002</v>
      </c>
      <c r="V5" s="11">
        <f>Low_2050!E20</f>
        <v>2389879</v>
      </c>
      <c r="W5" s="11">
        <f>Med_2050!E20</f>
        <v>2364295</v>
      </c>
      <c r="X5" s="12">
        <f>High_2050!E20</f>
        <v>2338335</v>
      </c>
      <c r="Y5" s="9">
        <f>Base_2050!E34</f>
        <v>3541322.89</v>
      </c>
      <c r="Z5" s="9">
        <f>Low_2050!E34</f>
        <v>3467645</v>
      </c>
      <c r="AA5" s="9">
        <f>Med_2050!E34</f>
        <v>3430578</v>
      </c>
      <c r="AB5" s="9">
        <f>High_2050!E34</f>
        <v>3393055</v>
      </c>
    </row>
    <row r="6" spans="2:28" x14ac:dyDescent="0.25">
      <c r="B6" s="7" t="s">
        <v>21</v>
      </c>
      <c r="C6" s="10">
        <f>Base_2050!B7</f>
        <v>0</v>
      </c>
      <c r="D6" s="11">
        <f>Low_2050!B7</f>
        <v>0</v>
      </c>
      <c r="E6" s="11">
        <f>Med_2050!B7</f>
        <v>0</v>
      </c>
      <c r="F6" s="12">
        <f>High_2050!B7</f>
        <v>0</v>
      </c>
      <c r="G6" s="10">
        <f>Base_2050!B21</f>
        <v>0</v>
      </c>
      <c r="H6" s="11">
        <f>Low_2050!B21</f>
        <v>0</v>
      </c>
      <c r="I6" s="11">
        <f>Med_2050!B21</f>
        <v>0</v>
      </c>
      <c r="J6" s="12">
        <f>High_2050!B21</f>
        <v>0</v>
      </c>
      <c r="K6" s="9">
        <f>Base_2050!B35</f>
        <v>0</v>
      </c>
      <c r="L6" s="9">
        <f>Low_2050!B35</f>
        <v>0</v>
      </c>
      <c r="M6" s="9">
        <f>Med_2050!B35</f>
        <v>0</v>
      </c>
      <c r="N6" s="9">
        <f>High_2050!B35</f>
        <v>0</v>
      </c>
      <c r="P6" s="7" t="s">
        <v>21</v>
      </c>
      <c r="Q6" s="10">
        <f>Base_2050!E7</f>
        <v>0</v>
      </c>
      <c r="R6" s="11">
        <f>Low_2050!E7</f>
        <v>0</v>
      </c>
      <c r="S6" s="11">
        <f>Med_2050!E7</f>
        <v>0</v>
      </c>
      <c r="T6" s="12">
        <f>High_2050!E7</f>
        <v>0</v>
      </c>
      <c r="U6" s="10">
        <f>Base_2050!E21</f>
        <v>0</v>
      </c>
      <c r="V6" s="11">
        <f>Low_2050!E21</f>
        <v>0</v>
      </c>
      <c r="W6" s="11">
        <f>Med_2050!E21</f>
        <v>0</v>
      </c>
      <c r="X6" s="12">
        <f>High_2050!E21</f>
        <v>0</v>
      </c>
      <c r="Y6" s="9">
        <f>Base_2050!E35</f>
        <v>0</v>
      </c>
      <c r="Z6" s="9">
        <f>Low_2050!E35</f>
        <v>0</v>
      </c>
      <c r="AA6" s="9">
        <f>Med_2050!E35</f>
        <v>0</v>
      </c>
      <c r="AB6" s="9">
        <f>High_2050!E35</f>
        <v>0</v>
      </c>
    </row>
    <row r="7" spans="2:28" x14ac:dyDescent="0.25">
      <c r="B7" s="7" t="s">
        <v>0</v>
      </c>
      <c r="C7" s="10">
        <f>Base_2050!B8</f>
        <v>7335.34</v>
      </c>
      <c r="D7" s="11">
        <f>Low_2050!B8</f>
        <v>6396.82</v>
      </c>
      <c r="E7" s="11">
        <f>Med_2050!B8</f>
        <v>5974.86</v>
      </c>
      <c r="F7" s="12">
        <f>High_2050!B8</f>
        <v>5584.06</v>
      </c>
      <c r="G7" s="10">
        <f>Base_2050!B22</f>
        <v>4416.04</v>
      </c>
      <c r="H7" s="11">
        <f>Low_2050!B22</f>
        <v>3827.08</v>
      </c>
      <c r="I7" s="11">
        <f>Med_2050!B22</f>
        <v>3580.55</v>
      </c>
      <c r="J7" s="12">
        <f>High_2050!B22</f>
        <v>3315.01</v>
      </c>
      <c r="K7" s="9">
        <f>Base_2050!B36</f>
        <v>11751.38</v>
      </c>
      <c r="L7" s="9">
        <f>Low_2050!B36</f>
        <v>10223.9</v>
      </c>
      <c r="M7" s="9">
        <f>Med_2050!B36</f>
        <v>9555.41</v>
      </c>
      <c r="N7" s="9">
        <f>High_2050!B36</f>
        <v>8899.07</v>
      </c>
      <c r="P7" s="4" t="s">
        <v>0</v>
      </c>
      <c r="Q7" s="10">
        <f>Base_2050!E8</f>
        <v>1115.06</v>
      </c>
      <c r="R7" s="11">
        <f>Low_2050!E8</f>
        <v>1087.02</v>
      </c>
      <c r="S7" s="11">
        <f>Med_2050!E8</f>
        <v>1073.3499999999999</v>
      </c>
      <c r="T7" s="12">
        <f>High_2050!E8</f>
        <v>1063.3800000000001</v>
      </c>
      <c r="U7" s="10">
        <f>Base_2050!E22</f>
        <v>2166.6</v>
      </c>
      <c r="V7" s="11">
        <f>Low_2050!E22</f>
        <v>2115.29</v>
      </c>
      <c r="W7" s="11">
        <f>Med_2050!E22</f>
        <v>2089.84</v>
      </c>
      <c r="X7" s="12">
        <f>High_2050!E22</f>
        <v>2068.37</v>
      </c>
      <c r="Y7" s="9">
        <f>Base_2050!E36</f>
        <v>3281.65</v>
      </c>
      <c r="Z7" s="9">
        <f>Low_2050!E36</f>
        <v>3202.31</v>
      </c>
      <c r="AA7" s="9">
        <f>Med_2050!E36</f>
        <v>3163.19</v>
      </c>
      <c r="AB7" s="9">
        <f>High_2050!E36</f>
        <v>3131.75</v>
      </c>
    </row>
    <row r="8" spans="2:28" x14ac:dyDescent="0.25">
      <c r="B8" s="7" t="s">
        <v>1</v>
      </c>
      <c r="C8" s="10">
        <f>Base_2050!B9</f>
        <v>16606.79</v>
      </c>
      <c r="D8" s="11">
        <f>Low_2050!B9</f>
        <v>14654.2</v>
      </c>
      <c r="E8" s="11">
        <f>Med_2050!B9</f>
        <v>13726.3</v>
      </c>
      <c r="F8" s="12">
        <f>High_2050!B9</f>
        <v>12849.1</v>
      </c>
      <c r="G8" s="10">
        <f>Base_2050!B23</f>
        <v>7962.3</v>
      </c>
      <c r="H8" s="11">
        <f>Low_2050!B23</f>
        <v>6969.71</v>
      </c>
      <c r="I8" s="11">
        <f>Med_2050!B23</f>
        <v>6554.34</v>
      </c>
      <c r="J8" s="12">
        <f>High_2050!B23</f>
        <v>6098.1</v>
      </c>
      <c r="K8" s="9">
        <f>Base_2050!B37</f>
        <v>24569.09</v>
      </c>
      <c r="L8" s="9">
        <f>Low_2050!B37</f>
        <v>21623.9</v>
      </c>
      <c r="M8" s="9">
        <f>Med_2050!B37</f>
        <v>20280.599999999999</v>
      </c>
      <c r="N8" s="9">
        <f>High_2050!B37</f>
        <v>18947.2</v>
      </c>
      <c r="P8" s="4" t="s">
        <v>1</v>
      </c>
      <c r="Q8" s="10">
        <f>Base_2050!E9</f>
        <v>3195.87</v>
      </c>
      <c r="R8" s="11">
        <f>Low_2050!E9</f>
        <v>3127.93</v>
      </c>
      <c r="S8" s="11">
        <f>Med_2050!E9</f>
        <v>3089.46</v>
      </c>
      <c r="T8" s="12">
        <f>High_2050!E9</f>
        <v>3051.6</v>
      </c>
      <c r="U8" s="10">
        <f>Base_2050!E23</f>
        <v>4142.46</v>
      </c>
      <c r="V8" s="11">
        <f>Low_2050!E23</f>
        <v>4048.79</v>
      </c>
      <c r="W8" s="11">
        <f>Med_2050!E23</f>
        <v>3996.2</v>
      </c>
      <c r="X8" s="12">
        <f>High_2050!E23</f>
        <v>3944.1</v>
      </c>
      <c r="Y8" s="9">
        <f>Base_2050!E37</f>
        <v>7338.33</v>
      </c>
      <c r="Z8" s="9">
        <f>Low_2050!E37</f>
        <v>7176.73</v>
      </c>
      <c r="AA8" s="9">
        <f>Med_2050!E37</f>
        <v>7085.66</v>
      </c>
      <c r="AB8" s="9">
        <f>High_2050!E37</f>
        <v>6995.69</v>
      </c>
    </row>
    <row r="9" spans="2:28" x14ac:dyDescent="0.25">
      <c r="B9" s="7" t="s">
        <v>2</v>
      </c>
      <c r="C9" s="10">
        <f>Base_2050!B10</f>
        <v>5889.74</v>
      </c>
      <c r="D9" s="11">
        <f>Low_2050!B10</f>
        <v>5159</v>
      </c>
      <c r="E9" s="11">
        <f>Med_2050!B10</f>
        <v>4829.91</v>
      </c>
      <c r="F9" s="12">
        <f>High_2050!B10</f>
        <v>4536.3100000000004</v>
      </c>
      <c r="G9" s="10">
        <f>Base_2050!B24</f>
        <v>2404.38</v>
      </c>
      <c r="H9" s="11">
        <f>Low_2050!B24</f>
        <v>2108.09</v>
      </c>
      <c r="I9" s="11">
        <f>Med_2050!B24</f>
        <v>1988.88</v>
      </c>
      <c r="J9" s="12">
        <f>High_2050!B24</f>
        <v>1858.36</v>
      </c>
      <c r="K9" s="9">
        <f>Base_2050!B38</f>
        <v>8294.1200000000008</v>
      </c>
      <c r="L9" s="9">
        <f>Low_2050!B38</f>
        <v>7267.09</v>
      </c>
      <c r="M9" s="9">
        <f>Med_2050!B38</f>
        <v>6818.79</v>
      </c>
      <c r="N9" s="9">
        <f>High_2050!B38</f>
        <v>6394.67</v>
      </c>
      <c r="P9" s="4" t="s">
        <v>2</v>
      </c>
      <c r="Q9" s="10">
        <f>Base_2050!E10</f>
        <v>1456.29</v>
      </c>
      <c r="R9" s="11">
        <f>Low_2050!E10</f>
        <v>1423.96</v>
      </c>
      <c r="S9" s="11">
        <f>Med_2050!E10</f>
        <v>1407</v>
      </c>
      <c r="T9" s="12">
        <f>High_2050!E10</f>
        <v>1391.16</v>
      </c>
      <c r="U9" s="10">
        <f>Base_2050!E24</f>
        <v>1945.65</v>
      </c>
      <c r="V9" s="11">
        <f>Low_2050!E24</f>
        <v>1895.78</v>
      </c>
      <c r="W9" s="11">
        <f>Med_2050!E24</f>
        <v>1873.45</v>
      </c>
      <c r="X9" s="12">
        <f>High_2050!E24</f>
        <v>1852.6</v>
      </c>
      <c r="Y9" s="9">
        <f>Base_2050!E38</f>
        <v>3401.95</v>
      </c>
      <c r="Z9" s="9">
        <f>Low_2050!E38</f>
        <v>3319.74</v>
      </c>
      <c r="AA9" s="9">
        <f>Med_2050!E38</f>
        <v>3280.45</v>
      </c>
      <c r="AB9" s="9">
        <f>High_2050!E38</f>
        <v>3243.75</v>
      </c>
    </row>
    <row r="10" spans="2:28" x14ac:dyDescent="0.25">
      <c r="B10" s="7" t="s">
        <v>3</v>
      </c>
      <c r="C10" s="10">
        <f>Base_2050!B11</f>
        <v>2148.9699999999998</v>
      </c>
      <c r="D10" s="11">
        <f>Low_2050!B11</f>
        <v>2880.84</v>
      </c>
      <c r="E10" s="11">
        <f>Med_2050!B11</f>
        <v>3190.74</v>
      </c>
      <c r="F10" s="12">
        <f>High_2050!B11</f>
        <v>3517.9</v>
      </c>
      <c r="G10" s="10">
        <f>Base_2050!B25</f>
        <v>33.72</v>
      </c>
      <c r="H10" s="11">
        <f>Low_2050!B25</f>
        <v>33.21</v>
      </c>
      <c r="I10" s="11">
        <f>Med_2050!B25</f>
        <v>32.869999999999997</v>
      </c>
      <c r="J10" s="12">
        <f>High_2050!B25</f>
        <v>32.369999999999997</v>
      </c>
      <c r="K10" s="9">
        <f>Base_2050!B39</f>
        <v>2182.69</v>
      </c>
      <c r="L10" s="9">
        <f>Low_2050!B39</f>
        <v>2914.05</v>
      </c>
      <c r="M10" s="9">
        <f>Med_2050!B39</f>
        <v>3223.61</v>
      </c>
      <c r="N10" s="9">
        <f>High_2050!B39</f>
        <v>3550.27</v>
      </c>
      <c r="P10" s="4" t="s">
        <v>3</v>
      </c>
      <c r="Q10" s="10">
        <f>Base_2050!E11</f>
        <v>11.27</v>
      </c>
      <c r="R10" s="11">
        <f>Low_2050!E11</f>
        <v>21.72</v>
      </c>
      <c r="S10" s="11">
        <f>Med_2050!E11</f>
        <v>26.92</v>
      </c>
      <c r="T10" s="12">
        <f>High_2050!E11</f>
        <v>33.07</v>
      </c>
      <c r="U10" s="10">
        <f>Base_2050!E25</f>
        <v>0.43</v>
      </c>
      <c r="V10" s="11">
        <f>Low_2050!E25</f>
        <v>0.42</v>
      </c>
      <c r="W10" s="11">
        <f>Med_2050!E25</f>
        <v>0.42</v>
      </c>
      <c r="X10" s="12">
        <f>High_2050!E25</f>
        <v>0.41</v>
      </c>
      <c r="Y10" s="9">
        <f>Base_2050!E39</f>
        <v>11.7</v>
      </c>
      <c r="Z10" s="9">
        <f>Low_2050!E39</f>
        <v>22.14</v>
      </c>
      <c r="AA10" s="9">
        <f>Med_2050!E39</f>
        <v>27.33</v>
      </c>
      <c r="AB10" s="9">
        <f>High_2050!E39</f>
        <v>33.479999999999997</v>
      </c>
    </row>
    <row r="11" spans="2:28" x14ac:dyDescent="0.25">
      <c r="B11" s="7" t="s">
        <v>4</v>
      </c>
      <c r="C11" s="10">
        <f>Base_2050!B12</f>
        <v>30214.27</v>
      </c>
      <c r="D11" s="11">
        <f>Low_2050!B12</f>
        <v>25427.599999999999</v>
      </c>
      <c r="E11" s="11">
        <f>Med_2050!B12</f>
        <v>23348.5</v>
      </c>
      <c r="F11" s="12">
        <f>High_2050!B12</f>
        <v>21464</v>
      </c>
      <c r="G11" s="10">
        <f>Base_2050!B26</f>
        <v>16502.29</v>
      </c>
      <c r="H11" s="11">
        <f>Low_2050!B26</f>
        <v>14257.5</v>
      </c>
      <c r="I11" s="11">
        <f>Med_2050!B26</f>
        <v>13301.3</v>
      </c>
      <c r="J11" s="12">
        <f>High_2050!B26</f>
        <v>12219.7</v>
      </c>
      <c r="K11" s="9">
        <f>Base_2050!B40</f>
        <v>46716.56</v>
      </c>
      <c r="L11" s="9">
        <f>Low_2050!B40</f>
        <v>39685.1</v>
      </c>
      <c r="M11" s="9">
        <f>Med_2050!B40</f>
        <v>36649.800000000003</v>
      </c>
      <c r="N11" s="9">
        <f>High_2050!B40</f>
        <v>33683.699999999997</v>
      </c>
      <c r="P11" s="4" t="s">
        <v>4</v>
      </c>
      <c r="Q11" s="10">
        <f>Base_2050!E12</f>
        <v>5019.49</v>
      </c>
      <c r="R11" s="11">
        <f>Low_2050!E12</f>
        <v>4745.1099999999997</v>
      </c>
      <c r="S11" s="11">
        <f>Med_2050!E12</f>
        <v>4635.6000000000004</v>
      </c>
      <c r="T11" s="12">
        <f>High_2050!E12</f>
        <v>4522.09</v>
      </c>
      <c r="U11" s="10">
        <f>Base_2050!E26</f>
        <v>10331.120000000001</v>
      </c>
      <c r="V11" s="11">
        <f>Low_2050!E26</f>
        <v>9961.75</v>
      </c>
      <c r="W11" s="11">
        <f>Med_2050!E26</f>
        <v>9802.9</v>
      </c>
      <c r="X11" s="12">
        <f>High_2050!E26</f>
        <v>9631.92</v>
      </c>
      <c r="Y11" s="9">
        <f>Base_2050!E40</f>
        <v>15350.61</v>
      </c>
      <c r="Z11" s="9">
        <f>Low_2050!E40</f>
        <v>14706.9</v>
      </c>
      <c r="AA11" s="9">
        <f>Med_2050!E40</f>
        <v>14438.5</v>
      </c>
      <c r="AB11" s="9">
        <f>High_2050!E40</f>
        <v>14154</v>
      </c>
    </row>
    <row r="12" spans="2:28" x14ac:dyDescent="0.25">
      <c r="B12" s="7" t="s">
        <v>5</v>
      </c>
      <c r="C12" s="10">
        <f>Base_2050!B13</f>
        <v>32054.58</v>
      </c>
      <c r="D12" s="11">
        <f>Low_2050!B13</f>
        <v>26461.7</v>
      </c>
      <c r="E12" s="11">
        <f>Med_2050!B13</f>
        <v>23782.3</v>
      </c>
      <c r="F12" s="12">
        <f>High_2050!B13</f>
        <v>21617.599999999999</v>
      </c>
      <c r="G12" s="10">
        <f>Base_2050!B27</f>
        <v>10092.219999999999</v>
      </c>
      <c r="H12" s="11">
        <f>Low_2050!B27</f>
        <v>8718.6</v>
      </c>
      <c r="I12" s="11">
        <f>Med_2050!B27</f>
        <v>8162.34</v>
      </c>
      <c r="J12" s="12">
        <f>High_2050!B27</f>
        <v>7473.86</v>
      </c>
      <c r="K12" s="9">
        <f>Base_2050!B41</f>
        <v>42146.8</v>
      </c>
      <c r="L12" s="9">
        <f>Low_2050!B41</f>
        <v>35180.300000000003</v>
      </c>
      <c r="M12" s="9">
        <f>Med_2050!B41</f>
        <v>31944.6</v>
      </c>
      <c r="N12" s="9">
        <f>High_2050!B41</f>
        <v>29091.5</v>
      </c>
      <c r="P12" s="4" t="s">
        <v>5</v>
      </c>
      <c r="Q12" s="10">
        <f>Base_2050!E13</f>
        <v>1109.33</v>
      </c>
      <c r="R12" s="11">
        <f>Low_2050!E13</f>
        <v>1072.71</v>
      </c>
      <c r="S12" s="11">
        <f>Med_2050!E13</f>
        <v>1044.6600000000001</v>
      </c>
      <c r="T12" s="12">
        <f>High_2050!E13</f>
        <v>1019.19</v>
      </c>
      <c r="U12" s="10">
        <f>Base_2050!E27</f>
        <v>1270.72</v>
      </c>
      <c r="V12" s="11">
        <f>Low_2050!E27</f>
        <v>1251.51</v>
      </c>
      <c r="W12" s="11">
        <f>Med_2050!E27</f>
        <v>1243.23</v>
      </c>
      <c r="X12" s="12">
        <f>High_2050!E27</f>
        <v>1230.27</v>
      </c>
      <c r="Y12" s="9">
        <f>Base_2050!E41</f>
        <v>2380.04</v>
      </c>
      <c r="Z12" s="9">
        <f>Low_2050!E41</f>
        <v>2324.2199999999998</v>
      </c>
      <c r="AA12" s="9">
        <f>Med_2050!E41</f>
        <v>2287.89</v>
      </c>
      <c r="AB12" s="9">
        <f>High_2050!E41</f>
        <v>2249.46</v>
      </c>
    </row>
    <row r="13" spans="2:28" x14ac:dyDescent="0.25">
      <c r="B13" s="7" t="s">
        <v>8</v>
      </c>
      <c r="C13" s="10">
        <f>Base_2050!B14</f>
        <v>1822040.4</v>
      </c>
      <c r="D13" s="11">
        <f>Low_2050!B14</f>
        <v>1600413</v>
      </c>
      <c r="E13" s="11">
        <f>Med_2050!B14</f>
        <v>1504665</v>
      </c>
      <c r="F13" s="12">
        <f>High_2050!B14</f>
        <v>1411666</v>
      </c>
      <c r="G13" s="10">
        <f>Base_2050!B28</f>
        <v>1047471.87</v>
      </c>
      <c r="H13" s="11">
        <f>Low_2050!B28</f>
        <v>918291</v>
      </c>
      <c r="I13" s="11">
        <f>Med_2050!B28</f>
        <v>864962</v>
      </c>
      <c r="J13" s="12">
        <f>High_2050!B28</f>
        <v>809146</v>
      </c>
      <c r="K13" s="9">
        <f>Base_2050!B42</f>
        <v>2869512.27</v>
      </c>
      <c r="L13" s="9">
        <f>Low_2050!B42</f>
        <v>2518704</v>
      </c>
      <c r="M13" s="9">
        <f>Med_2050!B42</f>
        <v>2369627</v>
      </c>
      <c r="N13" s="9">
        <f>High_2050!B42</f>
        <v>2220812</v>
      </c>
      <c r="P13" s="4" t="s">
        <v>8</v>
      </c>
      <c r="Q13" s="10">
        <f>Base_2050!E14</f>
        <v>1156630.1100000001</v>
      </c>
      <c r="R13" s="11">
        <f>Low_2050!E14</f>
        <v>1132088</v>
      </c>
      <c r="S13" s="11">
        <f>Med_2050!E14</f>
        <v>1119791</v>
      </c>
      <c r="T13" s="12">
        <f>High_2050!E14</f>
        <v>1107432</v>
      </c>
      <c r="U13" s="10">
        <f>Base_2050!E28</f>
        <v>2636339.89</v>
      </c>
      <c r="V13" s="11">
        <f>Low_2050!E28</f>
        <v>2579860</v>
      </c>
      <c r="W13" s="11">
        <f>Med_2050!E28</f>
        <v>2551687</v>
      </c>
      <c r="X13" s="12">
        <f>High_2050!E28</f>
        <v>2523164</v>
      </c>
      <c r="Y13" s="9">
        <f>Base_2050!E42</f>
        <v>3792970</v>
      </c>
      <c r="Z13" s="9">
        <f>Low_2050!E42</f>
        <v>3711948</v>
      </c>
      <c r="AA13" s="9">
        <f>Med_2050!E42</f>
        <v>3671477</v>
      </c>
      <c r="AB13" s="9">
        <f>High_2050!E42</f>
        <v>3630596</v>
      </c>
    </row>
    <row r="16" spans="2:28" x14ac:dyDescent="0.25">
      <c r="B16" s="8">
        <v>2050</v>
      </c>
      <c r="C16" s="40" t="s">
        <v>9</v>
      </c>
      <c r="D16" s="41"/>
      <c r="E16" s="41"/>
      <c r="F16" s="42"/>
      <c r="G16" s="40" t="s">
        <v>10</v>
      </c>
      <c r="H16" s="41"/>
      <c r="I16" s="41"/>
      <c r="J16" s="42"/>
      <c r="K16" s="40" t="s">
        <v>11</v>
      </c>
      <c r="L16" s="41"/>
      <c r="M16" s="41"/>
      <c r="N16" s="41"/>
      <c r="P16" s="16">
        <v>2050</v>
      </c>
      <c r="Q16" s="40" t="s">
        <v>9</v>
      </c>
      <c r="R16" s="41"/>
      <c r="S16" s="41"/>
      <c r="T16" s="42"/>
      <c r="U16" s="40" t="s">
        <v>10</v>
      </c>
      <c r="V16" s="41"/>
      <c r="W16" s="41"/>
      <c r="X16" s="42"/>
      <c r="Y16" s="40" t="s">
        <v>11</v>
      </c>
      <c r="Z16" s="41"/>
      <c r="AA16" s="41"/>
      <c r="AB16" s="41"/>
    </row>
    <row r="17" spans="2:28" x14ac:dyDescent="0.25">
      <c r="B17" s="17" t="s">
        <v>17</v>
      </c>
      <c r="C17" s="13" t="s">
        <v>12</v>
      </c>
      <c r="D17" s="14" t="s">
        <v>13</v>
      </c>
      <c r="E17" s="14" t="s">
        <v>14</v>
      </c>
      <c r="F17" s="15" t="s">
        <v>15</v>
      </c>
      <c r="G17" s="13" t="s">
        <v>12</v>
      </c>
      <c r="H17" s="14" t="s">
        <v>13</v>
      </c>
      <c r="I17" s="14" t="s">
        <v>14</v>
      </c>
      <c r="J17" s="15" t="s">
        <v>15</v>
      </c>
      <c r="K17" s="14" t="s">
        <v>12</v>
      </c>
      <c r="L17" s="14" t="s">
        <v>13</v>
      </c>
      <c r="M17" s="14" t="s">
        <v>14</v>
      </c>
      <c r="N17" s="14" t="s">
        <v>15</v>
      </c>
      <c r="P17" s="5" t="s">
        <v>20</v>
      </c>
      <c r="Q17" s="13" t="s">
        <v>12</v>
      </c>
      <c r="R17" s="14" t="s">
        <v>13</v>
      </c>
      <c r="S17" s="14" t="s">
        <v>14</v>
      </c>
      <c r="T17" s="15" t="s">
        <v>15</v>
      </c>
      <c r="U17" s="13" t="s">
        <v>12</v>
      </c>
      <c r="V17" s="14" t="s">
        <v>13</v>
      </c>
      <c r="W17" s="14" t="s">
        <v>14</v>
      </c>
      <c r="X17" s="15" t="s">
        <v>15</v>
      </c>
      <c r="Y17" s="14" t="s">
        <v>12</v>
      </c>
      <c r="Z17" s="14" t="s">
        <v>13</v>
      </c>
      <c r="AA17" s="14" t="s">
        <v>14</v>
      </c>
      <c r="AB17" s="14" t="s">
        <v>15</v>
      </c>
    </row>
    <row r="18" spans="2:28" x14ac:dyDescent="0.25">
      <c r="B18" s="6" t="s">
        <v>7</v>
      </c>
      <c r="C18" s="10">
        <f>Base_2050!C5</f>
        <v>25999.93</v>
      </c>
      <c r="D18" s="11">
        <f>Low_2050!C5</f>
        <v>25923.9</v>
      </c>
      <c r="E18" s="11">
        <f>Med_2050!C5</f>
        <v>25892.1</v>
      </c>
      <c r="F18" s="12">
        <f>High_2050!C5</f>
        <v>25861.8</v>
      </c>
      <c r="G18" s="10">
        <f>Base_2050!C19</f>
        <v>0</v>
      </c>
      <c r="H18" s="11">
        <f>Low_2050!C19</f>
        <v>0</v>
      </c>
      <c r="I18" s="11">
        <f>Med_2050!C19</f>
        <v>0</v>
      </c>
      <c r="J18" s="12">
        <f>High_2050!C19</f>
        <v>0</v>
      </c>
      <c r="K18" s="9">
        <f>Base_2050!C33</f>
        <v>25999.93</v>
      </c>
      <c r="L18" s="9">
        <f>Low_2050!C33</f>
        <v>25923.9</v>
      </c>
      <c r="M18" s="9">
        <f>Med_2050!C33</f>
        <v>25892.1</v>
      </c>
      <c r="N18" s="9">
        <f>High_2050!C33</f>
        <v>25861.8</v>
      </c>
      <c r="P18" s="4" t="s">
        <v>7</v>
      </c>
      <c r="Q18" s="10">
        <f>Base_2050!F5</f>
        <v>190415.7</v>
      </c>
      <c r="R18" s="11">
        <f>Low_2050!F5</f>
        <v>189443</v>
      </c>
      <c r="S18" s="11">
        <f>Med_2050!F5</f>
        <v>189069</v>
      </c>
      <c r="T18" s="12">
        <f>High_2050!F5</f>
        <v>188690</v>
      </c>
      <c r="U18" s="10">
        <f>Base_2050!F19</f>
        <v>92731.34</v>
      </c>
      <c r="V18" s="11">
        <f>Low_2050!F19</f>
        <v>92257.4</v>
      </c>
      <c r="W18" s="11">
        <f>Med_2050!F19</f>
        <v>92075.8</v>
      </c>
      <c r="X18" s="12">
        <f>High_2050!F19</f>
        <v>91890.7</v>
      </c>
      <c r="Y18" s="9">
        <f>Base_2050!F33</f>
        <v>283147.03999999998</v>
      </c>
      <c r="Z18" s="9">
        <f>Low_2050!F33</f>
        <v>281701</v>
      </c>
      <c r="AA18" s="9">
        <f>Med_2050!F33</f>
        <v>281145</v>
      </c>
      <c r="AB18" s="9">
        <f>High_2050!F33</f>
        <v>280580</v>
      </c>
    </row>
    <row r="19" spans="2:28" x14ac:dyDescent="0.25">
      <c r="B19" s="7" t="s">
        <v>6</v>
      </c>
      <c r="C19" s="10">
        <f>Base_2050!C6</f>
        <v>109601.71</v>
      </c>
      <c r="D19" s="11">
        <f>Low_2050!C6</f>
        <v>109890</v>
      </c>
      <c r="E19" s="11">
        <f>Med_2050!C6</f>
        <v>110127</v>
      </c>
      <c r="F19" s="12">
        <f>High_2050!C6</f>
        <v>110266</v>
      </c>
      <c r="G19" s="10">
        <f>Base_2050!C20</f>
        <v>0</v>
      </c>
      <c r="H19" s="11">
        <f>Low_2050!C20</f>
        <v>0</v>
      </c>
      <c r="I19" s="11">
        <f>Med_2050!C20</f>
        <v>0</v>
      </c>
      <c r="J19" s="12">
        <f>High_2050!C20</f>
        <v>0</v>
      </c>
      <c r="K19" s="9">
        <f>Base_2050!C34</f>
        <v>109601.71</v>
      </c>
      <c r="L19" s="9">
        <f>Low_2050!C34</f>
        <v>109890</v>
      </c>
      <c r="M19" s="9">
        <f>Med_2050!C34</f>
        <v>110127</v>
      </c>
      <c r="N19" s="9">
        <f>High_2050!C34</f>
        <v>110266</v>
      </c>
      <c r="P19" s="4" t="s">
        <v>6</v>
      </c>
      <c r="Q19" s="10">
        <f>Base_2050!F6</f>
        <v>99114.17</v>
      </c>
      <c r="R19" s="11">
        <f>Low_2050!F6</f>
        <v>99119.6</v>
      </c>
      <c r="S19" s="11">
        <f>Med_2050!F6</f>
        <v>99119.5</v>
      </c>
      <c r="T19" s="12">
        <f>High_2050!F6</f>
        <v>99117.7</v>
      </c>
      <c r="U19" s="10">
        <f>Base_2050!F20</f>
        <v>47904.18</v>
      </c>
      <c r="V19" s="11">
        <f>Low_2050!F20</f>
        <v>47897.5</v>
      </c>
      <c r="W19" s="11">
        <f>Med_2050!F20</f>
        <v>47893.9</v>
      </c>
      <c r="X19" s="12">
        <f>High_2050!F20</f>
        <v>47884.800000000003</v>
      </c>
      <c r="Y19" s="9">
        <f>Base_2050!F34</f>
        <v>147018.35</v>
      </c>
      <c r="Z19" s="9">
        <f>Low_2050!F34</f>
        <v>147017</v>
      </c>
      <c r="AA19" s="9">
        <f>Med_2050!F34</f>
        <v>147013</v>
      </c>
      <c r="AB19" s="9">
        <f>High_2050!F34</f>
        <v>147003</v>
      </c>
    </row>
    <row r="20" spans="2:28" x14ac:dyDescent="0.25">
      <c r="B20" s="7" t="s">
        <v>21</v>
      </c>
      <c r="C20" s="10">
        <f>Base_2050!C7</f>
        <v>0</v>
      </c>
      <c r="D20" s="11">
        <f>Low_2050!C7</f>
        <v>0</v>
      </c>
      <c r="E20" s="11">
        <f>Med_2050!C7</f>
        <v>0</v>
      </c>
      <c r="F20" s="12">
        <f>High_2050!C7</f>
        <v>0</v>
      </c>
      <c r="G20" s="10">
        <f>Base_2050!C21</f>
        <v>0</v>
      </c>
      <c r="H20" s="11">
        <f>Low_2050!C21</f>
        <v>0</v>
      </c>
      <c r="I20" s="11">
        <f>Med_2050!C21</f>
        <v>0</v>
      </c>
      <c r="J20" s="12">
        <f>High_2050!C21</f>
        <v>0</v>
      </c>
      <c r="K20" s="9">
        <f>Base_2050!C35</f>
        <v>0</v>
      </c>
      <c r="L20" s="9">
        <f>Low_2050!C35</f>
        <v>0</v>
      </c>
      <c r="M20" s="9">
        <f>Med_2050!C35</f>
        <v>0</v>
      </c>
      <c r="N20" s="9">
        <f>High_2050!C35</f>
        <v>0</v>
      </c>
      <c r="P20" s="7" t="s">
        <v>21</v>
      </c>
      <c r="Q20" s="10">
        <f>Base_2050!F7</f>
        <v>260629.83</v>
      </c>
      <c r="R20" s="11">
        <f>Low_2050!F7</f>
        <v>261600</v>
      </c>
      <c r="S20" s="11">
        <f>Med_2050!F7</f>
        <v>261979</v>
      </c>
      <c r="T20" s="12">
        <f>High_2050!F7</f>
        <v>262365</v>
      </c>
      <c r="U20" s="10">
        <f>Base_2050!F21</f>
        <v>126898.78</v>
      </c>
      <c r="V20" s="11">
        <f>Low_2050!F21</f>
        <v>127364</v>
      </c>
      <c r="W20" s="11">
        <f>Med_2050!F21</f>
        <v>127545</v>
      </c>
      <c r="X20" s="12">
        <f>High_2050!F21</f>
        <v>127725</v>
      </c>
      <c r="Y20" s="9">
        <f>Base_2050!F35</f>
        <v>387528.61</v>
      </c>
      <c r="Z20" s="9">
        <f>Low_2050!F35</f>
        <v>388964</v>
      </c>
      <c r="AA20" s="9">
        <f>Med_2050!F35</f>
        <v>389525</v>
      </c>
      <c r="AB20" s="9">
        <f>High_2050!F35</f>
        <v>390090</v>
      </c>
    </row>
    <row r="21" spans="2:28" x14ac:dyDescent="0.25">
      <c r="B21" s="7" t="s">
        <v>0</v>
      </c>
      <c r="C21" s="10">
        <f>Base_2050!C8</f>
        <v>6051.79</v>
      </c>
      <c r="D21" s="11">
        <f>Low_2050!C8</f>
        <v>6074.8</v>
      </c>
      <c r="E21" s="11">
        <f>Med_2050!C8</f>
        <v>6071.24</v>
      </c>
      <c r="F21" s="12">
        <f>High_2050!C8</f>
        <v>6089.61</v>
      </c>
      <c r="G21" s="10">
        <f>Base_2050!C22</f>
        <v>0</v>
      </c>
      <c r="H21" s="11">
        <f>Low_2050!C22</f>
        <v>0</v>
      </c>
      <c r="I21" s="11">
        <f>Med_2050!C22</f>
        <v>0</v>
      </c>
      <c r="J21" s="12">
        <f>High_2050!C22</f>
        <v>0</v>
      </c>
      <c r="K21" s="9">
        <f>Base_2050!C36</f>
        <v>6051.79</v>
      </c>
      <c r="L21" s="9">
        <f>Low_2050!C36</f>
        <v>6074.8</v>
      </c>
      <c r="M21" s="9">
        <f>Med_2050!C36</f>
        <v>6071.24</v>
      </c>
      <c r="N21" s="9">
        <f>High_2050!C36</f>
        <v>6089.61</v>
      </c>
      <c r="P21" s="4" t="s">
        <v>0</v>
      </c>
      <c r="Q21" s="10">
        <f>Base_2050!F8</f>
        <v>0</v>
      </c>
      <c r="R21" s="11">
        <f>Low_2050!F8</f>
        <v>0</v>
      </c>
      <c r="S21" s="11">
        <f>Med_2050!F8</f>
        <v>0</v>
      </c>
      <c r="T21" s="12">
        <f>High_2050!F8</f>
        <v>0</v>
      </c>
      <c r="U21" s="10">
        <f>Base_2050!F22</f>
        <v>0</v>
      </c>
      <c r="V21" s="11">
        <f>Low_2050!F22</f>
        <v>0</v>
      </c>
      <c r="W21" s="11">
        <f>Med_2050!F22</f>
        <v>0</v>
      </c>
      <c r="X21" s="12">
        <f>High_2050!F22</f>
        <v>0</v>
      </c>
      <c r="Y21" s="9">
        <f>Base_2050!F36</f>
        <v>0</v>
      </c>
      <c r="Z21" s="9">
        <f>Low_2050!F36</f>
        <v>0</v>
      </c>
      <c r="AA21" s="9">
        <f>Med_2050!F36</f>
        <v>0</v>
      </c>
      <c r="AB21" s="9">
        <f>High_2050!F36</f>
        <v>0</v>
      </c>
    </row>
    <row r="22" spans="2:28" x14ac:dyDescent="0.25">
      <c r="B22" s="7" t="s">
        <v>1</v>
      </c>
      <c r="C22" s="10">
        <f>Base_2050!C9</f>
        <v>4465.3999999999996</v>
      </c>
      <c r="D22" s="11">
        <f>Low_2050!C9</f>
        <v>4456.09</v>
      </c>
      <c r="E22" s="11">
        <f>Med_2050!C9</f>
        <v>4457.76</v>
      </c>
      <c r="F22" s="12">
        <f>High_2050!C9</f>
        <v>4439.96</v>
      </c>
      <c r="G22" s="10">
        <f>Base_2050!C23</f>
        <v>0</v>
      </c>
      <c r="H22" s="11">
        <f>Low_2050!C23</f>
        <v>0</v>
      </c>
      <c r="I22" s="11">
        <f>Med_2050!C23</f>
        <v>0</v>
      </c>
      <c r="J22" s="12">
        <f>High_2050!C23</f>
        <v>0</v>
      </c>
      <c r="K22" s="9">
        <f>Base_2050!C37</f>
        <v>4465.3999999999996</v>
      </c>
      <c r="L22" s="9">
        <f>Low_2050!C37</f>
        <v>4456.09</v>
      </c>
      <c r="M22" s="9">
        <f>Med_2050!C37</f>
        <v>4457.76</v>
      </c>
      <c r="N22" s="9">
        <f>High_2050!C37</f>
        <v>4439.96</v>
      </c>
      <c r="P22" s="4" t="s">
        <v>1</v>
      </c>
      <c r="Q22" s="10">
        <f>Base_2050!F9</f>
        <v>0</v>
      </c>
      <c r="R22" s="11">
        <f>Low_2050!F9</f>
        <v>0</v>
      </c>
      <c r="S22" s="11">
        <f>Med_2050!F9</f>
        <v>0</v>
      </c>
      <c r="T22" s="12">
        <f>High_2050!F9</f>
        <v>0</v>
      </c>
      <c r="U22" s="10">
        <f>Base_2050!F23</f>
        <v>0</v>
      </c>
      <c r="V22" s="11">
        <f>Low_2050!F23</f>
        <v>0</v>
      </c>
      <c r="W22" s="11">
        <f>Med_2050!F23</f>
        <v>0</v>
      </c>
      <c r="X22" s="12">
        <f>High_2050!F23</f>
        <v>0</v>
      </c>
      <c r="Y22" s="9">
        <f>Base_2050!F37</f>
        <v>0</v>
      </c>
      <c r="Z22" s="9">
        <f>Low_2050!F37</f>
        <v>0</v>
      </c>
      <c r="AA22" s="9">
        <f>Med_2050!F37</f>
        <v>0</v>
      </c>
      <c r="AB22" s="9">
        <f>High_2050!F37</f>
        <v>0</v>
      </c>
    </row>
    <row r="23" spans="2:28" x14ac:dyDescent="0.25">
      <c r="B23" s="7" t="s">
        <v>2</v>
      </c>
      <c r="C23" s="10">
        <f>Base_2050!C10</f>
        <v>10257.290000000001</v>
      </c>
      <c r="D23" s="11">
        <f>Low_2050!C10</f>
        <v>10274.1</v>
      </c>
      <c r="E23" s="11">
        <f>Med_2050!C10</f>
        <v>10262.6</v>
      </c>
      <c r="F23" s="12">
        <f>High_2050!C10</f>
        <v>10249.4</v>
      </c>
      <c r="G23" s="10">
        <f>Base_2050!C24</f>
        <v>0</v>
      </c>
      <c r="H23" s="11">
        <f>Low_2050!C24</f>
        <v>0</v>
      </c>
      <c r="I23" s="11">
        <f>Med_2050!C24</f>
        <v>0</v>
      </c>
      <c r="J23" s="12">
        <f>High_2050!C24</f>
        <v>0</v>
      </c>
      <c r="K23" s="9">
        <f>Base_2050!C38</f>
        <v>10257.290000000001</v>
      </c>
      <c r="L23" s="9">
        <f>Low_2050!C38</f>
        <v>10274.1</v>
      </c>
      <c r="M23" s="9">
        <f>Med_2050!C38</f>
        <v>10262.6</v>
      </c>
      <c r="N23" s="9">
        <f>High_2050!C38</f>
        <v>10249.4</v>
      </c>
      <c r="P23" s="4" t="s">
        <v>2</v>
      </c>
      <c r="Q23" s="10">
        <f>Base_2050!F10</f>
        <v>0</v>
      </c>
      <c r="R23" s="11">
        <f>Low_2050!F10</f>
        <v>0</v>
      </c>
      <c r="S23" s="11">
        <f>Med_2050!F10</f>
        <v>0</v>
      </c>
      <c r="T23" s="12">
        <f>High_2050!F10</f>
        <v>0</v>
      </c>
      <c r="U23" s="10">
        <f>Base_2050!F24</f>
        <v>0</v>
      </c>
      <c r="V23" s="11">
        <f>Low_2050!F24</f>
        <v>0</v>
      </c>
      <c r="W23" s="11">
        <f>Med_2050!F24</f>
        <v>0</v>
      </c>
      <c r="X23" s="12">
        <f>High_2050!F24</f>
        <v>0</v>
      </c>
      <c r="Y23" s="9">
        <f>Base_2050!F38</f>
        <v>0</v>
      </c>
      <c r="Z23" s="9">
        <f>Low_2050!F38</f>
        <v>0</v>
      </c>
      <c r="AA23" s="9">
        <f>Med_2050!F38</f>
        <v>0</v>
      </c>
      <c r="AB23" s="9">
        <f>High_2050!F38</f>
        <v>0</v>
      </c>
    </row>
    <row r="24" spans="2:28" x14ac:dyDescent="0.25">
      <c r="B24" s="7" t="s">
        <v>3</v>
      </c>
      <c r="C24" s="10">
        <f>Base_2050!C11</f>
        <v>169.43</v>
      </c>
      <c r="D24" s="11">
        <f>Low_2050!C11</f>
        <v>261.02999999999997</v>
      </c>
      <c r="E24" s="11">
        <f>Med_2050!C11</f>
        <v>306.33</v>
      </c>
      <c r="F24" s="12">
        <f>High_2050!C11</f>
        <v>419.4</v>
      </c>
      <c r="G24" s="10">
        <f>Base_2050!C25</f>
        <v>0</v>
      </c>
      <c r="H24" s="11">
        <f>Low_2050!C25</f>
        <v>0</v>
      </c>
      <c r="I24" s="11">
        <f>Med_2050!C25</f>
        <v>0</v>
      </c>
      <c r="J24" s="12">
        <f>High_2050!C25</f>
        <v>0</v>
      </c>
      <c r="K24" s="9">
        <f>Base_2050!C39</f>
        <v>169.43</v>
      </c>
      <c r="L24" s="9">
        <f>Low_2050!C39</f>
        <v>261.02999999999997</v>
      </c>
      <c r="M24" s="9">
        <f>Med_2050!C39</f>
        <v>306.33</v>
      </c>
      <c r="N24" s="9">
        <f>High_2050!C39</f>
        <v>419.4</v>
      </c>
      <c r="P24" s="4" t="s">
        <v>3</v>
      </c>
      <c r="Q24" s="10">
        <f>Base_2050!F11</f>
        <v>0</v>
      </c>
      <c r="R24" s="11">
        <f>Low_2050!F11</f>
        <v>0</v>
      </c>
      <c r="S24" s="11">
        <f>Med_2050!F11</f>
        <v>0</v>
      </c>
      <c r="T24" s="12">
        <f>High_2050!F11</f>
        <v>0</v>
      </c>
      <c r="U24" s="10">
        <f>Base_2050!F25</f>
        <v>0</v>
      </c>
      <c r="V24" s="11">
        <f>Low_2050!F25</f>
        <v>0</v>
      </c>
      <c r="W24" s="11">
        <f>Med_2050!F25</f>
        <v>0</v>
      </c>
      <c r="X24" s="12">
        <f>High_2050!F25</f>
        <v>0</v>
      </c>
      <c r="Y24" s="9">
        <f>Base_2050!F39</f>
        <v>0</v>
      </c>
      <c r="Z24" s="9">
        <f>Low_2050!F39</f>
        <v>0</v>
      </c>
      <c r="AA24" s="9">
        <f>Med_2050!F39</f>
        <v>0</v>
      </c>
      <c r="AB24" s="9">
        <f>High_2050!F39</f>
        <v>0</v>
      </c>
    </row>
    <row r="25" spans="2:28" x14ac:dyDescent="0.25">
      <c r="B25" s="7" t="s">
        <v>4</v>
      </c>
      <c r="C25" s="10">
        <f>Base_2050!C12</f>
        <v>11358.04</v>
      </c>
      <c r="D25" s="11">
        <f>Low_2050!C12</f>
        <v>11208.5</v>
      </c>
      <c r="E25" s="11">
        <f>Med_2050!C12</f>
        <v>11069.4</v>
      </c>
      <c r="F25" s="12">
        <f>High_2050!C12</f>
        <v>10951.9</v>
      </c>
      <c r="G25" s="10">
        <f>Base_2050!C26</f>
        <v>0</v>
      </c>
      <c r="H25" s="11">
        <f>Low_2050!C26</f>
        <v>0</v>
      </c>
      <c r="I25" s="11">
        <f>Med_2050!C26</f>
        <v>0</v>
      </c>
      <c r="J25" s="12">
        <f>High_2050!C26</f>
        <v>0</v>
      </c>
      <c r="K25" s="9">
        <f>Base_2050!C40</f>
        <v>11358.04</v>
      </c>
      <c r="L25" s="9">
        <f>Low_2050!C40</f>
        <v>11208.5</v>
      </c>
      <c r="M25" s="9">
        <f>Med_2050!C40</f>
        <v>11069.4</v>
      </c>
      <c r="N25" s="9">
        <f>High_2050!C40</f>
        <v>10951.9</v>
      </c>
      <c r="P25" s="4" t="s">
        <v>4</v>
      </c>
      <c r="Q25" s="10">
        <f>Base_2050!F12</f>
        <v>0</v>
      </c>
      <c r="R25" s="11">
        <f>Low_2050!F12</f>
        <v>0</v>
      </c>
      <c r="S25" s="11">
        <f>Med_2050!F12</f>
        <v>0</v>
      </c>
      <c r="T25" s="12">
        <f>High_2050!F12</f>
        <v>0</v>
      </c>
      <c r="U25" s="10">
        <f>Base_2050!F26</f>
        <v>0</v>
      </c>
      <c r="V25" s="11">
        <f>Low_2050!F26</f>
        <v>0</v>
      </c>
      <c r="W25" s="11">
        <f>Med_2050!F26</f>
        <v>0</v>
      </c>
      <c r="X25" s="12">
        <f>High_2050!F26</f>
        <v>0</v>
      </c>
      <c r="Y25" s="9">
        <f>Base_2050!F40</f>
        <v>0</v>
      </c>
      <c r="Z25" s="9">
        <f>Low_2050!F40</f>
        <v>0</v>
      </c>
      <c r="AA25" s="9">
        <f>Med_2050!F40</f>
        <v>0</v>
      </c>
      <c r="AB25" s="9">
        <f>High_2050!F40</f>
        <v>0</v>
      </c>
    </row>
    <row r="26" spans="2:28" x14ac:dyDescent="0.25">
      <c r="B26" s="7" t="s">
        <v>5</v>
      </c>
      <c r="C26" s="10">
        <f>Base_2050!C13</f>
        <v>10058.290000000001</v>
      </c>
      <c r="D26" s="11">
        <f>Low_2050!C13</f>
        <v>9873.23</v>
      </c>
      <c r="E26" s="11">
        <f>Med_2050!C13</f>
        <v>9775.33</v>
      </c>
      <c r="F26" s="12">
        <f>High_2050!C13</f>
        <v>9683.56</v>
      </c>
      <c r="G26" s="10">
        <f>Base_2050!C27</f>
        <v>0</v>
      </c>
      <c r="H26" s="11">
        <f>Low_2050!C27</f>
        <v>0</v>
      </c>
      <c r="I26" s="11">
        <f>Med_2050!C27</f>
        <v>0</v>
      </c>
      <c r="J26" s="12">
        <f>High_2050!C27</f>
        <v>0</v>
      </c>
      <c r="K26" s="9">
        <f>Base_2050!C41</f>
        <v>10058.290000000001</v>
      </c>
      <c r="L26" s="9">
        <f>Low_2050!C41</f>
        <v>9873.23</v>
      </c>
      <c r="M26" s="9">
        <f>Med_2050!C41</f>
        <v>9775.33</v>
      </c>
      <c r="N26" s="9">
        <f>High_2050!C41</f>
        <v>9683.56</v>
      </c>
      <c r="P26" s="4" t="s">
        <v>5</v>
      </c>
      <c r="Q26" s="10">
        <f>Base_2050!F13</f>
        <v>0</v>
      </c>
      <c r="R26" s="11">
        <f>Low_2050!F13</f>
        <v>0</v>
      </c>
      <c r="S26" s="11">
        <f>Med_2050!F13</f>
        <v>0</v>
      </c>
      <c r="T26" s="12">
        <f>High_2050!F13</f>
        <v>0</v>
      </c>
      <c r="U26" s="10">
        <f>Base_2050!F27</f>
        <v>0</v>
      </c>
      <c r="V26" s="11">
        <f>Low_2050!F27</f>
        <v>0</v>
      </c>
      <c r="W26" s="11">
        <f>Med_2050!F27</f>
        <v>0</v>
      </c>
      <c r="X26" s="12">
        <f>High_2050!F27</f>
        <v>0</v>
      </c>
      <c r="Y26" s="9">
        <f>Base_2050!F41</f>
        <v>0</v>
      </c>
      <c r="Z26" s="9">
        <f>Low_2050!F41</f>
        <v>0</v>
      </c>
      <c r="AA26" s="9">
        <f>Med_2050!F41</f>
        <v>0</v>
      </c>
      <c r="AB26" s="9">
        <f>High_2050!F41</f>
        <v>0</v>
      </c>
    </row>
    <row r="27" spans="2:28" x14ac:dyDescent="0.25">
      <c r="B27" s="7" t="s">
        <v>8</v>
      </c>
      <c r="C27" s="10">
        <f>Base_2050!C14</f>
        <v>177961.89</v>
      </c>
      <c r="D27" s="11">
        <f>Low_2050!C14</f>
        <v>177962</v>
      </c>
      <c r="E27" s="11">
        <f>Med_2050!C14</f>
        <v>177962</v>
      </c>
      <c r="F27" s="12">
        <f>High_2050!C14</f>
        <v>177962</v>
      </c>
      <c r="G27" s="10">
        <f>Base_2050!C28</f>
        <v>0</v>
      </c>
      <c r="H27" s="11">
        <f>Low_2050!C28</f>
        <v>0</v>
      </c>
      <c r="I27" s="11">
        <f>Med_2050!C28</f>
        <v>0</v>
      </c>
      <c r="J27" s="12">
        <f>High_2050!C28</f>
        <v>0</v>
      </c>
      <c r="K27" s="9">
        <f>Base_2050!C42</f>
        <v>177961.89</v>
      </c>
      <c r="L27" s="9">
        <f>Low_2050!C42</f>
        <v>177962</v>
      </c>
      <c r="M27" s="9">
        <f>Med_2050!C42</f>
        <v>177962</v>
      </c>
      <c r="N27" s="9">
        <f>High_2050!C42</f>
        <v>177962</v>
      </c>
      <c r="P27" s="4" t="s">
        <v>8</v>
      </c>
      <c r="Q27" s="10">
        <f>Base_2050!F14</f>
        <v>550159.69999999995</v>
      </c>
      <c r="R27" s="11">
        <f>Low_2050!F14</f>
        <v>550163</v>
      </c>
      <c r="S27" s="11">
        <f>Med_2050!F14</f>
        <v>550167</v>
      </c>
      <c r="T27" s="12">
        <f>High_2050!F14</f>
        <v>550172</v>
      </c>
      <c r="U27" s="10">
        <f>Base_2050!F28</f>
        <v>267534.3</v>
      </c>
      <c r="V27" s="11">
        <f>Low_2050!F28</f>
        <v>267519</v>
      </c>
      <c r="W27" s="11">
        <f>Med_2050!F28</f>
        <v>267515</v>
      </c>
      <c r="X27" s="12">
        <f>High_2050!F28</f>
        <v>267500</v>
      </c>
      <c r="Y27" s="9">
        <f>Base_2050!F42</f>
        <v>817694</v>
      </c>
      <c r="Z27" s="9">
        <f>Low_2050!F42</f>
        <v>817681</v>
      </c>
      <c r="AA27" s="9">
        <f>Med_2050!F42</f>
        <v>817683</v>
      </c>
      <c r="AB27" s="9">
        <f>High_2050!F42</f>
        <v>817672</v>
      </c>
    </row>
    <row r="30" spans="2:28" x14ac:dyDescent="0.25">
      <c r="B30" s="8">
        <v>2050</v>
      </c>
      <c r="C30" s="40" t="s">
        <v>9</v>
      </c>
      <c r="D30" s="41"/>
      <c r="E30" s="41"/>
      <c r="F30" s="42"/>
      <c r="G30" s="40" t="s">
        <v>10</v>
      </c>
      <c r="H30" s="41"/>
      <c r="I30" s="41"/>
      <c r="J30" s="42"/>
      <c r="K30" s="40" t="s">
        <v>11</v>
      </c>
      <c r="L30" s="41"/>
      <c r="M30" s="41"/>
      <c r="N30" s="41"/>
      <c r="P30" s="16">
        <v>2050</v>
      </c>
      <c r="Q30" s="40" t="s">
        <v>9</v>
      </c>
      <c r="R30" s="41"/>
      <c r="S30" s="41"/>
      <c r="T30" s="42"/>
      <c r="U30" s="40" t="s">
        <v>10</v>
      </c>
      <c r="V30" s="41"/>
      <c r="W30" s="41"/>
      <c r="X30" s="42"/>
      <c r="Y30" s="40" t="s">
        <v>11</v>
      </c>
      <c r="Z30" s="41"/>
      <c r="AA30" s="41"/>
      <c r="AB30" s="41"/>
    </row>
    <row r="31" spans="2:28" x14ac:dyDescent="0.25">
      <c r="B31" s="17" t="s">
        <v>18</v>
      </c>
      <c r="C31" s="13" t="s">
        <v>12</v>
      </c>
      <c r="D31" s="14" t="s">
        <v>13</v>
      </c>
      <c r="E31" s="14" t="s">
        <v>14</v>
      </c>
      <c r="F31" s="15" t="s">
        <v>15</v>
      </c>
      <c r="G31" s="13" t="s">
        <v>12</v>
      </c>
      <c r="H31" s="14" t="s">
        <v>13</v>
      </c>
      <c r="I31" s="14" t="s">
        <v>14</v>
      </c>
      <c r="J31" s="15" t="s">
        <v>15</v>
      </c>
      <c r="K31" s="14" t="s">
        <v>12</v>
      </c>
      <c r="L31" s="14" t="s">
        <v>13</v>
      </c>
      <c r="M31" s="14" t="s">
        <v>14</v>
      </c>
      <c r="N31" s="14" t="s">
        <v>15</v>
      </c>
      <c r="P31" s="5" t="s">
        <v>8</v>
      </c>
      <c r="Q31" s="13" t="s">
        <v>12</v>
      </c>
      <c r="R31" s="14" t="s">
        <v>13</v>
      </c>
      <c r="S31" s="14" t="s">
        <v>14</v>
      </c>
      <c r="T31" s="15" t="s">
        <v>15</v>
      </c>
      <c r="U31" s="13" t="s">
        <v>12</v>
      </c>
      <c r="V31" s="14" t="s">
        <v>13</v>
      </c>
      <c r="W31" s="14" t="s">
        <v>14</v>
      </c>
      <c r="X31" s="15" t="s">
        <v>15</v>
      </c>
      <c r="Y31" s="14" t="s">
        <v>12</v>
      </c>
      <c r="Z31" s="14" t="s">
        <v>13</v>
      </c>
      <c r="AA31" s="14" t="s">
        <v>14</v>
      </c>
      <c r="AB31" s="14" t="s">
        <v>15</v>
      </c>
    </row>
    <row r="32" spans="2:28" x14ac:dyDescent="0.25">
      <c r="B32" s="6" t="s">
        <v>7</v>
      </c>
      <c r="C32" s="10">
        <f>Base_2050!D5</f>
        <v>229424.37</v>
      </c>
      <c r="D32" s="11">
        <f>Low_2050!D5</f>
        <v>227319</v>
      </c>
      <c r="E32" s="11">
        <f>Med_2050!D5</f>
        <v>226461</v>
      </c>
      <c r="F32" s="12">
        <f>High_2050!D5</f>
        <v>225606</v>
      </c>
      <c r="G32" s="10">
        <f>Base_2050!D19</f>
        <v>582939.64</v>
      </c>
      <c r="H32" s="11">
        <f>Low_2050!D19</f>
        <v>578604</v>
      </c>
      <c r="I32" s="11">
        <f>Med_2050!D19</f>
        <v>576825</v>
      </c>
      <c r="J32" s="12">
        <f>High_2050!D19</f>
        <v>575027</v>
      </c>
      <c r="K32" s="9">
        <f>Base_2050!D33</f>
        <v>812364.01</v>
      </c>
      <c r="L32" s="9">
        <f>Low_2050!D33</f>
        <v>805923</v>
      </c>
      <c r="M32" s="9">
        <f>Med_2050!D33</f>
        <v>803286</v>
      </c>
      <c r="N32" s="9">
        <f>High_2050!D33</f>
        <v>800633</v>
      </c>
      <c r="P32" s="4" t="s">
        <v>7</v>
      </c>
      <c r="Q32" s="10">
        <f>Base_2050!G5</f>
        <v>571038.64</v>
      </c>
      <c r="R32" s="11">
        <f>Low_2050!G5</f>
        <v>555447</v>
      </c>
      <c r="S32" s="11">
        <f>Med_2050!G5</f>
        <v>548978</v>
      </c>
      <c r="T32" s="12">
        <f>High_2050!G5</f>
        <v>542633</v>
      </c>
      <c r="U32" s="10">
        <f>Base_2050!G19</f>
        <v>910223.78</v>
      </c>
      <c r="V32" s="11">
        <f>Low_2050!G19</f>
        <v>892529</v>
      </c>
      <c r="W32" s="11">
        <f>Med_2050!G19</f>
        <v>885018</v>
      </c>
      <c r="X32" s="12">
        <f>High_2050!G19</f>
        <v>877507</v>
      </c>
      <c r="Y32" s="9">
        <f>Base_2050!G33</f>
        <v>1481262.42</v>
      </c>
      <c r="Z32" s="9">
        <f>Low_2050!G33</f>
        <v>1447976.9</v>
      </c>
      <c r="AA32" s="9">
        <f>Med_2050!G33</f>
        <v>1433996.1</v>
      </c>
      <c r="AB32" s="9">
        <f>High_2050!G33</f>
        <v>1420139.8</v>
      </c>
    </row>
    <row r="33" spans="2:28" x14ac:dyDescent="0.25">
      <c r="B33" s="7" t="s">
        <v>6</v>
      </c>
      <c r="C33" s="10">
        <f>Base_2050!D6</f>
        <v>1928939.2</v>
      </c>
      <c r="D33" s="11">
        <f>Low_2050!D6</f>
        <v>1930699</v>
      </c>
      <c r="E33" s="11">
        <f>Med_2050!D6</f>
        <v>1931537</v>
      </c>
      <c r="F33" s="12">
        <f>High_2050!D6</f>
        <v>1932229</v>
      </c>
      <c r="G33" s="10">
        <f>Base_2050!D20</f>
        <v>3948600.84</v>
      </c>
      <c r="H33" s="11">
        <f>Low_2050!D20</f>
        <v>3952314</v>
      </c>
      <c r="I33" s="11">
        <f>Med_2050!D20</f>
        <v>3953917</v>
      </c>
      <c r="J33" s="12">
        <f>High_2050!D20</f>
        <v>3955519</v>
      </c>
      <c r="K33" s="9">
        <f>Base_2050!D34</f>
        <v>5877540.0499999998</v>
      </c>
      <c r="L33" s="9">
        <f>Low_2050!D34</f>
        <v>5883013</v>
      </c>
      <c r="M33" s="9">
        <f>Med_2050!D34</f>
        <v>5885454</v>
      </c>
      <c r="N33" s="9">
        <f>High_2050!D34</f>
        <v>5887748</v>
      </c>
      <c r="P33" s="4" t="s">
        <v>6</v>
      </c>
      <c r="Q33" s="10">
        <f>Base_2050!G6</f>
        <v>4884969.96</v>
      </c>
      <c r="R33" s="11">
        <f>Low_2050!G6</f>
        <v>4666991</v>
      </c>
      <c r="S33" s="11">
        <f>Med_2050!G6</f>
        <v>4571553</v>
      </c>
      <c r="T33" s="12">
        <f>High_2050!G6</f>
        <v>4477585</v>
      </c>
      <c r="U33" s="10">
        <f>Base_2050!G20</f>
        <v>7384496.0499999998</v>
      </c>
      <c r="V33" s="11">
        <f>Low_2050!G20</f>
        <v>7221507</v>
      </c>
      <c r="W33" s="11">
        <f>Med_2050!G20</f>
        <v>7149716</v>
      </c>
      <c r="X33" s="12">
        <f>High_2050!G20</f>
        <v>7075399</v>
      </c>
      <c r="Y33" s="9">
        <f>Base_2050!G34</f>
        <v>12269466</v>
      </c>
      <c r="Z33" s="2">
        <f>Low_2050!G34</f>
        <v>11888497</v>
      </c>
      <c r="AA33" s="2">
        <f>Med_2050!G34</f>
        <v>11721269</v>
      </c>
      <c r="AB33" s="2">
        <f>High_2050!G34</f>
        <v>11552984</v>
      </c>
    </row>
    <row r="34" spans="2:28" x14ac:dyDescent="0.25">
      <c r="B34" s="7" t="s">
        <v>21</v>
      </c>
      <c r="C34" s="10">
        <f>Base_2050!D7</f>
        <v>0</v>
      </c>
      <c r="D34" s="11">
        <f>Low_2050!D7</f>
        <v>0</v>
      </c>
      <c r="E34" s="11">
        <f>Med_2050!D7</f>
        <v>0</v>
      </c>
      <c r="F34" s="12">
        <f>High_2050!D7</f>
        <v>0</v>
      </c>
      <c r="G34" s="10">
        <f>Base_2050!D21</f>
        <v>0</v>
      </c>
      <c r="H34" s="11">
        <f>Low_2050!D21</f>
        <v>0</v>
      </c>
      <c r="I34" s="11">
        <f>Med_2050!D21</f>
        <v>0</v>
      </c>
      <c r="J34" s="12">
        <f>High_2050!D21</f>
        <v>0</v>
      </c>
      <c r="K34" s="9">
        <f>Base_2050!D35</f>
        <v>0</v>
      </c>
      <c r="L34" s="9">
        <f>Low_2050!D35</f>
        <v>0</v>
      </c>
      <c r="M34" s="9">
        <f>Med_2050!D35</f>
        <v>0</v>
      </c>
      <c r="N34" s="9">
        <f>High_2050!D35</f>
        <v>0</v>
      </c>
      <c r="P34" s="7" t="s">
        <v>21</v>
      </c>
      <c r="Q34" s="10">
        <f>Base_2050!G7</f>
        <v>260629.83</v>
      </c>
      <c r="R34" s="11">
        <f>Low_2050!G7</f>
        <v>261600</v>
      </c>
      <c r="S34" s="11">
        <f>Med_2050!G7</f>
        <v>261979</v>
      </c>
      <c r="T34" s="12">
        <f>High_2050!G7</f>
        <v>262365</v>
      </c>
      <c r="U34" s="10">
        <f>Base_2050!G21</f>
        <v>126898.78</v>
      </c>
      <c r="V34" s="11">
        <f>Low_2050!G21</f>
        <v>127364</v>
      </c>
      <c r="W34" s="11">
        <f>Med_2050!G21</f>
        <v>127545</v>
      </c>
      <c r="X34" s="12">
        <f>High_2050!G21</f>
        <v>127725</v>
      </c>
      <c r="Y34" s="9">
        <f>Base_2050!G35</f>
        <v>387528.61</v>
      </c>
      <c r="Z34" s="9">
        <f>Low_2050!G35</f>
        <v>388964</v>
      </c>
      <c r="AA34" s="9">
        <f>Med_2050!G35</f>
        <v>389525</v>
      </c>
      <c r="AB34" s="9">
        <f>High_2050!G35</f>
        <v>390090</v>
      </c>
    </row>
    <row r="35" spans="2:28" x14ac:dyDescent="0.25">
      <c r="B35" s="7" t="s">
        <v>0</v>
      </c>
      <c r="C35" s="10">
        <f>Base_2050!D8</f>
        <v>4257.8900000000003</v>
      </c>
      <c r="D35" s="11">
        <f>Low_2050!D8</f>
        <v>4268</v>
      </c>
      <c r="E35" s="11">
        <f>Med_2050!D8</f>
        <v>4271.7</v>
      </c>
      <c r="F35" s="12">
        <f>High_2050!D8</f>
        <v>4276.7299999999996</v>
      </c>
      <c r="G35" s="10">
        <f>Base_2050!D22</f>
        <v>8228.7199999999993</v>
      </c>
      <c r="H35" s="11">
        <f>Low_2050!D22</f>
        <v>8246.35</v>
      </c>
      <c r="I35" s="11">
        <f>Med_2050!D22</f>
        <v>8252.11</v>
      </c>
      <c r="J35" s="12">
        <f>High_2050!D22</f>
        <v>8265.61</v>
      </c>
      <c r="K35" s="9">
        <f>Base_2050!D36</f>
        <v>12486.61</v>
      </c>
      <c r="L35" s="9">
        <f>Low_2050!D36</f>
        <v>12514.4</v>
      </c>
      <c r="M35" s="9">
        <f>Med_2050!D36</f>
        <v>12523.8</v>
      </c>
      <c r="N35" s="9">
        <f>High_2050!D36</f>
        <v>12542.3</v>
      </c>
      <c r="P35" s="4" t="s">
        <v>0</v>
      </c>
      <c r="Q35" s="10">
        <f>Base_2050!G8</f>
        <v>18760.080000000002</v>
      </c>
      <c r="R35" s="11">
        <f>Low_2050!G8</f>
        <v>17826.599999999999</v>
      </c>
      <c r="S35" s="11">
        <f>Med_2050!G8</f>
        <v>17391.099999999999</v>
      </c>
      <c r="T35" s="12">
        <f>High_2050!G8</f>
        <v>17013.8</v>
      </c>
      <c r="U35" s="10">
        <f>Base_2050!G22</f>
        <v>14811.35</v>
      </c>
      <c r="V35" s="11">
        <f>Low_2050!G22</f>
        <v>14188.7</v>
      </c>
      <c r="W35" s="11">
        <f>Med_2050!G22</f>
        <v>13922.5</v>
      </c>
      <c r="X35" s="12">
        <f>High_2050!G22</f>
        <v>13649</v>
      </c>
      <c r="Y35" s="9">
        <f>Base_2050!G36</f>
        <v>33571.440000000002</v>
      </c>
      <c r="Z35" s="9">
        <f>Low_2050!G36</f>
        <v>32015.41</v>
      </c>
      <c r="AA35" s="9">
        <f>Med_2050!G36</f>
        <v>31313.639999999996</v>
      </c>
      <c r="AB35" s="9">
        <f>High_2050!G36</f>
        <v>30662.73</v>
      </c>
    </row>
    <row r="36" spans="2:28" x14ac:dyDescent="0.25">
      <c r="B36" s="7" t="s">
        <v>1</v>
      </c>
      <c r="C36" s="10">
        <f>Base_2050!D9</f>
        <v>12151.65</v>
      </c>
      <c r="D36" s="11">
        <f>Low_2050!D9</f>
        <v>12221.7</v>
      </c>
      <c r="E36" s="11">
        <f>Med_2050!D9</f>
        <v>12243.5</v>
      </c>
      <c r="F36" s="12">
        <f>High_2050!D9</f>
        <v>12259.7</v>
      </c>
      <c r="G36" s="10">
        <f>Base_2050!D23</f>
        <v>17973.75</v>
      </c>
      <c r="H36" s="11">
        <f>Low_2050!D23</f>
        <v>18045.900000000001</v>
      </c>
      <c r="I36" s="11">
        <f>Med_2050!D23</f>
        <v>18068.900000000001</v>
      </c>
      <c r="J36" s="12">
        <f>High_2050!D23</f>
        <v>18086</v>
      </c>
      <c r="K36" s="9">
        <f>Base_2050!D37</f>
        <v>30125.4</v>
      </c>
      <c r="L36" s="9">
        <f>Low_2050!D37</f>
        <v>30267.5</v>
      </c>
      <c r="M36" s="9">
        <f>Med_2050!D37</f>
        <v>30312.400000000001</v>
      </c>
      <c r="N36" s="9">
        <f>High_2050!D37</f>
        <v>30345.599999999999</v>
      </c>
      <c r="P36" s="4" t="s">
        <v>1</v>
      </c>
      <c r="Q36" s="10">
        <f>Base_2050!G9</f>
        <v>36419.71</v>
      </c>
      <c r="R36" s="11">
        <f>Low_2050!G9</f>
        <v>34459.9</v>
      </c>
      <c r="S36" s="11">
        <f>Med_2050!G9</f>
        <v>33517</v>
      </c>
      <c r="T36" s="12">
        <f>High_2050!G9</f>
        <v>32600.3</v>
      </c>
      <c r="U36" s="10">
        <f>Base_2050!G23</f>
        <v>30078.51</v>
      </c>
      <c r="V36" s="11">
        <f>Low_2050!G23</f>
        <v>29064.400000000001</v>
      </c>
      <c r="W36" s="11">
        <f>Med_2050!G23</f>
        <v>28619.4</v>
      </c>
      <c r="X36" s="12">
        <f>High_2050!G23</f>
        <v>28128.2</v>
      </c>
      <c r="Y36" s="9">
        <f>Base_2050!G37</f>
        <v>66498.22</v>
      </c>
      <c r="Z36" s="9">
        <f>Low_2050!G37</f>
        <v>63524.22</v>
      </c>
      <c r="AA36" s="9">
        <f>Med_2050!G37</f>
        <v>62136.42</v>
      </c>
      <c r="AB36" s="9">
        <f>High_2050!G37</f>
        <v>60728.45</v>
      </c>
    </row>
    <row r="37" spans="2:28" x14ac:dyDescent="0.25">
      <c r="B37" s="7" t="s">
        <v>2</v>
      </c>
      <c r="C37" s="10">
        <f>Base_2050!D10</f>
        <v>5520.52</v>
      </c>
      <c r="D37" s="11">
        <f>Low_2050!D10</f>
        <v>5564.12</v>
      </c>
      <c r="E37" s="11">
        <f>Med_2050!D10</f>
        <v>5567.46</v>
      </c>
      <c r="F37" s="12">
        <f>High_2050!D10</f>
        <v>5569.92</v>
      </c>
      <c r="G37" s="10">
        <f>Base_2050!D24</f>
        <v>6806.46</v>
      </c>
      <c r="H37" s="11">
        <f>Low_2050!D24</f>
        <v>6832.9</v>
      </c>
      <c r="I37" s="11">
        <f>Med_2050!D24</f>
        <v>6839.87</v>
      </c>
      <c r="J37" s="12">
        <f>High_2050!D24</f>
        <v>6850.16</v>
      </c>
      <c r="K37" s="9">
        <f>Base_2050!D38</f>
        <v>12326.98</v>
      </c>
      <c r="L37" s="9">
        <f>Low_2050!D38</f>
        <v>12397</v>
      </c>
      <c r="M37" s="9">
        <f>Med_2050!D38</f>
        <v>12407.3</v>
      </c>
      <c r="N37" s="9">
        <f>High_2050!D38</f>
        <v>12420.1</v>
      </c>
      <c r="P37" s="4" t="s">
        <v>2</v>
      </c>
      <c r="Q37" s="10">
        <f>Base_2050!G10</f>
        <v>23123.84</v>
      </c>
      <c r="R37" s="11">
        <f>Low_2050!G10</f>
        <v>22421.1</v>
      </c>
      <c r="S37" s="11">
        <f>Med_2050!G10</f>
        <v>22067</v>
      </c>
      <c r="T37" s="12">
        <f>High_2050!G10</f>
        <v>21746.7</v>
      </c>
      <c r="U37" s="10">
        <f>Base_2050!G24</f>
        <v>11156.49</v>
      </c>
      <c r="V37" s="11">
        <f>Low_2050!G24</f>
        <v>10836.8</v>
      </c>
      <c r="W37" s="11">
        <f>Med_2050!G24</f>
        <v>10702.2</v>
      </c>
      <c r="X37" s="12">
        <f>High_2050!G24</f>
        <v>10561.1</v>
      </c>
      <c r="Y37" s="9">
        <f>Base_2050!G38</f>
        <v>34280.33</v>
      </c>
      <c r="Z37" s="9">
        <f>Low_2050!G38</f>
        <v>33257.93</v>
      </c>
      <c r="AA37" s="9">
        <f>Med_2050!G38</f>
        <v>32769.14</v>
      </c>
      <c r="AB37" s="9">
        <f>High_2050!G38</f>
        <v>32307.919999999998</v>
      </c>
    </row>
    <row r="38" spans="2:28" x14ac:dyDescent="0.25">
      <c r="B38" s="7" t="s">
        <v>3</v>
      </c>
      <c r="C38" s="10">
        <f>Base_2050!D11</f>
        <v>103.97</v>
      </c>
      <c r="D38" s="11">
        <f>Low_2050!D11</f>
        <v>117.71</v>
      </c>
      <c r="E38" s="11">
        <f>Med_2050!D11</f>
        <v>125.43</v>
      </c>
      <c r="F38" s="12">
        <f>High_2050!D11</f>
        <v>160.24</v>
      </c>
      <c r="G38" s="10">
        <f>Base_2050!D25</f>
        <v>1.65</v>
      </c>
      <c r="H38" s="11">
        <f>Low_2050!D25</f>
        <v>1.66</v>
      </c>
      <c r="I38" s="11">
        <f>Med_2050!D25</f>
        <v>1.66</v>
      </c>
      <c r="J38" s="12">
        <f>High_2050!D25</f>
        <v>1.66</v>
      </c>
      <c r="K38" s="9">
        <f>Base_2050!D39</f>
        <v>105.63</v>
      </c>
      <c r="L38" s="9">
        <f>Low_2050!D39</f>
        <v>119.37</v>
      </c>
      <c r="M38" s="9">
        <f>Med_2050!D39</f>
        <v>127.09</v>
      </c>
      <c r="N38" s="9">
        <f>High_2050!D39</f>
        <v>161.88999999999999</v>
      </c>
      <c r="P38" s="4" t="s">
        <v>3</v>
      </c>
      <c r="Q38" s="10">
        <f>Base_2050!G11</f>
        <v>2433.63</v>
      </c>
      <c r="R38" s="11">
        <f>Low_2050!G11</f>
        <v>3281.3</v>
      </c>
      <c r="S38" s="11">
        <f>Med_2050!G11</f>
        <v>3649.42</v>
      </c>
      <c r="T38" s="12">
        <f>High_2050!G11</f>
        <v>4130.6099999999997</v>
      </c>
      <c r="U38" s="10">
        <f>Base_2050!G25</f>
        <v>35.81</v>
      </c>
      <c r="V38" s="11">
        <f>Low_2050!G25</f>
        <v>35.29</v>
      </c>
      <c r="W38" s="11">
        <f>Med_2050!G25</f>
        <v>34.950000000000003</v>
      </c>
      <c r="X38" s="12">
        <f>High_2050!G25</f>
        <v>34.44</v>
      </c>
      <c r="Y38" s="9">
        <f>Base_2050!G39</f>
        <v>2469.44</v>
      </c>
      <c r="Z38" s="9">
        <f>Low_2050!G39</f>
        <v>3316.5899999999997</v>
      </c>
      <c r="AA38" s="9">
        <f>Med_2050!G39</f>
        <v>3684.36</v>
      </c>
      <c r="AB38" s="9">
        <f>High_2050!G39</f>
        <v>4165.04</v>
      </c>
    </row>
    <row r="39" spans="2:28" x14ac:dyDescent="0.25">
      <c r="B39" s="7" t="s">
        <v>4</v>
      </c>
      <c r="C39" s="10">
        <f>Base_2050!D12</f>
        <v>17458.73</v>
      </c>
      <c r="D39" s="11">
        <f>Low_2050!D12</f>
        <v>17293.099999999999</v>
      </c>
      <c r="E39" s="11">
        <f>Med_2050!D12</f>
        <v>17243.400000000001</v>
      </c>
      <c r="F39" s="12">
        <f>High_2050!D12</f>
        <v>17182.3</v>
      </c>
      <c r="G39" s="10">
        <f>Base_2050!D26</f>
        <v>31068.2</v>
      </c>
      <c r="H39" s="11">
        <f>Low_2050!D26</f>
        <v>31127.4</v>
      </c>
      <c r="I39" s="11">
        <f>Med_2050!D26</f>
        <v>31174.2</v>
      </c>
      <c r="J39" s="12">
        <f>High_2050!D26</f>
        <v>31181</v>
      </c>
      <c r="K39" s="9">
        <f>Base_2050!D40</f>
        <v>48526.94</v>
      </c>
      <c r="L39" s="9">
        <f>Low_2050!D40</f>
        <v>48420.5</v>
      </c>
      <c r="M39" s="9">
        <f>Med_2050!D40</f>
        <v>48417.599999999999</v>
      </c>
      <c r="N39" s="9">
        <f>High_2050!D40</f>
        <v>48363.3</v>
      </c>
      <c r="P39" s="4" t="s">
        <v>4</v>
      </c>
      <c r="Q39" s="10">
        <f>Base_2050!G12</f>
        <v>64050.54</v>
      </c>
      <c r="R39" s="11">
        <f>Low_2050!G12</f>
        <v>58674.3</v>
      </c>
      <c r="S39" s="11">
        <f>Med_2050!G12</f>
        <v>56296.9</v>
      </c>
      <c r="T39" s="12">
        <f>High_2050!G12</f>
        <v>54120.2</v>
      </c>
      <c r="U39" s="10">
        <f>Base_2050!G26</f>
        <v>57901.62</v>
      </c>
      <c r="V39" s="11">
        <f>Low_2050!G26</f>
        <v>55346.7</v>
      </c>
      <c r="W39" s="11">
        <f>Med_2050!G26</f>
        <v>54278.400000000001</v>
      </c>
      <c r="X39" s="12">
        <f>High_2050!G26</f>
        <v>53032.6</v>
      </c>
      <c r="Y39" s="9">
        <f>Base_2050!G40</f>
        <v>121952.15</v>
      </c>
      <c r="Z39" s="9">
        <f>Low_2050!G40</f>
        <v>114021</v>
      </c>
      <c r="AA39" s="9">
        <f>Med_2050!G40</f>
        <v>110575.3</v>
      </c>
      <c r="AB39" s="9">
        <f>High_2050!G40</f>
        <v>107152.9</v>
      </c>
    </row>
    <row r="40" spans="2:28" x14ac:dyDescent="0.25">
      <c r="B40" s="7" t="s">
        <v>5</v>
      </c>
      <c r="C40" s="10">
        <f>Base_2050!D13</f>
        <v>3375.76</v>
      </c>
      <c r="D40" s="11">
        <f>Low_2050!D13</f>
        <v>3376.12</v>
      </c>
      <c r="E40" s="11">
        <f>Med_2050!D13</f>
        <v>3355.82</v>
      </c>
      <c r="F40" s="12">
        <f>High_2050!D13</f>
        <v>3344.51</v>
      </c>
      <c r="G40" s="10">
        <f>Base_2050!D27</f>
        <v>4135.8599999999997</v>
      </c>
      <c r="H40" s="11">
        <f>Low_2050!D27</f>
        <v>4216.6000000000004</v>
      </c>
      <c r="I40" s="11">
        <f>Med_2050!D27</f>
        <v>4250.17</v>
      </c>
      <c r="J40" s="12">
        <f>High_2050!D27</f>
        <v>4284.3</v>
      </c>
      <c r="K40" s="9">
        <f>Base_2050!D41</f>
        <v>7511.62</v>
      </c>
      <c r="L40" s="9">
        <f>Low_2050!D41</f>
        <v>7592.72</v>
      </c>
      <c r="M40" s="9">
        <f>Med_2050!D41</f>
        <v>7605.99</v>
      </c>
      <c r="N40" s="9">
        <f>High_2050!D41</f>
        <v>7628.82</v>
      </c>
      <c r="P40" s="4" t="s">
        <v>5</v>
      </c>
      <c r="Q40" s="10">
        <f>Base_2050!G13</f>
        <v>46597.96</v>
      </c>
      <c r="R40" s="11">
        <f>Low_2050!G13</f>
        <v>40783.699999999997</v>
      </c>
      <c r="S40" s="11">
        <f>Med_2050!G13</f>
        <v>37958.1</v>
      </c>
      <c r="T40" s="12">
        <f>High_2050!G13</f>
        <v>35664.9</v>
      </c>
      <c r="U40" s="10">
        <f>Base_2050!G27</f>
        <v>15498.8</v>
      </c>
      <c r="V40" s="11">
        <f>Low_2050!G27</f>
        <v>14186.7</v>
      </c>
      <c r="W40" s="11">
        <f>Med_2050!G27</f>
        <v>13655.7</v>
      </c>
      <c r="X40" s="12">
        <f>High_2050!G27</f>
        <v>12988.4</v>
      </c>
      <c r="Y40" s="9">
        <f>Base_2050!G41</f>
        <v>62096.76</v>
      </c>
      <c r="Z40" s="9">
        <f>Low_2050!G41</f>
        <v>54970.47</v>
      </c>
      <c r="AA40" s="9">
        <f>Med_2050!G41</f>
        <v>51613.81</v>
      </c>
      <c r="AB40" s="9">
        <f>High_2050!G41</f>
        <v>48653.34</v>
      </c>
    </row>
    <row r="41" spans="2:28" x14ac:dyDescent="0.25">
      <c r="B41" s="7" t="s">
        <v>8</v>
      </c>
      <c r="C41" s="10">
        <f>Base_2050!D14</f>
        <v>2201232.09</v>
      </c>
      <c r="D41" s="11">
        <f>Low_2050!D14</f>
        <v>2200859</v>
      </c>
      <c r="E41" s="11">
        <f>Med_2050!D14</f>
        <v>2200806</v>
      </c>
      <c r="F41" s="12">
        <f>High_2050!D14</f>
        <v>2200629</v>
      </c>
      <c r="G41" s="10">
        <f>Base_2050!D28</f>
        <v>4599755.13</v>
      </c>
      <c r="H41" s="11">
        <f>Low_2050!D28</f>
        <v>4599389</v>
      </c>
      <c r="I41" s="11">
        <f>Med_2050!D28</f>
        <v>4599329</v>
      </c>
      <c r="J41" s="12">
        <f>High_2050!D28</f>
        <v>4599215</v>
      </c>
      <c r="K41" s="9">
        <f>Base_2050!D42</f>
        <v>6800987.2199999997</v>
      </c>
      <c r="L41" s="9">
        <f>Low_2050!D42</f>
        <v>6800247</v>
      </c>
      <c r="M41" s="9">
        <f>Med_2050!D42</f>
        <v>6800134</v>
      </c>
      <c r="N41" s="9">
        <f>High_2050!D42</f>
        <v>6799843</v>
      </c>
      <c r="P41" s="4" t="s">
        <v>8</v>
      </c>
      <c r="Q41" s="10">
        <f>Base_2050!G14</f>
        <v>5908024.1799999997</v>
      </c>
      <c r="R41" s="11">
        <f>Low_2050!G14</f>
        <v>5661484</v>
      </c>
      <c r="S41" s="11">
        <f>Med_2050!G14</f>
        <v>5553390</v>
      </c>
      <c r="T41" s="12">
        <f>High_2050!G14</f>
        <v>5447860</v>
      </c>
      <c r="U41" s="10">
        <f>Base_2050!G28</f>
        <v>8551101.1999999993</v>
      </c>
      <c r="V41" s="11">
        <f>Low_2050!G28</f>
        <v>8365059</v>
      </c>
      <c r="W41" s="11">
        <f>Med_2050!G28</f>
        <v>8283493</v>
      </c>
      <c r="X41" s="12">
        <f>High_2050!G28</f>
        <v>8199025</v>
      </c>
      <c r="Y41" s="9">
        <f>Base_2050!G42</f>
        <v>14459125.4</v>
      </c>
      <c r="Z41" s="2">
        <f>Low_2050!G42</f>
        <v>14026542</v>
      </c>
      <c r="AA41" s="2">
        <f>Med_2050!G42</f>
        <v>13836883</v>
      </c>
      <c r="AB41" s="2">
        <f>High_2050!G42</f>
        <v>13646885</v>
      </c>
    </row>
  </sheetData>
  <mergeCells count="18">
    <mergeCell ref="K2:N2"/>
    <mergeCell ref="K16:N16"/>
    <mergeCell ref="K30:N30"/>
    <mergeCell ref="Y2:AB2"/>
    <mergeCell ref="Y16:AB16"/>
    <mergeCell ref="Y30:AB30"/>
    <mergeCell ref="Q2:T2"/>
    <mergeCell ref="U2:X2"/>
    <mergeCell ref="Q16:T16"/>
    <mergeCell ref="U16:X16"/>
    <mergeCell ref="Q30:T30"/>
    <mergeCell ref="U30:X30"/>
    <mergeCell ref="G2:J2"/>
    <mergeCell ref="C2:F2"/>
    <mergeCell ref="C16:F16"/>
    <mergeCell ref="G16:J16"/>
    <mergeCell ref="C30:F30"/>
    <mergeCell ref="G30:J30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G42"/>
  <sheetViews>
    <sheetView topLeftCell="A10" workbookViewId="0">
      <selection activeCell="D39" sqref="D39"/>
    </sheetView>
  </sheetViews>
  <sheetFormatPr defaultRowHeight="15" x14ac:dyDescent="0.25"/>
  <cols>
    <col min="1" max="1" width="24.42578125" bestFit="1" customWidth="1"/>
    <col min="2" max="2" width="10.5703125" style="1" bestFit="1" customWidth="1"/>
    <col min="3" max="3" width="9" style="1" bestFit="1" customWidth="1"/>
    <col min="4" max="5" width="10.5703125" style="1" bestFit="1" customWidth="1"/>
    <col min="6" max="6" width="9" style="1" bestFit="1" customWidth="1"/>
    <col min="7" max="7" width="10.5703125" bestFit="1" customWidth="1"/>
  </cols>
  <sheetData>
    <row r="1" spans="1:7" x14ac:dyDescent="0.25">
      <c r="A1" t="s">
        <v>22</v>
      </c>
      <c r="B1"/>
      <c r="C1"/>
      <c r="D1"/>
      <c r="E1"/>
      <c r="F1"/>
    </row>
    <row r="2" spans="1:7" x14ac:dyDescent="0.25">
      <c r="B2"/>
      <c r="C2"/>
      <c r="D2"/>
      <c r="E2"/>
      <c r="F2"/>
    </row>
    <row r="3" spans="1:7" x14ac:dyDescent="0.25">
      <c r="A3" t="s">
        <v>9</v>
      </c>
      <c r="B3"/>
      <c r="C3"/>
      <c r="D3"/>
      <c r="E3"/>
      <c r="F3"/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48337.1</v>
      </c>
      <c r="C5" s="1">
        <v>22397.1</v>
      </c>
      <c r="D5" s="1">
        <v>147453</v>
      </c>
      <c r="E5" s="1">
        <v>29219.1</v>
      </c>
      <c r="F5" s="1">
        <v>182360</v>
      </c>
      <c r="G5" s="1">
        <v>429767</v>
      </c>
    </row>
    <row r="6" spans="1:7" x14ac:dyDescent="0.25">
      <c r="A6" t="s">
        <v>6</v>
      </c>
      <c r="B6" s="1">
        <v>1050350</v>
      </c>
      <c r="C6" s="1">
        <v>79886.100000000006</v>
      </c>
      <c r="D6" s="1">
        <v>1313694</v>
      </c>
      <c r="E6" s="1">
        <v>704036</v>
      </c>
      <c r="F6" s="1">
        <v>77705.5</v>
      </c>
      <c r="G6" s="1">
        <v>3225671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174377</v>
      </c>
      <c r="G7" s="1">
        <v>174377</v>
      </c>
    </row>
    <row r="8" spans="1:7" x14ac:dyDescent="0.25">
      <c r="A8" t="s">
        <v>0</v>
      </c>
      <c r="B8" s="1">
        <v>10556</v>
      </c>
      <c r="C8" s="1">
        <v>7310.87</v>
      </c>
      <c r="D8" s="1">
        <v>5221.78</v>
      </c>
      <c r="E8" s="1">
        <v>1529.98</v>
      </c>
      <c r="F8" s="1">
        <v>0</v>
      </c>
      <c r="G8" s="1">
        <v>24618.6</v>
      </c>
    </row>
    <row r="9" spans="1:7" x14ac:dyDescent="0.25">
      <c r="A9" t="s">
        <v>30</v>
      </c>
      <c r="B9" s="1">
        <v>128.30000000000001</v>
      </c>
      <c r="C9" s="1">
        <v>33.86</v>
      </c>
      <c r="D9" s="1">
        <v>87.83</v>
      </c>
      <c r="E9" s="1">
        <v>20.43</v>
      </c>
      <c r="F9" s="1">
        <v>0</v>
      </c>
      <c r="G9" s="1">
        <v>270.43</v>
      </c>
    </row>
    <row r="10" spans="1:7" x14ac:dyDescent="0.25">
      <c r="A10" t="s">
        <v>31</v>
      </c>
      <c r="B10" s="1">
        <v>1482.81</v>
      </c>
      <c r="C10" s="1">
        <v>7009.28</v>
      </c>
      <c r="D10" s="1">
        <v>1366.42</v>
      </c>
      <c r="E10" s="1">
        <v>496.64</v>
      </c>
      <c r="F10" s="1">
        <v>0</v>
      </c>
      <c r="G10" s="1">
        <v>10355.200000000001</v>
      </c>
    </row>
    <row r="11" spans="1:7" x14ac:dyDescent="0.25">
      <c r="A11" t="s">
        <v>3</v>
      </c>
      <c r="B11" s="1">
        <v>1643.13</v>
      </c>
      <c r="C11" s="1">
        <v>101.12</v>
      </c>
      <c r="D11" s="1">
        <v>66.010000000000005</v>
      </c>
      <c r="E11" s="1">
        <v>11.03</v>
      </c>
      <c r="F11" s="1">
        <v>0</v>
      </c>
      <c r="G11" s="1">
        <v>1821.29</v>
      </c>
    </row>
    <row r="12" spans="1:7" x14ac:dyDescent="0.25">
      <c r="A12" t="s">
        <v>4</v>
      </c>
      <c r="B12" s="1">
        <v>16070.6</v>
      </c>
      <c r="C12" s="1">
        <v>6700.86</v>
      </c>
      <c r="D12" s="1">
        <v>7638.61</v>
      </c>
      <c r="E12" s="1">
        <v>3427.58</v>
      </c>
      <c r="F12" s="1">
        <v>0</v>
      </c>
      <c r="G12" s="1">
        <v>33837.699999999997</v>
      </c>
    </row>
    <row r="13" spans="1:7" x14ac:dyDescent="0.25">
      <c r="A13" t="s">
        <v>32</v>
      </c>
      <c r="B13" s="1">
        <v>12718.6</v>
      </c>
      <c r="C13" s="1">
        <v>4073.22</v>
      </c>
      <c r="D13" s="1">
        <v>1474.28</v>
      </c>
      <c r="E13" s="1">
        <v>604.45000000000005</v>
      </c>
      <c r="F13" s="1">
        <v>0</v>
      </c>
      <c r="G13" s="1">
        <v>18870.599999999999</v>
      </c>
    </row>
    <row r="14" spans="1:7" x14ac:dyDescent="0.25">
      <c r="A14" t="s">
        <v>8</v>
      </c>
      <c r="B14" s="1">
        <v>1141287</v>
      </c>
      <c r="C14" s="1">
        <v>127512</v>
      </c>
      <c r="D14" s="1">
        <v>1477002</v>
      </c>
      <c r="E14" s="1">
        <v>739345</v>
      </c>
      <c r="F14" s="1">
        <v>434442</v>
      </c>
      <c r="G14" s="1">
        <v>3919589</v>
      </c>
    </row>
    <row r="15" spans="1:7" x14ac:dyDescent="0.25">
      <c r="B15"/>
      <c r="C15"/>
      <c r="D15"/>
      <c r="E15"/>
      <c r="F15"/>
    </row>
    <row r="16" spans="1:7" x14ac:dyDescent="0.25">
      <c r="B16"/>
      <c r="C16"/>
      <c r="D16"/>
      <c r="E16"/>
      <c r="F16"/>
    </row>
    <row r="17" spans="1:7" x14ac:dyDescent="0.25">
      <c r="A17" t="s">
        <v>10</v>
      </c>
      <c r="B17"/>
      <c r="C17"/>
      <c r="D17"/>
      <c r="E17"/>
      <c r="F17"/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35324.199999999997</v>
      </c>
      <c r="C19" s="1">
        <v>0</v>
      </c>
      <c r="D19" s="1">
        <v>368928</v>
      </c>
      <c r="E19" s="1">
        <v>116487</v>
      </c>
      <c r="F19" s="1">
        <v>88808.3</v>
      </c>
      <c r="G19" s="1">
        <v>609547</v>
      </c>
    </row>
    <row r="20" spans="1:7" x14ac:dyDescent="0.25">
      <c r="A20" t="s">
        <v>6</v>
      </c>
      <c r="B20" s="1">
        <v>601000</v>
      </c>
      <c r="C20" s="1">
        <v>0</v>
      </c>
      <c r="D20" s="1">
        <v>2693602</v>
      </c>
      <c r="E20" s="1">
        <v>1557602</v>
      </c>
      <c r="F20" s="1">
        <v>37511.199999999997</v>
      </c>
      <c r="G20" s="1">
        <v>4889716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84821.7</v>
      </c>
      <c r="G21" s="1">
        <v>84821.7</v>
      </c>
    </row>
    <row r="22" spans="1:7" x14ac:dyDescent="0.25">
      <c r="A22" t="s">
        <v>0</v>
      </c>
      <c r="B22" s="1">
        <v>6272.83</v>
      </c>
      <c r="C22" s="1">
        <v>0</v>
      </c>
      <c r="D22" s="1">
        <v>9821.81</v>
      </c>
      <c r="E22" s="1">
        <v>2815.73</v>
      </c>
      <c r="F22" s="1">
        <v>0</v>
      </c>
      <c r="G22" s="1">
        <v>18910.400000000001</v>
      </c>
    </row>
    <row r="23" spans="1:7" x14ac:dyDescent="0.25">
      <c r="A23" t="s">
        <v>30</v>
      </c>
      <c r="B23" s="1">
        <v>72.069999999999993</v>
      </c>
      <c r="C23" s="1">
        <v>0</v>
      </c>
      <c r="D23" s="1">
        <v>154.41999999999999</v>
      </c>
      <c r="E23" s="1">
        <v>38.89</v>
      </c>
      <c r="F23" s="1">
        <v>0</v>
      </c>
      <c r="G23" s="1">
        <v>265.37</v>
      </c>
    </row>
    <row r="24" spans="1:7" x14ac:dyDescent="0.25">
      <c r="A24" t="s">
        <v>31</v>
      </c>
      <c r="B24" s="1">
        <v>680.81</v>
      </c>
      <c r="C24" s="1">
        <v>0</v>
      </c>
      <c r="D24" s="1">
        <v>1802.74</v>
      </c>
      <c r="E24" s="1">
        <v>727.5</v>
      </c>
      <c r="F24" s="1">
        <v>0</v>
      </c>
      <c r="G24" s="1">
        <v>3211.05</v>
      </c>
    </row>
    <row r="25" spans="1:7" x14ac:dyDescent="0.25">
      <c r="A25" t="s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4</v>
      </c>
      <c r="B26" s="1">
        <v>7911.35</v>
      </c>
      <c r="C26" s="1">
        <v>0</v>
      </c>
      <c r="D26" s="1">
        <v>11928</v>
      </c>
      <c r="E26" s="1">
        <v>6418.62</v>
      </c>
      <c r="F26" s="1">
        <v>0</v>
      </c>
      <c r="G26" s="1">
        <v>26258</v>
      </c>
    </row>
    <row r="27" spans="1:7" x14ac:dyDescent="0.25">
      <c r="A27" t="s">
        <v>32</v>
      </c>
      <c r="B27" s="1">
        <v>3559.3</v>
      </c>
      <c r="C27" s="1">
        <v>0</v>
      </c>
      <c r="D27" s="1">
        <v>1650.5</v>
      </c>
      <c r="E27" s="1">
        <v>757.97</v>
      </c>
      <c r="F27" s="1">
        <v>0</v>
      </c>
      <c r="G27" s="1">
        <v>5967.77</v>
      </c>
    </row>
    <row r="28" spans="1:7" x14ac:dyDescent="0.25">
      <c r="A28" t="s">
        <v>8</v>
      </c>
      <c r="B28" s="1">
        <v>654821</v>
      </c>
      <c r="C28" s="1">
        <v>0</v>
      </c>
      <c r="D28" s="1">
        <v>3087888</v>
      </c>
      <c r="E28" s="1">
        <v>1684848</v>
      </c>
      <c r="F28" s="1">
        <v>211141</v>
      </c>
      <c r="G28" s="1">
        <v>5638697</v>
      </c>
    </row>
    <row r="29" spans="1:7" x14ac:dyDescent="0.25">
      <c r="B29"/>
      <c r="C29"/>
      <c r="D29"/>
      <c r="E29"/>
      <c r="F29"/>
    </row>
    <row r="30" spans="1:7" x14ac:dyDescent="0.25">
      <c r="B30"/>
      <c r="C30"/>
      <c r="D30"/>
      <c r="E30"/>
      <c r="F30"/>
    </row>
    <row r="31" spans="1:7" x14ac:dyDescent="0.25">
      <c r="A31" t="s">
        <v>11</v>
      </c>
      <c r="B31"/>
      <c r="C31"/>
      <c r="D31"/>
      <c r="E31"/>
      <c r="F31"/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83661.3</v>
      </c>
      <c r="C33" s="1">
        <v>22397.1</v>
      </c>
      <c r="D33" s="1">
        <v>516381</v>
      </c>
      <c r="E33" s="1">
        <v>145706</v>
      </c>
      <c r="F33" s="1">
        <v>271169</v>
      </c>
      <c r="G33" s="1">
        <v>1039314</v>
      </c>
    </row>
    <row r="34" spans="1:7" x14ac:dyDescent="0.25">
      <c r="A34" t="s">
        <v>6</v>
      </c>
      <c r="B34" s="1">
        <v>1651350</v>
      </c>
      <c r="C34" s="1">
        <v>79886.100000000006</v>
      </c>
      <c r="D34" s="1">
        <v>4007296</v>
      </c>
      <c r="E34" s="1">
        <v>2261638</v>
      </c>
      <c r="F34" s="1">
        <v>115217</v>
      </c>
      <c r="G34" s="1">
        <v>8115387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259198</v>
      </c>
      <c r="G35" s="1">
        <v>259198</v>
      </c>
    </row>
    <row r="36" spans="1:7" x14ac:dyDescent="0.25">
      <c r="A36" t="s">
        <v>0</v>
      </c>
      <c r="B36" s="1">
        <v>16828.8</v>
      </c>
      <c r="C36" s="1">
        <v>7310.87</v>
      </c>
      <c r="D36" s="1">
        <v>15043.6</v>
      </c>
      <c r="E36" s="1">
        <v>4345.71</v>
      </c>
      <c r="F36" s="1">
        <v>0</v>
      </c>
      <c r="G36" s="1">
        <v>43529</v>
      </c>
    </row>
    <row r="37" spans="1:7" x14ac:dyDescent="0.25">
      <c r="A37" t="s">
        <v>30</v>
      </c>
      <c r="B37" s="1">
        <v>200.36</v>
      </c>
      <c r="C37" s="1">
        <v>33.86</v>
      </c>
      <c r="D37" s="1">
        <v>242.25</v>
      </c>
      <c r="E37" s="1">
        <v>59.32</v>
      </c>
      <c r="F37" s="1">
        <v>0</v>
      </c>
      <c r="G37" s="1">
        <v>535.79999999999995</v>
      </c>
    </row>
    <row r="38" spans="1:7" x14ac:dyDescent="0.25">
      <c r="A38" t="s">
        <v>31</v>
      </c>
      <c r="B38" s="1">
        <v>2163.62</v>
      </c>
      <c r="C38" s="1">
        <v>7009.28</v>
      </c>
      <c r="D38" s="1">
        <v>3169.17</v>
      </c>
      <c r="E38" s="1">
        <v>1224.1400000000001</v>
      </c>
      <c r="F38" s="1">
        <v>0</v>
      </c>
      <c r="G38" s="1">
        <v>13566.2</v>
      </c>
    </row>
    <row r="39" spans="1:7" x14ac:dyDescent="0.25">
      <c r="A39" t="s">
        <v>3</v>
      </c>
      <c r="B39" s="1">
        <v>1643.13</v>
      </c>
      <c r="C39" s="1">
        <v>101.12</v>
      </c>
      <c r="D39" s="1">
        <v>66.010000000000005</v>
      </c>
      <c r="E39" s="1">
        <v>11.03</v>
      </c>
      <c r="F39" s="1">
        <v>0</v>
      </c>
      <c r="G39" s="1">
        <v>1821.29</v>
      </c>
    </row>
    <row r="40" spans="1:7" x14ac:dyDescent="0.25">
      <c r="A40" t="s">
        <v>4</v>
      </c>
      <c r="B40" s="1">
        <v>23982</v>
      </c>
      <c r="C40" s="1">
        <v>6700.86</v>
      </c>
      <c r="D40" s="1">
        <v>19566.599999999999</v>
      </c>
      <c r="E40" s="1">
        <v>9846.2000000000007</v>
      </c>
      <c r="F40" s="1">
        <v>0</v>
      </c>
      <c r="G40" s="1">
        <v>60095.6</v>
      </c>
    </row>
    <row r="41" spans="1:7" x14ac:dyDescent="0.25">
      <c r="A41" t="s">
        <v>32</v>
      </c>
      <c r="B41" s="1">
        <v>16277.9</v>
      </c>
      <c r="C41" s="1">
        <v>4073.22</v>
      </c>
      <c r="D41" s="1">
        <v>3124.78</v>
      </c>
      <c r="E41" s="1">
        <v>1362.41</v>
      </c>
      <c r="F41" s="1">
        <v>0</v>
      </c>
      <c r="G41" s="1">
        <v>24838.3</v>
      </c>
    </row>
    <row r="42" spans="1:7" x14ac:dyDescent="0.25">
      <c r="A42" t="s">
        <v>8</v>
      </c>
      <c r="B42" s="1">
        <v>1796108</v>
      </c>
      <c r="C42" s="1">
        <v>127512</v>
      </c>
      <c r="D42" s="1">
        <v>4564889</v>
      </c>
      <c r="E42" s="1">
        <v>2424193</v>
      </c>
      <c r="F42" s="1">
        <v>645584</v>
      </c>
      <c r="G42" s="1">
        <v>9558286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6B7F-4BC5-4062-B779-3DC7B0B0AFBB}">
  <sheetPr>
    <tabColor rgb="FF002060"/>
  </sheetPr>
  <dimension ref="A1:G42"/>
  <sheetViews>
    <sheetView topLeftCell="A6" workbookViewId="0">
      <selection sqref="A1:G42"/>
    </sheetView>
  </sheetViews>
  <sheetFormatPr defaultRowHeight="15" x14ac:dyDescent="0.25"/>
  <cols>
    <col min="1" max="1" width="23.570312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0.5703125" bestFit="1" customWidth="1"/>
  </cols>
  <sheetData>
    <row r="1" spans="1:7" x14ac:dyDescent="0.25">
      <c r="A1" t="s">
        <v>33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42205.599999999999</v>
      </c>
      <c r="C5" s="1">
        <v>22345.599999999999</v>
      </c>
      <c r="D5" s="1">
        <v>146588</v>
      </c>
      <c r="E5" s="1">
        <v>28486.7</v>
      </c>
      <c r="F5" s="1">
        <v>181810</v>
      </c>
      <c r="G5" s="1">
        <v>421436</v>
      </c>
    </row>
    <row r="6" spans="1:7" x14ac:dyDescent="0.25">
      <c r="A6" t="s">
        <v>6</v>
      </c>
      <c r="B6" s="1">
        <v>934773</v>
      </c>
      <c r="C6" s="1">
        <v>80041.8</v>
      </c>
      <c r="D6" s="1">
        <v>1314480</v>
      </c>
      <c r="E6" s="1">
        <v>690847</v>
      </c>
      <c r="F6" s="1">
        <v>77700.399999999994</v>
      </c>
      <c r="G6" s="1">
        <v>3097842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174933</v>
      </c>
      <c r="G7" s="1">
        <v>174933</v>
      </c>
    </row>
    <row r="8" spans="1:7" x14ac:dyDescent="0.25">
      <c r="A8" t="s">
        <v>0</v>
      </c>
      <c r="B8" s="1">
        <v>9285.4699999999993</v>
      </c>
      <c r="C8" s="1">
        <v>7331.17</v>
      </c>
      <c r="D8" s="1">
        <v>5237.96</v>
      </c>
      <c r="E8" s="1">
        <v>1495.44</v>
      </c>
      <c r="F8" s="1">
        <v>0</v>
      </c>
      <c r="G8" s="1">
        <v>23350</v>
      </c>
    </row>
    <row r="9" spans="1:7" x14ac:dyDescent="0.25">
      <c r="A9" t="s">
        <v>30</v>
      </c>
      <c r="B9" s="1">
        <v>118.42</v>
      </c>
      <c r="C9" s="1">
        <v>34.130000000000003</v>
      </c>
      <c r="D9" s="1">
        <v>88.11</v>
      </c>
      <c r="E9" s="1">
        <v>20.12</v>
      </c>
      <c r="F9" s="1">
        <v>0</v>
      </c>
      <c r="G9" s="1">
        <v>260.77999999999997</v>
      </c>
    </row>
    <row r="10" spans="1:7" x14ac:dyDescent="0.25">
      <c r="A10" t="s">
        <v>31</v>
      </c>
      <c r="B10" s="1">
        <v>1290.45</v>
      </c>
      <c r="C10" s="1">
        <v>7003.69</v>
      </c>
      <c r="D10" s="1">
        <v>1365.37</v>
      </c>
      <c r="E10" s="1">
        <v>481.42</v>
      </c>
      <c r="F10" s="1">
        <v>0</v>
      </c>
      <c r="G10" s="1">
        <v>10140.9</v>
      </c>
    </row>
    <row r="11" spans="1:7" x14ac:dyDescent="0.25">
      <c r="A11" t="s">
        <v>3</v>
      </c>
      <c r="B11" s="1">
        <v>1805.91</v>
      </c>
      <c r="C11" s="1">
        <v>134.29</v>
      </c>
      <c r="D11" s="1">
        <v>71.83</v>
      </c>
      <c r="E11" s="1">
        <v>14.2</v>
      </c>
      <c r="F11" s="1">
        <v>0</v>
      </c>
      <c r="G11" s="1">
        <v>2026.22</v>
      </c>
    </row>
    <row r="12" spans="1:7" x14ac:dyDescent="0.25">
      <c r="A12" t="s">
        <v>4</v>
      </c>
      <c r="B12" s="1">
        <v>13748</v>
      </c>
      <c r="C12" s="1">
        <v>6627.18</v>
      </c>
      <c r="D12" s="1">
        <v>7601.1</v>
      </c>
      <c r="E12" s="1">
        <v>3286.05</v>
      </c>
      <c r="F12" s="1">
        <v>0</v>
      </c>
      <c r="G12" s="1">
        <v>31262.400000000001</v>
      </c>
    </row>
    <row r="13" spans="1:7" x14ac:dyDescent="0.25">
      <c r="A13" t="s">
        <v>32</v>
      </c>
      <c r="B13" s="1">
        <v>10249.799999999999</v>
      </c>
      <c r="C13" s="1">
        <v>3994.54</v>
      </c>
      <c r="D13" s="1">
        <v>1439.52</v>
      </c>
      <c r="E13" s="1">
        <v>566</v>
      </c>
      <c r="F13" s="1">
        <v>0</v>
      </c>
      <c r="G13" s="1">
        <v>16249.8</v>
      </c>
    </row>
    <row r="14" spans="1:7" x14ac:dyDescent="0.25">
      <c r="A14" t="s">
        <v>8</v>
      </c>
      <c r="B14" s="1">
        <v>1013477</v>
      </c>
      <c r="C14" s="1">
        <v>127512</v>
      </c>
      <c r="D14" s="1">
        <v>1476872</v>
      </c>
      <c r="E14" s="1">
        <v>725197</v>
      </c>
      <c r="F14" s="1">
        <v>434444</v>
      </c>
      <c r="G14" s="1">
        <v>3777502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30911.5</v>
      </c>
      <c r="C19" s="1">
        <v>0</v>
      </c>
      <c r="D19" s="1">
        <v>367219</v>
      </c>
      <c r="E19" s="1">
        <v>113691</v>
      </c>
      <c r="F19" s="1">
        <v>88540.3</v>
      </c>
      <c r="G19" s="1">
        <v>600361</v>
      </c>
    </row>
    <row r="20" spans="1:7" x14ac:dyDescent="0.25">
      <c r="A20" t="s">
        <v>6</v>
      </c>
      <c r="B20" s="1">
        <v>533312</v>
      </c>
      <c r="C20" s="1">
        <v>0</v>
      </c>
      <c r="D20" s="1">
        <v>2695075</v>
      </c>
      <c r="E20" s="1">
        <v>1528285</v>
      </c>
      <c r="F20" s="1">
        <v>37502.400000000001</v>
      </c>
      <c r="G20" s="1">
        <v>4794174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85083.5</v>
      </c>
      <c r="G21" s="1">
        <v>85083.5</v>
      </c>
    </row>
    <row r="22" spans="1:7" x14ac:dyDescent="0.25">
      <c r="A22" t="s">
        <v>0</v>
      </c>
      <c r="B22" s="1">
        <v>5446.42</v>
      </c>
      <c r="C22" s="1">
        <v>0</v>
      </c>
      <c r="D22" s="1">
        <v>9841.65</v>
      </c>
      <c r="E22" s="1">
        <v>2756.07</v>
      </c>
      <c r="F22" s="1">
        <v>0</v>
      </c>
      <c r="G22" s="1">
        <v>18044.099999999999</v>
      </c>
    </row>
    <row r="23" spans="1:7" x14ac:dyDescent="0.25">
      <c r="A23" t="s">
        <v>30</v>
      </c>
      <c r="B23" s="1">
        <v>65.61</v>
      </c>
      <c r="C23" s="1">
        <v>0</v>
      </c>
      <c r="D23" s="1">
        <v>154.99</v>
      </c>
      <c r="E23" s="1">
        <v>38.4</v>
      </c>
      <c r="F23" s="1">
        <v>0</v>
      </c>
      <c r="G23" s="1">
        <v>259</v>
      </c>
    </row>
    <row r="24" spans="1:7" x14ac:dyDescent="0.25">
      <c r="A24" t="s">
        <v>31</v>
      </c>
      <c r="B24" s="1">
        <v>584.75</v>
      </c>
      <c r="C24" s="1">
        <v>0</v>
      </c>
      <c r="D24" s="1">
        <v>1768.07</v>
      </c>
      <c r="E24" s="1">
        <v>702.69</v>
      </c>
      <c r="F24" s="1">
        <v>0</v>
      </c>
      <c r="G24" s="1">
        <v>3055.51</v>
      </c>
    </row>
    <row r="25" spans="1:7" x14ac:dyDescent="0.25">
      <c r="A25" t="s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4</v>
      </c>
      <c r="B26" s="1">
        <v>6854.93</v>
      </c>
      <c r="C26" s="1">
        <v>0</v>
      </c>
      <c r="D26" s="1">
        <v>11945.6</v>
      </c>
      <c r="E26" s="1">
        <v>6208.33</v>
      </c>
      <c r="F26" s="1">
        <v>0</v>
      </c>
      <c r="G26" s="1">
        <v>25008.799999999999</v>
      </c>
    </row>
    <row r="27" spans="1:7" x14ac:dyDescent="0.25">
      <c r="A27" t="s">
        <v>32</v>
      </c>
      <c r="B27" s="1">
        <v>3062.97</v>
      </c>
      <c r="C27" s="1">
        <v>0</v>
      </c>
      <c r="D27" s="1">
        <v>1670.31</v>
      </c>
      <c r="E27" s="1">
        <v>738.72</v>
      </c>
      <c r="F27" s="1">
        <v>0</v>
      </c>
      <c r="G27" s="1">
        <v>5472</v>
      </c>
    </row>
    <row r="28" spans="1:7" x14ac:dyDescent="0.25">
      <c r="A28" t="s">
        <v>8</v>
      </c>
      <c r="B28" s="1">
        <v>580238</v>
      </c>
      <c r="C28" s="1">
        <v>0</v>
      </c>
      <c r="D28" s="1">
        <v>3087674</v>
      </c>
      <c r="E28" s="1">
        <v>1652419</v>
      </c>
      <c r="F28" s="1">
        <v>211126</v>
      </c>
      <c r="G28" s="1">
        <v>5531458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73117.2</v>
      </c>
      <c r="C33" s="1">
        <v>22345.599999999999</v>
      </c>
      <c r="D33" s="1">
        <v>513807</v>
      </c>
      <c r="E33" s="1">
        <v>142177</v>
      </c>
      <c r="F33" s="1">
        <v>270351</v>
      </c>
      <c r="G33" s="1">
        <v>1021797</v>
      </c>
    </row>
    <row r="34" spans="1:7" x14ac:dyDescent="0.25">
      <c r="A34" t="s">
        <v>6</v>
      </c>
      <c r="B34" s="1">
        <v>1468085</v>
      </c>
      <c r="C34" s="1">
        <v>80041.8</v>
      </c>
      <c r="D34" s="1">
        <v>4009555</v>
      </c>
      <c r="E34" s="1">
        <v>2219131</v>
      </c>
      <c r="F34" s="1">
        <v>115203</v>
      </c>
      <c r="G34" s="1">
        <v>7892016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260017</v>
      </c>
      <c r="G35" s="1">
        <v>260017</v>
      </c>
    </row>
    <row r="36" spans="1:7" x14ac:dyDescent="0.25">
      <c r="A36" t="s">
        <v>0</v>
      </c>
      <c r="B36" s="1">
        <v>14731.9</v>
      </c>
      <c r="C36" s="1">
        <v>7331.17</v>
      </c>
      <c r="D36" s="1">
        <v>15079.6</v>
      </c>
      <c r="E36" s="1">
        <v>4251.51</v>
      </c>
      <c r="F36" s="1">
        <v>0</v>
      </c>
      <c r="G36" s="1">
        <v>41394.199999999997</v>
      </c>
    </row>
    <row r="37" spans="1:7" x14ac:dyDescent="0.25">
      <c r="A37" t="s">
        <v>30</v>
      </c>
      <c r="B37" s="1">
        <v>184.02</v>
      </c>
      <c r="C37" s="1">
        <v>34.130000000000003</v>
      </c>
      <c r="D37" s="1">
        <v>243.1</v>
      </c>
      <c r="E37" s="1">
        <v>58.52</v>
      </c>
      <c r="F37" s="1">
        <v>0</v>
      </c>
      <c r="G37" s="1">
        <v>519.77</v>
      </c>
    </row>
    <row r="38" spans="1:7" x14ac:dyDescent="0.25">
      <c r="A38" t="s">
        <v>31</v>
      </c>
      <c r="B38" s="1">
        <v>1875.2</v>
      </c>
      <c r="C38" s="1">
        <v>7003.69</v>
      </c>
      <c r="D38" s="1">
        <v>3133.44</v>
      </c>
      <c r="E38" s="1">
        <v>1184.1099999999999</v>
      </c>
      <c r="F38" s="1">
        <v>0</v>
      </c>
      <c r="G38" s="1">
        <v>13196.4</v>
      </c>
    </row>
    <row r="39" spans="1:7" x14ac:dyDescent="0.25">
      <c r="A39" t="s">
        <v>3</v>
      </c>
      <c r="B39" s="1">
        <v>1805.91</v>
      </c>
      <c r="C39" s="1">
        <v>134.29</v>
      </c>
      <c r="D39" s="1">
        <v>71.83</v>
      </c>
      <c r="E39" s="1">
        <v>14.2</v>
      </c>
      <c r="F39" s="1">
        <v>0</v>
      </c>
      <c r="G39" s="1">
        <v>2026.22</v>
      </c>
    </row>
    <row r="40" spans="1:7" x14ac:dyDescent="0.25">
      <c r="A40" t="s">
        <v>4</v>
      </c>
      <c r="B40" s="1">
        <v>20602.900000000001</v>
      </c>
      <c r="C40" s="1">
        <v>6627.18</v>
      </c>
      <c r="D40" s="1">
        <v>19546.7</v>
      </c>
      <c r="E40" s="1">
        <v>9494.39</v>
      </c>
      <c r="F40" s="1">
        <v>0</v>
      </c>
      <c r="G40" s="1">
        <v>56271.199999999997</v>
      </c>
    </row>
    <row r="41" spans="1:7" x14ac:dyDescent="0.25">
      <c r="A41" t="s">
        <v>32</v>
      </c>
      <c r="B41" s="1">
        <v>13312.7</v>
      </c>
      <c r="C41" s="1">
        <v>3994.54</v>
      </c>
      <c r="D41" s="1">
        <v>3109.83</v>
      </c>
      <c r="E41" s="1">
        <v>1304.72</v>
      </c>
      <c r="F41" s="1">
        <v>0</v>
      </c>
      <c r="G41" s="1">
        <v>21721.8</v>
      </c>
    </row>
    <row r="42" spans="1:7" x14ac:dyDescent="0.25">
      <c r="A42" t="s">
        <v>8</v>
      </c>
      <c r="B42" s="1">
        <v>1593715</v>
      </c>
      <c r="C42" s="1">
        <v>127512</v>
      </c>
      <c r="D42" s="1">
        <v>4564546</v>
      </c>
      <c r="E42" s="1">
        <v>2377616</v>
      </c>
      <c r="F42" s="1">
        <v>645570</v>
      </c>
      <c r="G42" s="1">
        <v>9308959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864A-E25B-4A81-B7DE-9949636A4D2E}">
  <sheetPr>
    <tabColor rgb="FF002060"/>
  </sheetPr>
  <dimension ref="A1:G42"/>
  <sheetViews>
    <sheetView topLeftCell="A6" workbookViewId="0">
      <selection sqref="A1:G42"/>
    </sheetView>
  </sheetViews>
  <sheetFormatPr defaultRowHeight="15" x14ac:dyDescent="0.25"/>
  <cols>
    <col min="1" max="1" width="27.8554687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0.5703125" bestFit="1" customWidth="1"/>
  </cols>
  <sheetData>
    <row r="1" spans="1:7" x14ac:dyDescent="0.25">
      <c r="A1" t="s">
        <v>34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39651.9</v>
      </c>
      <c r="C5" s="1">
        <v>22328.9</v>
      </c>
      <c r="D5" s="1">
        <v>146229</v>
      </c>
      <c r="E5" s="1">
        <v>28141.599999999999</v>
      </c>
      <c r="F5" s="1">
        <v>181586</v>
      </c>
      <c r="G5" s="1">
        <v>417937</v>
      </c>
    </row>
    <row r="6" spans="1:7" x14ac:dyDescent="0.25">
      <c r="A6" t="s">
        <v>6</v>
      </c>
      <c r="B6" s="1">
        <v>884814</v>
      </c>
      <c r="C6" s="1">
        <v>80141.5</v>
      </c>
      <c r="D6" s="1">
        <v>1314837</v>
      </c>
      <c r="E6" s="1">
        <v>683935</v>
      </c>
      <c r="F6" s="1">
        <v>77697.399999999994</v>
      </c>
      <c r="G6" s="1">
        <v>3041425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175163</v>
      </c>
      <c r="G7" s="1">
        <v>175163</v>
      </c>
    </row>
    <row r="8" spans="1:7" x14ac:dyDescent="0.25">
      <c r="A8" t="s">
        <v>0</v>
      </c>
      <c r="B8" s="1">
        <v>8696.67</v>
      </c>
      <c r="C8" s="1">
        <v>7361.93</v>
      </c>
      <c r="D8" s="1">
        <v>5241.5</v>
      </c>
      <c r="E8" s="1">
        <v>1478.49</v>
      </c>
      <c r="F8" s="1">
        <v>0</v>
      </c>
      <c r="G8" s="1">
        <v>22778.6</v>
      </c>
    </row>
    <row r="9" spans="1:7" x14ac:dyDescent="0.25">
      <c r="A9" t="s">
        <v>30</v>
      </c>
      <c r="B9" s="1">
        <v>112.65</v>
      </c>
      <c r="C9" s="1">
        <v>34.229999999999997</v>
      </c>
      <c r="D9" s="1">
        <v>88.21</v>
      </c>
      <c r="E9" s="1">
        <v>19.93</v>
      </c>
      <c r="F9" s="1">
        <v>0</v>
      </c>
      <c r="G9" s="1">
        <v>255.03</v>
      </c>
    </row>
    <row r="10" spans="1:7" x14ac:dyDescent="0.25">
      <c r="A10" t="s">
        <v>31</v>
      </c>
      <c r="B10" s="1">
        <v>1214.27</v>
      </c>
      <c r="C10" s="1">
        <v>7001.88</v>
      </c>
      <c r="D10" s="1">
        <v>1364.51</v>
      </c>
      <c r="E10" s="1">
        <v>474.77</v>
      </c>
      <c r="F10" s="1">
        <v>0</v>
      </c>
      <c r="G10" s="1">
        <v>10055.4</v>
      </c>
    </row>
    <row r="11" spans="1:7" x14ac:dyDescent="0.25">
      <c r="A11" t="s">
        <v>3</v>
      </c>
      <c r="B11" s="1">
        <v>1822.58</v>
      </c>
      <c r="C11" s="1">
        <v>148.06</v>
      </c>
      <c r="D11" s="1">
        <v>73.900000000000006</v>
      </c>
      <c r="E11" s="1">
        <v>15.49</v>
      </c>
      <c r="F11" s="1">
        <v>0</v>
      </c>
      <c r="G11" s="1">
        <v>2060.0300000000002</v>
      </c>
    </row>
    <row r="12" spans="1:7" x14ac:dyDescent="0.25">
      <c r="A12" t="s">
        <v>4</v>
      </c>
      <c r="B12" s="1">
        <v>12715.4</v>
      </c>
      <c r="C12" s="1">
        <v>6587.77</v>
      </c>
      <c r="D12" s="1">
        <v>7579.25</v>
      </c>
      <c r="E12" s="1">
        <v>3217.28</v>
      </c>
      <c r="F12" s="1">
        <v>0</v>
      </c>
      <c r="G12" s="1">
        <v>30099.7</v>
      </c>
    </row>
    <row r="13" spans="1:7" x14ac:dyDescent="0.25">
      <c r="A13" t="s">
        <v>32</v>
      </c>
      <c r="B13" s="1">
        <v>9235.2999999999993</v>
      </c>
      <c r="C13" s="1">
        <v>3908.24</v>
      </c>
      <c r="D13" s="1">
        <v>1421.2</v>
      </c>
      <c r="E13" s="1">
        <v>547.36</v>
      </c>
      <c r="F13" s="1">
        <v>0</v>
      </c>
      <c r="G13" s="1">
        <v>15112.1</v>
      </c>
    </row>
    <row r="14" spans="1:7" x14ac:dyDescent="0.25">
      <c r="A14" t="s">
        <v>8</v>
      </c>
      <c r="B14" s="1">
        <v>958263</v>
      </c>
      <c r="C14" s="1">
        <v>127512</v>
      </c>
      <c r="D14" s="1">
        <v>1476835</v>
      </c>
      <c r="E14" s="1">
        <v>717830</v>
      </c>
      <c r="F14" s="1">
        <v>434446</v>
      </c>
      <c r="G14" s="1">
        <v>3714886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29101</v>
      </c>
      <c r="C19" s="1">
        <v>0</v>
      </c>
      <c r="D19" s="1">
        <v>366475</v>
      </c>
      <c r="E19" s="1">
        <v>112358</v>
      </c>
      <c r="F19" s="1">
        <v>88431.6</v>
      </c>
      <c r="G19" s="1">
        <v>596366</v>
      </c>
    </row>
    <row r="20" spans="1:7" x14ac:dyDescent="0.25">
      <c r="A20" t="s">
        <v>6</v>
      </c>
      <c r="B20" s="1">
        <v>505358</v>
      </c>
      <c r="C20" s="1">
        <v>0</v>
      </c>
      <c r="D20" s="1">
        <v>2695733</v>
      </c>
      <c r="E20" s="1">
        <v>1512880</v>
      </c>
      <c r="F20" s="1">
        <v>37500</v>
      </c>
      <c r="G20" s="1">
        <v>4751470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85191.5</v>
      </c>
      <c r="G21" s="1">
        <v>85191.5</v>
      </c>
    </row>
    <row r="22" spans="1:7" x14ac:dyDescent="0.25">
      <c r="A22" t="s">
        <v>0</v>
      </c>
      <c r="B22" s="1">
        <v>5115.79</v>
      </c>
      <c r="C22" s="1">
        <v>0</v>
      </c>
      <c r="D22" s="1">
        <v>9845.89</v>
      </c>
      <c r="E22" s="1">
        <v>2723.61</v>
      </c>
      <c r="F22" s="1">
        <v>0</v>
      </c>
      <c r="G22" s="1">
        <v>17685.3</v>
      </c>
    </row>
    <row r="23" spans="1:7" x14ac:dyDescent="0.25">
      <c r="A23" t="s">
        <v>30</v>
      </c>
      <c r="B23" s="1">
        <v>62.8</v>
      </c>
      <c r="C23" s="1">
        <v>0</v>
      </c>
      <c r="D23" s="1">
        <v>155.19</v>
      </c>
      <c r="E23" s="1">
        <v>38.08</v>
      </c>
      <c r="F23" s="1">
        <v>0</v>
      </c>
      <c r="G23" s="1">
        <v>256.07</v>
      </c>
    </row>
    <row r="24" spans="1:7" x14ac:dyDescent="0.25">
      <c r="A24" t="s">
        <v>31</v>
      </c>
      <c r="B24" s="1">
        <v>551.58000000000004</v>
      </c>
      <c r="C24" s="1">
        <v>0</v>
      </c>
      <c r="D24" s="1">
        <v>1768.53</v>
      </c>
      <c r="E24" s="1">
        <v>693.49</v>
      </c>
      <c r="F24" s="1">
        <v>0</v>
      </c>
      <c r="G24" s="1">
        <v>3013.59</v>
      </c>
    </row>
    <row r="25" spans="1:7" x14ac:dyDescent="0.25">
      <c r="A25" t="s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4</v>
      </c>
      <c r="B26" s="1">
        <v>6418.55</v>
      </c>
      <c r="C26" s="1">
        <v>0</v>
      </c>
      <c r="D26" s="1">
        <v>11955.9</v>
      </c>
      <c r="E26" s="1">
        <v>6108.01</v>
      </c>
      <c r="F26" s="1">
        <v>0</v>
      </c>
      <c r="G26" s="1">
        <v>24482.400000000001</v>
      </c>
    </row>
    <row r="27" spans="1:7" x14ac:dyDescent="0.25">
      <c r="A27" t="s">
        <v>32</v>
      </c>
      <c r="B27" s="1">
        <v>2876.15</v>
      </c>
      <c r="C27" s="1">
        <v>0</v>
      </c>
      <c r="D27" s="1">
        <v>1679.16</v>
      </c>
      <c r="E27" s="1">
        <v>729.96</v>
      </c>
      <c r="F27" s="1">
        <v>0</v>
      </c>
      <c r="G27" s="1">
        <v>5285.28</v>
      </c>
    </row>
    <row r="28" spans="1:7" x14ac:dyDescent="0.25">
      <c r="A28" t="s">
        <v>8</v>
      </c>
      <c r="B28" s="1">
        <v>549483</v>
      </c>
      <c r="C28" s="1">
        <v>0</v>
      </c>
      <c r="D28" s="1">
        <v>3087613</v>
      </c>
      <c r="E28" s="1">
        <v>1635531</v>
      </c>
      <c r="F28" s="1">
        <v>211123</v>
      </c>
      <c r="G28" s="1">
        <v>5483750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68752.899999999994</v>
      </c>
      <c r="C33" s="1">
        <v>22328.9</v>
      </c>
      <c r="D33" s="1">
        <v>512704</v>
      </c>
      <c r="E33" s="1">
        <v>140500</v>
      </c>
      <c r="F33" s="1">
        <v>270017</v>
      </c>
      <c r="G33" s="1">
        <v>1014303</v>
      </c>
    </row>
    <row r="34" spans="1:7" x14ac:dyDescent="0.25">
      <c r="A34" t="s">
        <v>6</v>
      </c>
      <c r="B34" s="1">
        <v>1390171</v>
      </c>
      <c r="C34" s="1">
        <v>80141.5</v>
      </c>
      <c r="D34" s="1">
        <v>4010570</v>
      </c>
      <c r="E34" s="1">
        <v>2196815</v>
      </c>
      <c r="F34" s="1">
        <v>115197</v>
      </c>
      <c r="G34" s="1">
        <v>7792895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260354</v>
      </c>
      <c r="G35" s="1">
        <v>260354</v>
      </c>
    </row>
    <row r="36" spans="1:7" x14ac:dyDescent="0.25">
      <c r="A36" t="s">
        <v>0</v>
      </c>
      <c r="B36" s="1">
        <v>13812.5</v>
      </c>
      <c r="C36" s="1">
        <v>7361.93</v>
      </c>
      <c r="D36" s="1">
        <v>15087.4</v>
      </c>
      <c r="E36" s="1">
        <v>4202.1099999999997</v>
      </c>
      <c r="F36" s="1">
        <v>0</v>
      </c>
      <c r="G36" s="1">
        <v>40463.9</v>
      </c>
    </row>
    <row r="37" spans="1:7" x14ac:dyDescent="0.25">
      <c r="A37" t="s">
        <v>30</v>
      </c>
      <c r="B37" s="1">
        <v>175.45</v>
      </c>
      <c r="C37" s="1">
        <v>34.229999999999997</v>
      </c>
      <c r="D37" s="1">
        <v>243.4</v>
      </c>
      <c r="E37" s="1">
        <v>58.02</v>
      </c>
      <c r="F37" s="1">
        <v>0</v>
      </c>
      <c r="G37" s="1">
        <v>511.1</v>
      </c>
    </row>
    <row r="38" spans="1:7" x14ac:dyDescent="0.25">
      <c r="A38" t="s">
        <v>31</v>
      </c>
      <c r="B38" s="1">
        <v>1765.85</v>
      </c>
      <c r="C38" s="1">
        <v>7001.88</v>
      </c>
      <c r="D38" s="1">
        <v>3133.04</v>
      </c>
      <c r="E38" s="1">
        <v>1168.25</v>
      </c>
      <c r="F38" s="1">
        <v>0</v>
      </c>
      <c r="G38" s="1">
        <v>13069</v>
      </c>
    </row>
    <row r="39" spans="1:7" x14ac:dyDescent="0.25">
      <c r="A39" t="s">
        <v>3</v>
      </c>
      <c r="B39" s="1">
        <v>1822.58</v>
      </c>
      <c r="C39" s="1">
        <v>148.06</v>
      </c>
      <c r="D39" s="1">
        <v>73.900000000000006</v>
      </c>
      <c r="E39" s="1">
        <v>15.49</v>
      </c>
      <c r="F39" s="1">
        <v>0</v>
      </c>
      <c r="G39" s="1">
        <v>2060.0300000000002</v>
      </c>
    </row>
    <row r="40" spans="1:7" x14ac:dyDescent="0.25">
      <c r="A40" t="s">
        <v>4</v>
      </c>
      <c r="B40" s="1">
        <v>19134</v>
      </c>
      <c r="C40" s="1">
        <v>6587.77</v>
      </c>
      <c r="D40" s="1">
        <v>19535.099999999999</v>
      </c>
      <c r="E40" s="1">
        <v>9325.2900000000009</v>
      </c>
      <c r="F40" s="1">
        <v>0</v>
      </c>
      <c r="G40" s="1">
        <v>54582.2</v>
      </c>
    </row>
    <row r="41" spans="1:7" x14ac:dyDescent="0.25">
      <c r="A41" t="s">
        <v>32</v>
      </c>
      <c r="B41" s="1">
        <v>12111.5</v>
      </c>
      <c r="C41" s="1">
        <v>3908.24</v>
      </c>
      <c r="D41" s="1">
        <v>3100.37</v>
      </c>
      <c r="E41" s="1">
        <v>1277.32</v>
      </c>
      <c r="F41" s="1">
        <v>0</v>
      </c>
      <c r="G41" s="1">
        <v>20397.400000000001</v>
      </c>
    </row>
    <row r="42" spans="1:7" x14ac:dyDescent="0.25">
      <c r="A42" t="s">
        <v>8</v>
      </c>
      <c r="B42" s="1">
        <v>1507746</v>
      </c>
      <c r="C42" s="1">
        <v>127512</v>
      </c>
      <c r="D42" s="1">
        <v>4564448</v>
      </c>
      <c r="E42" s="1">
        <v>2353361</v>
      </c>
      <c r="F42" s="1">
        <v>645569</v>
      </c>
      <c r="G42" s="1">
        <v>9198636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5918-5E49-4927-B629-AA923005AD57}">
  <sheetPr>
    <tabColor rgb="FF002060"/>
  </sheetPr>
  <dimension ref="A1:G42"/>
  <sheetViews>
    <sheetView topLeftCell="A16" workbookViewId="0">
      <selection sqref="A1:G42"/>
    </sheetView>
  </sheetViews>
  <sheetFormatPr defaultRowHeight="15" x14ac:dyDescent="0.25"/>
  <cols>
    <col min="1" max="1" width="24.14062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0.5703125" bestFit="1" customWidth="1"/>
  </cols>
  <sheetData>
    <row r="1" spans="1:7" x14ac:dyDescent="0.25">
      <c r="A1" t="s">
        <v>35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37172.699999999997</v>
      </c>
      <c r="C5" s="1">
        <v>22312</v>
      </c>
      <c r="D5" s="1">
        <v>145912</v>
      </c>
      <c r="E5" s="1">
        <v>27807</v>
      </c>
      <c r="F5" s="1">
        <v>181386</v>
      </c>
      <c r="G5" s="1">
        <v>414590</v>
      </c>
    </row>
    <row r="6" spans="1:7" x14ac:dyDescent="0.25">
      <c r="A6" t="s">
        <v>6</v>
      </c>
      <c r="B6" s="1">
        <v>835960</v>
      </c>
      <c r="C6" s="1">
        <v>80204.399999999994</v>
      </c>
      <c r="D6" s="1">
        <v>1315222</v>
      </c>
      <c r="E6" s="1">
        <v>677068</v>
      </c>
      <c r="F6" s="1">
        <v>77697.7</v>
      </c>
      <c r="G6" s="1">
        <v>2986152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175365</v>
      </c>
      <c r="G7" s="1">
        <v>175365</v>
      </c>
    </row>
    <row r="8" spans="1:7" x14ac:dyDescent="0.25">
      <c r="A8" t="s">
        <v>0</v>
      </c>
      <c r="B8" s="1">
        <v>8142.31</v>
      </c>
      <c r="C8" s="1">
        <v>7366.47</v>
      </c>
      <c r="D8" s="1">
        <v>5249.3</v>
      </c>
      <c r="E8" s="1">
        <v>1462.39</v>
      </c>
      <c r="F8" s="1">
        <v>0</v>
      </c>
      <c r="G8" s="1">
        <v>22220.5</v>
      </c>
    </row>
    <row r="9" spans="1:7" x14ac:dyDescent="0.25">
      <c r="A9" t="s">
        <v>30</v>
      </c>
      <c r="B9" s="1">
        <v>106.84</v>
      </c>
      <c r="C9" s="1">
        <v>34.08</v>
      </c>
      <c r="D9" s="1">
        <v>88.5</v>
      </c>
      <c r="E9" s="1">
        <v>19.760000000000002</v>
      </c>
      <c r="F9" s="1">
        <v>0</v>
      </c>
      <c r="G9" s="1">
        <v>249.18</v>
      </c>
    </row>
    <row r="10" spans="1:7" x14ac:dyDescent="0.25">
      <c r="A10" t="s">
        <v>31</v>
      </c>
      <c r="B10" s="1">
        <v>1140.6199999999999</v>
      </c>
      <c r="C10" s="1">
        <v>7000.63</v>
      </c>
      <c r="D10" s="1">
        <v>1364.13</v>
      </c>
      <c r="E10" s="1">
        <v>468.19</v>
      </c>
      <c r="F10" s="1">
        <v>0</v>
      </c>
      <c r="G10" s="1">
        <v>9973.56</v>
      </c>
    </row>
    <row r="11" spans="1:7" x14ac:dyDescent="0.25">
      <c r="A11" t="s">
        <v>3</v>
      </c>
      <c r="B11" s="1">
        <v>1858.99</v>
      </c>
      <c r="C11" s="1">
        <v>165.3</v>
      </c>
      <c r="D11" s="1">
        <v>76.459999999999994</v>
      </c>
      <c r="E11" s="1">
        <v>17.23</v>
      </c>
      <c r="F11" s="1">
        <v>0</v>
      </c>
      <c r="G11" s="1">
        <v>2117.9899999999998</v>
      </c>
    </row>
    <row r="12" spans="1:7" x14ac:dyDescent="0.25">
      <c r="A12" t="s">
        <v>4</v>
      </c>
      <c r="B12" s="1">
        <v>11789.3</v>
      </c>
      <c r="C12" s="1">
        <v>6572.18</v>
      </c>
      <c r="D12" s="1">
        <v>7557.92</v>
      </c>
      <c r="E12" s="1">
        <v>3150.24</v>
      </c>
      <c r="F12" s="1">
        <v>0</v>
      </c>
      <c r="G12" s="1">
        <v>29069.599999999999</v>
      </c>
    </row>
    <row r="13" spans="1:7" x14ac:dyDescent="0.25">
      <c r="A13" t="s">
        <v>32</v>
      </c>
      <c r="B13" s="1">
        <v>8315.6</v>
      </c>
      <c r="C13" s="1">
        <v>3857.38</v>
      </c>
      <c r="D13" s="1">
        <v>1407.13</v>
      </c>
      <c r="E13" s="1">
        <v>530.52</v>
      </c>
      <c r="F13" s="1">
        <v>0</v>
      </c>
      <c r="G13" s="1">
        <v>14110.6</v>
      </c>
    </row>
    <row r="14" spans="1:7" x14ac:dyDescent="0.25">
      <c r="A14" t="s">
        <v>8</v>
      </c>
      <c r="B14" s="1">
        <v>904486</v>
      </c>
      <c r="C14" s="1">
        <v>127512</v>
      </c>
      <c r="D14" s="1">
        <v>1476878</v>
      </c>
      <c r="E14" s="1">
        <v>710524</v>
      </c>
      <c r="F14" s="1">
        <v>434448</v>
      </c>
      <c r="G14" s="1">
        <v>3653848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27296.7</v>
      </c>
      <c r="C19" s="1">
        <v>0</v>
      </c>
      <c r="D19" s="1">
        <v>365834</v>
      </c>
      <c r="E19" s="1">
        <v>111065</v>
      </c>
      <c r="F19" s="1">
        <v>88333.2</v>
      </c>
      <c r="G19" s="1">
        <v>592529</v>
      </c>
    </row>
    <row r="20" spans="1:7" x14ac:dyDescent="0.25">
      <c r="A20" t="s">
        <v>6</v>
      </c>
      <c r="B20" s="1">
        <v>476471</v>
      </c>
      <c r="C20" s="1">
        <v>0</v>
      </c>
      <c r="D20" s="1">
        <v>2696409</v>
      </c>
      <c r="E20" s="1">
        <v>1497578</v>
      </c>
      <c r="F20" s="1">
        <v>37495.1</v>
      </c>
      <c r="G20" s="1">
        <v>4707953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85289.7</v>
      </c>
      <c r="G21" s="1">
        <v>85289.7</v>
      </c>
    </row>
    <row r="22" spans="1:7" x14ac:dyDescent="0.25">
      <c r="A22" t="s">
        <v>0</v>
      </c>
      <c r="B22" s="1">
        <v>4757.66</v>
      </c>
      <c r="C22" s="1">
        <v>0</v>
      </c>
      <c r="D22" s="1">
        <v>9859.07</v>
      </c>
      <c r="E22" s="1">
        <v>2692.26</v>
      </c>
      <c r="F22" s="1">
        <v>0</v>
      </c>
      <c r="G22" s="1">
        <v>17309</v>
      </c>
    </row>
    <row r="23" spans="1:7" x14ac:dyDescent="0.25">
      <c r="A23" t="s">
        <v>30</v>
      </c>
      <c r="B23" s="1">
        <v>59.93</v>
      </c>
      <c r="C23" s="1">
        <v>0</v>
      </c>
      <c r="D23" s="1">
        <v>155.63</v>
      </c>
      <c r="E23" s="1">
        <v>37.81</v>
      </c>
      <c r="F23" s="1">
        <v>0</v>
      </c>
      <c r="G23" s="1">
        <v>253.37</v>
      </c>
    </row>
    <row r="24" spans="1:7" x14ac:dyDescent="0.25">
      <c r="A24" t="s">
        <v>31</v>
      </c>
      <c r="B24" s="1">
        <v>518.17999999999995</v>
      </c>
      <c r="C24" s="1">
        <v>0</v>
      </c>
      <c r="D24" s="1">
        <v>1768.53</v>
      </c>
      <c r="E24" s="1">
        <v>684.12</v>
      </c>
      <c r="F24" s="1">
        <v>0</v>
      </c>
      <c r="G24" s="1">
        <v>2970.83</v>
      </c>
    </row>
    <row r="25" spans="1:7" x14ac:dyDescent="0.25">
      <c r="A25" t="s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4</v>
      </c>
      <c r="B26" s="1">
        <v>5968.72</v>
      </c>
      <c r="C26" s="1">
        <v>0</v>
      </c>
      <c r="D26" s="1">
        <v>11946.5</v>
      </c>
      <c r="E26" s="1">
        <v>6006.92</v>
      </c>
      <c r="F26" s="1">
        <v>0</v>
      </c>
      <c r="G26" s="1">
        <v>23922.1</v>
      </c>
    </row>
    <row r="27" spans="1:7" x14ac:dyDescent="0.25">
      <c r="A27" t="s">
        <v>32</v>
      </c>
      <c r="B27" s="1">
        <v>2647.45</v>
      </c>
      <c r="C27" s="1">
        <v>0</v>
      </c>
      <c r="D27" s="1">
        <v>1690.98</v>
      </c>
      <c r="E27" s="1">
        <v>727.17</v>
      </c>
      <c r="F27" s="1">
        <v>0</v>
      </c>
      <c r="G27" s="1">
        <v>5065.6000000000004</v>
      </c>
    </row>
    <row r="28" spans="1:7" x14ac:dyDescent="0.25">
      <c r="A28" t="s">
        <v>8</v>
      </c>
      <c r="B28" s="1">
        <v>517720</v>
      </c>
      <c r="C28" s="1">
        <v>0</v>
      </c>
      <c r="D28" s="1">
        <v>3087664</v>
      </c>
      <c r="E28" s="1">
        <v>1618791</v>
      </c>
      <c r="F28" s="1">
        <v>211118</v>
      </c>
      <c r="G28" s="1">
        <v>5435292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64469.4</v>
      </c>
      <c r="C33" s="1">
        <v>22312</v>
      </c>
      <c r="D33" s="1">
        <v>511747</v>
      </c>
      <c r="E33" s="1">
        <v>138872</v>
      </c>
      <c r="F33" s="1">
        <v>269719</v>
      </c>
      <c r="G33" s="1">
        <v>1007119</v>
      </c>
    </row>
    <row r="34" spans="1:7" x14ac:dyDescent="0.25">
      <c r="A34" t="s">
        <v>6</v>
      </c>
      <c r="B34" s="1">
        <v>1312431</v>
      </c>
      <c r="C34" s="1">
        <v>80204.399999999994</v>
      </c>
      <c r="D34" s="1">
        <v>4011630</v>
      </c>
      <c r="E34" s="1">
        <v>2174646</v>
      </c>
      <c r="F34" s="1">
        <v>115193</v>
      </c>
      <c r="G34" s="1">
        <v>7694105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260655</v>
      </c>
      <c r="G35" s="1">
        <v>260655</v>
      </c>
    </row>
    <row r="36" spans="1:7" x14ac:dyDescent="0.25">
      <c r="A36" t="s">
        <v>0</v>
      </c>
      <c r="B36" s="1">
        <v>12900</v>
      </c>
      <c r="C36" s="1">
        <v>7366.47</v>
      </c>
      <c r="D36" s="1">
        <v>15108.4</v>
      </c>
      <c r="E36" s="1">
        <v>4154.6499999999996</v>
      </c>
      <c r="F36" s="1">
        <v>0</v>
      </c>
      <c r="G36" s="1">
        <v>39529.5</v>
      </c>
    </row>
    <row r="37" spans="1:7" x14ac:dyDescent="0.25">
      <c r="A37" t="s">
        <v>30</v>
      </c>
      <c r="B37" s="1">
        <v>166.77</v>
      </c>
      <c r="C37" s="1">
        <v>34.08</v>
      </c>
      <c r="D37" s="1">
        <v>244.13</v>
      </c>
      <c r="E37" s="1">
        <v>57.57</v>
      </c>
      <c r="F37" s="1">
        <v>0</v>
      </c>
      <c r="G37" s="1">
        <v>502.55</v>
      </c>
    </row>
    <row r="38" spans="1:7" x14ac:dyDescent="0.25">
      <c r="A38" t="s">
        <v>31</v>
      </c>
      <c r="B38" s="1">
        <v>1658.79</v>
      </c>
      <c r="C38" s="1">
        <v>7000.63</v>
      </c>
      <c r="D38" s="1">
        <v>3132.66</v>
      </c>
      <c r="E38" s="1">
        <v>1152.3</v>
      </c>
      <c r="F38" s="1">
        <v>0</v>
      </c>
      <c r="G38" s="1">
        <v>12944.4</v>
      </c>
    </row>
    <row r="39" spans="1:7" x14ac:dyDescent="0.25">
      <c r="A39" t="s">
        <v>3</v>
      </c>
      <c r="B39" s="1">
        <v>1858.99</v>
      </c>
      <c r="C39" s="1">
        <v>165.3</v>
      </c>
      <c r="D39" s="1">
        <v>76.459999999999994</v>
      </c>
      <c r="E39" s="1">
        <v>17.23</v>
      </c>
      <c r="F39" s="1">
        <v>0</v>
      </c>
      <c r="G39" s="1">
        <v>2117.9899999999998</v>
      </c>
    </row>
    <row r="40" spans="1:7" x14ac:dyDescent="0.25">
      <c r="A40" t="s">
        <v>4</v>
      </c>
      <c r="B40" s="1">
        <v>17758</v>
      </c>
      <c r="C40" s="1">
        <v>6572.18</v>
      </c>
      <c r="D40" s="1">
        <v>19504.400000000001</v>
      </c>
      <c r="E40" s="1">
        <v>9157.16</v>
      </c>
      <c r="F40" s="1">
        <v>0</v>
      </c>
      <c r="G40" s="1">
        <v>52991.8</v>
      </c>
    </row>
    <row r="41" spans="1:7" x14ac:dyDescent="0.25">
      <c r="A41" t="s">
        <v>32</v>
      </c>
      <c r="B41" s="1">
        <v>10963</v>
      </c>
      <c r="C41" s="1">
        <v>3857.38</v>
      </c>
      <c r="D41" s="1">
        <v>3098.11</v>
      </c>
      <c r="E41" s="1">
        <v>1257.69</v>
      </c>
      <c r="F41" s="1">
        <v>0</v>
      </c>
      <c r="G41" s="1">
        <v>19176.2</v>
      </c>
    </row>
    <row r="42" spans="1:7" x14ac:dyDescent="0.25">
      <c r="A42" t="s">
        <v>8</v>
      </c>
      <c r="B42" s="1">
        <v>1422206</v>
      </c>
      <c r="C42" s="1">
        <v>127512</v>
      </c>
      <c r="D42" s="1">
        <v>4564541</v>
      </c>
      <c r="E42" s="1">
        <v>2329314</v>
      </c>
      <c r="F42" s="1">
        <v>645566</v>
      </c>
      <c r="G42" s="1">
        <v>9089141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4074-81DF-43FA-B5B7-F2576CC4EB93}">
  <sheetPr>
    <tabColor rgb="FF002060"/>
  </sheetPr>
  <dimension ref="A1:G42"/>
  <sheetViews>
    <sheetView topLeftCell="A13" workbookViewId="0">
      <selection sqref="A1:G42"/>
    </sheetView>
  </sheetViews>
  <sheetFormatPr defaultRowHeight="15" x14ac:dyDescent="0.25"/>
  <cols>
    <col min="1" max="1" width="24.14062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1.5703125" bestFit="1" customWidth="1"/>
  </cols>
  <sheetData>
    <row r="1" spans="1:7" x14ac:dyDescent="0.25">
      <c r="A1" t="s">
        <v>39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81021.289999999994</v>
      </c>
      <c r="C5" s="1">
        <v>25999.93</v>
      </c>
      <c r="D5" s="1">
        <v>229424.37</v>
      </c>
      <c r="E5" s="1">
        <v>44177.34</v>
      </c>
      <c r="F5" s="1">
        <v>190415.7</v>
      </c>
      <c r="G5" s="1">
        <v>571038.64</v>
      </c>
    </row>
    <row r="6" spans="1:7" x14ac:dyDescent="0.25">
      <c r="A6" t="s">
        <v>6</v>
      </c>
      <c r="B6" s="1">
        <v>1646769.41</v>
      </c>
      <c r="C6" s="1">
        <v>109601.71</v>
      </c>
      <c r="D6" s="1">
        <v>1928939.2</v>
      </c>
      <c r="E6" s="1">
        <v>1100545.46</v>
      </c>
      <c r="F6" s="1">
        <v>99114.17</v>
      </c>
      <c r="G6" s="1">
        <v>4884969.96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260629.83</v>
      </c>
      <c r="G7" s="1">
        <v>260629.83</v>
      </c>
    </row>
    <row r="8" spans="1:7" x14ac:dyDescent="0.25">
      <c r="A8" t="s">
        <v>0</v>
      </c>
      <c r="B8" s="1">
        <v>7335.34</v>
      </c>
      <c r="C8" s="1">
        <v>6051.79</v>
      </c>
      <c r="D8" s="1">
        <v>4257.8900000000003</v>
      </c>
      <c r="E8" s="1">
        <v>1115.06</v>
      </c>
      <c r="F8" s="1">
        <v>0</v>
      </c>
      <c r="G8" s="1">
        <v>18760.080000000002</v>
      </c>
    </row>
    <row r="9" spans="1:7" x14ac:dyDescent="0.25">
      <c r="A9" t="s">
        <v>30</v>
      </c>
      <c r="B9" s="1">
        <v>16606.79</v>
      </c>
      <c r="C9" s="1">
        <v>4465.3999999999996</v>
      </c>
      <c r="D9" s="1">
        <v>12151.65</v>
      </c>
      <c r="E9" s="1">
        <v>3195.87</v>
      </c>
      <c r="F9" s="1">
        <v>0</v>
      </c>
      <c r="G9" s="1">
        <v>36419.71</v>
      </c>
    </row>
    <row r="10" spans="1:7" x14ac:dyDescent="0.25">
      <c r="A10" t="s">
        <v>31</v>
      </c>
      <c r="B10" s="1">
        <v>5889.74</v>
      </c>
      <c r="C10" s="1">
        <v>10257.290000000001</v>
      </c>
      <c r="D10" s="1">
        <v>5520.52</v>
      </c>
      <c r="E10" s="1">
        <v>1456.29</v>
      </c>
      <c r="F10" s="1">
        <v>0</v>
      </c>
      <c r="G10" s="1">
        <v>23123.84</v>
      </c>
    </row>
    <row r="11" spans="1:7" x14ac:dyDescent="0.25">
      <c r="A11" t="s">
        <v>3</v>
      </c>
      <c r="B11" s="1">
        <v>2148.9699999999998</v>
      </c>
      <c r="C11" s="1">
        <v>169.43</v>
      </c>
      <c r="D11" s="1">
        <v>103.97</v>
      </c>
      <c r="E11" s="1">
        <v>11.27</v>
      </c>
      <c r="F11" s="1">
        <v>0</v>
      </c>
      <c r="G11" s="1">
        <v>2433.63</v>
      </c>
    </row>
    <row r="12" spans="1:7" x14ac:dyDescent="0.25">
      <c r="A12" t="s">
        <v>4</v>
      </c>
      <c r="B12" s="1">
        <v>30214.27</v>
      </c>
      <c r="C12" s="1">
        <v>11358.04</v>
      </c>
      <c r="D12" s="1">
        <v>17458.73</v>
      </c>
      <c r="E12" s="1">
        <v>5019.49</v>
      </c>
      <c r="F12" s="1">
        <v>0</v>
      </c>
      <c r="G12" s="1">
        <v>64050.54</v>
      </c>
    </row>
    <row r="13" spans="1:7" x14ac:dyDescent="0.25">
      <c r="A13" t="s">
        <v>32</v>
      </c>
      <c r="B13" s="1">
        <v>32054.58</v>
      </c>
      <c r="C13" s="1">
        <v>10058.290000000001</v>
      </c>
      <c r="D13" s="1">
        <v>3375.76</v>
      </c>
      <c r="E13" s="1">
        <v>1109.33</v>
      </c>
      <c r="F13" s="1">
        <v>0</v>
      </c>
      <c r="G13" s="1">
        <v>46597.96</v>
      </c>
    </row>
    <row r="14" spans="1:7" x14ac:dyDescent="0.25">
      <c r="A14" t="s">
        <v>8</v>
      </c>
      <c r="B14" s="1">
        <v>1822040.4</v>
      </c>
      <c r="C14" s="1">
        <v>177961.89</v>
      </c>
      <c r="D14" s="1">
        <v>2201232.09</v>
      </c>
      <c r="E14" s="1">
        <v>1156630.1100000001</v>
      </c>
      <c r="F14" s="1">
        <v>550159.69999999995</v>
      </c>
      <c r="G14" s="1">
        <v>5908024.1799999997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58847.32</v>
      </c>
      <c r="C19" s="1">
        <v>0</v>
      </c>
      <c r="D19" s="1">
        <v>582939.64</v>
      </c>
      <c r="E19" s="1">
        <v>175705.49</v>
      </c>
      <c r="F19" s="1">
        <v>92731.34</v>
      </c>
      <c r="G19" s="1">
        <v>910223.78</v>
      </c>
    </row>
    <row r="20" spans="1:7" x14ac:dyDescent="0.25">
      <c r="A20" t="s">
        <v>6</v>
      </c>
      <c r="B20" s="1">
        <v>947213.6</v>
      </c>
      <c r="C20" s="1">
        <v>0</v>
      </c>
      <c r="D20" s="1">
        <v>3948600.84</v>
      </c>
      <c r="E20" s="1">
        <v>2440777.4300000002</v>
      </c>
      <c r="F20" s="1">
        <v>47904.18</v>
      </c>
      <c r="G20" s="1">
        <v>7384496.0499999998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126898.78</v>
      </c>
      <c r="G21" s="1">
        <v>126898.78</v>
      </c>
    </row>
    <row r="22" spans="1:7" x14ac:dyDescent="0.25">
      <c r="A22" t="s">
        <v>0</v>
      </c>
      <c r="B22" s="1">
        <v>4416.04</v>
      </c>
      <c r="C22" s="1">
        <v>0</v>
      </c>
      <c r="D22" s="1">
        <v>8228.7199999999993</v>
      </c>
      <c r="E22" s="1">
        <v>2166.6</v>
      </c>
      <c r="F22" s="1">
        <v>0</v>
      </c>
      <c r="G22" s="1">
        <v>14811.35</v>
      </c>
    </row>
    <row r="23" spans="1:7" x14ac:dyDescent="0.25">
      <c r="A23" t="s">
        <v>30</v>
      </c>
      <c r="B23" s="1">
        <v>7962.3</v>
      </c>
      <c r="C23" s="1">
        <v>0</v>
      </c>
      <c r="D23" s="1">
        <v>17973.75</v>
      </c>
      <c r="E23" s="1">
        <v>4142.46</v>
      </c>
      <c r="F23" s="1">
        <v>0</v>
      </c>
      <c r="G23" s="1">
        <v>30078.51</v>
      </c>
    </row>
    <row r="24" spans="1:7" x14ac:dyDescent="0.25">
      <c r="A24" t="s">
        <v>31</v>
      </c>
      <c r="B24" s="1">
        <v>2404.38</v>
      </c>
      <c r="C24" s="1">
        <v>0</v>
      </c>
      <c r="D24" s="1">
        <v>6806.46</v>
      </c>
      <c r="E24" s="1">
        <v>1945.65</v>
      </c>
      <c r="F24" s="1">
        <v>0</v>
      </c>
      <c r="G24" s="1">
        <v>11156.49</v>
      </c>
    </row>
    <row r="25" spans="1:7" x14ac:dyDescent="0.25">
      <c r="A25" t="s">
        <v>3</v>
      </c>
      <c r="B25" s="1">
        <v>33.72</v>
      </c>
      <c r="C25" s="1">
        <v>0</v>
      </c>
      <c r="D25" s="1">
        <v>1.65</v>
      </c>
      <c r="E25" s="1">
        <v>0.43</v>
      </c>
      <c r="F25" s="1">
        <v>0</v>
      </c>
      <c r="G25" s="1">
        <v>35.81</v>
      </c>
    </row>
    <row r="26" spans="1:7" x14ac:dyDescent="0.25">
      <c r="A26" t="s">
        <v>4</v>
      </c>
      <c r="B26" s="1">
        <v>16502.29</v>
      </c>
      <c r="C26" s="1">
        <v>0</v>
      </c>
      <c r="D26" s="1">
        <v>31068.2</v>
      </c>
      <c r="E26" s="1">
        <v>10331.120000000001</v>
      </c>
      <c r="F26" s="1">
        <v>0</v>
      </c>
      <c r="G26" s="1">
        <v>57901.62</v>
      </c>
    </row>
    <row r="27" spans="1:7" x14ac:dyDescent="0.25">
      <c r="A27" t="s">
        <v>32</v>
      </c>
      <c r="B27" s="1">
        <v>10092.219999999999</v>
      </c>
      <c r="C27" s="1">
        <v>0</v>
      </c>
      <c r="D27" s="1">
        <v>4135.8599999999997</v>
      </c>
      <c r="E27" s="1">
        <v>1270.72</v>
      </c>
      <c r="F27" s="1">
        <v>0</v>
      </c>
      <c r="G27" s="1">
        <v>15498.8</v>
      </c>
    </row>
    <row r="28" spans="1:7" x14ac:dyDescent="0.25">
      <c r="A28" t="s">
        <v>8</v>
      </c>
      <c r="B28" s="1">
        <v>1047471.87</v>
      </c>
      <c r="C28" s="1">
        <v>0</v>
      </c>
      <c r="D28" s="1">
        <v>4599755.13</v>
      </c>
      <c r="E28" s="1">
        <v>2636339.89</v>
      </c>
      <c r="F28" s="1">
        <v>267534.3</v>
      </c>
      <c r="G28" s="1">
        <v>8551101.1999999993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139868.62</v>
      </c>
      <c r="C33" s="1">
        <v>25999.93</v>
      </c>
      <c r="D33" s="1">
        <v>812364.01</v>
      </c>
      <c r="E33" s="1">
        <v>219882.83</v>
      </c>
      <c r="F33" s="1">
        <v>283147.03999999998</v>
      </c>
      <c r="G33" s="1">
        <v>1481262.42</v>
      </c>
    </row>
    <row r="34" spans="1:7" x14ac:dyDescent="0.25">
      <c r="A34" t="s">
        <v>6</v>
      </c>
      <c r="B34" s="1">
        <v>2593983.0099999998</v>
      </c>
      <c r="C34" s="1">
        <v>109601.71</v>
      </c>
      <c r="D34" s="1">
        <v>5877540.0499999998</v>
      </c>
      <c r="E34" s="1">
        <v>3541322.89</v>
      </c>
      <c r="F34" s="1">
        <v>147018.35</v>
      </c>
      <c r="G34" s="1">
        <v>12269466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387528.61</v>
      </c>
      <c r="G35" s="1">
        <v>387528.61</v>
      </c>
    </row>
    <row r="36" spans="1:7" x14ac:dyDescent="0.25">
      <c r="A36" t="s">
        <v>0</v>
      </c>
      <c r="B36" s="1">
        <v>11751.38</v>
      </c>
      <c r="C36" s="1">
        <v>6051.79</v>
      </c>
      <c r="D36" s="1">
        <v>12486.61</v>
      </c>
      <c r="E36" s="1">
        <v>3281.65</v>
      </c>
      <c r="F36" s="1">
        <v>0</v>
      </c>
      <c r="G36" s="1">
        <v>33571.440000000002</v>
      </c>
    </row>
    <row r="37" spans="1:7" x14ac:dyDescent="0.25">
      <c r="A37" t="s">
        <v>30</v>
      </c>
      <c r="B37" s="1">
        <v>24569.09</v>
      </c>
      <c r="C37" s="1">
        <v>4465.3999999999996</v>
      </c>
      <c r="D37" s="1">
        <v>30125.4</v>
      </c>
      <c r="E37" s="1">
        <v>7338.33</v>
      </c>
      <c r="F37" s="1">
        <v>0</v>
      </c>
      <c r="G37" s="1">
        <v>66498.22</v>
      </c>
    </row>
    <row r="38" spans="1:7" x14ac:dyDescent="0.25">
      <c r="A38" t="s">
        <v>31</v>
      </c>
      <c r="B38" s="1">
        <v>8294.1200000000008</v>
      </c>
      <c r="C38" s="1">
        <v>10257.290000000001</v>
      </c>
      <c r="D38" s="1">
        <v>12326.98</v>
      </c>
      <c r="E38" s="1">
        <v>3401.95</v>
      </c>
      <c r="F38" s="1">
        <v>0</v>
      </c>
      <c r="G38" s="1">
        <v>34280.33</v>
      </c>
    </row>
    <row r="39" spans="1:7" x14ac:dyDescent="0.25">
      <c r="A39" t="s">
        <v>3</v>
      </c>
      <c r="B39" s="1">
        <v>2182.69</v>
      </c>
      <c r="C39" s="1">
        <v>169.43</v>
      </c>
      <c r="D39" s="1">
        <v>105.63</v>
      </c>
      <c r="E39" s="1">
        <v>11.7</v>
      </c>
      <c r="F39" s="1">
        <v>0</v>
      </c>
      <c r="G39" s="1">
        <v>2469.44</v>
      </c>
    </row>
    <row r="40" spans="1:7" x14ac:dyDescent="0.25">
      <c r="A40" t="s">
        <v>4</v>
      </c>
      <c r="B40" s="1">
        <v>46716.56</v>
      </c>
      <c r="C40" s="1">
        <v>11358.04</v>
      </c>
      <c r="D40" s="1">
        <v>48526.94</v>
      </c>
      <c r="E40" s="1">
        <v>15350.61</v>
      </c>
      <c r="F40" s="1">
        <v>0</v>
      </c>
      <c r="G40" s="1">
        <v>121952.15</v>
      </c>
    </row>
    <row r="41" spans="1:7" x14ac:dyDescent="0.25">
      <c r="A41" t="s">
        <v>32</v>
      </c>
      <c r="B41" s="1">
        <v>42146.8</v>
      </c>
      <c r="C41" s="1">
        <v>10058.290000000001</v>
      </c>
      <c r="D41" s="1">
        <v>7511.62</v>
      </c>
      <c r="E41" s="1">
        <v>2380.04</v>
      </c>
      <c r="F41" s="1">
        <v>0</v>
      </c>
      <c r="G41" s="1">
        <v>62096.76</v>
      </c>
    </row>
    <row r="42" spans="1:7" x14ac:dyDescent="0.25">
      <c r="A42" t="s">
        <v>8</v>
      </c>
      <c r="B42" s="1">
        <v>2869512.27</v>
      </c>
      <c r="C42" s="1">
        <v>177961.89</v>
      </c>
      <c r="D42" s="1">
        <v>6800987.2199999997</v>
      </c>
      <c r="E42" s="1">
        <v>3792970</v>
      </c>
      <c r="F42" s="1">
        <v>817694</v>
      </c>
      <c r="G42" s="1">
        <v>14459125.4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10DC-5D8A-4978-9507-F443A91BF2EA}">
  <sheetPr>
    <tabColor rgb="FF002060"/>
  </sheetPr>
  <dimension ref="A1:G42"/>
  <sheetViews>
    <sheetView topLeftCell="A13" workbookViewId="0">
      <selection activeCell="G35" sqref="G35"/>
    </sheetView>
  </sheetViews>
  <sheetFormatPr defaultRowHeight="15" x14ac:dyDescent="0.25"/>
  <cols>
    <col min="1" max="1" width="24.710937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1.5703125" bestFit="1" customWidth="1"/>
  </cols>
  <sheetData>
    <row r="1" spans="1:7" x14ac:dyDescent="0.25">
      <c r="A1" t="s">
        <v>36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69917.7</v>
      </c>
      <c r="C5" s="1">
        <v>25923.9</v>
      </c>
      <c r="D5" s="1">
        <v>227319</v>
      </c>
      <c r="E5" s="1">
        <v>42843.1</v>
      </c>
      <c r="F5" s="1">
        <v>189443</v>
      </c>
      <c r="G5" s="1">
        <v>555447</v>
      </c>
    </row>
    <row r="6" spans="1:7" x14ac:dyDescent="0.25">
      <c r="A6" t="s">
        <v>6</v>
      </c>
      <c r="B6" s="1">
        <v>1449515</v>
      </c>
      <c r="C6" s="1">
        <v>109890</v>
      </c>
      <c r="D6" s="1">
        <v>1930699</v>
      </c>
      <c r="E6" s="1">
        <v>1077766</v>
      </c>
      <c r="F6" s="1">
        <v>99119.6</v>
      </c>
      <c r="G6" s="1">
        <v>4666991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261600</v>
      </c>
      <c r="G7" s="1">
        <v>261600</v>
      </c>
    </row>
    <row r="8" spans="1:7" x14ac:dyDescent="0.25">
      <c r="A8" t="s">
        <v>0</v>
      </c>
      <c r="B8" s="1">
        <v>6396.82</v>
      </c>
      <c r="C8" s="1">
        <v>6074.8</v>
      </c>
      <c r="D8" s="1">
        <v>4268</v>
      </c>
      <c r="E8" s="1">
        <v>1087.02</v>
      </c>
      <c r="F8" s="1">
        <v>0</v>
      </c>
      <c r="G8" s="1">
        <v>17826.599999999999</v>
      </c>
    </row>
    <row r="9" spans="1:7" x14ac:dyDescent="0.25">
      <c r="A9" t="s">
        <v>30</v>
      </c>
      <c r="B9" s="1">
        <v>14654.2</v>
      </c>
      <c r="C9" s="1">
        <v>4456.09</v>
      </c>
      <c r="D9" s="1">
        <v>12221.7</v>
      </c>
      <c r="E9" s="1">
        <v>3127.93</v>
      </c>
      <c r="F9" s="1">
        <v>0</v>
      </c>
      <c r="G9" s="1">
        <v>34459.9</v>
      </c>
    </row>
    <row r="10" spans="1:7" x14ac:dyDescent="0.25">
      <c r="A10" t="s">
        <v>31</v>
      </c>
      <c r="B10" s="1">
        <v>5159</v>
      </c>
      <c r="C10" s="1">
        <v>10274.1</v>
      </c>
      <c r="D10" s="1">
        <v>5564.12</v>
      </c>
      <c r="E10" s="1">
        <v>1423.96</v>
      </c>
      <c r="F10" s="1">
        <v>0</v>
      </c>
      <c r="G10" s="1">
        <v>22421.1</v>
      </c>
    </row>
    <row r="11" spans="1:7" x14ac:dyDescent="0.25">
      <c r="A11" t="s">
        <v>3</v>
      </c>
      <c r="B11" s="1">
        <v>2880.84</v>
      </c>
      <c r="C11" s="1">
        <v>261.02999999999997</v>
      </c>
      <c r="D11" s="1">
        <v>117.71</v>
      </c>
      <c r="E11" s="1">
        <v>21.72</v>
      </c>
      <c r="F11" s="1">
        <v>0</v>
      </c>
      <c r="G11" s="1">
        <v>3281.3</v>
      </c>
    </row>
    <row r="12" spans="1:7" x14ac:dyDescent="0.25">
      <c r="A12" t="s">
        <v>4</v>
      </c>
      <c r="B12" s="1">
        <v>25427.599999999999</v>
      </c>
      <c r="C12" s="1">
        <v>11208.5</v>
      </c>
      <c r="D12" s="1">
        <v>17293.099999999999</v>
      </c>
      <c r="E12" s="1">
        <v>4745.1099999999997</v>
      </c>
      <c r="F12" s="1">
        <v>0</v>
      </c>
      <c r="G12" s="1">
        <v>58674.3</v>
      </c>
    </row>
    <row r="13" spans="1:7" x14ac:dyDescent="0.25">
      <c r="A13" t="s">
        <v>32</v>
      </c>
      <c r="B13" s="1">
        <v>26461.7</v>
      </c>
      <c r="C13" s="1">
        <v>9873.23</v>
      </c>
      <c r="D13" s="1">
        <v>3376.12</v>
      </c>
      <c r="E13" s="1">
        <v>1072.71</v>
      </c>
      <c r="F13" s="1">
        <v>0</v>
      </c>
      <c r="G13" s="1">
        <v>40783.699999999997</v>
      </c>
    </row>
    <row r="14" spans="1:7" x14ac:dyDescent="0.25">
      <c r="A14" t="s">
        <v>8</v>
      </c>
      <c r="B14" s="1">
        <v>1600413</v>
      </c>
      <c r="C14" s="1">
        <v>177962</v>
      </c>
      <c r="D14" s="1">
        <v>2200859</v>
      </c>
      <c r="E14" s="1">
        <v>1132088</v>
      </c>
      <c r="F14" s="1">
        <v>550163</v>
      </c>
      <c r="G14" s="1">
        <v>5661484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50960.1</v>
      </c>
      <c r="C19" s="1">
        <v>0</v>
      </c>
      <c r="D19" s="1">
        <v>578604</v>
      </c>
      <c r="E19" s="1">
        <v>170708</v>
      </c>
      <c r="F19" s="1">
        <v>92257.4</v>
      </c>
      <c r="G19" s="1">
        <v>892529</v>
      </c>
    </row>
    <row r="20" spans="1:7" x14ac:dyDescent="0.25">
      <c r="A20" t="s">
        <v>6</v>
      </c>
      <c r="B20" s="1">
        <v>831417</v>
      </c>
      <c r="C20" s="1">
        <v>0</v>
      </c>
      <c r="D20" s="1">
        <v>3952314</v>
      </c>
      <c r="E20" s="1">
        <v>2389879</v>
      </c>
      <c r="F20" s="1">
        <v>47897.5</v>
      </c>
      <c r="G20" s="1">
        <v>7221507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127364</v>
      </c>
      <c r="G21" s="1">
        <v>127364</v>
      </c>
    </row>
    <row r="22" spans="1:7" x14ac:dyDescent="0.25">
      <c r="A22" t="s">
        <v>0</v>
      </c>
      <c r="B22" s="1">
        <v>3827.08</v>
      </c>
      <c r="C22" s="1">
        <v>0</v>
      </c>
      <c r="D22" s="1">
        <v>8246.35</v>
      </c>
      <c r="E22" s="1">
        <v>2115.29</v>
      </c>
      <c r="F22" s="1">
        <v>0</v>
      </c>
      <c r="G22" s="1">
        <v>14188.7</v>
      </c>
    </row>
    <row r="23" spans="1:7" x14ac:dyDescent="0.25">
      <c r="A23" t="s">
        <v>30</v>
      </c>
      <c r="B23" s="1">
        <v>6969.71</v>
      </c>
      <c r="C23" s="1">
        <v>0</v>
      </c>
      <c r="D23" s="1">
        <v>18045.900000000001</v>
      </c>
      <c r="E23" s="1">
        <v>4048.79</v>
      </c>
      <c r="F23" s="1">
        <v>0</v>
      </c>
      <c r="G23" s="1">
        <v>29064.400000000001</v>
      </c>
    </row>
    <row r="24" spans="1:7" x14ac:dyDescent="0.25">
      <c r="A24" t="s">
        <v>31</v>
      </c>
      <c r="B24" s="1">
        <v>2108.09</v>
      </c>
      <c r="C24" s="1">
        <v>0</v>
      </c>
      <c r="D24" s="1">
        <v>6832.9</v>
      </c>
      <c r="E24" s="1">
        <v>1895.78</v>
      </c>
      <c r="F24" s="1">
        <v>0</v>
      </c>
      <c r="G24" s="1">
        <v>10836.8</v>
      </c>
    </row>
    <row r="25" spans="1:7" x14ac:dyDescent="0.25">
      <c r="A25" t="s">
        <v>3</v>
      </c>
      <c r="B25" s="1">
        <v>33.21</v>
      </c>
      <c r="C25" s="1">
        <v>0</v>
      </c>
      <c r="D25" s="1">
        <v>1.66</v>
      </c>
      <c r="E25" s="1">
        <v>0.42</v>
      </c>
      <c r="F25" s="1">
        <v>0</v>
      </c>
      <c r="G25" s="1">
        <v>35.29</v>
      </c>
    </row>
    <row r="26" spans="1:7" x14ac:dyDescent="0.25">
      <c r="A26" t="s">
        <v>4</v>
      </c>
      <c r="B26" s="1">
        <v>14257.5</v>
      </c>
      <c r="C26" s="1">
        <v>0</v>
      </c>
      <c r="D26" s="1">
        <v>31127.4</v>
      </c>
      <c r="E26" s="1">
        <v>9961.75</v>
      </c>
      <c r="F26" s="1">
        <v>0</v>
      </c>
      <c r="G26" s="1">
        <v>55346.7</v>
      </c>
    </row>
    <row r="27" spans="1:7" x14ac:dyDescent="0.25">
      <c r="A27" t="s">
        <v>32</v>
      </c>
      <c r="B27" s="1">
        <v>8718.6</v>
      </c>
      <c r="C27" s="1">
        <v>0</v>
      </c>
      <c r="D27" s="1">
        <v>4216.6000000000004</v>
      </c>
      <c r="E27" s="1">
        <v>1251.51</v>
      </c>
      <c r="F27" s="1">
        <v>0</v>
      </c>
      <c r="G27" s="1">
        <v>14186.7</v>
      </c>
    </row>
    <row r="28" spans="1:7" x14ac:dyDescent="0.25">
      <c r="A28" t="s">
        <v>8</v>
      </c>
      <c r="B28" s="1">
        <v>918291</v>
      </c>
      <c r="C28" s="1">
        <v>0</v>
      </c>
      <c r="D28" s="1">
        <v>4599389</v>
      </c>
      <c r="E28" s="1">
        <v>2579860</v>
      </c>
      <c r="F28" s="1">
        <v>267519</v>
      </c>
      <c r="G28" s="1">
        <v>8365059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120878</v>
      </c>
      <c r="C33" s="1">
        <v>25923.9</v>
      </c>
      <c r="D33" s="1">
        <v>805923</v>
      </c>
      <c r="E33" s="1">
        <v>213551</v>
      </c>
      <c r="F33" s="1">
        <v>281701</v>
      </c>
      <c r="G33" s="25">
        <f>SUM(B33:F33)</f>
        <v>1447976.9</v>
      </c>
    </row>
    <row r="34" spans="1:7" x14ac:dyDescent="0.25">
      <c r="A34" t="s">
        <v>6</v>
      </c>
      <c r="B34" s="1">
        <v>2280932</v>
      </c>
      <c r="C34" s="1">
        <v>109890</v>
      </c>
      <c r="D34" s="1">
        <v>5883013</v>
      </c>
      <c r="E34" s="1">
        <v>3467645</v>
      </c>
      <c r="F34" s="1">
        <v>147017</v>
      </c>
      <c r="G34" s="25">
        <f t="shared" ref="G34:G42" si="0">SUM(B34:F34)</f>
        <v>11888497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388964</v>
      </c>
      <c r="G35" s="25">
        <f t="shared" si="0"/>
        <v>388964</v>
      </c>
    </row>
    <row r="36" spans="1:7" x14ac:dyDescent="0.25">
      <c r="A36" t="s">
        <v>0</v>
      </c>
      <c r="B36" s="1">
        <v>10223.9</v>
      </c>
      <c r="C36" s="1">
        <v>6074.8</v>
      </c>
      <c r="D36" s="1">
        <v>12514.4</v>
      </c>
      <c r="E36" s="1">
        <v>3202.31</v>
      </c>
      <c r="F36" s="1">
        <v>0</v>
      </c>
      <c r="G36" s="25">
        <f t="shared" si="0"/>
        <v>32015.41</v>
      </c>
    </row>
    <row r="37" spans="1:7" x14ac:dyDescent="0.25">
      <c r="A37" t="s">
        <v>30</v>
      </c>
      <c r="B37" s="1">
        <v>21623.9</v>
      </c>
      <c r="C37" s="1">
        <v>4456.09</v>
      </c>
      <c r="D37" s="1">
        <v>30267.5</v>
      </c>
      <c r="E37" s="1">
        <v>7176.73</v>
      </c>
      <c r="F37" s="1">
        <v>0</v>
      </c>
      <c r="G37" s="25">
        <f t="shared" si="0"/>
        <v>63524.22</v>
      </c>
    </row>
    <row r="38" spans="1:7" x14ac:dyDescent="0.25">
      <c r="A38" t="s">
        <v>31</v>
      </c>
      <c r="B38" s="1">
        <v>7267.09</v>
      </c>
      <c r="C38" s="1">
        <v>10274.1</v>
      </c>
      <c r="D38" s="1">
        <v>12397</v>
      </c>
      <c r="E38" s="1">
        <v>3319.74</v>
      </c>
      <c r="F38" s="1">
        <v>0</v>
      </c>
      <c r="G38" s="25">
        <f t="shared" si="0"/>
        <v>33257.93</v>
      </c>
    </row>
    <row r="39" spans="1:7" x14ac:dyDescent="0.25">
      <c r="A39" t="s">
        <v>3</v>
      </c>
      <c r="B39" s="1">
        <v>2914.05</v>
      </c>
      <c r="C39" s="1">
        <v>261.02999999999997</v>
      </c>
      <c r="D39" s="1">
        <v>119.37</v>
      </c>
      <c r="E39" s="1">
        <v>22.14</v>
      </c>
      <c r="F39" s="1">
        <v>0</v>
      </c>
      <c r="G39" s="25">
        <f t="shared" si="0"/>
        <v>3316.5899999999997</v>
      </c>
    </row>
    <row r="40" spans="1:7" x14ac:dyDescent="0.25">
      <c r="A40" t="s">
        <v>4</v>
      </c>
      <c r="B40" s="1">
        <v>39685.1</v>
      </c>
      <c r="C40" s="1">
        <v>11208.5</v>
      </c>
      <c r="D40" s="1">
        <v>48420.5</v>
      </c>
      <c r="E40" s="1">
        <v>14706.9</v>
      </c>
      <c r="F40" s="1">
        <v>0</v>
      </c>
      <c r="G40" s="25">
        <f t="shared" si="0"/>
        <v>114021</v>
      </c>
    </row>
    <row r="41" spans="1:7" x14ac:dyDescent="0.25">
      <c r="A41" t="s">
        <v>32</v>
      </c>
      <c r="B41" s="1">
        <v>35180.300000000003</v>
      </c>
      <c r="C41" s="1">
        <v>9873.23</v>
      </c>
      <c r="D41" s="1">
        <v>7592.72</v>
      </c>
      <c r="E41" s="1">
        <v>2324.2199999999998</v>
      </c>
      <c r="F41" s="1">
        <v>0</v>
      </c>
      <c r="G41" s="25">
        <f t="shared" si="0"/>
        <v>54970.47</v>
      </c>
    </row>
    <row r="42" spans="1:7" x14ac:dyDescent="0.25">
      <c r="A42" t="s">
        <v>8</v>
      </c>
      <c r="B42" s="1">
        <v>2518704</v>
      </c>
      <c r="C42" s="1">
        <v>177962</v>
      </c>
      <c r="D42" s="1">
        <v>6800247</v>
      </c>
      <c r="E42" s="1">
        <v>3711948</v>
      </c>
      <c r="F42" s="1">
        <v>817681</v>
      </c>
      <c r="G42" s="25">
        <f t="shared" si="0"/>
        <v>14026542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69E7-2018-404C-A7BC-4F4330752E34}">
  <sheetPr>
    <tabColor rgb="FF002060"/>
  </sheetPr>
  <dimension ref="A1:G42"/>
  <sheetViews>
    <sheetView topLeftCell="A10" workbookViewId="0">
      <selection activeCell="G35" sqref="G35"/>
    </sheetView>
  </sheetViews>
  <sheetFormatPr defaultRowHeight="15" x14ac:dyDescent="0.25"/>
  <cols>
    <col min="1" max="1" width="29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1.5703125" bestFit="1" customWidth="1"/>
  </cols>
  <sheetData>
    <row r="1" spans="1:7" x14ac:dyDescent="0.25">
      <c r="A1" t="s">
        <v>37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65325.8</v>
      </c>
      <c r="C5" s="1">
        <v>25892.1</v>
      </c>
      <c r="D5" s="1">
        <v>226461</v>
      </c>
      <c r="E5" s="1">
        <v>42230.3</v>
      </c>
      <c r="F5" s="1">
        <v>189069</v>
      </c>
      <c r="G5" s="1">
        <v>548978</v>
      </c>
    </row>
    <row r="6" spans="1:7" x14ac:dyDescent="0.25">
      <c r="A6" t="s">
        <v>6</v>
      </c>
      <c r="B6" s="1">
        <v>1364486</v>
      </c>
      <c r="C6" s="1">
        <v>110127</v>
      </c>
      <c r="D6" s="1">
        <v>1931537</v>
      </c>
      <c r="E6" s="1">
        <v>1066283</v>
      </c>
      <c r="F6" s="1">
        <v>99119.5</v>
      </c>
      <c r="G6" s="1">
        <v>4571553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261979</v>
      </c>
      <c r="G7" s="1">
        <v>261979</v>
      </c>
    </row>
    <row r="8" spans="1:7" x14ac:dyDescent="0.25">
      <c r="A8" t="s">
        <v>0</v>
      </c>
      <c r="B8" s="1">
        <v>5974.86</v>
      </c>
      <c r="C8" s="1">
        <v>6071.24</v>
      </c>
      <c r="D8" s="1">
        <v>4271.7</v>
      </c>
      <c r="E8" s="1">
        <v>1073.3499999999999</v>
      </c>
      <c r="F8" s="1">
        <v>0</v>
      </c>
      <c r="G8" s="1">
        <v>17391.099999999999</v>
      </c>
    </row>
    <row r="9" spans="1:7" x14ac:dyDescent="0.25">
      <c r="A9" t="s">
        <v>30</v>
      </c>
      <c r="B9" s="1">
        <v>13726.3</v>
      </c>
      <c r="C9" s="1">
        <v>4457.76</v>
      </c>
      <c r="D9" s="1">
        <v>12243.5</v>
      </c>
      <c r="E9" s="1">
        <v>3089.46</v>
      </c>
      <c r="F9" s="1">
        <v>0</v>
      </c>
      <c r="G9" s="1">
        <v>33517</v>
      </c>
    </row>
    <row r="10" spans="1:7" x14ac:dyDescent="0.25">
      <c r="A10" t="s">
        <v>31</v>
      </c>
      <c r="B10" s="1">
        <v>4829.91</v>
      </c>
      <c r="C10" s="1">
        <v>10262.6</v>
      </c>
      <c r="D10" s="1">
        <v>5567.46</v>
      </c>
      <c r="E10" s="1">
        <v>1407</v>
      </c>
      <c r="F10" s="1">
        <v>0</v>
      </c>
      <c r="G10" s="1">
        <v>22067</v>
      </c>
    </row>
    <row r="11" spans="1:7" x14ac:dyDescent="0.25">
      <c r="A11" t="s">
        <v>3</v>
      </c>
      <c r="B11" s="1">
        <v>3190.74</v>
      </c>
      <c r="C11" s="1">
        <v>306.33</v>
      </c>
      <c r="D11" s="1">
        <v>125.43</v>
      </c>
      <c r="E11" s="1">
        <v>26.92</v>
      </c>
      <c r="F11" s="1">
        <v>0</v>
      </c>
      <c r="G11" s="1">
        <v>3649.42</v>
      </c>
    </row>
    <row r="12" spans="1:7" x14ac:dyDescent="0.25">
      <c r="A12" t="s">
        <v>4</v>
      </c>
      <c r="B12" s="1">
        <v>23348.5</v>
      </c>
      <c r="C12" s="1">
        <v>11069.4</v>
      </c>
      <c r="D12" s="1">
        <v>17243.400000000001</v>
      </c>
      <c r="E12" s="1">
        <v>4635.6000000000004</v>
      </c>
      <c r="F12" s="1">
        <v>0</v>
      </c>
      <c r="G12" s="1">
        <v>56296.9</v>
      </c>
    </row>
    <row r="13" spans="1:7" x14ac:dyDescent="0.25">
      <c r="A13" t="s">
        <v>32</v>
      </c>
      <c r="B13" s="1">
        <v>23782.3</v>
      </c>
      <c r="C13" s="1">
        <v>9775.33</v>
      </c>
      <c r="D13" s="1">
        <v>3355.82</v>
      </c>
      <c r="E13" s="1">
        <v>1044.6600000000001</v>
      </c>
      <c r="F13" s="1">
        <v>0</v>
      </c>
      <c r="G13" s="1">
        <v>37958.1</v>
      </c>
    </row>
    <row r="14" spans="1:7" x14ac:dyDescent="0.25">
      <c r="A14" t="s">
        <v>8</v>
      </c>
      <c r="B14" s="1">
        <v>1504665</v>
      </c>
      <c r="C14" s="1">
        <v>177962</v>
      </c>
      <c r="D14" s="1">
        <v>2200806</v>
      </c>
      <c r="E14" s="1">
        <v>1119791</v>
      </c>
      <c r="F14" s="1">
        <v>550167</v>
      </c>
      <c r="G14" s="1">
        <v>5553390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47731.1</v>
      </c>
      <c r="C19" s="1">
        <v>0</v>
      </c>
      <c r="D19" s="1">
        <v>576825</v>
      </c>
      <c r="E19" s="1">
        <v>168386</v>
      </c>
      <c r="F19" s="1">
        <v>92075.8</v>
      </c>
      <c r="G19" s="1">
        <v>885018</v>
      </c>
    </row>
    <row r="20" spans="1:7" x14ac:dyDescent="0.25">
      <c r="A20" t="s">
        <v>6</v>
      </c>
      <c r="B20" s="1">
        <v>783611</v>
      </c>
      <c r="C20" s="1">
        <v>0</v>
      </c>
      <c r="D20" s="1">
        <v>3953917</v>
      </c>
      <c r="E20" s="1">
        <v>2364295</v>
      </c>
      <c r="F20" s="1">
        <v>47893.9</v>
      </c>
      <c r="G20" s="1">
        <v>7149716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127545</v>
      </c>
      <c r="G21" s="1">
        <v>127545</v>
      </c>
    </row>
    <row r="22" spans="1:7" x14ac:dyDescent="0.25">
      <c r="A22" t="s">
        <v>0</v>
      </c>
      <c r="B22" s="1">
        <v>3580.55</v>
      </c>
      <c r="C22" s="1">
        <v>0</v>
      </c>
      <c r="D22" s="1">
        <v>8252.11</v>
      </c>
      <c r="E22" s="1">
        <v>2089.84</v>
      </c>
      <c r="F22" s="1">
        <v>0</v>
      </c>
      <c r="G22" s="1">
        <v>13922.5</v>
      </c>
    </row>
    <row r="23" spans="1:7" x14ac:dyDescent="0.25">
      <c r="A23" t="s">
        <v>30</v>
      </c>
      <c r="B23" s="1">
        <v>6554.34</v>
      </c>
      <c r="C23" s="1">
        <v>0</v>
      </c>
      <c r="D23" s="1">
        <v>18068.900000000001</v>
      </c>
      <c r="E23" s="1">
        <v>3996.2</v>
      </c>
      <c r="F23" s="1">
        <v>0</v>
      </c>
      <c r="G23" s="1">
        <v>28619.4</v>
      </c>
    </row>
    <row r="24" spans="1:7" x14ac:dyDescent="0.25">
      <c r="A24" t="s">
        <v>31</v>
      </c>
      <c r="B24" s="1">
        <v>1988.88</v>
      </c>
      <c r="C24" s="1">
        <v>0</v>
      </c>
      <c r="D24" s="1">
        <v>6839.87</v>
      </c>
      <c r="E24" s="1">
        <v>1873.45</v>
      </c>
      <c r="F24" s="1">
        <v>0</v>
      </c>
      <c r="G24" s="1">
        <v>10702.2</v>
      </c>
    </row>
    <row r="25" spans="1:7" x14ac:dyDescent="0.25">
      <c r="A25" t="s">
        <v>3</v>
      </c>
      <c r="B25" s="1">
        <v>32.869999999999997</v>
      </c>
      <c r="C25" s="1">
        <v>0</v>
      </c>
      <c r="D25" s="1">
        <v>1.66</v>
      </c>
      <c r="E25" s="1">
        <v>0.42</v>
      </c>
      <c r="F25" s="1">
        <v>0</v>
      </c>
      <c r="G25" s="1">
        <v>34.950000000000003</v>
      </c>
    </row>
    <row r="26" spans="1:7" x14ac:dyDescent="0.25">
      <c r="A26" t="s">
        <v>4</v>
      </c>
      <c r="B26" s="1">
        <v>13301.3</v>
      </c>
      <c r="C26" s="1">
        <v>0</v>
      </c>
      <c r="D26" s="1">
        <v>31174.2</v>
      </c>
      <c r="E26" s="1">
        <v>9802.9</v>
      </c>
      <c r="F26" s="1">
        <v>0</v>
      </c>
      <c r="G26" s="1">
        <v>54278.400000000001</v>
      </c>
    </row>
    <row r="27" spans="1:7" x14ac:dyDescent="0.25">
      <c r="A27" t="s">
        <v>32</v>
      </c>
      <c r="B27" s="1">
        <v>8162.34</v>
      </c>
      <c r="C27" s="1">
        <v>0</v>
      </c>
      <c r="D27" s="1">
        <v>4250.17</v>
      </c>
      <c r="E27" s="1">
        <v>1243.23</v>
      </c>
      <c r="F27" s="1">
        <v>0</v>
      </c>
      <c r="G27" s="1">
        <v>13655.7</v>
      </c>
    </row>
    <row r="28" spans="1:7" x14ac:dyDescent="0.25">
      <c r="A28" t="s">
        <v>8</v>
      </c>
      <c r="B28" s="1">
        <v>864962</v>
      </c>
      <c r="C28" s="1">
        <v>0</v>
      </c>
      <c r="D28" s="1">
        <v>4599329</v>
      </c>
      <c r="E28" s="1">
        <v>2551687</v>
      </c>
      <c r="F28" s="1">
        <v>267515</v>
      </c>
      <c r="G28" s="1">
        <v>8283493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113057</v>
      </c>
      <c r="C33" s="1">
        <v>25892.1</v>
      </c>
      <c r="D33" s="1">
        <v>803286</v>
      </c>
      <c r="E33" s="1">
        <v>210616</v>
      </c>
      <c r="F33" s="1">
        <v>281145</v>
      </c>
      <c r="G33" s="25">
        <f>SUM(B33:F33)</f>
        <v>1433996.1</v>
      </c>
    </row>
    <row r="34" spans="1:7" x14ac:dyDescent="0.25">
      <c r="A34" t="s">
        <v>6</v>
      </c>
      <c r="B34" s="1">
        <v>2148097</v>
      </c>
      <c r="C34" s="1">
        <v>110127</v>
      </c>
      <c r="D34" s="1">
        <v>5885454</v>
      </c>
      <c r="E34" s="1">
        <v>3430578</v>
      </c>
      <c r="F34" s="1">
        <v>147013</v>
      </c>
      <c r="G34" s="25">
        <f t="shared" ref="G34:G42" si="0">SUM(B34:F34)</f>
        <v>11721269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389525</v>
      </c>
      <c r="G35" s="25">
        <f t="shared" si="0"/>
        <v>389525</v>
      </c>
    </row>
    <row r="36" spans="1:7" x14ac:dyDescent="0.25">
      <c r="A36" t="s">
        <v>0</v>
      </c>
      <c r="B36" s="1">
        <v>9555.41</v>
      </c>
      <c r="C36" s="1">
        <v>6071.24</v>
      </c>
      <c r="D36" s="1">
        <v>12523.8</v>
      </c>
      <c r="E36" s="1">
        <v>3163.19</v>
      </c>
      <c r="F36" s="1">
        <v>0</v>
      </c>
      <c r="G36" s="25">
        <f t="shared" si="0"/>
        <v>31313.639999999996</v>
      </c>
    </row>
    <row r="37" spans="1:7" x14ac:dyDescent="0.25">
      <c r="A37" t="s">
        <v>30</v>
      </c>
      <c r="B37" s="1">
        <v>20280.599999999999</v>
      </c>
      <c r="C37" s="1">
        <v>4457.76</v>
      </c>
      <c r="D37" s="1">
        <v>30312.400000000001</v>
      </c>
      <c r="E37" s="1">
        <v>7085.66</v>
      </c>
      <c r="F37" s="1">
        <v>0</v>
      </c>
      <c r="G37" s="25">
        <f t="shared" si="0"/>
        <v>62136.42</v>
      </c>
    </row>
    <row r="38" spans="1:7" x14ac:dyDescent="0.25">
      <c r="A38" t="s">
        <v>31</v>
      </c>
      <c r="B38" s="1">
        <v>6818.79</v>
      </c>
      <c r="C38" s="1">
        <v>10262.6</v>
      </c>
      <c r="D38" s="1">
        <v>12407.3</v>
      </c>
      <c r="E38" s="1">
        <v>3280.45</v>
      </c>
      <c r="F38" s="1">
        <v>0</v>
      </c>
      <c r="G38" s="25">
        <f t="shared" si="0"/>
        <v>32769.14</v>
      </c>
    </row>
    <row r="39" spans="1:7" x14ac:dyDescent="0.25">
      <c r="A39" t="s">
        <v>3</v>
      </c>
      <c r="B39" s="1">
        <v>3223.61</v>
      </c>
      <c r="C39" s="1">
        <v>306.33</v>
      </c>
      <c r="D39" s="1">
        <v>127.09</v>
      </c>
      <c r="E39" s="1">
        <v>27.33</v>
      </c>
      <c r="F39" s="1">
        <v>0</v>
      </c>
      <c r="G39" s="25">
        <f t="shared" si="0"/>
        <v>3684.36</v>
      </c>
    </row>
    <row r="40" spans="1:7" x14ac:dyDescent="0.25">
      <c r="A40" t="s">
        <v>4</v>
      </c>
      <c r="B40" s="1">
        <v>36649.800000000003</v>
      </c>
      <c r="C40" s="1">
        <v>11069.4</v>
      </c>
      <c r="D40" s="1">
        <v>48417.599999999999</v>
      </c>
      <c r="E40" s="1">
        <v>14438.5</v>
      </c>
      <c r="F40" s="1">
        <v>0</v>
      </c>
      <c r="G40" s="25">
        <f t="shared" si="0"/>
        <v>110575.3</v>
      </c>
    </row>
    <row r="41" spans="1:7" x14ac:dyDescent="0.25">
      <c r="A41" t="s">
        <v>32</v>
      </c>
      <c r="B41" s="1">
        <v>31944.6</v>
      </c>
      <c r="C41" s="1">
        <v>9775.33</v>
      </c>
      <c r="D41" s="1">
        <v>7605.99</v>
      </c>
      <c r="E41" s="1">
        <v>2287.89</v>
      </c>
      <c r="F41" s="1">
        <v>0</v>
      </c>
      <c r="G41" s="25">
        <f t="shared" si="0"/>
        <v>51613.81</v>
      </c>
    </row>
    <row r="42" spans="1:7" x14ac:dyDescent="0.25">
      <c r="A42" t="s">
        <v>8</v>
      </c>
      <c r="B42" s="1">
        <v>2369627</v>
      </c>
      <c r="C42" s="1">
        <v>177962</v>
      </c>
      <c r="D42" s="1">
        <v>6800134</v>
      </c>
      <c r="E42" s="1">
        <v>3671477</v>
      </c>
      <c r="F42" s="1">
        <v>817683</v>
      </c>
      <c r="G42" s="25">
        <f t="shared" si="0"/>
        <v>13836883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1F71-6973-4B0B-9C34-877DEB571F1B}">
  <sheetPr>
    <tabColor rgb="FF002060"/>
  </sheetPr>
  <dimension ref="A1:G42"/>
  <sheetViews>
    <sheetView topLeftCell="A7" workbookViewId="0">
      <selection activeCell="G33" sqref="G33:G42"/>
    </sheetView>
  </sheetViews>
  <sheetFormatPr defaultRowHeight="15" x14ac:dyDescent="0.25"/>
  <cols>
    <col min="1" max="1" width="25.2851562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1.5703125" bestFit="1" customWidth="1"/>
  </cols>
  <sheetData>
    <row r="1" spans="1:7" x14ac:dyDescent="0.25">
      <c r="A1" t="s">
        <v>38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60845.2</v>
      </c>
      <c r="C5" s="1">
        <v>25861.8</v>
      </c>
      <c r="D5" s="1">
        <v>225606</v>
      </c>
      <c r="E5" s="1">
        <v>41630.400000000001</v>
      </c>
      <c r="F5" s="1">
        <v>188690</v>
      </c>
      <c r="G5" s="1">
        <v>542633</v>
      </c>
    </row>
    <row r="6" spans="1:7" x14ac:dyDescent="0.25">
      <c r="A6" t="s">
        <v>6</v>
      </c>
      <c r="B6" s="1">
        <v>1281252</v>
      </c>
      <c r="C6" s="1">
        <v>110266</v>
      </c>
      <c r="D6" s="1">
        <v>1932229</v>
      </c>
      <c r="E6" s="1">
        <v>1054721</v>
      </c>
      <c r="F6" s="1">
        <v>99117.7</v>
      </c>
      <c r="G6" s="1">
        <v>4477585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262365</v>
      </c>
      <c r="G7" s="1">
        <v>262365</v>
      </c>
    </row>
    <row r="8" spans="1:7" x14ac:dyDescent="0.25">
      <c r="A8" t="s">
        <v>0</v>
      </c>
      <c r="B8" s="1">
        <v>5584.06</v>
      </c>
      <c r="C8" s="1">
        <v>6089.61</v>
      </c>
      <c r="D8" s="1">
        <v>4276.7299999999996</v>
      </c>
      <c r="E8" s="1">
        <v>1063.3800000000001</v>
      </c>
      <c r="F8" s="1">
        <v>0</v>
      </c>
      <c r="G8" s="1">
        <v>17013.8</v>
      </c>
    </row>
    <row r="9" spans="1:7" x14ac:dyDescent="0.25">
      <c r="A9" t="s">
        <v>30</v>
      </c>
      <c r="B9" s="1">
        <v>12849.1</v>
      </c>
      <c r="C9" s="1">
        <v>4439.96</v>
      </c>
      <c r="D9" s="1">
        <v>12259.7</v>
      </c>
      <c r="E9" s="1">
        <v>3051.6</v>
      </c>
      <c r="F9" s="1">
        <v>0</v>
      </c>
      <c r="G9" s="1">
        <v>32600.3</v>
      </c>
    </row>
    <row r="10" spans="1:7" x14ac:dyDescent="0.25">
      <c r="A10" t="s">
        <v>31</v>
      </c>
      <c r="B10" s="1">
        <v>4536.3100000000004</v>
      </c>
      <c r="C10" s="1">
        <v>10249.4</v>
      </c>
      <c r="D10" s="1">
        <v>5569.92</v>
      </c>
      <c r="E10" s="1">
        <v>1391.16</v>
      </c>
      <c r="F10" s="1">
        <v>0</v>
      </c>
      <c r="G10" s="1">
        <v>21746.7</v>
      </c>
    </row>
    <row r="11" spans="1:7" x14ac:dyDescent="0.25">
      <c r="A11" t="s">
        <v>3</v>
      </c>
      <c r="B11" s="1">
        <v>3517.9</v>
      </c>
      <c r="C11" s="1">
        <v>419.4</v>
      </c>
      <c r="D11" s="1">
        <v>160.24</v>
      </c>
      <c r="E11" s="1">
        <v>33.07</v>
      </c>
      <c r="F11" s="1">
        <v>0</v>
      </c>
      <c r="G11" s="1">
        <v>4130.6099999999997</v>
      </c>
    </row>
    <row r="12" spans="1:7" x14ac:dyDescent="0.25">
      <c r="A12" t="s">
        <v>4</v>
      </c>
      <c r="B12" s="1">
        <v>21464</v>
      </c>
      <c r="C12" s="1">
        <v>10951.9</v>
      </c>
      <c r="D12" s="1">
        <v>17182.3</v>
      </c>
      <c r="E12" s="1">
        <v>4522.09</v>
      </c>
      <c r="F12" s="1">
        <v>0</v>
      </c>
      <c r="G12" s="1">
        <v>54120.2</v>
      </c>
    </row>
    <row r="13" spans="1:7" x14ac:dyDescent="0.25">
      <c r="A13" t="s">
        <v>32</v>
      </c>
      <c r="B13" s="1">
        <v>21617.599999999999</v>
      </c>
      <c r="C13" s="1">
        <v>9683.56</v>
      </c>
      <c r="D13" s="1">
        <v>3344.51</v>
      </c>
      <c r="E13" s="1">
        <v>1019.19</v>
      </c>
      <c r="F13" s="1">
        <v>0</v>
      </c>
      <c r="G13" s="1">
        <v>35664.9</v>
      </c>
    </row>
    <row r="14" spans="1:7" x14ac:dyDescent="0.25">
      <c r="A14" t="s">
        <v>8</v>
      </c>
      <c r="B14" s="1">
        <v>1411666</v>
      </c>
      <c r="C14" s="1">
        <v>177962</v>
      </c>
      <c r="D14" s="1">
        <v>2200629</v>
      </c>
      <c r="E14" s="1">
        <v>1107432</v>
      </c>
      <c r="F14" s="1">
        <v>550172</v>
      </c>
      <c r="G14" s="1">
        <v>5447860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44487.9</v>
      </c>
      <c r="C19" s="1">
        <v>0</v>
      </c>
      <c r="D19" s="1">
        <v>575027</v>
      </c>
      <c r="E19" s="1">
        <v>166102</v>
      </c>
      <c r="F19" s="1">
        <v>91890.7</v>
      </c>
      <c r="G19" s="1">
        <v>877507</v>
      </c>
    </row>
    <row r="20" spans="1:7" x14ac:dyDescent="0.25">
      <c r="A20" t="s">
        <v>6</v>
      </c>
      <c r="B20" s="1">
        <v>733660</v>
      </c>
      <c r="C20" s="1">
        <v>0</v>
      </c>
      <c r="D20" s="1">
        <v>3955519</v>
      </c>
      <c r="E20" s="1">
        <v>2338335</v>
      </c>
      <c r="F20" s="1">
        <v>47884.800000000003</v>
      </c>
      <c r="G20" s="1">
        <v>7075399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127725</v>
      </c>
      <c r="G21" s="1">
        <v>127725</v>
      </c>
    </row>
    <row r="22" spans="1:7" x14ac:dyDescent="0.25">
      <c r="A22" t="s">
        <v>0</v>
      </c>
      <c r="B22" s="1">
        <v>3315.01</v>
      </c>
      <c r="C22" s="1">
        <v>0</v>
      </c>
      <c r="D22" s="1">
        <v>8265.61</v>
      </c>
      <c r="E22" s="1">
        <v>2068.37</v>
      </c>
      <c r="F22" s="1">
        <v>0</v>
      </c>
      <c r="G22" s="1">
        <v>13649</v>
      </c>
    </row>
    <row r="23" spans="1:7" x14ac:dyDescent="0.25">
      <c r="A23" t="s">
        <v>30</v>
      </c>
      <c r="B23" s="1">
        <v>6098.1</v>
      </c>
      <c r="C23" s="1">
        <v>0</v>
      </c>
      <c r="D23" s="1">
        <v>18086</v>
      </c>
      <c r="E23" s="1">
        <v>3944.1</v>
      </c>
      <c r="F23" s="1">
        <v>0</v>
      </c>
      <c r="G23" s="1">
        <v>28128.2</v>
      </c>
    </row>
    <row r="24" spans="1:7" x14ac:dyDescent="0.25">
      <c r="A24" t="s">
        <v>31</v>
      </c>
      <c r="B24" s="1">
        <v>1858.36</v>
      </c>
      <c r="C24" s="1">
        <v>0</v>
      </c>
      <c r="D24" s="1">
        <v>6850.16</v>
      </c>
      <c r="E24" s="1">
        <v>1852.6</v>
      </c>
      <c r="F24" s="1">
        <v>0</v>
      </c>
      <c r="G24" s="1">
        <v>10561.1</v>
      </c>
    </row>
    <row r="25" spans="1:7" x14ac:dyDescent="0.25">
      <c r="A25" t="s">
        <v>3</v>
      </c>
      <c r="B25" s="1">
        <v>32.369999999999997</v>
      </c>
      <c r="C25" s="1">
        <v>0</v>
      </c>
      <c r="D25" s="1">
        <v>1.66</v>
      </c>
      <c r="E25" s="1">
        <v>0.41</v>
      </c>
      <c r="F25" s="1">
        <v>0</v>
      </c>
      <c r="G25" s="1">
        <v>34.44</v>
      </c>
    </row>
    <row r="26" spans="1:7" x14ac:dyDescent="0.25">
      <c r="A26" t="s">
        <v>4</v>
      </c>
      <c r="B26" s="1">
        <v>12219.7</v>
      </c>
      <c r="C26" s="1">
        <v>0</v>
      </c>
      <c r="D26" s="1">
        <v>31181</v>
      </c>
      <c r="E26" s="1">
        <v>9631.92</v>
      </c>
      <c r="F26" s="1">
        <v>0</v>
      </c>
      <c r="G26" s="1">
        <v>53032.6</v>
      </c>
    </row>
    <row r="27" spans="1:7" x14ac:dyDescent="0.25">
      <c r="A27" t="s">
        <v>32</v>
      </c>
      <c r="B27" s="1">
        <v>7473.86</v>
      </c>
      <c r="C27" s="1">
        <v>0</v>
      </c>
      <c r="D27" s="1">
        <v>4284.3</v>
      </c>
      <c r="E27" s="1">
        <v>1230.27</v>
      </c>
      <c r="F27" s="1">
        <v>0</v>
      </c>
      <c r="G27" s="1">
        <v>12988.4</v>
      </c>
    </row>
    <row r="28" spans="1:7" x14ac:dyDescent="0.25">
      <c r="A28" t="s">
        <v>8</v>
      </c>
      <c r="B28" s="1">
        <v>809146</v>
      </c>
      <c r="C28" s="1">
        <v>0</v>
      </c>
      <c r="D28" s="1">
        <v>4599215</v>
      </c>
      <c r="E28" s="1">
        <v>2523164</v>
      </c>
      <c r="F28" s="1">
        <v>267500</v>
      </c>
      <c r="G28" s="1">
        <v>8199025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105333</v>
      </c>
      <c r="C33" s="1">
        <v>25861.8</v>
      </c>
      <c r="D33" s="1">
        <v>800633</v>
      </c>
      <c r="E33" s="1">
        <v>207732</v>
      </c>
      <c r="F33" s="1">
        <v>280580</v>
      </c>
      <c r="G33" s="25">
        <f>SUM(B33:F33)</f>
        <v>1420139.8</v>
      </c>
    </row>
    <row r="34" spans="1:7" x14ac:dyDescent="0.25">
      <c r="A34" t="s">
        <v>6</v>
      </c>
      <c r="B34" s="1">
        <v>2014912</v>
      </c>
      <c r="C34" s="1">
        <v>110266</v>
      </c>
      <c r="D34" s="1">
        <v>5887748</v>
      </c>
      <c r="E34" s="1">
        <v>3393055</v>
      </c>
      <c r="F34" s="1">
        <v>147003</v>
      </c>
      <c r="G34" s="25">
        <f t="shared" ref="G34:G42" si="0">SUM(B34:F34)</f>
        <v>11552984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390090</v>
      </c>
      <c r="G35" s="25">
        <f t="shared" si="0"/>
        <v>390090</v>
      </c>
    </row>
    <row r="36" spans="1:7" x14ac:dyDescent="0.25">
      <c r="A36" t="s">
        <v>0</v>
      </c>
      <c r="B36" s="1">
        <v>8899.07</v>
      </c>
      <c r="C36" s="1">
        <v>6089.61</v>
      </c>
      <c r="D36" s="1">
        <v>12542.3</v>
      </c>
      <c r="E36" s="1">
        <v>3131.75</v>
      </c>
      <c r="F36" s="1">
        <v>0</v>
      </c>
      <c r="G36" s="25">
        <f t="shared" si="0"/>
        <v>30662.73</v>
      </c>
    </row>
    <row r="37" spans="1:7" x14ac:dyDescent="0.25">
      <c r="A37" t="s">
        <v>30</v>
      </c>
      <c r="B37" s="1">
        <v>18947.2</v>
      </c>
      <c r="C37" s="1">
        <v>4439.96</v>
      </c>
      <c r="D37" s="1">
        <v>30345.599999999999</v>
      </c>
      <c r="E37" s="1">
        <v>6995.69</v>
      </c>
      <c r="F37" s="1">
        <v>0</v>
      </c>
      <c r="G37" s="25">
        <f t="shared" si="0"/>
        <v>60728.45</v>
      </c>
    </row>
    <row r="38" spans="1:7" x14ac:dyDescent="0.25">
      <c r="A38" t="s">
        <v>31</v>
      </c>
      <c r="B38" s="1">
        <v>6394.67</v>
      </c>
      <c r="C38" s="1">
        <v>10249.4</v>
      </c>
      <c r="D38" s="1">
        <v>12420.1</v>
      </c>
      <c r="E38" s="1">
        <v>3243.75</v>
      </c>
      <c r="F38" s="1">
        <v>0</v>
      </c>
      <c r="G38" s="25">
        <f t="shared" si="0"/>
        <v>32307.919999999998</v>
      </c>
    </row>
    <row r="39" spans="1:7" x14ac:dyDescent="0.25">
      <c r="A39" t="s">
        <v>3</v>
      </c>
      <c r="B39" s="1">
        <v>3550.27</v>
      </c>
      <c r="C39" s="1">
        <v>419.4</v>
      </c>
      <c r="D39" s="1">
        <v>161.88999999999999</v>
      </c>
      <c r="E39" s="1">
        <v>33.479999999999997</v>
      </c>
      <c r="F39" s="1">
        <v>0</v>
      </c>
      <c r="G39" s="25">
        <f t="shared" si="0"/>
        <v>4165.04</v>
      </c>
    </row>
    <row r="40" spans="1:7" x14ac:dyDescent="0.25">
      <c r="A40" t="s">
        <v>4</v>
      </c>
      <c r="B40" s="1">
        <v>33683.699999999997</v>
      </c>
      <c r="C40" s="1">
        <v>10951.9</v>
      </c>
      <c r="D40" s="1">
        <v>48363.3</v>
      </c>
      <c r="E40" s="1">
        <v>14154</v>
      </c>
      <c r="F40" s="1">
        <v>0</v>
      </c>
      <c r="G40" s="25">
        <f t="shared" si="0"/>
        <v>107152.9</v>
      </c>
    </row>
    <row r="41" spans="1:7" x14ac:dyDescent="0.25">
      <c r="A41" t="s">
        <v>32</v>
      </c>
      <c r="B41" s="1">
        <v>29091.5</v>
      </c>
      <c r="C41" s="1">
        <v>9683.56</v>
      </c>
      <c r="D41" s="1">
        <v>7628.82</v>
      </c>
      <c r="E41" s="1">
        <v>2249.46</v>
      </c>
      <c r="F41" s="1">
        <v>0</v>
      </c>
      <c r="G41" s="25">
        <f t="shared" si="0"/>
        <v>48653.34</v>
      </c>
    </row>
    <row r="42" spans="1:7" x14ac:dyDescent="0.25">
      <c r="A42" t="s">
        <v>8</v>
      </c>
      <c r="B42" s="1">
        <v>2220812</v>
      </c>
      <c r="C42" s="1">
        <v>177962</v>
      </c>
      <c r="D42" s="1">
        <v>6799843</v>
      </c>
      <c r="E42" s="1">
        <v>3630596</v>
      </c>
      <c r="F42" s="1">
        <v>817672</v>
      </c>
      <c r="G42" s="25">
        <f t="shared" si="0"/>
        <v>13646885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Summary</vt:lpstr>
      <vt:lpstr>Summary 2019</vt:lpstr>
      <vt:lpstr>Summary 2050</vt:lpstr>
      <vt:lpstr>Base_2019</vt:lpstr>
      <vt:lpstr>Low_2019</vt:lpstr>
      <vt:lpstr>Med_2019</vt:lpstr>
      <vt:lpstr>High_2019</vt:lpstr>
      <vt:lpstr>Base_2050</vt:lpstr>
      <vt:lpstr>Low_2050</vt:lpstr>
      <vt:lpstr>Med_2050</vt:lpstr>
      <vt:lpstr>High_2050</vt:lpstr>
      <vt:lpstr>Base_2019</vt:lpstr>
      <vt:lpstr>High_2019</vt:lpstr>
      <vt:lpstr>Low_2019</vt:lpstr>
      <vt:lpstr>Med_2019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Worthen</dc:creator>
  <cp:lastModifiedBy>Suzie Swim</cp:lastModifiedBy>
  <dcterms:created xsi:type="dcterms:W3CDTF">2021-02-09T17:36:28Z</dcterms:created>
  <dcterms:modified xsi:type="dcterms:W3CDTF">2021-02-10T23:21:16Z</dcterms:modified>
</cp:coreProperties>
</file>