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cworthen\Desktop\Coordination\1 - TDM Developmnet\1 - WF\2 - Sandbox\v8.3.2\Calib_Valid\00 - External Forces\1 - Telework\"/>
    </mc:Choice>
  </mc:AlternateContent>
  <xr:revisionPtr revIDLastSave="0" documentId="13_ncr:1_{5D701E64-2ECC-491A-91F0-E80FC0791788}" xr6:coauthVersionLast="47" xr6:coauthVersionMax="47" xr10:uidLastSave="{00000000-0000-0000-0000-000000000000}"/>
  <bookViews>
    <workbookView xWindow="-120" yWindow="-120" windowWidth="29040" windowHeight="15840" tabRatio="798" xr2:uid="{00000000-000D-0000-FFFF-FFFF00000000}"/>
  </bookViews>
  <sheets>
    <sheet name="Forecast" sheetId="20" r:id="rId1"/>
    <sheet name="Forecast (r1)" sheetId="21" r:id="rId2"/>
    <sheet name="WAH_byCounty" sheetId="18" r:id="rId3"/>
    <sheet name="2010" sheetId="1" r:id="rId4"/>
    <sheet name="2011" sheetId="7" r:id="rId5"/>
    <sheet name="2012" sheetId="8" r:id="rId6"/>
    <sheet name="2013" sheetId="9" r:id="rId7"/>
    <sheet name="2014" sheetId="10" r:id="rId8"/>
    <sheet name="2015" sheetId="11" r:id="rId9"/>
    <sheet name="2016" sheetId="12" r:id="rId10"/>
    <sheet name="2017" sheetId="13" r:id="rId11"/>
    <sheet name="2018" sheetId="14" r:id="rId12"/>
    <sheet name="2019" sheetId="15" r:id="rId13"/>
    <sheet name="LookupIdx" sheetId="4" r:id="rId14"/>
    <sheet name="Information" sheetId="16" r:id="rId15"/>
  </sheets>
  <definedNames>
    <definedName name="lu_CoName">LookupIdx!$B$3:$C$35</definedName>
    <definedName name="lu_GEOID">LookupIdx!$A$3:$C$35</definedName>
    <definedName name="lu_WrkType">LookupIdx!$F$3:$G$73</definedName>
    <definedName name="lu_WrkTypeID_Est">LookupIdx!$H$3:$I$73</definedName>
    <definedName name="lu_WrkTypeID_MOE">LookupIdx!$J$3:$K$73</definedName>
  </definedNames>
  <calcPr calcId="191029"/>
</workbook>
</file>

<file path=xl/calcChain.xml><?xml version="1.0" encoding="utf-8"?>
<calcChain xmlns="http://schemas.openxmlformats.org/spreadsheetml/2006/main">
  <c r="AH16" i="20" l="1"/>
  <c r="AH17" i="20"/>
  <c r="AH18" i="20"/>
  <c r="AK18" i="20" s="1"/>
  <c r="AH19" i="20"/>
  <c r="AH20" i="20"/>
  <c r="AG27" i="20"/>
  <c r="AG28" i="20" s="1"/>
  <c r="AG29" i="20" s="1"/>
  <c r="AG30" i="20" s="1"/>
  <c r="AG31" i="20" s="1"/>
  <c r="AG32" i="20" s="1"/>
  <c r="AG33" i="20" s="1"/>
  <c r="AG34" i="20" s="1"/>
  <c r="AG35" i="20" s="1"/>
  <c r="AG36" i="20" s="1"/>
  <c r="AG37" i="20" s="1"/>
  <c r="AG38" i="20" s="1"/>
  <c r="AG39" i="20" s="1"/>
  <c r="AG40" i="20" s="1"/>
  <c r="AG41" i="20" s="1"/>
  <c r="AG42" i="20" s="1"/>
  <c r="AG43" i="20" s="1"/>
  <c r="AG44" i="20" s="1"/>
  <c r="AG45" i="20" s="1"/>
  <c r="AG47" i="20"/>
  <c r="AG48" i="20" s="1"/>
  <c r="AG49" i="20" s="1"/>
  <c r="AG50" i="20" s="1"/>
  <c r="AG51" i="20" s="1"/>
  <c r="AG52" i="20" s="1"/>
  <c r="AG53" i="20" s="1"/>
  <c r="AG54" i="20" s="1"/>
  <c r="AG55" i="20" s="1"/>
  <c r="AF7" i="20"/>
  <c r="AG7" i="20"/>
  <c r="AJ7" i="20" s="1"/>
  <c r="AF8" i="20"/>
  <c r="AG8" i="20"/>
  <c r="AJ8" i="20" s="1"/>
  <c r="AF9" i="20"/>
  <c r="AI9" i="20" s="1"/>
  <c r="AG9" i="20"/>
  <c r="AF10" i="20"/>
  <c r="AG10" i="20"/>
  <c r="AF11" i="20"/>
  <c r="AI11" i="20" s="1"/>
  <c r="AG11" i="20"/>
  <c r="AF12" i="20"/>
  <c r="AG12" i="20"/>
  <c r="AJ12" i="20" s="1"/>
  <c r="AF13" i="20"/>
  <c r="AI13" i="20" s="1"/>
  <c r="AG13" i="20"/>
  <c r="AJ13" i="20" s="1"/>
  <c r="AF14" i="20"/>
  <c r="AG14" i="20"/>
  <c r="AJ14" i="20" s="1"/>
  <c r="AF15" i="20"/>
  <c r="AG15" i="20"/>
  <c r="AI14" i="20"/>
  <c r="AH13" i="20"/>
  <c r="AK13" i="20" s="1"/>
  <c r="AI12" i="20"/>
  <c r="AJ11" i="20"/>
  <c r="AJ10" i="20"/>
  <c r="AI10" i="20"/>
  <c r="AJ9" i="20"/>
  <c r="AI8" i="20"/>
  <c r="AI7" i="20"/>
  <c r="AJ6" i="20"/>
  <c r="AG6" i="20"/>
  <c r="AF6" i="20"/>
  <c r="AI6" i="20" s="1"/>
  <c r="AJ56" i="20"/>
  <c r="AI56" i="20"/>
  <c r="AH56" i="20"/>
  <c r="AK56" i="20" s="1"/>
  <c r="AF22" i="20"/>
  <c r="AF23" i="20" s="1"/>
  <c r="AH21" i="20"/>
  <c r="AK21" i="20" s="1"/>
  <c r="AJ21" i="20"/>
  <c r="AF21" i="20"/>
  <c r="AI21" i="20" s="1"/>
  <c r="AK20" i="20"/>
  <c r="AJ20" i="20"/>
  <c r="AF20" i="20"/>
  <c r="AI20" i="20" s="1"/>
  <c r="AJ19" i="20"/>
  <c r="AI19" i="20"/>
  <c r="AK19" i="20"/>
  <c r="AJ18" i="20"/>
  <c r="AI18" i="20"/>
  <c r="AJ17" i="20"/>
  <c r="AI17" i="20"/>
  <c r="AK17" i="20"/>
  <c r="AK16" i="20"/>
  <c r="AJ16" i="20"/>
  <c r="AI16" i="20"/>
  <c r="AE56" i="21"/>
  <c r="AG56" i="21" s="1"/>
  <c r="AD56" i="21"/>
  <c r="AF56" i="21" s="1"/>
  <c r="AC56" i="21"/>
  <c r="AB56" i="21"/>
  <c r="X56" i="21"/>
  <c r="W56" i="21"/>
  <c r="V56" i="21"/>
  <c r="Y56" i="21" s="1"/>
  <c r="X22" i="21"/>
  <c r="U22" i="21"/>
  <c r="U23" i="21" s="1"/>
  <c r="T22" i="21"/>
  <c r="W22" i="21" s="1"/>
  <c r="AA21" i="21"/>
  <c r="AD21" i="21" s="1"/>
  <c r="AF21" i="21" s="1"/>
  <c r="X21" i="21"/>
  <c r="V21" i="21"/>
  <c r="Y21" i="21" s="1"/>
  <c r="T21" i="21"/>
  <c r="W21" i="21" s="1"/>
  <c r="AF20" i="21"/>
  <c r="AD20" i="21"/>
  <c r="AC20" i="21"/>
  <c r="Z20" i="21"/>
  <c r="Y20" i="21"/>
  <c r="X20" i="21"/>
  <c r="W20" i="21"/>
  <c r="V20" i="21"/>
  <c r="AF19" i="21"/>
  <c r="AE19" i="21"/>
  <c r="AG19" i="21" s="1"/>
  <c r="AD19" i="21"/>
  <c r="AC19" i="21"/>
  <c r="AB19" i="21"/>
  <c r="X19" i="21"/>
  <c r="W19" i="21"/>
  <c r="V19" i="21"/>
  <c r="Y19" i="21" s="1"/>
  <c r="AD18" i="21"/>
  <c r="AF18" i="21" s="1"/>
  <c r="AC18" i="21"/>
  <c r="AB18" i="21"/>
  <c r="AE18" i="21" s="1"/>
  <c r="AG18" i="21" s="1"/>
  <c r="Y18" i="21"/>
  <c r="X18" i="21"/>
  <c r="W18" i="21"/>
  <c r="V18" i="21"/>
  <c r="AG17" i="21"/>
  <c r="AF17" i="21"/>
  <c r="AE17" i="21"/>
  <c r="AD17" i="21"/>
  <c r="AC17" i="21"/>
  <c r="AB17" i="21"/>
  <c r="X17" i="21"/>
  <c r="W17" i="21"/>
  <c r="V17" i="21"/>
  <c r="Y17" i="21" s="1"/>
  <c r="AG16" i="21"/>
  <c r="AE16" i="21"/>
  <c r="AD16" i="21"/>
  <c r="AF16" i="21" s="1"/>
  <c r="AC16" i="21"/>
  <c r="AB16" i="21"/>
  <c r="Y16" i="21"/>
  <c r="X16" i="21"/>
  <c r="W16" i="21"/>
  <c r="V16" i="21"/>
  <c r="S15" i="21"/>
  <c r="R15" i="21"/>
  <c r="Q15" i="21"/>
  <c r="M15" i="21"/>
  <c r="M15" i="20"/>
  <c r="S15" i="20"/>
  <c r="R15" i="20"/>
  <c r="Q15" i="20"/>
  <c r="X56" i="20"/>
  <c r="W56" i="20"/>
  <c r="X21" i="20"/>
  <c r="X20" i="20"/>
  <c r="W20" i="20"/>
  <c r="X19" i="20"/>
  <c r="W19" i="20"/>
  <c r="X18" i="20"/>
  <c r="W18" i="20"/>
  <c r="X17" i="20"/>
  <c r="W17" i="20"/>
  <c r="X16" i="20"/>
  <c r="W16" i="20"/>
  <c r="AC16" i="20"/>
  <c r="AC56" i="20"/>
  <c r="AC19" i="20"/>
  <c r="AC18" i="20"/>
  <c r="AC17" i="20"/>
  <c r="AD56" i="20"/>
  <c r="AL56" i="20" s="1"/>
  <c r="AD20" i="20"/>
  <c r="AL20" i="20" s="1"/>
  <c r="AD19" i="20"/>
  <c r="AL19" i="20" s="1"/>
  <c r="AD18" i="20"/>
  <c r="AL18" i="20" s="1"/>
  <c r="AD17" i="20"/>
  <c r="AL17" i="20" s="1"/>
  <c r="AD16" i="20"/>
  <c r="AL16" i="20" s="1"/>
  <c r="T21" i="20"/>
  <c r="W21" i="20" s="1"/>
  <c r="AA21" i="20"/>
  <c r="AA22" i="20" s="1"/>
  <c r="AA23" i="20" s="1"/>
  <c r="AA24" i="20" s="1"/>
  <c r="AA25" i="20" s="1"/>
  <c r="AA26" i="20" s="1"/>
  <c r="AA27" i="20" s="1"/>
  <c r="AA28" i="20" s="1"/>
  <c r="AA29" i="20" s="1"/>
  <c r="AA30" i="20" s="1"/>
  <c r="AA31" i="20" s="1"/>
  <c r="AD31" i="20" s="1"/>
  <c r="AL31" i="20" s="1"/>
  <c r="Z20" i="20"/>
  <c r="AB20" i="20" s="1"/>
  <c r="AE20" i="20" s="1"/>
  <c r="AM20" i="20" s="1"/>
  <c r="AB56" i="20"/>
  <c r="AE56" i="20" s="1"/>
  <c r="AM56" i="20" s="1"/>
  <c r="AB19" i="20"/>
  <c r="AE19" i="20" s="1"/>
  <c r="AM19" i="20" s="1"/>
  <c r="AB18" i="20"/>
  <c r="AE18" i="20" s="1"/>
  <c r="AM18" i="20" s="1"/>
  <c r="AB17" i="20"/>
  <c r="AE17" i="20" s="1"/>
  <c r="AM17" i="20" s="1"/>
  <c r="AB16" i="20"/>
  <c r="AE16" i="20" s="1"/>
  <c r="AM16" i="20" s="1"/>
  <c r="AH9" i="20" l="1"/>
  <c r="AK9" i="20" s="1"/>
  <c r="AH8" i="20"/>
  <c r="AK8" i="20" s="1"/>
  <c r="AH12" i="20"/>
  <c r="AK12" i="20" s="1"/>
  <c r="AH7" i="20"/>
  <c r="AK7" i="20" s="1"/>
  <c r="AH11" i="20"/>
  <c r="AK11" i="20" s="1"/>
  <c r="AH6" i="20"/>
  <c r="AK6" i="20" s="1"/>
  <c r="AH10" i="20"/>
  <c r="AK10" i="20" s="1"/>
  <c r="AH14" i="20"/>
  <c r="AK14" i="20" s="1"/>
  <c r="AF24" i="20"/>
  <c r="AI23" i="20"/>
  <c r="AH23" i="20"/>
  <c r="AK23" i="20" s="1"/>
  <c r="AJ23" i="20"/>
  <c r="AH22" i="20"/>
  <c r="AK22" i="20" s="1"/>
  <c r="AI22" i="20"/>
  <c r="AJ22" i="20"/>
  <c r="Z21" i="21"/>
  <c r="AB20" i="21"/>
  <c r="AE20" i="21" s="1"/>
  <c r="AG20" i="21" s="1"/>
  <c r="X23" i="21"/>
  <c r="U24" i="21"/>
  <c r="V22" i="21"/>
  <c r="Y22" i="21" s="1"/>
  <c r="AA22" i="21"/>
  <c r="T23" i="21"/>
  <c r="AD24" i="20"/>
  <c r="AL24" i="20" s="1"/>
  <c r="AD26" i="20"/>
  <c r="AL26" i="20" s="1"/>
  <c r="AD25" i="20"/>
  <c r="AL25" i="20" s="1"/>
  <c r="AD27" i="20"/>
  <c r="AL27" i="20" s="1"/>
  <c r="AC20" i="20"/>
  <c r="AD28" i="20"/>
  <c r="AL28" i="20" s="1"/>
  <c r="Z21" i="20"/>
  <c r="AD21" i="20"/>
  <c r="AL21" i="20" s="1"/>
  <c r="AD29" i="20"/>
  <c r="AL29" i="20" s="1"/>
  <c r="AD22" i="20"/>
  <c r="AL22" i="20" s="1"/>
  <c r="AD30" i="20"/>
  <c r="AL30" i="20" s="1"/>
  <c r="AD23" i="20"/>
  <c r="AL23" i="20" s="1"/>
  <c r="AA39" i="20"/>
  <c r="AD39" i="20" s="1"/>
  <c r="AL39" i="20" s="1"/>
  <c r="AA32" i="20"/>
  <c r="U22" i="20"/>
  <c r="X22" i="20" s="1"/>
  <c r="V56" i="20"/>
  <c r="Y56" i="20" s="1"/>
  <c r="AJ24" i="20" l="1"/>
  <c r="AI24" i="20"/>
  <c r="AH24" i="20"/>
  <c r="AK24" i="20" s="1"/>
  <c r="AF25" i="20"/>
  <c r="W23" i="21"/>
  <c r="T24" i="21"/>
  <c r="V23" i="21"/>
  <c r="Y23" i="21" s="1"/>
  <c r="AD22" i="21"/>
  <c r="AF22" i="21" s="1"/>
  <c r="AA23" i="21"/>
  <c r="X24" i="21"/>
  <c r="U25" i="21"/>
  <c r="Z22" i="21"/>
  <c r="AC21" i="21"/>
  <c r="AB21" i="21"/>
  <c r="AE21" i="21" s="1"/>
  <c r="AG21" i="21" s="1"/>
  <c r="Z22" i="20"/>
  <c r="AC21" i="20"/>
  <c r="AB21" i="20"/>
  <c r="AE21" i="20" s="1"/>
  <c r="AM21" i="20" s="1"/>
  <c r="AA33" i="20"/>
  <c r="AD32" i="20"/>
  <c r="AL32" i="20" s="1"/>
  <c r="U23" i="20"/>
  <c r="T22" i="20"/>
  <c r="W22" i="20" s="1"/>
  <c r="V20" i="20"/>
  <c r="Y20" i="20" s="1"/>
  <c r="AI25" i="20" l="1"/>
  <c r="AH25" i="20"/>
  <c r="AK25" i="20" s="1"/>
  <c r="AF26" i="20"/>
  <c r="AJ25" i="20"/>
  <c r="Z23" i="21"/>
  <c r="AC22" i="21"/>
  <c r="AB22" i="21"/>
  <c r="AE22" i="21" s="1"/>
  <c r="AG22" i="21" s="1"/>
  <c r="X25" i="21"/>
  <c r="U26" i="21"/>
  <c r="AD23" i="21"/>
  <c r="AF23" i="21" s="1"/>
  <c r="AA24" i="21"/>
  <c r="W24" i="21"/>
  <c r="T25" i="21"/>
  <c r="V24" i="21"/>
  <c r="Y24" i="21" s="1"/>
  <c r="U24" i="20"/>
  <c r="X23" i="20"/>
  <c r="Z23" i="20"/>
  <c r="AC22" i="20"/>
  <c r="AB22" i="20"/>
  <c r="AE22" i="20" s="1"/>
  <c r="AM22" i="20" s="1"/>
  <c r="AA34" i="20"/>
  <c r="AD33" i="20"/>
  <c r="AL33" i="20" s="1"/>
  <c r="T23" i="20"/>
  <c r="W23" i="20" s="1"/>
  <c r="V22" i="20"/>
  <c r="Y22" i="20" s="1"/>
  <c r="V21" i="20"/>
  <c r="Y21" i="20" s="1"/>
  <c r="AJ26" i="20" l="1"/>
  <c r="AF27" i="20"/>
  <c r="AI26" i="20"/>
  <c r="AH26" i="20"/>
  <c r="AK26" i="20" s="1"/>
  <c r="AD24" i="21"/>
  <c r="AF24" i="21" s="1"/>
  <c r="AA25" i="21"/>
  <c r="X26" i="21"/>
  <c r="U27" i="21"/>
  <c r="W25" i="21"/>
  <c r="T26" i="21"/>
  <c r="V25" i="21"/>
  <c r="Y25" i="21" s="1"/>
  <c r="Z24" i="21"/>
  <c r="AC23" i="21"/>
  <c r="AB23" i="21"/>
  <c r="AE23" i="21" s="1"/>
  <c r="AG23" i="21" s="1"/>
  <c r="U25" i="20"/>
  <c r="X24" i="20"/>
  <c r="AC23" i="20"/>
  <c r="Z24" i="20"/>
  <c r="AB23" i="20"/>
  <c r="AE23" i="20" s="1"/>
  <c r="AM23" i="20" s="1"/>
  <c r="AA35" i="20"/>
  <c r="AD34" i="20"/>
  <c r="AL34" i="20" s="1"/>
  <c r="V23" i="20"/>
  <c r="Y23" i="20" s="1"/>
  <c r="T24" i="20"/>
  <c r="W24" i="20" s="1"/>
  <c r="V19" i="20"/>
  <c r="Y19" i="20" s="1"/>
  <c r="V18" i="20"/>
  <c r="Y18" i="20" s="1"/>
  <c r="V17" i="20"/>
  <c r="Y17" i="20" s="1"/>
  <c r="V16" i="20"/>
  <c r="Y16" i="20" s="1"/>
  <c r="GJ139" i="18"/>
  <c r="GJ138" i="18"/>
  <c r="GJ137" i="18"/>
  <c r="GJ136" i="18"/>
  <c r="GJ135" i="18"/>
  <c r="GJ134" i="18"/>
  <c r="GJ133" i="18"/>
  <c r="GJ132" i="18"/>
  <c r="GJ131" i="18"/>
  <c r="GJ130" i="18"/>
  <c r="GJ129" i="18"/>
  <c r="GJ128" i="18"/>
  <c r="GJ127" i="18"/>
  <c r="GJ126" i="18"/>
  <c r="GJ125" i="18"/>
  <c r="GJ124" i="18"/>
  <c r="GJ123" i="18"/>
  <c r="GJ122" i="18"/>
  <c r="GJ121" i="18"/>
  <c r="GJ120" i="18"/>
  <c r="GJ119" i="18"/>
  <c r="GJ118" i="18"/>
  <c r="GJ117" i="18"/>
  <c r="GJ116" i="18"/>
  <c r="GJ115" i="18"/>
  <c r="GJ114" i="18"/>
  <c r="GJ113" i="18"/>
  <c r="GJ112" i="18"/>
  <c r="GJ111" i="18"/>
  <c r="GJ110" i="18"/>
  <c r="GJ109" i="18"/>
  <c r="GJ107" i="18"/>
  <c r="GJ105" i="18"/>
  <c r="GJ104" i="18"/>
  <c r="GJ103" i="18"/>
  <c r="GJ102" i="18"/>
  <c r="GJ101" i="18"/>
  <c r="GJ100" i="18"/>
  <c r="GJ99" i="18"/>
  <c r="GJ96" i="18"/>
  <c r="GJ93" i="18"/>
  <c r="GJ92" i="18"/>
  <c r="GJ91" i="18"/>
  <c r="GJ90" i="18"/>
  <c r="GJ89" i="18"/>
  <c r="GJ88" i="18"/>
  <c r="GJ87" i="18"/>
  <c r="GJ86" i="18"/>
  <c r="GJ85" i="18"/>
  <c r="GJ84" i="18"/>
  <c r="GJ83" i="18"/>
  <c r="GJ82" i="18"/>
  <c r="GJ81" i="18"/>
  <c r="GJ80" i="18"/>
  <c r="GJ79" i="18"/>
  <c r="GJ78" i="18"/>
  <c r="GJ77" i="18"/>
  <c r="GJ76" i="18"/>
  <c r="GJ75" i="18"/>
  <c r="GJ74" i="18"/>
  <c r="GJ73" i="18"/>
  <c r="GJ72" i="18"/>
  <c r="GJ71" i="18"/>
  <c r="GJ70" i="18"/>
  <c r="GJ69" i="18"/>
  <c r="GJ68" i="18"/>
  <c r="GJ67" i="18"/>
  <c r="GJ66" i="18"/>
  <c r="GJ65" i="18"/>
  <c r="GJ64" i="18"/>
  <c r="GJ63" i="18"/>
  <c r="GJ61" i="18"/>
  <c r="GJ59" i="18"/>
  <c r="GJ58" i="18"/>
  <c r="GJ57" i="18"/>
  <c r="GJ56" i="18"/>
  <c r="GJ55" i="18"/>
  <c r="GJ54" i="18"/>
  <c r="GJ53" i="18"/>
  <c r="GJ50" i="18"/>
  <c r="FW139" i="18"/>
  <c r="FW138" i="18"/>
  <c r="FW137" i="18"/>
  <c r="FW136" i="18"/>
  <c r="FW135" i="18"/>
  <c r="FW134" i="18"/>
  <c r="FW133" i="18"/>
  <c r="FW132" i="18"/>
  <c r="FW131" i="18"/>
  <c r="FW130" i="18"/>
  <c r="FW129" i="18"/>
  <c r="FW128" i="18"/>
  <c r="FW127" i="18"/>
  <c r="FW126" i="18"/>
  <c r="FW125" i="18"/>
  <c r="FW124" i="18"/>
  <c r="FW123" i="18"/>
  <c r="FW122" i="18"/>
  <c r="FW121" i="18"/>
  <c r="FW120" i="18"/>
  <c r="FW119" i="18"/>
  <c r="FW118" i="18"/>
  <c r="FW117" i="18"/>
  <c r="FW116" i="18"/>
  <c r="FW115" i="18"/>
  <c r="FW114" i="18"/>
  <c r="FW113" i="18"/>
  <c r="FW112" i="18"/>
  <c r="FW111" i="18"/>
  <c r="FW110" i="18"/>
  <c r="FW109" i="18"/>
  <c r="FW105" i="18"/>
  <c r="FW104" i="18"/>
  <c r="FW103" i="18"/>
  <c r="FW102" i="18"/>
  <c r="FW101" i="18"/>
  <c r="FW100" i="18"/>
  <c r="FW99" i="18"/>
  <c r="FW96" i="18"/>
  <c r="FW107" i="18" s="1"/>
  <c r="FW93" i="18"/>
  <c r="FW92" i="18"/>
  <c r="FW91" i="18"/>
  <c r="FW90" i="18"/>
  <c r="FW89" i="18"/>
  <c r="FW88" i="18"/>
  <c r="FW87" i="18"/>
  <c r="FW86" i="18"/>
  <c r="FW85" i="18"/>
  <c r="FW84" i="18"/>
  <c r="FW83" i="18"/>
  <c r="FW82" i="18"/>
  <c r="FW81" i="18"/>
  <c r="FW80" i="18"/>
  <c r="FW79" i="18"/>
  <c r="FW78" i="18"/>
  <c r="FW77" i="18"/>
  <c r="FW76" i="18"/>
  <c r="FW75" i="18"/>
  <c r="FW74" i="18"/>
  <c r="FW73" i="18"/>
  <c r="FW72" i="18"/>
  <c r="FW71" i="18"/>
  <c r="FW70" i="18"/>
  <c r="FW69" i="18"/>
  <c r="FW68" i="18"/>
  <c r="FW67" i="18"/>
  <c r="FW66" i="18"/>
  <c r="FW65" i="18"/>
  <c r="FW64" i="18"/>
  <c r="FW63" i="18"/>
  <c r="FW59" i="18"/>
  <c r="FW58" i="18"/>
  <c r="FW57" i="18"/>
  <c r="FW56" i="18"/>
  <c r="FW55" i="18"/>
  <c r="FW54" i="18"/>
  <c r="FW53" i="18"/>
  <c r="FW50" i="18"/>
  <c r="FW61" i="18" s="1"/>
  <c r="FJ139" i="18"/>
  <c r="FJ138" i="18"/>
  <c r="FJ137" i="18"/>
  <c r="FJ136" i="18"/>
  <c r="FJ135" i="18"/>
  <c r="FJ134" i="18"/>
  <c r="FJ133" i="18"/>
  <c r="FJ132" i="18"/>
  <c r="FJ131" i="18"/>
  <c r="FJ130" i="18"/>
  <c r="FJ129" i="18"/>
  <c r="FJ128" i="18"/>
  <c r="FJ127" i="18"/>
  <c r="FJ126" i="18"/>
  <c r="FJ125" i="18"/>
  <c r="FJ124" i="18"/>
  <c r="FJ123" i="18"/>
  <c r="FJ122" i="18"/>
  <c r="FJ121" i="18"/>
  <c r="FJ120" i="18"/>
  <c r="FJ119" i="18"/>
  <c r="FJ118" i="18"/>
  <c r="FJ117" i="18"/>
  <c r="FJ116" i="18"/>
  <c r="FJ115" i="18"/>
  <c r="FJ114" i="18"/>
  <c r="FJ113" i="18"/>
  <c r="FJ112" i="18"/>
  <c r="FJ111" i="18"/>
  <c r="FJ110" i="18"/>
  <c r="FJ109" i="18"/>
  <c r="FJ107" i="18"/>
  <c r="FJ105" i="18"/>
  <c r="FJ104" i="18"/>
  <c r="FJ103" i="18"/>
  <c r="FJ102" i="18"/>
  <c r="FJ101" i="18"/>
  <c r="FJ100" i="18"/>
  <c r="FJ99" i="18"/>
  <c r="FJ96" i="18"/>
  <c r="FJ93" i="18"/>
  <c r="FJ92" i="18"/>
  <c r="FJ91" i="18"/>
  <c r="FJ90" i="18"/>
  <c r="FJ89" i="18"/>
  <c r="FJ88" i="18"/>
  <c r="FJ87" i="18"/>
  <c r="FJ86" i="18"/>
  <c r="FJ85" i="18"/>
  <c r="FJ84" i="18"/>
  <c r="FJ83" i="18"/>
  <c r="FJ82" i="18"/>
  <c r="FJ81" i="18"/>
  <c r="FJ80" i="18"/>
  <c r="FJ79" i="18"/>
  <c r="FJ78" i="18"/>
  <c r="FJ77" i="18"/>
  <c r="FJ76" i="18"/>
  <c r="FJ75" i="18"/>
  <c r="FJ74" i="18"/>
  <c r="FJ73" i="18"/>
  <c r="FJ72" i="18"/>
  <c r="FJ71" i="18"/>
  <c r="FJ70" i="18"/>
  <c r="FJ69" i="18"/>
  <c r="FJ68" i="18"/>
  <c r="FJ67" i="18"/>
  <c r="FJ66" i="18"/>
  <c r="FJ65" i="18"/>
  <c r="FJ64" i="18"/>
  <c r="FJ63" i="18"/>
  <c r="FJ61" i="18"/>
  <c r="FJ59" i="18"/>
  <c r="FJ58" i="18"/>
  <c r="FJ57" i="18"/>
  <c r="FJ56" i="18"/>
  <c r="FJ55" i="18"/>
  <c r="FJ54" i="18"/>
  <c r="FJ53" i="18"/>
  <c r="FJ50" i="18"/>
  <c r="EW139" i="18"/>
  <c r="EW138" i="18"/>
  <c r="EW137" i="18"/>
  <c r="EW136" i="18"/>
  <c r="EW135" i="18"/>
  <c r="EW134" i="18"/>
  <c r="EW133" i="18"/>
  <c r="EW132" i="18"/>
  <c r="EW131" i="18"/>
  <c r="EW130" i="18"/>
  <c r="EW129" i="18"/>
  <c r="EW128" i="18"/>
  <c r="EW127" i="18"/>
  <c r="EW126" i="18"/>
  <c r="EW125" i="18"/>
  <c r="EW124" i="18"/>
  <c r="EW123" i="18"/>
  <c r="EW122" i="18"/>
  <c r="EW121" i="18"/>
  <c r="EW120" i="18"/>
  <c r="EW119" i="18"/>
  <c r="EW118" i="18"/>
  <c r="EW117" i="18"/>
  <c r="EW116" i="18"/>
  <c r="EW115" i="18"/>
  <c r="EW114" i="18"/>
  <c r="EW113" i="18"/>
  <c r="EW112" i="18"/>
  <c r="EW111" i="18"/>
  <c r="EW110" i="18"/>
  <c r="EW109" i="18"/>
  <c r="EW105" i="18"/>
  <c r="EW104" i="18"/>
  <c r="EW103" i="18"/>
  <c r="EW102" i="18"/>
  <c r="EW101" i="18"/>
  <c r="EW100" i="18"/>
  <c r="EW99" i="18"/>
  <c r="EW96" i="18"/>
  <c r="EW107" i="18" s="1"/>
  <c r="EW50" i="18"/>
  <c r="EW61" i="18" s="1"/>
  <c r="EW64" i="18"/>
  <c r="EW65" i="18"/>
  <c r="EW66" i="18"/>
  <c r="EW67" i="18"/>
  <c r="EW68" i="18"/>
  <c r="EW69" i="18"/>
  <c r="EW70" i="18"/>
  <c r="EW71" i="18"/>
  <c r="EW72" i="18"/>
  <c r="EW73" i="18"/>
  <c r="EW74" i="18"/>
  <c r="EW75" i="18"/>
  <c r="EW76" i="18"/>
  <c r="EW77" i="18"/>
  <c r="EW78" i="18"/>
  <c r="EW79" i="18"/>
  <c r="EW80" i="18"/>
  <c r="EW81" i="18"/>
  <c r="EW82" i="18"/>
  <c r="EW83" i="18"/>
  <c r="EW84" i="18"/>
  <c r="EW85" i="18"/>
  <c r="EW86" i="18"/>
  <c r="EW87" i="18"/>
  <c r="EW88" i="18"/>
  <c r="EW89" i="18"/>
  <c r="EW90" i="18"/>
  <c r="EW91" i="18"/>
  <c r="EW92" i="18"/>
  <c r="EW93" i="18"/>
  <c r="EW63" i="18"/>
  <c r="EW59" i="18"/>
  <c r="EW58" i="18"/>
  <c r="EW57" i="18"/>
  <c r="EW56" i="18"/>
  <c r="EW55" i="18"/>
  <c r="EW54" i="18"/>
  <c r="EW53" i="18"/>
  <c r="AY41" i="18"/>
  <c r="AY35" i="18"/>
  <c r="AY29" i="18"/>
  <c r="AY23" i="18"/>
  <c r="AY17" i="18"/>
  <c r="AY11" i="18"/>
  <c r="AY5" i="18"/>
  <c r="CJ18" i="18"/>
  <c r="CJ19" i="18"/>
  <c r="DW19" i="18" s="1"/>
  <c r="CJ20" i="18"/>
  <c r="FK20" i="18" s="1"/>
  <c r="CJ21" i="18"/>
  <c r="CW21" i="18" s="1"/>
  <c r="CJ22" i="18"/>
  <c r="CJ23" i="18"/>
  <c r="CJ24" i="18"/>
  <c r="DW24" i="18" s="1"/>
  <c r="CJ25" i="18"/>
  <c r="DW25" i="18" s="1"/>
  <c r="CJ26" i="18"/>
  <c r="CJ27" i="18"/>
  <c r="FK27" i="18" s="1"/>
  <c r="CJ28" i="18"/>
  <c r="DW28" i="18" s="1"/>
  <c r="CJ29" i="18"/>
  <c r="CJ30" i="18"/>
  <c r="GK30" i="18" s="1"/>
  <c r="CJ31" i="18"/>
  <c r="CJ32" i="18"/>
  <c r="DW32" i="18" s="1"/>
  <c r="CJ33" i="18"/>
  <c r="DW33" i="18" s="1"/>
  <c r="CJ34" i="18"/>
  <c r="CJ35" i="18"/>
  <c r="FX35" i="18" s="1"/>
  <c r="CJ36" i="18"/>
  <c r="DW36" i="18" s="1"/>
  <c r="CJ37" i="18"/>
  <c r="DJ37" i="18" s="1"/>
  <c r="CJ38" i="18"/>
  <c r="CJ39" i="18"/>
  <c r="CJ40" i="18"/>
  <c r="FX40" i="18" s="1"/>
  <c r="CJ41" i="18"/>
  <c r="CW41" i="18" s="1"/>
  <c r="CJ42" i="18"/>
  <c r="CJ43" i="18"/>
  <c r="FX43" i="18" s="1"/>
  <c r="CJ44" i="18"/>
  <c r="EX44" i="18" s="1"/>
  <c r="CJ45" i="18"/>
  <c r="EX45" i="18" s="1"/>
  <c r="EX137" i="18" s="1"/>
  <c r="CJ46" i="18"/>
  <c r="CJ47" i="18"/>
  <c r="CJ17" i="18"/>
  <c r="FX17" i="18" s="1"/>
  <c r="FX109" i="18" s="1"/>
  <c r="CJ8" i="18"/>
  <c r="DW8" i="18" s="1"/>
  <c r="CJ9" i="18"/>
  <c r="CJ10" i="18"/>
  <c r="GK10" i="18" s="1"/>
  <c r="CJ11" i="18"/>
  <c r="GK11" i="18" s="1"/>
  <c r="CJ12" i="18"/>
  <c r="CJ13" i="18"/>
  <c r="EJ13" i="18" s="1"/>
  <c r="CJ7" i="18"/>
  <c r="EX7" i="18" s="1"/>
  <c r="EX99" i="18" s="1"/>
  <c r="EW47" i="18"/>
  <c r="EW46" i="18"/>
  <c r="EW45" i="18"/>
  <c r="EW44" i="18"/>
  <c r="EW43" i="18"/>
  <c r="EW42" i="18"/>
  <c r="EW41" i="18"/>
  <c r="EW40" i="18"/>
  <c r="EW39" i="18"/>
  <c r="EW38" i="18"/>
  <c r="EW37" i="18"/>
  <c r="EW36" i="18"/>
  <c r="EW35" i="18"/>
  <c r="EW34" i="18"/>
  <c r="EW33" i="18"/>
  <c r="EW32" i="18"/>
  <c r="EW31" i="18"/>
  <c r="EW30" i="18"/>
  <c r="EW29" i="18"/>
  <c r="EW28" i="18"/>
  <c r="EW27" i="18"/>
  <c r="EW26" i="18"/>
  <c r="EW25" i="18"/>
  <c r="EW24" i="18"/>
  <c r="EW23" i="18"/>
  <c r="EW22" i="18"/>
  <c r="EW21" i="18"/>
  <c r="EW20" i="18"/>
  <c r="EW19" i="18"/>
  <c r="EW18" i="18"/>
  <c r="EW17" i="18"/>
  <c r="EW15" i="18"/>
  <c r="EW13" i="18"/>
  <c r="EW12" i="18"/>
  <c r="EW11" i="18"/>
  <c r="EW10" i="18"/>
  <c r="EW9" i="18"/>
  <c r="EW8" i="18"/>
  <c r="EW7" i="18"/>
  <c r="FK47" i="18"/>
  <c r="FJ47" i="18"/>
  <c r="FJ46" i="18"/>
  <c r="FJ45" i="18"/>
  <c r="FJ44" i="18"/>
  <c r="FK43" i="18"/>
  <c r="FJ43" i="18"/>
  <c r="FJ42" i="18"/>
  <c r="FJ41" i="18"/>
  <c r="FJ40" i="18"/>
  <c r="FJ39" i="18"/>
  <c r="FJ38" i="18"/>
  <c r="FJ37" i="18"/>
  <c r="FJ36" i="18"/>
  <c r="FJ35" i="18"/>
  <c r="FJ34" i="18"/>
  <c r="FJ33" i="18"/>
  <c r="FJ32" i="18"/>
  <c r="FK31" i="18"/>
  <c r="FJ31" i="18"/>
  <c r="FJ30" i="18"/>
  <c r="FJ29" i="18"/>
  <c r="FJ28" i="18"/>
  <c r="FJ27" i="18"/>
  <c r="FJ26" i="18"/>
  <c r="FJ25" i="18"/>
  <c r="FJ24" i="18"/>
  <c r="FK23" i="18"/>
  <c r="FJ23" i="18"/>
  <c r="FJ22" i="18"/>
  <c r="FJ21" i="18"/>
  <c r="FJ20" i="18"/>
  <c r="FJ19" i="18"/>
  <c r="FJ18" i="18"/>
  <c r="FJ17" i="18"/>
  <c r="FJ15" i="18"/>
  <c r="FJ13" i="18"/>
  <c r="FJ12" i="18"/>
  <c r="FJ11" i="18"/>
  <c r="FJ10" i="18"/>
  <c r="FJ9" i="18"/>
  <c r="FJ8" i="18"/>
  <c r="FK7" i="18"/>
  <c r="FJ7" i="18"/>
  <c r="FW47" i="18"/>
  <c r="FW46" i="18"/>
  <c r="FW45" i="18"/>
  <c r="FW44" i="18"/>
  <c r="FW43" i="18"/>
  <c r="FW42" i="18"/>
  <c r="FW41" i="18"/>
  <c r="FW40" i="18"/>
  <c r="FW39" i="18"/>
  <c r="FW38" i="18"/>
  <c r="FW37" i="18"/>
  <c r="FW36" i="18"/>
  <c r="FW35" i="18"/>
  <c r="FW34" i="18"/>
  <c r="FW33" i="18"/>
  <c r="FW32" i="18"/>
  <c r="FW31" i="18"/>
  <c r="FW30" i="18"/>
  <c r="FW29" i="18"/>
  <c r="FW28" i="18"/>
  <c r="FW27" i="18"/>
  <c r="FW26" i="18"/>
  <c r="FX25" i="18"/>
  <c r="FX117" i="18" s="1"/>
  <c r="FW25" i="18"/>
  <c r="FW24" i="18"/>
  <c r="FW23" i="18"/>
  <c r="FW22" i="18"/>
  <c r="FW21" i="18"/>
  <c r="FW20" i="18"/>
  <c r="FW19" i="18"/>
  <c r="FW18" i="18"/>
  <c r="FW17" i="18"/>
  <c r="FW15" i="18"/>
  <c r="FW13" i="18"/>
  <c r="FW12" i="18"/>
  <c r="FW11" i="18"/>
  <c r="FW10" i="18"/>
  <c r="FW9" i="18"/>
  <c r="FW8" i="18"/>
  <c r="FW7" i="18"/>
  <c r="GJ13" i="18"/>
  <c r="GJ12" i="18"/>
  <c r="GJ11" i="18"/>
  <c r="GJ10" i="18"/>
  <c r="GJ9" i="18"/>
  <c r="GJ8" i="18"/>
  <c r="GJ7" i="18"/>
  <c r="GJ47" i="18"/>
  <c r="GJ46" i="18"/>
  <c r="GJ45" i="18"/>
  <c r="GJ44" i="18"/>
  <c r="GJ43" i="18"/>
  <c r="GJ42" i="18"/>
  <c r="GJ41" i="18"/>
  <c r="GJ40" i="18"/>
  <c r="GJ39" i="18"/>
  <c r="GJ38" i="18"/>
  <c r="GJ37" i="18"/>
  <c r="GJ36" i="18"/>
  <c r="GJ35" i="18"/>
  <c r="GJ34" i="18"/>
  <c r="GJ33" i="18"/>
  <c r="GJ32" i="18"/>
  <c r="GJ31" i="18"/>
  <c r="GJ30" i="18"/>
  <c r="GJ29" i="18"/>
  <c r="GJ28" i="18"/>
  <c r="GJ27" i="18"/>
  <c r="GJ26" i="18"/>
  <c r="GJ25" i="18"/>
  <c r="GJ24" i="18"/>
  <c r="GJ23" i="18"/>
  <c r="GJ22" i="18"/>
  <c r="GJ21" i="18"/>
  <c r="GJ20" i="18"/>
  <c r="GJ19" i="18"/>
  <c r="GJ18" i="18"/>
  <c r="GJ15" i="18"/>
  <c r="GJ17" i="18"/>
  <c r="EI47" i="18"/>
  <c r="DV47" i="18"/>
  <c r="DI47" i="18"/>
  <c r="CV47" i="18"/>
  <c r="DW47" i="18"/>
  <c r="EI46" i="18"/>
  <c r="DV46" i="18"/>
  <c r="DI46" i="18"/>
  <c r="CV46" i="18"/>
  <c r="EX46" i="18"/>
  <c r="EX138" i="18" s="1"/>
  <c r="EI45" i="18"/>
  <c r="DV45" i="18"/>
  <c r="DI45" i="18"/>
  <c r="CV45" i="18"/>
  <c r="EI44" i="18"/>
  <c r="DV44" i="18"/>
  <c r="DI44" i="18"/>
  <c r="CV44" i="18"/>
  <c r="EI43" i="18"/>
  <c r="DV43" i="18"/>
  <c r="DI43" i="18"/>
  <c r="CV43" i="18"/>
  <c r="EI42" i="18"/>
  <c r="DV42" i="18"/>
  <c r="DJ42" i="18"/>
  <c r="DI42" i="18"/>
  <c r="CV42" i="18"/>
  <c r="FK42" i="18"/>
  <c r="EI41" i="18"/>
  <c r="DV41" i="18"/>
  <c r="DI41" i="18"/>
  <c r="CV41" i="18"/>
  <c r="EI40" i="18"/>
  <c r="DV40" i="18"/>
  <c r="DJ40" i="18"/>
  <c r="DI40" i="18"/>
  <c r="CV40" i="18"/>
  <c r="EI39" i="18"/>
  <c r="DV39" i="18"/>
  <c r="DI39" i="18"/>
  <c r="CV39" i="18"/>
  <c r="DW39" i="18"/>
  <c r="EI38" i="18"/>
  <c r="DV38" i="18"/>
  <c r="DI38" i="18"/>
  <c r="CV38" i="18"/>
  <c r="EI37" i="18"/>
  <c r="DV37" i="18"/>
  <c r="DI37" i="18"/>
  <c r="CV37" i="18"/>
  <c r="EX37" i="18"/>
  <c r="EX129" i="18" s="1"/>
  <c r="EI36" i="18"/>
  <c r="DV36" i="18"/>
  <c r="DI36" i="18"/>
  <c r="CV36" i="18"/>
  <c r="EI35" i="18"/>
  <c r="DV35" i="18"/>
  <c r="DI35" i="18"/>
  <c r="CV35" i="18"/>
  <c r="EI34" i="18"/>
  <c r="DV34" i="18"/>
  <c r="DI34" i="18"/>
  <c r="CV34" i="18"/>
  <c r="FK34" i="18"/>
  <c r="EI33" i="18"/>
  <c r="DV33" i="18"/>
  <c r="DI33" i="18"/>
  <c r="CV33" i="18"/>
  <c r="EI32" i="18"/>
  <c r="DV32" i="18"/>
  <c r="DI32" i="18"/>
  <c r="CV32" i="18"/>
  <c r="EI31" i="18"/>
  <c r="DV31" i="18"/>
  <c r="DI31" i="18"/>
  <c r="CV31" i="18"/>
  <c r="EX31" i="18"/>
  <c r="EX77" i="18" s="1"/>
  <c r="EI30" i="18"/>
  <c r="DV30" i="18"/>
  <c r="DI30" i="18"/>
  <c r="CV30" i="18"/>
  <c r="EI29" i="18"/>
  <c r="DV29" i="18"/>
  <c r="DI29" i="18"/>
  <c r="CV29" i="18"/>
  <c r="EI28" i="18"/>
  <c r="DV28" i="18"/>
  <c r="DI28" i="18"/>
  <c r="CV28" i="18"/>
  <c r="EI27" i="18"/>
  <c r="DV27" i="18"/>
  <c r="DI27" i="18"/>
  <c r="CV27" i="18"/>
  <c r="FX27" i="18"/>
  <c r="FX73" i="18" s="1"/>
  <c r="EI26" i="18"/>
  <c r="DV26" i="18"/>
  <c r="DI26" i="18"/>
  <c r="CV26" i="18"/>
  <c r="FK26" i="18"/>
  <c r="EI25" i="18"/>
  <c r="DV25" i="18"/>
  <c r="DI25" i="18"/>
  <c r="CV25" i="18"/>
  <c r="EI24" i="18"/>
  <c r="DV24" i="18"/>
  <c r="DI24" i="18"/>
  <c r="CV24" i="18"/>
  <c r="GK23" i="18"/>
  <c r="GK115" i="18" s="1"/>
  <c r="EI23" i="18"/>
  <c r="DV23" i="18"/>
  <c r="DI23" i="18"/>
  <c r="CV23" i="18"/>
  <c r="EX23" i="18"/>
  <c r="EX69" i="18" s="1"/>
  <c r="EI22" i="18"/>
  <c r="DV22" i="18"/>
  <c r="DI22" i="18"/>
  <c r="CV22" i="18"/>
  <c r="EI21" i="18"/>
  <c r="DV21" i="18"/>
  <c r="DI21" i="18"/>
  <c r="CV21" i="18"/>
  <c r="EI20" i="18"/>
  <c r="DV20" i="18"/>
  <c r="DI20" i="18"/>
  <c r="CV20" i="18"/>
  <c r="EI19" i="18"/>
  <c r="DV19" i="18"/>
  <c r="DI19" i="18"/>
  <c r="CV19" i="18"/>
  <c r="EI18" i="18"/>
  <c r="DV18" i="18"/>
  <c r="DI18" i="18"/>
  <c r="CV18" i="18"/>
  <c r="DW18" i="18"/>
  <c r="EI17" i="18"/>
  <c r="DV17" i="18"/>
  <c r="DI17" i="18"/>
  <c r="CV17" i="18"/>
  <c r="FK17" i="18"/>
  <c r="EI13" i="18"/>
  <c r="DV13" i="18"/>
  <c r="DI13" i="18"/>
  <c r="CV13" i="18"/>
  <c r="EI12" i="18"/>
  <c r="DV12" i="18"/>
  <c r="DI12" i="18"/>
  <c r="CV12" i="18"/>
  <c r="EI11" i="18"/>
  <c r="DV11" i="18"/>
  <c r="DI11" i="18"/>
  <c r="CV11" i="18"/>
  <c r="EI10" i="18"/>
  <c r="DV10" i="18"/>
  <c r="DI10" i="18"/>
  <c r="CV10" i="18"/>
  <c r="EI9" i="18"/>
  <c r="DV9" i="18"/>
  <c r="DI9" i="18"/>
  <c r="CV9" i="18"/>
  <c r="EX9" i="18"/>
  <c r="EX101" i="18" s="1"/>
  <c r="EI8" i="18"/>
  <c r="DV8" i="18"/>
  <c r="DI8" i="18"/>
  <c r="CV8" i="18"/>
  <c r="GK7" i="18"/>
  <c r="EI7" i="18"/>
  <c r="DW7" i="18"/>
  <c r="DV7" i="18"/>
  <c r="DI7" i="18"/>
  <c r="CV7" i="18"/>
  <c r="EX4" i="18"/>
  <c r="EX15" i="18" s="1"/>
  <c r="EN39" i="15"/>
  <c r="EM39" i="15"/>
  <c r="EL39" i="15"/>
  <c r="EK39" i="15"/>
  <c r="EJ39" i="15"/>
  <c r="EI39" i="15"/>
  <c r="EH39" i="15"/>
  <c r="EG39" i="15"/>
  <c r="EF39" i="15"/>
  <c r="EE39" i="15"/>
  <c r="ED39" i="15"/>
  <c r="EC39" i="15"/>
  <c r="EB39" i="15"/>
  <c r="EA39" i="15"/>
  <c r="DZ39" i="15"/>
  <c r="DY39" i="15"/>
  <c r="DX39" i="15"/>
  <c r="DW39" i="15"/>
  <c r="DV39" i="15"/>
  <c r="DU39" i="15"/>
  <c r="DT39" i="15"/>
  <c r="DS39" i="15"/>
  <c r="DR39" i="15"/>
  <c r="DQ39" i="15"/>
  <c r="DP39" i="15"/>
  <c r="DO39" i="15"/>
  <c r="DN39" i="15"/>
  <c r="DM39" i="15"/>
  <c r="DL39" i="15"/>
  <c r="DK39" i="15"/>
  <c r="DJ39" i="15"/>
  <c r="DI39" i="15"/>
  <c r="DH39" i="15"/>
  <c r="DG39" i="15"/>
  <c r="DF39" i="15"/>
  <c r="DE39" i="15"/>
  <c r="DD39" i="15"/>
  <c r="DC39" i="15"/>
  <c r="DB39" i="15"/>
  <c r="DA39" i="15"/>
  <c r="CZ39" i="15"/>
  <c r="CY39" i="15"/>
  <c r="CX39" i="15"/>
  <c r="CW39" i="15"/>
  <c r="CV39" i="15"/>
  <c r="CU39" i="15"/>
  <c r="CT39" i="15"/>
  <c r="CS39" i="15"/>
  <c r="CR39" i="15"/>
  <c r="CQ39" i="15"/>
  <c r="CP39" i="15"/>
  <c r="CO39" i="15"/>
  <c r="CN39" i="15"/>
  <c r="CM39" i="15"/>
  <c r="CL39" i="15"/>
  <c r="CK39" i="15"/>
  <c r="CJ39" i="15"/>
  <c r="CI39" i="15"/>
  <c r="CH39" i="15"/>
  <c r="CG39" i="15"/>
  <c r="CF39" i="15"/>
  <c r="CE39" i="15"/>
  <c r="CD39" i="15"/>
  <c r="CC39" i="15"/>
  <c r="CB39" i="15"/>
  <c r="CA39" i="15"/>
  <c r="BZ39" i="15"/>
  <c r="BY39" i="15"/>
  <c r="BX39" i="15"/>
  <c r="BW39" i="15"/>
  <c r="BV39" i="15"/>
  <c r="BU39" i="15"/>
  <c r="BT39" i="15"/>
  <c r="BS39" i="15"/>
  <c r="BR39" i="15"/>
  <c r="BQ39" i="15"/>
  <c r="BP39" i="15"/>
  <c r="BO39" i="15"/>
  <c r="BN39" i="15"/>
  <c r="BM39" i="15"/>
  <c r="BL39" i="15"/>
  <c r="BK39" i="15"/>
  <c r="BJ39" i="15"/>
  <c r="BI39" i="15"/>
  <c r="BH39" i="15"/>
  <c r="BG39" i="15"/>
  <c r="BF39" i="15"/>
  <c r="BE39" i="15"/>
  <c r="BD39" i="15"/>
  <c r="BC39" i="15"/>
  <c r="BB39" i="15"/>
  <c r="BA39" i="15"/>
  <c r="AZ39" i="15"/>
  <c r="AY39" i="15"/>
  <c r="AX39" i="15"/>
  <c r="AW39" i="15"/>
  <c r="AV39" i="15"/>
  <c r="AU39" i="15"/>
  <c r="AT39" i="15"/>
  <c r="AS39" i="15"/>
  <c r="AR39" i="15"/>
  <c r="AQ39" i="15"/>
  <c r="AP39" i="15"/>
  <c r="AO39" i="15"/>
  <c r="AN39" i="15"/>
  <c r="AM39" i="15"/>
  <c r="AL39" i="15"/>
  <c r="AK39" i="15"/>
  <c r="AJ39" i="15"/>
  <c r="AI39" i="15"/>
  <c r="AH39" i="15"/>
  <c r="AG39" i="15"/>
  <c r="AF39" i="15"/>
  <c r="AE39" i="15"/>
  <c r="AD39" i="15"/>
  <c r="AC39" i="15"/>
  <c r="AB39" i="15"/>
  <c r="AA39" i="15"/>
  <c r="Z39" i="15"/>
  <c r="Y39" i="15"/>
  <c r="X39" i="15"/>
  <c r="W39" i="15"/>
  <c r="V39" i="15"/>
  <c r="U39" i="15"/>
  <c r="T39" i="15"/>
  <c r="S39" i="15"/>
  <c r="R39" i="15"/>
  <c r="Q39" i="15"/>
  <c r="P39" i="15"/>
  <c r="O39" i="15"/>
  <c r="N39" i="15"/>
  <c r="M39" i="15"/>
  <c r="L39" i="15"/>
  <c r="K39" i="15"/>
  <c r="J39" i="15"/>
  <c r="I39" i="15"/>
  <c r="H39" i="15"/>
  <c r="G39" i="15"/>
  <c r="F39" i="15"/>
  <c r="E39" i="15"/>
  <c r="B39" i="15"/>
  <c r="D39" i="15" s="1"/>
  <c r="A39" i="15"/>
  <c r="B37" i="15"/>
  <c r="A37" i="15"/>
  <c r="B36" i="15"/>
  <c r="A36" i="15"/>
  <c r="B35" i="15"/>
  <c r="A35" i="15"/>
  <c r="B34" i="15"/>
  <c r="A34" i="15"/>
  <c r="B33" i="15"/>
  <c r="A33" i="15"/>
  <c r="B32" i="15"/>
  <c r="A32" i="15"/>
  <c r="B31" i="15"/>
  <c r="A31" i="15"/>
  <c r="B30" i="15"/>
  <c r="A30" i="15"/>
  <c r="B29" i="15"/>
  <c r="A29" i="15"/>
  <c r="B28" i="15"/>
  <c r="A28" i="15"/>
  <c r="B27" i="15"/>
  <c r="A27" i="15"/>
  <c r="B26" i="15"/>
  <c r="A26" i="15"/>
  <c r="B25" i="15"/>
  <c r="A25" i="15"/>
  <c r="B24" i="15"/>
  <c r="A24" i="15"/>
  <c r="B23" i="15"/>
  <c r="A23" i="15"/>
  <c r="B22" i="15"/>
  <c r="A22" i="15"/>
  <c r="B21" i="15"/>
  <c r="A21" i="15"/>
  <c r="B20" i="15"/>
  <c r="A20" i="15"/>
  <c r="B19" i="15"/>
  <c r="A19" i="15"/>
  <c r="B18" i="15"/>
  <c r="A18" i="15"/>
  <c r="B17" i="15"/>
  <c r="A17" i="15"/>
  <c r="B16" i="15"/>
  <c r="A16" i="15"/>
  <c r="B15" i="15"/>
  <c r="A15" i="15"/>
  <c r="B14" i="15"/>
  <c r="A14" i="15"/>
  <c r="B13" i="15"/>
  <c r="A13" i="15"/>
  <c r="B12" i="15"/>
  <c r="A12" i="15"/>
  <c r="B11" i="15"/>
  <c r="A11" i="15"/>
  <c r="B10" i="15"/>
  <c r="A10" i="15"/>
  <c r="B9" i="15"/>
  <c r="A9" i="15"/>
  <c r="B8" i="15"/>
  <c r="A8" i="15"/>
  <c r="B7" i="15"/>
  <c r="A7" i="15"/>
  <c r="EN3" i="15"/>
  <c r="EM3" i="15"/>
  <c r="EL3" i="15"/>
  <c r="EK3" i="15"/>
  <c r="EJ3" i="15"/>
  <c r="EI3" i="15"/>
  <c r="EH3" i="15"/>
  <c r="EG3" i="15"/>
  <c r="EF3" i="15"/>
  <c r="EE3" i="15"/>
  <c r="ED3" i="15"/>
  <c r="EC3" i="15"/>
  <c r="EB3" i="15"/>
  <c r="EA3" i="15"/>
  <c r="DZ3" i="15"/>
  <c r="DY3" i="15"/>
  <c r="DX3" i="15"/>
  <c r="DW3" i="15"/>
  <c r="DV3" i="15"/>
  <c r="DU3" i="15"/>
  <c r="DT3" i="15"/>
  <c r="DS3" i="15"/>
  <c r="DR3" i="15"/>
  <c r="DQ3" i="15"/>
  <c r="DP3" i="15"/>
  <c r="DO3" i="15"/>
  <c r="DN3" i="15"/>
  <c r="DM3" i="15"/>
  <c r="DL3" i="15"/>
  <c r="DK3" i="15"/>
  <c r="DJ3" i="15"/>
  <c r="DI3" i="15"/>
  <c r="DH3" i="15"/>
  <c r="DG3" i="15"/>
  <c r="DF3" i="15"/>
  <c r="DE3" i="15"/>
  <c r="DD3" i="15"/>
  <c r="DC3" i="15"/>
  <c r="DB3" i="15"/>
  <c r="DA3" i="15"/>
  <c r="CZ3" i="15"/>
  <c r="CY3" i="15"/>
  <c r="CX3" i="15"/>
  <c r="CW3" i="15"/>
  <c r="CV3" i="15"/>
  <c r="CU3" i="15"/>
  <c r="CT3" i="15"/>
  <c r="CS3" i="15"/>
  <c r="CR3" i="15"/>
  <c r="CQ3" i="15"/>
  <c r="CP3" i="15"/>
  <c r="CO3" i="15"/>
  <c r="CN3" i="15"/>
  <c r="CM3" i="15"/>
  <c r="CL3" i="15"/>
  <c r="CK3" i="15"/>
  <c r="CJ3" i="15"/>
  <c r="CI3" i="15"/>
  <c r="CH3" i="15"/>
  <c r="CG3" i="15"/>
  <c r="CF3" i="15"/>
  <c r="CE3" i="15"/>
  <c r="CD3" i="15"/>
  <c r="CC3" i="15"/>
  <c r="CB3" i="15"/>
  <c r="CA3" i="15"/>
  <c r="BZ3" i="15"/>
  <c r="BY3" i="15"/>
  <c r="BX3" i="15"/>
  <c r="BW3" i="15"/>
  <c r="BV3" i="15"/>
  <c r="BU3" i="15"/>
  <c r="BT3" i="15"/>
  <c r="BS3" i="15"/>
  <c r="BR3" i="15"/>
  <c r="BQ3" i="15"/>
  <c r="BP3" i="15"/>
  <c r="BO3" i="15"/>
  <c r="BN3" i="15"/>
  <c r="BM3" i="15"/>
  <c r="BL3" i="15"/>
  <c r="BK3" i="15"/>
  <c r="BJ3" i="15"/>
  <c r="BI3" i="15"/>
  <c r="BH3" i="15"/>
  <c r="BG3" i="15"/>
  <c r="BF3" i="15"/>
  <c r="BE3" i="15"/>
  <c r="BD3" i="15"/>
  <c r="BC3" i="15"/>
  <c r="BB3" i="15"/>
  <c r="BA3" i="15"/>
  <c r="AZ3" i="15"/>
  <c r="AY3" i="15"/>
  <c r="AX3" i="15"/>
  <c r="AW3" i="15"/>
  <c r="AV3" i="15"/>
  <c r="AU3" i="15"/>
  <c r="AT3" i="15"/>
  <c r="AS3" i="15"/>
  <c r="AR3" i="15"/>
  <c r="AQ3" i="15"/>
  <c r="AP3" i="15"/>
  <c r="AO3" i="15"/>
  <c r="AN3" i="15"/>
  <c r="AM3" i="15"/>
  <c r="AL3" i="15"/>
  <c r="AK3" i="15"/>
  <c r="AJ3" i="15"/>
  <c r="AI3" i="15"/>
  <c r="AH3" i="15"/>
  <c r="AG3" i="15"/>
  <c r="AF3" i="15"/>
  <c r="AE3" i="15"/>
  <c r="AD3" i="15"/>
  <c r="AC3" i="15"/>
  <c r="AB3" i="15"/>
  <c r="AA3" i="15"/>
  <c r="Z3" i="15"/>
  <c r="Y3" i="15"/>
  <c r="X3" i="15"/>
  <c r="W3" i="15"/>
  <c r="V3" i="15"/>
  <c r="U3" i="15"/>
  <c r="T3" i="15"/>
  <c r="S3" i="15"/>
  <c r="R3" i="15"/>
  <c r="Q3" i="15"/>
  <c r="P3" i="15"/>
  <c r="O3" i="15"/>
  <c r="N3" i="15"/>
  <c r="M3" i="15"/>
  <c r="L3" i="15"/>
  <c r="K3" i="15"/>
  <c r="J3" i="15"/>
  <c r="I3" i="15"/>
  <c r="H3" i="15"/>
  <c r="G3" i="15"/>
  <c r="F3" i="15"/>
  <c r="E3" i="15"/>
  <c r="EN39" i="14"/>
  <c r="EM39" i="14"/>
  <c r="EL39" i="14"/>
  <c r="EK39" i="14"/>
  <c r="EJ39" i="14"/>
  <c r="EI39" i="14"/>
  <c r="EH39" i="14"/>
  <c r="EG39" i="14"/>
  <c r="EF39" i="14"/>
  <c r="EE39" i="14"/>
  <c r="ED39" i="14"/>
  <c r="EC39" i="14"/>
  <c r="EB39" i="14"/>
  <c r="EA39" i="14"/>
  <c r="DZ39" i="14"/>
  <c r="DY39" i="14"/>
  <c r="DX39" i="14"/>
  <c r="DW39" i="14"/>
  <c r="DV39" i="14"/>
  <c r="DU39" i="14"/>
  <c r="DT39" i="14"/>
  <c r="DS39" i="14"/>
  <c r="DR39" i="14"/>
  <c r="DQ39" i="14"/>
  <c r="DP39" i="14"/>
  <c r="DO39" i="14"/>
  <c r="DN39" i="14"/>
  <c r="DM39" i="14"/>
  <c r="DL39" i="14"/>
  <c r="DK39" i="14"/>
  <c r="DJ39" i="14"/>
  <c r="DI39" i="14"/>
  <c r="DH39" i="14"/>
  <c r="DG39" i="14"/>
  <c r="DF39" i="14"/>
  <c r="DE39" i="14"/>
  <c r="DD39" i="14"/>
  <c r="DC39" i="14"/>
  <c r="DB39" i="14"/>
  <c r="DA39" i="14"/>
  <c r="CZ39" i="14"/>
  <c r="CY39" i="14"/>
  <c r="CX39" i="14"/>
  <c r="CW39" i="14"/>
  <c r="CV39" i="14"/>
  <c r="CU39" i="14"/>
  <c r="CT39" i="14"/>
  <c r="CS39" i="14"/>
  <c r="CR39" i="14"/>
  <c r="CQ39" i="14"/>
  <c r="CP39" i="14"/>
  <c r="CO39" i="14"/>
  <c r="CN39" i="14"/>
  <c r="CM39" i="14"/>
  <c r="CL39" i="14"/>
  <c r="CK39" i="14"/>
  <c r="CJ39" i="14"/>
  <c r="CI39" i="14"/>
  <c r="CH39" i="14"/>
  <c r="CG39" i="14"/>
  <c r="CF39" i="14"/>
  <c r="CE39" i="14"/>
  <c r="CD39" i="14"/>
  <c r="CC39" i="14"/>
  <c r="CB39" i="14"/>
  <c r="CA39" i="14"/>
  <c r="BZ39" i="14"/>
  <c r="BY39" i="14"/>
  <c r="BX39" i="14"/>
  <c r="BW39" i="14"/>
  <c r="BV39" i="14"/>
  <c r="BU39" i="14"/>
  <c r="BT39" i="14"/>
  <c r="BS39" i="14"/>
  <c r="BR39" i="14"/>
  <c r="BQ39" i="14"/>
  <c r="BP39" i="14"/>
  <c r="BO39" i="14"/>
  <c r="BN39" i="14"/>
  <c r="BM39" i="14"/>
  <c r="BL39" i="14"/>
  <c r="BK39" i="14"/>
  <c r="BJ39" i="14"/>
  <c r="BI39" i="14"/>
  <c r="BH39" i="14"/>
  <c r="BG39" i="14"/>
  <c r="BF39" i="14"/>
  <c r="BE39" i="14"/>
  <c r="BD39" i="14"/>
  <c r="BC39" i="14"/>
  <c r="BB39" i="14"/>
  <c r="BA39" i="14"/>
  <c r="AZ39" i="14"/>
  <c r="AY39" i="14"/>
  <c r="AX39" i="14"/>
  <c r="AW39" i="14"/>
  <c r="AV39" i="14"/>
  <c r="AU39" i="14"/>
  <c r="AT39" i="14"/>
  <c r="AS39" i="14"/>
  <c r="AR39" i="14"/>
  <c r="AQ39" i="14"/>
  <c r="AP39" i="14"/>
  <c r="AO39" i="14"/>
  <c r="AN39" i="14"/>
  <c r="AM39" i="14"/>
  <c r="AL39" i="14"/>
  <c r="AK39" i="14"/>
  <c r="AJ39" i="14"/>
  <c r="AI39" i="14"/>
  <c r="AH39" i="14"/>
  <c r="AG39" i="14"/>
  <c r="AF39" i="14"/>
  <c r="AE39" i="14"/>
  <c r="AD39" i="14"/>
  <c r="AC39" i="14"/>
  <c r="AB39" i="14"/>
  <c r="AA39" i="14"/>
  <c r="Z39" i="14"/>
  <c r="Y39" i="14"/>
  <c r="X39" i="14"/>
  <c r="W39" i="14"/>
  <c r="V39" i="14"/>
  <c r="U39" i="14"/>
  <c r="T39" i="14"/>
  <c r="S39" i="14"/>
  <c r="R39" i="14"/>
  <c r="Q39" i="14"/>
  <c r="P39" i="14"/>
  <c r="O39" i="14"/>
  <c r="N39" i="14"/>
  <c r="M39" i="14"/>
  <c r="L39" i="14"/>
  <c r="K39" i="14"/>
  <c r="J39" i="14"/>
  <c r="I39" i="14"/>
  <c r="H39" i="14"/>
  <c r="G39" i="14"/>
  <c r="F39" i="14"/>
  <c r="E39" i="14"/>
  <c r="B39" i="14"/>
  <c r="D39" i="14" s="1"/>
  <c r="A39" i="14"/>
  <c r="B37" i="14"/>
  <c r="A37" i="14"/>
  <c r="B36" i="14"/>
  <c r="A36" i="14"/>
  <c r="B35" i="14"/>
  <c r="A35" i="1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EN3" i="14"/>
  <c r="EM3" i="14"/>
  <c r="EL3" i="14"/>
  <c r="EK3" i="14"/>
  <c r="EJ3" i="14"/>
  <c r="EI3" i="14"/>
  <c r="EH3" i="14"/>
  <c r="EG3" i="14"/>
  <c r="EF3" i="14"/>
  <c r="EE3" i="14"/>
  <c r="ED3" i="14"/>
  <c r="EC3" i="14"/>
  <c r="EB3" i="14"/>
  <c r="EA3" i="14"/>
  <c r="DZ3" i="14"/>
  <c r="DY3" i="14"/>
  <c r="DX3" i="14"/>
  <c r="DW3" i="14"/>
  <c r="DV3" i="14"/>
  <c r="DU3" i="14"/>
  <c r="DT3" i="14"/>
  <c r="DS3" i="14"/>
  <c r="DR3" i="14"/>
  <c r="DQ3" i="14"/>
  <c r="DP3" i="14"/>
  <c r="DO3" i="14"/>
  <c r="DN3" i="14"/>
  <c r="DM3" i="14"/>
  <c r="DL3" i="14"/>
  <c r="DK3" i="14"/>
  <c r="DJ3" i="14"/>
  <c r="DI3" i="14"/>
  <c r="DH3" i="14"/>
  <c r="DG3" i="14"/>
  <c r="DF3" i="14"/>
  <c r="DE3" i="14"/>
  <c r="DD3" i="14"/>
  <c r="DC3" i="14"/>
  <c r="DB3" i="14"/>
  <c r="DA3" i="14"/>
  <c r="CZ3" i="14"/>
  <c r="CY3" i="14"/>
  <c r="CX3" i="14"/>
  <c r="CW3" i="14"/>
  <c r="CV3" i="14"/>
  <c r="CU3" i="14"/>
  <c r="CT3" i="14"/>
  <c r="CS3" i="14"/>
  <c r="CR3" i="14"/>
  <c r="CQ3" i="14"/>
  <c r="CP3" i="14"/>
  <c r="CO3" i="14"/>
  <c r="CN3" i="14"/>
  <c r="CM3" i="14"/>
  <c r="CL3" i="14"/>
  <c r="CK3" i="14"/>
  <c r="CJ3" i="14"/>
  <c r="CI3" i="14"/>
  <c r="CH3" i="14"/>
  <c r="CG3" i="14"/>
  <c r="CF3" i="14"/>
  <c r="CE3" i="14"/>
  <c r="CD3" i="14"/>
  <c r="CC3" i="14"/>
  <c r="CB3" i="14"/>
  <c r="CA3" i="14"/>
  <c r="BZ3" i="14"/>
  <c r="BY3" i="14"/>
  <c r="BX3" i="14"/>
  <c r="BW3" i="14"/>
  <c r="BV3" i="14"/>
  <c r="BU3" i="14"/>
  <c r="BT3" i="14"/>
  <c r="BS3" i="14"/>
  <c r="BR3" i="14"/>
  <c r="BQ3" i="14"/>
  <c r="BP3" i="14"/>
  <c r="BO3" i="14"/>
  <c r="BN3" i="14"/>
  <c r="BM3" i="14"/>
  <c r="BL3" i="14"/>
  <c r="BK3" i="14"/>
  <c r="BJ3" i="14"/>
  <c r="BI3" i="14"/>
  <c r="BH3" i="14"/>
  <c r="BG3" i="14"/>
  <c r="BF3" i="14"/>
  <c r="BE3" i="14"/>
  <c r="BD3" i="14"/>
  <c r="BC3" i="14"/>
  <c r="BB3" i="14"/>
  <c r="BA3" i="14"/>
  <c r="AZ3" i="14"/>
  <c r="AY3" i="14"/>
  <c r="AX3" i="14"/>
  <c r="AW3" i="14"/>
  <c r="AV3" i="14"/>
  <c r="AU3" i="14"/>
  <c r="AT3" i="14"/>
  <c r="AS3" i="14"/>
  <c r="AR3" i="14"/>
  <c r="AQ3" i="14"/>
  <c r="AP3" i="14"/>
  <c r="AO3" i="14"/>
  <c r="AN3" i="14"/>
  <c r="AM3" i="14"/>
  <c r="AL3" i="14"/>
  <c r="AK3" i="14"/>
  <c r="AJ3" i="14"/>
  <c r="AI3" i="14"/>
  <c r="AH3" i="14"/>
  <c r="AG3" i="14"/>
  <c r="AF3" i="14"/>
  <c r="AE3" i="14"/>
  <c r="AD3" i="14"/>
  <c r="AC3" i="14"/>
  <c r="AB3" i="14"/>
  <c r="AA3" i="14"/>
  <c r="Z3" i="14"/>
  <c r="Y3" i="14"/>
  <c r="X3" i="14"/>
  <c r="W3" i="14"/>
  <c r="V3" i="14"/>
  <c r="U3" i="14"/>
  <c r="T3" i="14"/>
  <c r="S3" i="14"/>
  <c r="R3" i="14"/>
  <c r="Q3" i="14"/>
  <c r="P3" i="14"/>
  <c r="O3" i="14"/>
  <c r="N3" i="14"/>
  <c r="M3" i="14"/>
  <c r="L3" i="14"/>
  <c r="K3" i="14"/>
  <c r="J3" i="14"/>
  <c r="I3" i="14"/>
  <c r="H3" i="14"/>
  <c r="G3" i="14"/>
  <c r="F3" i="14"/>
  <c r="E3" i="14"/>
  <c r="EN39" i="13"/>
  <c r="EM39" i="13"/>
  <c r="EL39" i="13"/>
  <c r="EK39" i="13"/>
  <c r="EJ39" i="13"/>
  <c r="EI39" i="13"/>
  <c r="EH39" i="13"/>
  <c r="EG39" i="13"/>
  <c r="EF39" i="13"/>
  <c r="EE39" i="13"/>
  <c r="ED39" i="13"/>
  <c r="EC39" i="13"/>
  <c r="EB39" i="13"/>
  <c r="EA39" i="13"/>
  <c r="DZ39" i="13"/>
  <c r="DY39" i="13"/>
  <c r="DX39" i="13"/>
  <c r="DW39" i="13"/>
  <c r="DV39" i="13"/>
  <c r="DU39" i="13"/>
  <c r="DT39" i="13"/>
  <c r="DS39" i="13"/>
  <c r="DR39" i="13"/>
  <c r="DQ39" i="13"/>
  <c r="DP39" i="13"/>
  <c r="DO39" i="13"/>
  <c r="DN39" i="13"/>
  <c r="DM39" i="13"/>
  <c r="DL39" i="13"/>
  <c r="DK39" i="13"/>
  <c r="DJ39" i="13"/>
  <c r="DI39" i="13"/>
  <c r="DH39" i="13"/>
  <c r="DG39" i="13"/>
  <c r="DF39" i="13"/>
  <c r="DE39" i="13"/>
  <c r="DD39" i="13"/>
  <c r="DC39" i="13"/>
  <c r="DB39" i="13"/>
  <c r="DA39" i="13"/>
  <c r="CZ39" i="13"/>
  <c r="CY39" i="13"/>
  <c r="CX39" i="13"/>
  <c r="CW39" i="13"/>
  <c r="CV39" i="13"/>
  <c r="CU39" i="13"/>
  <c r="CT39" i="13"/>
  <c r="CS39" i="13"/>
  <c r="CR39" i="13"/>
  <c r="CQ39" i="13"/>
  <c r="CP39" i="13"/>
  <c r="CO39" i="13"/>
  <c r="CN39" i="13"/>
  <c r="CM39" i="13"/>
  <c r="CL39" i="13"/>
  <c r="CK39" i="13"/>
  <c r="CJ39" i="13"/>
  <c r="CI39" i="13"/>
  <c r="CH39" i="13"/>
  <c r="CG39" i="13"/>
  <c r="CF39" i="13"/>
  <c r="CE39" i="13"/>
  <c r="CD39" i="13"/>
  <c r="CC39" i="13"/>
  <c r="CB39" i="13"/>
  <c r="CA39" i="13"/>
  <c r="BZ39" i="13"/>
  <c r="BY39" i="13"/>
  <c r="BX39" i="13"/>
  <c r="BW39" i="13"/>
  <c r="BV39" i="13"/>
  <c r="BU39" i="13"/>
  <c r="BT39" i="13"/>
  <c r="BS39" i="13"/>
  <c r="BR39" i="13"/>
  <c r="BQ39" i="13"/>
  <c r="BP39" i="13"/>
  <c r="BO39" i="13"/>
  <c r="BN39" i="13"/>
  <c r="BM39" i="13"/>
  <c r="BL39" i="13"/>
  <c r="BK39" i="13"/>
  <c r="BJ39" i="13"/>
  <c r="BI39" i="13"/>
  <c r="BH39" i="13"/>
  <c r="BG39" i="13"/>
  <c r="BF39" i="13"/>
  <c r="BE39" i="13"/>
  <c r="BD39" i="13"/>
  <c r="BC39" i="13"/>
  <c r="BB39"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B39" i="13"/>
  <c r="D39" i="13" s="1"/>
  <c r="A39"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B24"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EN3" i="13"/>
  <c r="EM3" i="13"/>
  <c r="EL3" i="13"/>
  <c r="EK3" i="13"/>
  <c r="EJ3" i="13"/>
  <c r="EI3" i="13"/>
  <c r="EH3" i="13"/>
  <c r="EG3" i="13"/>
  <c r="EF3" i="13"/>
  <c r="EE3" i="13"/>
  <c r="ED3" i="13"/>
  <c r="EC3" i="13"/>
  <c r="EB3" i="13"/>
  <c r="EA3" i="13"/>
  <c r="DZ3" i="13"/>
  <c r="DY3" i="13"/>
  <c r="DX3" i="13"/>
  <c r="DW3" i="13"/>
  <c r="DV3" i="13"/>
  <c r="DU3" i="13"/>
  <c r="DT3" i="13"/>
  <c r="DS3" i="13"/>
  <c r="DR3" i="13"/>
  <c r="DQ3" i="13"/>
  <c r="DP3" i="13"/>
  <c r="DO3" i="13"/>
  <c r="DN3" i="13"/>
  <c r="DM3" i="13"/>
  <c r="DL3" i="13"/>
  <c r="DK3" i="13"/>
  <c r="DJ3" i="13"/>
  <c r="DI3" i="13"/>
  <c r="DH3" i="13"/>
  <c r="DG3" i="13"/>
  <c r="DF3" i="13"/>
  <c r="DE3" i="13"/>
  <c r="DD3" i="13"/>
  <c r="DC3" i="13"/>
  <c r="DB3" i="13"/>
  <c r="DA3" i="13"/>
  <c r="CZ3" i="13"/>
  <c r="CY3" i="13"/>
  <c r="CX3" i="13"/>
  <c r="CW3" i="13"/>
  <c r="CV3" i="13"/>
  <c r="CU3" i="13"/>
  <c r="CT3" i="13"/>
  <c r="CS3" i="13"/>
  <c r="CR3" i="13"/>
  <c r="CQ3" i="13"/>
  <c r="CP3" i="13"/>
  <c r="CO3" i="13"/>
  <c r="CN3" i="13"/>
  <c r="CM3" i="13"/>
  <c r="CL3" i="13"/>
  <c r="CK3" i="13"/>
  <c r="CJ3" i="13"/>
  <c r="CI3" i="13"/>
  <c r="CH3" i="13"/>
  <c r="CG3" i="13"/>
  <c r="CF3" i="13"/>
  <c r="CE3" i="13"/>
  <c r="CD3" i="13"/>
  <c r="CC3" i="13"/>
  <c r="CB3" i="13"/>
  <c r="CA3" i="13"/>
  <c r="BZ3" i="13"/>
  <c r="BY3" i="13"/>
  <c r="BX3" i="13"/>
  <c r="BW3" i="13"/>
  <c r="BV3" i="13"/>
  <c r="BU3" i="13"/>
  <c r="BT3" i="13"/>
  <c r="BS3" i="13"/>
  <c r="BR3" i="13"/>
  <c r="BQ3" i="13"/>
  <c r="BP3" i="13"/>
  <c r="BO3" i="13"/>
  <c r="BN3" i="13"/>
  <c r="BM3" i="13"/>
  <c r="BL3" i="13"/>
  <c r="BK3" i="13"/>
  <c r="BJ3" i="13"/>
  <c r="BI3" i="13"/>
  <c r="BH3" i="13"/>
  <c r="BG3" i="13"/>
  <c r="BF3" i="13"/>
  <c r="BE3" i="13"/>
  <c r="BD3" i="13"/>
  <c r="BC3" i="13"/>
  <c r="BB3" i="13"/>
  <c r="BA3" i="13"/>
  <c r="AZ3" i="13"/>
  <c r="AY3" i="13"/>
  <c r="AX3" i="13"/>
  <c r="AW3" i="13"/>
  <c r="AV3" i="13"/>
  <c r="AU3" i="13"/>
  <c r="AT3" i="13"/>
  <c r="AS3" i="13"/>
  <c r="AR3" i="13"/>
  <c r="AQ3" i="13"/>
  <c r="AP3" i="13"/>
  <c r="AO3" i="13"/>
  <c r="AN3" i="13"/>
  <c r="AM3" i="13"/>
  <c r="AL3" i="13"/>
  <c r="AK3" i="13"/>
  <c r="AJ3" i="13"/>
  <c r="AI3" i="13"/>
  <c r="AH3" i="13"/>
  <c r="AG3" i="13"/>
  <c r="AF3" i="13"/>
  <c r="AE3" i="13"/>
  <c r="AD3" i="13"/>
  <c r="AC3" i="13"/>
  <c r="AB3" i="13"/>
  <c r="AA3" i="13"/>
  <c r="Z3" i="13"/>
  <c r="Y3" i="13"/>
  <c r="X3" i="13"/>
  <c r="W3" i="13"/>
  <c r="V3" i="13"/>
  <c r="U3" i="13"/>
  <c r="T3" i="13"/>
  <c r="S3" i="13"/>
  <c r="R3" i="13"/>
  <c r="Q3" i="13"/>
  <c r="P3" i="13"/>
  <c r="O3" i="13"/>
  <c r="N3" i="13"/>
  <c r="M3" i="13"/>
  <c r="L3" i="13"/>
  <c r="K3" i="13"/>
  <c r="J3" i="13"/>
  <c r="I3" i="13"/>
  <c r="H3" i="13"/>
  <c r="G3" i="13"/>
  <c r="F3" i="13"/>
  <c r="E3" i="13"/>
  <c r="EN39" i="12"/>
  <c r="EM39" i="12"/>
  <c r="EL39" i="12"/>
  <c r="EK39" i="12"/>
  <c r="EJ39" i="12"/>
  <c r="EI39" i="12"/>
  <c r="EH39" i="12"/>
  <c r="EG39" i="12"/>
  <c r="EF39" i="12"/>
  <c r="EE39" i="12"/>
  <c r="ED39" i="12"/>
  <c r="EC39" i="12"/>
  <c r="EB39" i="12"/>
  <c r="EA39" i="12"/>
  <c r="DZ39" i="12"/>
  <c r="DY39" i="12"/>
  <c r="DX39" i="12"/>
  <c r="DW39" i="12"/>
  <c r="DV39" i="12"/>
  <c r="DU39" i="12"/>
  <c r="DT39" i="12"/>
  <c r="DS39" i="12"/>
  <c r="DR39" i="12"/>
  <c r="DQ39" i="12"/>
  <c r="DP39" i="12"/>
  <c r="DO39" i="12"/>
  <c r="DN39" i="12"/>
  <c r="DM39" i="12"/>
  <c r="DL39" i="12"/>
  <c r="DK39" i="12"/>
  <c r="DJ39" i="12"/>
  <c r="DI39" i="12"/>
  <c r="DH39" i="12"/>
  <c r="DG39" i="12"/>
  <c r="DF39" i="12"/>
  <c r="DE39" i="12"/>
  <c r="DD39" i="12"/>
  <c r="DC39" i="12"/>
  <c r="DB39" i="12"/>
  <c r="DA39" i="12"/>
  <c r="CZ39" i="12"/>
  <c r="CY39" i="12"/>
  <c r="CX39" i="12"/>
  <c r="CW39" i="12"/>
  <c r="CV39" i="12"/>
  <c r="CU39" i="12"/>
  <c r="CT39" i="12"/>
  <c r="CS39" i="12"/>
  <c r="CR39" i="12"/>
  <c r="CQ39" i="12"/>
  <c r="CP39" i="12"/>
  <c r="CO39" i="12"/>
  <c r="CN39" i="12"/>
  <c r="CM39" i="12"/>
  <c r="CL39" i="12"/>
  <c r="CK39" i="12"/>
  <c r="CJ39" i="12"/>
  <c r="CI39" i="12"/>
  <c r="CH39" i="12"/>
  <c r="CG39" i="12"/>
  <c r="CF39" i="12"/>
  <c r="CE39" i="12"/>
  <c r="CD39" i="12"/>
  <c r="CC39" i="12"/>
  <c r="CB39" i="12"/>
  <c r="CA39" i="12"/>
  <c r="BZ39" i="12"/>
  <c r="BY39" i="12"/>
  <c r="BX39" i="12"/>
  <c r="BW39" i="12"/>
  <c r="BV39" i="12"/>
  <c r="BU39" i="12"/>
  <c r="BT39" i="12"/>
  <c r="BS39" i="12"/>
  <c r="BR39" i="12"/>
  <c r="BQ39" i="12"/>
  <c r="BP39" i="12"/>
  <c r="BO39" i="12"/>
  <c r="BN39" i="12"/>
  <c r="BM39" i="12"/>
  <c r="BL39" i="12"/>
  <c r="BK39" i="12"/>
  <c r="BJ39" i="12"/>
  <c r="BI39" i="12"/>
  <c r="BH39" i="12"/>
  <c r="BG39" i="12"/>
  <c r="BF39" i="12"/>
  <c r="BE39" i="12"/>
  <c r="BD39" i="12"/>
  <c r="BC39" i="12"/>
  <c r="BB39" i="12"/>
  <c r="BA39" i="12"/>
  <c r="AZ39" i="12"/>
  <c r="AY39" i="12"/>
  <c r="AX39" i="12"/>
  <c r="AW39" i="12"/>
  <c r="AV39" i="12"/>
  <c r="AU39" i="12"/>
  <c r="AT39" i="12"/>
  <c r="AS39" i="12"/>
  <c r="AR39" i="12"/>
  <c r="AQ39" i="12"/>
  <c r="AP39" i="12"/>
  <c r="AO39" i="12"/>
  <c r="AN39" i="12"/>
  <c r="AM39" i="12"/>
  <c r="AL39" i="12"/>
  <c r="AK39" i="12"/>
  <c r="AJ39" i="12"/>
  <c r="AI39" i="12"/>
  <c r="AH39" i="12"/>
  <c r="AG39" i="12"/>
  <c r="AF39" i="12"/>
  <c r="AE39" i="12"/>
  <c r="AD39" i="12"/>
  <c r="AC39" i="12"/>
  <c r="AB39" i="12"/>
  <c r="AA39" i="12"/>
  <c r="Z39" i="12"/>
  <c r="Y39" i="12"/>
  <c r="X39" i="12"/>
  <c r="W39" i="12"/>
  <c r="V39" i="12"/>
  <c r="U39" i="12"/>
  <c r="T39" i="12"/>
  <c r="S39" i="12"/>
  <c r="R39" i="12"/>
  <c r="Q39" i="12"/>
  <c r="P39" i="12"/>
  <c r="O39" i="12"/>
  <c r="N39" i="12"/>
  <c r="M39" i="12"/>
  <c r="L39" i="12"/>
  <c r="K39" i="12"/>
  <c r="J39" i="12"/>
  <c r="I39" i="12"/>
  <c r="H39" i="12"/>
  <c r="G39" i="12"/>
  <c r="F39" i="12"/>
  <c r="E39" i="12"/>
  <c r="B39" i="12"/>
  <c r="D39" i="12" s="1"/>
  <c r="A39"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B18" i="12"/>
  <c r="A18" i="12"/>
  <c r="B17" i="12"/>
  <c r="A17" i="12"/>
  <c r="B16" i="12"/>
  <c r="A16" i="12"/>
  <c r="B15" i="12"/>
  <c r="A15" i="12"/>
  <c r="B14" i="12"/>
  <c r="A14" i="12"/>
  <c r="B13" i="12"/>
  <c r="A13" i="12"/>
  <c r="B12" i="12"/>
  <c r="A12" i="12"/>
  <c r="B11" i="12"/>
  <c r="A11" i="12"/>
  <c r="B10" i="12"/>
  <c r="A10" i="12"/>
  <c r="B9" i="12"/>
  <c r="A9" i="12"/>
  <c r="B8" i="12"/>
  <c r="A8" i="12"/>
  <c r="B7" i="12"/>
  <c r="A7" i="12"/>
  <c r="EN3" i="12"/>
  <c r="EM3" i="12"/>
  <c r="EL3" i="12"/>
  <c r="EK3" i="12"/>
  <c r="EJ3" i="12"/>
  <c r="EI3" i="12"/>
  <c r="EH3" i="12"/>
  <c r="EG3" i="12"/>
  <c r="EF3" i="12"/>
  <c r="EE3" i="12"/>
  <c r="ED3" i="12"/>
  <c r="EC3" i="12"/>
  <c r="EB3" i="12"/>
  <c r="EA3" i="12"/>
  <c r="DZ3" i="12"/>
  <c r="DY3" i="12"/>
  <c r="DX3" i="12"/>
  <c r="DW3" i="12"/>
  <c r="DV3" i="12"/>
  <c r="DU3" i="12"/>
  <c r="DT3" i="12"/>
  <c r="DS3" i="12"/>
  <c r="DR3" i="12"/>
  <c r="DQ3" i="12"/>
  <c r="DP3" i="12"/>
  <c r="DO3" i="12"/>
  <c r="DN3" i="12"/>
  <c r="DM3" i="12"/>
  <c r="DL3" i="12"/>
  <c r="DK3" i="12"/>
  <c r="DJ3" i="12"/>
  <c r="DI3" i="12"/>
  <c r="DH3" i="12"/>
  <c r="DG3" i="12"/>
  <c r="DF3" i="12"/>
  <c r="DE3" i="12"/>
  <c r="DD3" i="12"/>
  <c r="DC3" i="12"/>
  <c r="DB3" i="12"/>
  <c r="DA3" i="12"/>
  <c r="CZ3" i="12"/>
  <c r="CY3" i="12"/>
  <c r="CX3" i="12"/>
  <c r="CW3" i="12"/>
  <c r="CV3" i="12"/>
  <c r="CU3" i="12"/>
  <c r="CT3" i="12"/>
  <c r="CS3" i="12"/>
  <c r="CR3" i="12"/>
  <c r="CQ3" i="12"/>
  <c r="CP3" i="12"/>
  <c r="CO3" i="12"/>
  <c r="CN3" i="12"/>
  <c r="CM3" i="12"/>
  <c r="CL3" i="12"/>
  <c r="CK3" i="12"/>
  <c r="CJ3" i="12"/>
  <c r="CI3" i="12"/>
  <c r="CH3" i="12"/>
  <c r="CG3" i="12"/>
  <c r="CF3" i="12"/>
  <c r="CE3" i="12"/>
  <c r="CD3" i="12"/>
  <c r="CC3" i="12"/>
  <c r="CB3" i="12"/>
  <c r="CA3" i="12"/>
  <c r="BZ3" i="12"/>
  <c r="BY3" i="12"/>
  <c r="BX3" i="12"/>
  <c r="BW3" i="12"/>
  <c r="BV3" i="12"/>
  <c r="BU3" i="12"/>
  <c r="BT3" i="12"/>
  <c r="BS3" i="12"/>
  <c r="BR3" i="12"/>
  <c r="BQ3" i="12"/>
  <c r="BP3" i="12"/>
  <c r="BO3" i="12"/>
  <c r="BN3" i="12"/>
  <c r="BM3" i="12"/>
  <c r="BL3" i="12"/>
  <c r="BK3" i="12"/>
  <c r="BJ3" i="12"/>
  <c r="BI3" i="12"/>
  <c r="BH3" i="12"/>
  <c r="BG3" i="12"/>
  <c r="BF3" i="12"/>
  <c r="BE3" i="12"/>
  <c r="BD3" i="12"/>
  <c r="BC3" i="12"/>
  <c r="BB3" i="12"/>
  <c r="BA3" i="12"/>
  <c r="AZ3" i="12"/>
  <c r="AY3" i="12"/>
  <c r="AX3" i="12"/>
  <c r="AW3" i="12"/>
  <c r="AV3" i="12"/>
  <c r="AU3" i="12"/>
  <c r="AT3" i="12"/>
  <c r="AS3" i="12"/>
  <c r="AR3" i="12"/>
  <c r="AQ3" i="12"/>
  <c r="AP3" i="12"/>
  <c r="AO3" i="12"/>
  <c r="AN3" i="12"/>
  <c r="AM3" i="12"/>
  <c r="AL3" i="12"/>
  <c r="AK3" i="12"/>
  <c r="AJ3" i="12"/>
  <c r="AI3" i="12"/>
  <c r="AH3" i="12"/>
  <c r="AG3" i="12"/>
  <c r="AF3" i="12"/>
  <c r="AE3" i="12"/>
  <c r="AD3" i="12"/>
  <c r="AC3" i="12"/>
  <c r="AB3" i="12"/>
  <c r="AA3" i="12"/>
  <c r="Z3" i="12"/>
  <c r="Y3" i="12"/>
  <c r="X3" i="12"/>
  <c r="W3" i="12"/>
  <c r="V3" i="12"/>
  <c r="U3" i="12"/>
  <c r="T3" i="12"/>
  <c r="S3" i="12"/>
  <c r="R3" i="12"/>
  <c r="Q3" i="12"/>
  <c r="P3" i="12"/>
  <c r="O3" i="12"/>
  <c r="N3" i="12"/>
  <c r="M3" i="12"/>
  <c r="L3" i="12"/>
  <c r="K3" i="12"/>
  <c r="J3" i="12"/>
  <c r="I3" i="12"/>
  <c r="H3" i="12"/>
  <c r="G3" i="12"/>
  <c r="F3" i="12"/>
  <c r="E3" i="12"/>
  <c r="EN39" i="11"/>
  <c r="EM39" i="11"/>
  <c r="EL39" i="11"/>
  <c r="EK39" i="11"/>
  <c r="EJ39" i="11"/>
  <c r="EI39" i="11"/>
  <c r="EH39" i="11"/>
  <c r="EG39" i="11"/>
  <c r="EF39" i="11"/>
  <c r="EE39" i="11"/>
  <c r="ED39" i="11"/>
  <c r="EC39" i="11"/>
  <c r="EB39" i="11"/>
  <c r="EA39" i="11"/>
  <c r="DZ39" i="11"/>
  <c r="DY39" i="11"/>
  <c r="DX39" i="11"/>
  <c r="DW39" i="11"/>
  <c r="DV39" i="11"/>
  <c r="DU39" i="11"/>
  <c r="DT39" i="11"/>
  <c r="DS39" i="11"/>
  <c r="DR39" i="11"/>
  <c r="DQ39" i="11"/>
  <c r="DP39" i="11"/>
  <c r="DO39" i="11"/>
  <c r="DN39" i="11"/>
  <c r="DM39" i="11"/>
  <c r="DL39" i="11"/>
  <c r="DK39" i="11"/>
  <c r="DJ39" i="11"/>
  <c r="DI39" i="11"/>
  <c r="DH39" i="11"/>
  <c r="DG39" i="11"/>
  <c r="DF39" i="11"/>
  <c r="DE39" i="11"/>
  <c r="DD39" i="11"/>
  <c r="DC39" i="11"/>
  <c r="DB39" i="11"/>
  <c r="DA39" i="11"/>
  <c r="CZ39" i="11"/>
  <c r="CY39" i="11"/>
  <c r="CX39" i="11"/>
  <c r="CW39" i="11"/>
  <c r="CV39" i="11"/>
  <c r="CU39" i="11"/>
  <c r="CT39" i="11"/>
  <c r="CS39" i="11"/>
  <c r="CR39" i="11"/>
  <c r="CQ39" i="11"/>
  <c r="CP39" i="11"/>
  <c r="CO39" i="11"/>
  <c r="CN39" i="11"/>
  <c r="CM39" i="11"/>
  <c r="CL39" i="11"/>
  <c r="CK39" i="11"/>
  <c r="CJ39" i="11"/>
  <c r="CI39" i="11"/>
  <c r="CH39" i="11"/>
  <c r="CG39" i="11"/>
  <c r="CF39" i="11"/>
  <c r="CE39" i="11"/>
  <c r="CD39" i="11"/>
  <c r="CC39" i="11"/>
  <c r="CB39" i="11"/>
  <c r="CA39" i="11"/>
  <c r="BZ39" i="11"/>
  <c r="BY39" i="11"/>
  <c r="BX39" i="11"/>
  <c r="BW39" i="11"/>
  <c r="BV39" i="11"/>
  <c r="BU39" i="11"/>
  <c r="BT39" i="11"/>
  <c r="BS39" i="11"/>
  <c r="BR39" i="11"/>
  <c r="BQ39" i="11"/>
  <c r="BP39" i="11"/>
  <c r="BO39" i="11"/>
  <c r="BN39" i="11"/>
  <c r="BM39" i="11"/>
  <c r="BL39" i="11"/>
  <c r="BK39" i="11"/>
  <c r="BJ39" i="11"/>
  <c r="BI39" i="11"/>
  <c r="BH39" i="11"/>
  <c r="BG39" i="11"/>
  <c r="BF39" i="11"/>
  <c r="BE39" i="11"/>
  <c r="BD39" i="11"/>
  <c r="BC39" i="11"/>
  <c r="BB39" i="11"/>
  <c r="BA39" i="11"/>
  <c r="AZ39" i="11"/>
  <c r="AY39" i="11"/>
  <c r="AX39" i="11"/>
  <c r="AW39" i="11"/>
  <c r="AV39" i="11"/>
  <c r="AU39" i="11"/>
  <c r="AT39" i="11"/>
  <c r="AS39" i="11"/>
  <c r="AR39" i="11"/>
  <c r="AQ39" i="11"/>
  <c r="AP39" i="11"/>
  <c r="AO39" i="11"/>
  <c r="AN39" i="11"/>
  <c r="AM39" i="11"/>
  <c r="AL39" i="11"/>
  <c r="AK39" i="11"/>
  <c r="AJ39" i="11"/>
  <c r="AI39" i="11"/>
  <c r="AH39" i="11"/>
  <c r="AG39" i="11"/>
  <c r="AF39" i="11"/>
  <c r="AE39" i="11"/>
  <c r="AD39" i="11"/>
  <c r="AC39" i="11"/>
  <c r="AB39" i="11"/>
  <c r="AA39" i="11"/>
  <c r="Z39" i="11"/>
  <c r="Y39" i="11"/>
  <c r="X39" i="11"/>
  <c r="W39" i="11"/>
  <c r="V39" i="11"/>
  <c r="U39" i="11"/>
  <c r="T39" i="11"/>
  <c r="S39" i="11"/>
  <c r="R39" i="11"/>
  <c r="Q39" i="11"/>
  <c r="P39" i="11"/>
  <c r="O39" i="11"/>
  <c r="N39" i="11"/>
  <c r="M39" i="11"/>
  <c r="L39" i="11"/>
  <c r="K39" i="11"/>
  <c r="J39" i="11"/>
  <c r="I39" i="11"/>
  <c r="H39" i="11"/>
  <c r="G39" i="11"/>
  <c r="F39" i="11"/>
  <c r="E39" i="11"/>
  <c r="B39" i="11"/>
  <c r="D39" i="11" s="1"/>
  <c r="A39"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EN3" i="11"/>
  <c r="EM3" i="11"/>
  <c r="EL3" i="11"/>
  <c r="EK3" i="11"/>
  <c r="EJ3" i="11"/>
  <c r="EI3" i="11"/>
  <c r="EH3" i="11"/>
  <c r="EG3" i="11"/>
  <c r="EF3" i="11"/>
  <c r="EE3" i="11"/>
  <c r="ED3" i="11"/>
  <c r="EC3" i="11"/>
  <c r="EB3" i="11"/>
  <c r="EA3" i="11"/>
  <c r="DZ3" i="11"/>
  <c r="DY3" i="11"/>
  <c r="DX3" i="11"/>
  <c r="DW3" i="11"/>
  <c r="DV3" i="11"/>
  <c r="DU3" i="11"/>
  <c r="DT3" i="11"/>
  <c r="DS3" i="11"/>
  <c r="DR3" i="11"/>
  <c r="DQ3" i="11"/>
  <c r="DP3" i="11"/>
  <c r="DO3" i="11"/>
  <c r="DN3" i="11"/>
  <c r="DM3" i="11"/>
  <c r="DL3" i="11"/>
  <c r="DK3" i="11"/>
  <c r="DJ3" i="11"/>
  <c r="DI3" i="11"/>
  <c r="DH3" i="11"/>
  <c r="DG3" i="11"/>
  <c r="DF3" i="11"/>
  <c r="DE3" i="11"/>
  <c r="DD3" i="11"/>
  <c r="DC3" i="11"/>
  <c r="DB3" i="11"/>
  <c r="DA3" i="11"/>
  <c r="CZ3" i="11"/>
  <c r="CY3" i="11"/>
  <c r="CX3" i="11"/>
  <c r="CW3" i="11"/>
  <c r="CV3" i="11"/>
  <c r="CU3" i="11"/>
  <c r="CT3" i="11"/>
  <c r="CS3" i="11"/>
  <c r="CR3" i="11"/>
  <c r="CQ3" i="11"/>
  <c r="CP3" i="11"/>
  <c r="CO3" i="11"/>
  <c r="CN3" i="11"/>
  <c r="CM3" i="11"/>
  <c r="CL3" i="11"/>
  <c r="CK3" i="11"/>
  <c r="CJ3" i="11"/>
  <c r="CI3" i="11"/>
  <c r="CH3" i="11"/>
  <c r="CG3" i="11"/>
  <c r="CF3" i="11"/>
  <c r="CE3" i="11"/>
  <c r="CD3" i="11"/>
  <c r="CC3" i="11"/>
  <c r="CB3" i="11"/>
  <c r="CA3" i="11"/>
  <c r="BZ3" i="11"/>
  <c r="BY3" i="11"/>
  <c r="BX3" i="11"/>
  <c r="BW3" i="11"/>
  <c r="BV3" i="11"/>
  <c r="BU3" i="11"/>
  <c r="BT3" i="11"/>
  <c r="BS3" i="11"/>
  <c r="BR3" i="11"/>
  <c r="BQ3" i="11"/>
  <c r="BP3" i="11"/>
  <c r="BO3" i="11"/>
  <c r="BN3" i="11"/>
  <c r="BM3" i="11"/>
  <c r="BL3" i="11"/>
  <c r="BK3" i="11"/>
  <c r="BJ3" i="11"/>
  <c r="BI3" i="11"/>
  <c r="BH3" i="11"/>
  <c r="BG3" i="11"/>
  <c r="BF3" i="11"/>
  <c r="BE3" i="11"/>
  <c r="BD3" i="11"/>
  <c r="BC3" i="11"/>
  <c r="BB3" i="11"/>
  <c r="BA3" i="11"/>
  <c r="AZ3" i="11"/>
  <c r="AY3" i="11"/>
  <c r="AX3" i="11"/>
  <c r="AW3" i="11"/>
  <c r="AV3" i="11"/>
  <c r="AU3" i="11"/>
  <c r="AT3" i="11"/>
  <c r="AS3" i="11"/>
  <c r="AR3" i="11"/>
  <c r="AQ3" i="11"/>
  <c r="AP3" i="11"/>
  <c r="AO3" i="11"/>
  <c r="AN3" i="11"/>
  <c r="AM3" i="11"/>
  <c r="AL3" i="11"/>
  <c r="AK3" i="11"/>
  <c r="AJ3" i="11"/>
  <c r="AI3" i="11"/>
  <c r="AH3" i="11"/>
  <c r="AG3" i="11"/>
  <c r="AF3" i="11"/>
  <c r="AE3" i="11"/>
  <c r="AD3" i="11"/>
  <c r="AC3" i="11"/>
  <c r="AB3" i="11"/>
  <c r="AA3" i="11"/>
  <c r="Z3" i="11"/>
  <c r="Y3" i="11"/>
  <c r="X3" i="11"/>
  <c r="W3" i="11"/>
  <c r="V3" i="11"/>
  <c r="U3" i="11"/>
  <c r="T3" i="11"/>
  <c r="S3" i="11"/>
  <c r="R3" i="11"/>
  <c r="Q3" i="11"/>
  <c r="P3" i="11"/>
  <c r="O3" i="11"/>
  <c r="N3" i="11"/>
  <c r="M3" i="11"/>
  <c r="L3" i="11"/>
  <c r="K3" i="11"/>
  <c r="J3" i="11"/>
  <c r="I3" i="11"/>
  <c r="H3" i="11"/>
  <c r="G3" i="11"/>
  <c r="F3" i="11"/>
  <c r="E3" i="11"/>
  <c r="EN39" i="10"/>
  <c r="EM39" i="10"/>
  <c r="EL39" i="10"/>
  <c r="EK39" i="10"/>
  <c r="EJ39" i="10"/>
  <c r="EI39" i="10"/>
  <c r="EH39" i="10"/>
  <c r="EG39" i="10"/>
  <c r="EF39" i="10"/>
  <c r="EE39" i="10"/>
  <c r="ED39" i="10"/>
  <c r="EC39" i="10"/>
  <c r="EB39" i="10"/>
  <c r="EA39" i="10"/>
  <c r="DZ39" i="10"/>
  <c r="DY39" i="10"/>
  <c r="DX39" i="10"/>
  <c r="DW39" i="10"/>
  <c r="DV39" i="10"/>
  <c r="DU39" i="10"/>
  <c r="DT39" i="10"/>
  <c r="DS39" i="10"/>
  <c r="DR39" i="10"/>
  <c r="DQ39" i="10"/>
  <c r="DP39" i="10"/>
  <c r="DO39" i="10"/>
  <c r="DN39" i="10"/>
  <c r="DM39" i="10"/>
  <c r="DL39" i="10"/>
  <c r="DK39" i="10"/>
  <c r="DJ39" i="10"/>
  <c r="DI39" i="10"/>
  <c r="DH39" i="10"/>
  <c r="DG39" i="10"/>
  <c r="DF39" i="10"/>
  <c r="DE39" i="10"/>
  <c r="DD39" i="10"/>
  <c r="DC39" i="10"/>
  <c r="DB39" i="10"/>
  <c r="DA39" i="10"/>
  <c r="CZ39" i="10"/>
  <c r="CY39" i="10"/>
  <c r="CX39" i="10"/>
  <c r="CW39" i="10"/>
  <c r="CV39" i="10"/>
  <c r="CU39" i="10"/>
  <c r="CT39" i="10"/>
  <c r="CS39" i="10"/>
  <c r="CR39" i="10"/>
  <c r="CQ39" i="10"/>
  <c r="CP39" i="10"/>
  <c r="CO39" i="10"/>
  <c r="CN39" i="10"/>
  <c r="CM39" i="10"/>
  <c r="CL39" i="10"/>
  <c r="CK39" i="10"/>
  <c r="CJ39" i="10"/>
  <c r="CI39" i="10"/>
  <c r="CH39" i="10"/>
  <c r="CG39" i="10"/>
  <c r="CF39" i="10"/>
  <c r="CE39" i="10"/>
  <c r="CD39" i="10"/>
  <c r="CC39" i="10"/>
  <c r="CB39" i="10"/>
  <c r="CA39" i="10"/>
  <c r="BZ39" i="10"/>
  <c r="BY39" i="10"/>
  <c r="BX39" i="10"/>
  <c r="BW39" i="10"/>
  <c r="BV39" i="10"/>
  <c r="BU39" i="10"/>
  <c r="BT39" i="10"/>
  <c r="BS39" i="10"/>
  <c r="BR39" i="10"/>
  <c r="BQ39" i="10"/>
  <c r="BP39" i="10"/>
  <c r="BO39" i="10"/>
  <c r="BN39" i="10"/>
  <c r="BM39" i="10"/>
  <c r="BL39" i="10"/>
  <c r="BK39" i="10"/>
  <c r="BJ39" i="10"/>
  <c r="BI39" i="10"/>
  <c r="BH39" i="10"/>
  <c r="BG39" i="10"/>
  <c r="BF39" i="10"/>
  <c r="BE39" i="10"/>
  <c r="BD39" i="10"/>
  <c r="BC39" i="10"/>
  <c r="BB39" i="10"/>
  <c r="BA39" i="10"/>
  <c r="AZ39" i="10"/>
  <c r="AY39" i="10"/>
  <c r="AX39" i="10"/>
  <c r="AW39" i="10"/>
  <c r="AV39" i="10"/>
  <c r="AU39" i="10"/>
  <c r="AT39" i="10"/>
  <c r="AS39" i="10"/>
  <c r="AR39" i="10"/>
  <c r="AQ39" i="10"/>
  <c r="AP39" i="10"/>
  <c r="AO39" i="10"/>
  <c r="AN39" i="10"/>
  <c r="AM39" i="10"/>
  <c r="AL39" i="10"/>
  <c r="AK39" i="10"/>
  <c r="AJ39" i="10"/>
  <c r="AI39" i="10"/>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B39" i="10"/>
  <c r="D39" i="10" s="1"/>
  <c r="A39" i="10"/>
  <c r="B37" i="10"/>
  <c r="A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B12" i="10"/>
  <c r="A12" i="10"/>
  <c r="B11" i="10"/>
  <c r="A11" i="10"/>
  <c r="B10" i="10"/>
  <c r="A10" i="10"/>
  <c r="B9" i="10"/>
  <c r="A9" i="10"/>
  <c r="B8" i="10"/>
  <c r="A8" i="10"/>
  <c r="B7" i="10"/>
  <c r="A7" i="10"/>
  <c r="EN3" i="10"/>
  <c r="EM3" i="10"/>
  <c r="EL3" i="10"/>
  <c r="EK3" i="10"/>
  <c r="EJ3" i="10"/>
  <c r="EI3" i="10"/>
  <c r="EH3" i="10"/>
  <c r="EG3" i="10"/>
  <c r="EF3" i="10"/>
  <c r="EE3" i="10"/>
  <c r="ED3" i="10"/>
  <c r="EC3" i="10"/>
  <c r="EB3" i="10"/>
  <c r="EA3" i="10"/>
  <c r="DZ3" i="10"/>
  <c r="DY3" i="10"/>
  <c r="DX3" i="10"/>
  <c r="DW3" i="10"/>
  <c r="DV3" i="10"/>
  <c r="DU3" i="10"/>
  <c r="DT3" i="10"/>
  <c r="DS3" i="10"/>
  <c r="DR3" i="10"/>
  <c r="DQ3" i="10"/>
  <c r="DP3" i="10"/>
  <c r="DO3" i="10"/>
  <c r="DN3" i="10"/>
  <c r="DM3" i="10"/>
  <c r="DL3" i="10"/>
  <c r="DK3" i="10"/>
  <c r="DJ3" i="10"/>
  <c r="DI3" i="10"/>
  <c r="DH3" i="10"/>
  <c r="DG3" i="10"/>
  <c r="DF3" i="10"/>
  <c r="DE3" i="10"/>
  <c r="DD3" i="10"/>
  <c r="DC3" i="10"/>
  <c r="DB3" i="10"/>
  <c r="DA3" i="10"/>
  <c r="CZ3" i="10"/>
  <c r="CY3" i="10"/>
  <c r="CX3" i="10"/>
  <c r="CW3" i="10"/>
  <c r="CV3" i="10"/>
  <c r="CU3" i="10"/>
  <c r="CT3" i="10"/>
  <c r="CS3" i="10"/>
  <c r="CR3" i="10"/>
  <c r="CQ3" i="10"/>
  <c r="CP3" i="10"/>
  <c r="CO3" i="10"/>
  <c r="CN3" i="10"/>
  <c r="CM3" i="10"/>
  <c r="CL3" i="10"/>
  <c r="CK3" i="10"/>
  <c r="CJ3" i="10"/>
  <c r="CI3" i="10"/>
  <c r="CH3" i="10"/>
  <c r="CG3" i="10"/>
  <c r="CF3" i="10"/>
  <c r="CE3" i="10"/>
  <c r="CD3" i="10"/>
  <c r="CC3" i="10"/>
  <c r="CB3" i="10"/>
  <c r="CA3" i="10"/>
  <c r="BZ3" i="10"/>
  <c r="BY3" i="10"/>
  <c r="BX3" i="10"/>
  <c r="BW3" i="10"/>
  <c r="BV3" i="10"/>
  <c r="BU3" i="10"/>
  <c r="BT3" i="10"/>
  <c r="BS3" i="10"/>
  <c r="BR3" i="10"/>
  <c r="BQ3" i="10"/>
  <c r="BP3" i="10"/>
  <c r="BO3" i="10"/>
  <c r="BN3" i="10"/>
  <c r="BM3" i="10"/>
  <c r="BL3" i="10"/>
  <c r="BK3" i="10"/>
  <c r="BJ3" i="10"/>
  <c r="BI3" i="10"/>
  <c r="BH3" i="10"/>
  <c r="BG3" i="10"/>
  <c r="BF3" i="10"/>
  <c r="BE3" i="10"/>
  <c r="BD3" i="10"/>
  <c r="BC3" i="10"/>
  <c r="BB3" i="10"/>
  <c r="BA3" i="10"/>
  <c r="AZ3" i="10"/>
  <c r="AY3" i="10"/>
  <c r="AX3" i="10"/>
  <c r="AW3" i="10"/>
  <c r="AV3" i="10"/>
  <c r="AU3" i="10"/>
  <c r="AT3" i="10"/>
  <c r="AS3" i="10"/>
  <c r="AR3" i="10"/>
  <c r="AQ3" i="10"/>
  <c r="AP3" i="10"/>
  <c r="AO3" i="10"/>
  <c r="AN3" i="10"/>
  <c r="AM3" i="10"/>
  <c r="AL3" i="10"/>
  <c r="AK3" i="10"/>
  <c r="AJ3" i="10"/>
  <c r="AI3" i="10"/>
  <c r="AH3" i="10"/>
  <c r="AG3"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E4" i="10" s="1"/>
  <c r="EN39" i="9"/>
  <c r="EM39" i="9"/>
  <c r="EL39" i="9"/>
  <c r="EK39" i="9"/>
  <c r="EJ39" i="9"/>
  <c r="EI39" i="9"/>
  <c r="EH39" i="9"/>
  <c r="EG39" i="9"/>
  <c r="EF39" i="9"/>
  <c r="EE39" i="9"/>
  <c r="ED39" i="9"/>
  <c r="EC39" i="9"/>
  <c r="EB39" i="9"/>
  <c r="EA39" i="9"/>
  <c r="DZ39" i="9"/>
  <c r="DY39" i="9"/>
  <c r="DX39" i="9"/>
  <c r="DW39" i="9"/>
  <c r="DV39" i="9"/>
  <c r="DU39" i="9"/>
  <c r="DT39" i="9"/>
  <c r="DS39" i="9"/>
  <c r="DR39" i="9"/>
  <c r="DQ39" i="9"/>
  <c r="DP39" i="9"/>
  <c r="DO39" i="9"/>
  <c r="DN39" i="9"/>
  <c r="DM39" i="9"/>
  <c r="DL39" i="9"/>
  <c r="DK39" i="9"/>
  <c r="DJ39" i="9"/>
  <c r="DI39" i="9"/>
  <c r="DH39" i="9"/>
  <c r="DG39" i="9"/>
  <c r="DF39" i="9"/>
  <c r="DE39" i="9"/>
  <c r="DD39" i="9"/>
  <c r="DC39" i="9"/>
  <c r="DB39" i="9"/>
  <c r="DA39" i="9"/>
  <c r="CZ39" i="9"/>
  <c r="CY39" i="9"/>
  <c r="CX39" i="9"/>
  <c r="CW39" i="9"/>
  <c r="CV39" i="9"/>
  <c r="CU39" i="9"/>
  <c r="CT39" i="9"/>
  <c r="CS39" i="9"/>
  <c r="CR39" i="9"/>
  <c r="CQ39" i="9"/>
  <c r="CP39" i="9"/>
  <c r="CO39" i="9"/>
  <c r="CN39" i="9"/>
  <c r="CM39" i="9"/>
  <c r="CL39" i="9"/>
  <c r="CK39" i="9"/>
  <c r="CJ39" i="9"/>
  <c r="CI39" i="9"/>
  <c r="CH39" i="9"/>
  <c r="CG39" i="9"/>
  <c r="CF39" i="9"/>
  <c r="CE39" i="9"/>
  <c r="CD39" i="9"/>
  <c r="CC39" i="9"/>
  <c r="CB39" i="9"/>
  <c r="CA39" i="9"/>
  <c r="BZ39" i="9"/>
  <c r="BY39" i="9"/>
  <c r="BX39" i="9"/>
  <c r="BW39" i="9"/>
  <c r="BV39" i="9"/>
  <c r="BU39" i="9"/>
  <c r="BT39" i="9"/>
  <c r="BS39" i="9"/>
  <c r="BR39" i="9"/>
  <c r="BQ39" i="9"/>
  <c r="BP39" i="9"/>
  <c r="BO39" i="9"/>
  <c r="BN39" i="9"/>
  <c r="BM39" i="9"/>
  <c r="BL39" i="9"/>
  <c r="BK39" i="9"/>
  <c r="BJ39" i="9"/>
  <c r="BI39" i="9"/>
  <c r="BH39" i="9"/>
  <c r="BG39" i="9"/>
  <c r="BF39" i="9"/>
  <c r="BE39" i="9"/>
  <c r="BD39" i="9"/>
  <c r="BC39" i="9"/>
  <c r="BB39" i="9"/>
  <c r="BA39" i="9"/>
  <c r="AZ39" i="9"/>
  <c r="AY39" i="9"/>
  <c r="AX39" i="9"/>
  <c r="AW39" i="9"/>
  <c r="AV39" i="9"/>
  <c r="AU39" i="9"/>
  <c r="AT39" i="9"/>
  <c r="AS39" i="9"/>
  <c r="AR39" i="9"/>
  <c r="AQ39" i="9"/>
  <c r="AP39" i="9"/>
  <c r="AO39" i="9"/>
  <c r="AN39" i="9"/>
  <c r="AM39" i="9"/>
  <c r="AL39" i="9"/>
  <c r="AK39" i="9"/>
  <c r="AJ39" i="9"/>
  <c r="AI39" i="9"/>
  <c r="AH39" i="9"/>
  <c r="AG39" i="9"/>
  <c r="AF39" i="9"/>
  <c r="AE39" i="9"/>
  <c r="AD39" i="9"/>
  <c r="AC39" i="9"/>
  <c r="AB39" i="9"/>
  <c r="AA39" i="9"/>
  <c r="Z39" i="9"/>
  <c r="Y39" i="9"/>
  <c r="X39" i="9"/>
  <c r="W39" i="9"/>
  <c r="V39" i="9"/>
  <c r="U39" i="9"/>
  <c r="T39" i="9"/>
  <c r="S39" i="9"/>
  <c r="R39" i="9"/>
  <c r="Q39" i="9"/>
  <c r="P39" i="9"/>
  <c r="O39" i="9"/>
  <c r="N39" i="9"/>
  <c r="M39" i="9"/>
  <c r="L39" i="9"/>
  <c r="K39" i="9"/>
  <c r="J39" i="9"/>
  <c r="I39" i="9"/>
  <c r="H39" i="9"/>
  <c r="G39" i="9"/>
  <c r="F39" i="9"/>
  <c r="E39" i="9"/>
  <c r="B39" i="9"/>
  <c r="D39" i="9" s="1"/>
  <c r="A39" i="9"/>
  <c r="B37" i="9"/>
  <c r="A37" i="9"/>
  <c r="B36" i="9"/>
  <c r="A36" i="9"/>
  <c r="B35" i="9"/>
  <c r="A35" i="9"/>
  <c r="B34" i="9"/>
  <c r="A34" i="9"/>
  <c r="B33" i="9"/>
  <c r="A33" i="9"/>
  <c r="B32" i="9"/>
  <c r="A32" i="9"/>
  <c r="B31" i="9"/>
  <c r="A31" i="9"/>
  <c r="B30" i="9"/>
  <c r="A30" i="9"/>
  <c r="B29" i="9"/>
  <c r="A29" i="9"/>
  <c r="B28" i="9"/>
  <c r="A28" i="9"/>
  <c r="B27" i="9"/>
  <c r="A27" i="9"/>
  <c r="B26" i="9"/>
  <c r="A26" i="9"/>
  <c r="B25" i="9"/>
  <c r="A25" i="9"/>
  <c r="B24" i="9"/>
  <c r="A24" i="9"/>
  <c r="B23" i="9"/>
  <c r="A23" i="9"/>
  <c r="B22" i="9"/>
  <c r="A22" i="9"/>
  <c r="B21" i="9"/>
  <c r="A21" i="9"/>
  <c r="B20" i="9"/>
  <c r="A20" i="9"/>
  <c r="B19" i="9"/>
  <c r="A19" i="9"/>
  <c r="B18" i="9"/>
  <c r="A18" i="9"/>
  <c r="B17" i="9"/>
  <c r="A17" i="9"/>
  <c r="B16" i="9"/>
  <c r="A16" i="9"/>
  <c r="B15" i="9"/>
  <c r="A15" i="9"/>
  <c r="B14" i="9"/>
  <c r="A14" i="9"/>
  <c r="B13" i="9"/>
  <c r="A13" i="9"/>
  <c r="B12" i="9"/>
  <c r="A12" i="9"/>
  <c r="B11" i="9"/>
  <c r="A11" i="9"/>
  <c r="B10" i="9"/>
  <c r="A10" i="9"/>
  <c r="B9" i="9"/>
  <c r="A9" i="9"/>
  <c r="B8" i="9"/>
  <c r="A8" i="9"/>
  <c r="B7" i="9"/>
  <c r="A7" i="9"/>
  <c r="EN3" i="9"/>
  <c r="EM3" i="9"/>
  <c r="EL3" i="9"/>
  <c r="EK3" i="9"/>
  <c r="EJ3" i="9"/>
  <c r="EI3" i="9"/>
  <c r="EH3" i="9"/>
  <c r="EG3" i="9"/>
  <c r="EF3" i="9"/>
  <c r="EE3" i="9"/>
  <c r="ED3" i="9"/>
  <c r="EC3" i="9"/>
  <c r="EB3" i="9"/>
  <c r="EA3" i="9"/>
  <c r="DZ3" i="9"/>
  <c r="DY3" i="9"/>
  <c r="DX3" i="9"/>
  <c r="DW3" i="9"/>
  <c r="DV3" i="9"/>
  <c r="DU3" i="9"/>
  <c r="DT3" i="9"/>
  <c r="DS3" i="9"/>
  <c r="DR3" i="9"/>
  <c r="DQ3" i="9"/>
  <c r="DP3" i="9"/>
  <c r="DO3" i="9"/>
  <c r="DN3" i="9"/>
  <c r="DM3" i="9"/>
  <c r="DL3" i="9"/>
  <c r="DK3" i="9"/>
  <c r="DJ3" i="9"/>
  <c r="DI3" i="9"/>
  <c r="DH3" i="9"/>
  <c r="DG3" i="9"/>
  <c r="DF3" i="9"/>
  <c r="DE3" i="9"/>
  <c r="DD3" i="9"/>
  <c r="DC3" i="9"/>
  <c r="DB3" i="9"/>
  <c r="DA3" i="9"/>
  <c r="CZ3" i="9"/>
  <c r="CY3" i="9"/>
  <c r="CX3" i="9"/>
  <c r="CW3" i="9"/>
  <c r="CV3" i="9"/>
  <c r="CU3" i="9"/>
  <c r="CT3" i="9"/>
  <c r="CS3" i="9"/>
  <c r="CR3" i="9"/>
  <c r="CQ3" i="9"/>
  <c r="CP3" i="9"/>
  <c r="CO3" i="9"/>
  <c r="CN3" i="9"/>
  <c r="CM3" i="9"/>
  <c r="CL3" i="9"/>
  <c r="CK3" i="9"/>
  <c r="CJ3" i="9"/>
  <c r="CI3" i="9"/>
  <c r="CH3" i="9"/>
  <c r="CG3" i="9"/>
  <c r="CF3" i="9"/>
  <c r="CE3" i="9"/>
  <c r="CD3" i="9"/>
  <c r="CC3" i="9"/>
  <c r="CB3" i="9"/>
  <c r="CA3" i="9"/>
  <c r="BZ3" i="9"/>
  <c r="BY3" i="9"/>
  <c r="BX3" i="9"/>
  <c r="BW3" i="9"/>
  <c r="BV3" i="9"/>
  <c r="BU3" i="9"/>
  <c r="BT3" i="9"/>
  <c r="BS3" i="9"/>
  <c r="BR3" i="9"/>
  <c r="BQ3" i="9"/>
  <c r="BP3" i="9"/>
  <c r="BO3" i="9"/>
  <c r="BN3" i="9"/>
  <c r="BM3" i="9"/>
  <c r="BL3" i="9"/>
  <c r="BK3" i="9"/>
  <c r="BJ3" i="9"/>
  <c r="BI3" i="9"/>
  <c r="BH3" i="9"/>
  <c r="BG3" i="9"/>
  <c r="BF3" i="9"/>
  <c r="BE3" i="9"/>
  <c r="BD3" i="9"/>
  <c r="BC3" i="9"/>
  <c r="BB3" i="9"/>
  <c r="BA3" i="9"/>
  <c r="AZ3" i="9"/>
  <c r="AY3" i="9"/>
  <c r="AX3" i="9"/>
  <c r="AW3" i="9"/>
  <c r="AV3" i="9"/>
  <c r="AU3" i="9"/>
  <c r="AT3" i="9"/>
  <c r="AS3" i="9"/>
  <c r="AR3" i="9"/>
  <c r="AQ3" i="9"/>
  <c r="AP3" i="9"/>
  <c r="AO3" i="9"/>
  <c r="AN3" i="9"/>
  <c r="AM3" i="9"/>
  <c r="AL3" i="9"/>
  <c r="AK3" i="9"/>
  <c r="AJ3" i="9"/>
  <c r="AI3" i="9"/>
  <c r="AH3" i="9"/>
  <c r="AG3" i="9"/>
  <c r="AF3" i="9"/>
  <c r="AE3" i="9"/>
  <c r="AD3" i="9"/>
  <c r="AC3" i="9"/>
  <c r="AB3" i="9"/>
  <c r="AA3" i="9"/>
  <c r="Z3" i="9"/>
  <c r="Y3" i="9"/>
  <c r="X3" i="9"/>
  <c r="W3" i="9"/>
  <c r="V3" i="9"/>
  <c r="U3" i="9"/>
  <c r="T3" i="9"/>
  <c r="S3" i="9"/>
  <c r="R3" i="9"/>
  <c r="Q3" i="9"/>
  <c r="P3" i="9"/>
  <c r="O3" i="9"/>
  <c r="N3" i="9"/>
  <c r="M3" i="9"/>
  <c r="L3" i="9"/>
  <c r="K3" i="9"/>
  <c r="J3" i="9"/>
  <c r="I3" i="9"/>
  <c r="H3" i="9"/>
  <c r="G3" i="9"/>
  <c r="F3" i="9"/>
  <c r="E3" i="9"/>
  <c r="EN39" i="8"/>
  <c r="EM39" i="8"/>
  <c r="EL39" i="8"/>
  <c r="EK39" i="8"/>
  <c r="EJ39" i="8"/>
  <c r="EI39" i="8"/>
  <c r="EH39" i="8"/>
  <c r="EG39" i="8"/>
  <c r="EF39" i="8"/>
  <c r="EE39" i="8"/>
  <c r="ED39" i="8"/>
  <c r="EC39" i="8"/>
  <c r="EB39" i="8"/>
  <c r="EA39" i="8"/>
  <c r="DZ39" i="8"/>
  <c r="DY39" i="8"/>
  <c r="DX39" i="8"/>
  <c r="DW39" i="8"/>
  <c r="DV39" i="8"/>
  <c r="DU39" i="8"/>
  <c r="DT39" i="8"/>
  <c r="DS39" i="8"/>
  <c r="DR39" i="8"/>
  <c r="DQ39" i="8"/>
  <c r="DP39" i="8"/>
  <c r="DO39" i="8"/>
  <c r="DN39" i="8"/>
  <c r="DM39" i="8"/>
  <c r="DL39" i="8"/>
  <c r="DK39" i="8"/>
  <c r="DJ39" i="8"/>
  <c r="DI39" i="8"/>
  <c r="DH39" i="8"/>
  <c r="DG39" i="8"/>
  <c r="DF39" i="8"/>
  <c r="DE39" i="8"/>
  <c r="DD39" i="8"/>
  <c r="DC39" i="8"/>
  <c r="DB39" i="8"/>
  <c r="DA39" i="8"/>
  <c r="CZ39" i="8"/>
  <c r="CY39" i="8"/>
  <c r="CX39" i="8"/>
  <c r="CW39" i="8"/>
  <c r="CV39" i="8"/>
  <c r="CU39" i="8"/>
  <c r="CT39" i="8"/>
  <c r="CS39" i="8"/>
  <c r="CR39" i="8"/>
  <c r="CQ39" i="8"/>
  <c r="CP39" i="8"/>
  <c r="CO39" i="8"/>
  <c r="CN39" i="8"/>
  <c r="CM39" i="8"/>
  <c r="CL39" i="8"/>
  <c r="CK39"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BG39" i="8"/>
  <c r="BF39" i="8"/>
  <c r="BE39" i="8"/>
  <c r="BD39" i="8"/>
  <c r="BC39" i="8"/>
  <c r="BB39" i="8"/>
  <c r="BA39" i="8"/>
  <c r="AZ39" i="8"/>
  <c r="AY39" i="8"/>
  <c r="AX39" i="8"/>
  <c r="AW39" i="8"/>
  <c r="AV39" i="8"/>
  <c r="AU39" i="8"/>
  <c r="AT39" i="8"/>
  <c r="AS39" i="8"/>
  <c r="AR39" i="8"/>
  <c r="AQ39" i="8"/>
  <c r="AP39" i="8"/>
  <c r="AO39" i="8"/>
  <c r="AN39" i="8"/>
  <c r="AM39" i="8"/>
  <c r="AL39" i="8"/>
  <c r="AK39" i="8"/>
  <c r="AJ39" i="8"/>
  <c r="AI39" i="8"/>
  <c r="AH39" i="8"/>
  <c r="AG39" i="8"/>
  <c r="AF39" i="8"/>
  <c r="AE39" i="8"/>
  <c r="AD39" i="8"/>
  <c r="AC39" i="8"/>
  <c r="AB39" i="8"/>
  <c r="AA39" i="8"/>
  <c r="Z39" i="8"/>
  <c r="Y39" i="8"/>
  <c r="X39" i="8"/>
  <c r="W39" i="8"/>
  <c r="V39" i="8"/>
  <c r="U39" i="8"/>
  <c r="T39" i="8"/>
  <c r="S39" i="8"/>
  <c r="R39" i="8"/>
  <c r="Q39" i="8"/>
  <c r="P39" i="8"/>
  <c r="O39" i="8"/>
  <c r="N39" i="8"/>
  <c r="M39" i="8"/>
  <c r="L39" i="8"/>
  <c r="K39" i="8"/>
  <c r="J39" i="8"/>
  <c r="I39" i="8"/>
  <c r="H39" i="8"/>
  <c r="G39" i="8"/>
  <c r="F39" i="8"/>
  <c r="E39" i="8"/>
  <c r="B39" i="8"/>
  <c r="D39" i="8" s="1"/>
  <c r="A39"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EN3" i="8"/>
  <c r="EM3" i="8"/>
  <c r="EL3" i="8"/>
  <c r="EK3" i="8"/>
  <c r="EJ3" i="8"/>
  <c r="EI3" i="8"/>
  <c r="EH3" i="8"/>
  <c r="EG3" i="8"/>
  <c r="EF3" i="8"/>
  <c r="EE3" i="8"/>
  <c r="ED3" i="8"/>
  <c r="EC3" i="8"/>
  <c r="EB3" i="8"/>
  <c r="EA3" i="8"/>
  <c r="DZ3" i="8"/>
  <c r="DY3" i="8"/>
  <c r="DX3" i="8"/>
  <c r="DW3" i="8"/>
  <c r="DV3" i="8"/>
  <c r="DU3" i="8"/>
  <c r="DT3" i="8"/>
  <c r="DS3" i="8"/>
  <c r="DR3" i="8"/>
  <c r="DQ3" i="8"/>
  <c r="DP3" i="8"/>
  <c r="DO3" i="8"/>
  <c r="DN3" i="8"/>
  <c r="DM3" i="8"/>
  <c r="DL3" i="8"/>
  <c r="DK3" i="8"/>
  <c r="DJ3" i="8"/>
  <c r="DI3" i="8"/>
  <c r="DH3" i="8"/>
  <c r="DG3" i="8"/>
  <c r="DF3" i="8"/>
  <c r="DE3" i="8"/>
  <c r="DD3" i="8"/>
  <c r="DC3" i="8"/>
  <c r="DB3" i="8"/>
  <c r="DA3" i="8"/>
  <c r="CZ3" i="8"/>
  <c r="CY3" i="8"/>
  <c r="CX3" i="8"/>
  <c r="CW3" i="8"/>
  <c r="CV3" i="8"/>
  <c r="CU3" i="8"/>
  <c r="CT3" i="8"/>
  <c r="CS3" i="8"/>
  <c r="CR3" i="8"/>
  <c r="CQ3" i="8"/>
  <c r="CP3" i="8"/>
  <c r="CO3" i="8"/>
  <c r="CN3" i="8"/>
  <c r="CM3" i="8"/>
  <c r="CL3" i="8"/>
  <c r="CK3" i="8"/>
  <c r="CJ3" i="8"/>
  <c r="CI3" i="8"/>
  <c r="CH3" i="8"/>
  <c r="CG3" i="8"/>
  <c r="CF3" i="8"/>
  <c r="CE3" i="8"/>
  <c r="CD3" i="8"/>
  <c r="CC3" i="8"/>
  <c r="CB3" i="8"/>
  <c r="CA3" i="8"/>
  <c r="BZ3" i="8"/>
  <c r="BY3" i="8"/>
  <c r="BX3" i="8"/>
  <c r="BW3" i="8"/>
  <c r="BV3" i="8"/>
  <c r="BU3" i="8"/>
  <c r="BT3" i="8"/>
  <c r="BS3" i="8"/>
  <c r="BR3" i="8"/>
  <c r="BQ3" i="8"/>
  <c r="BP3" i="8"/>
  <c r="BO3" i="8"/>
  <c r="BN3" i="8"/>
  <c r="BM3" i="8"/>
  <c r="BL3" i="8"/>
  <c r="BK3" i="8"/>
  <c r="BJ3" i="8"/>
  <c r="BI3" i="8"/>
  <c r="BH3" i="8"/>
  <c r="BG3" i="8"/>
  <c r="BF3" i="8"/>
  <c r="BE3" i="8"/>
  <c r="BD3" i="8"/>
  <c r="BC3" i="8"/>
  <c r="BB3" i="8"/>
  <c r="BA3" i="8"/>
  <c r="AZ3" i="8"/>
  <c r="AY3" i="8"/>
  <c r="AX3" i="8"/>
  <c r="AW3" i="8"/>
  <c r="AV3" i="8"/>
  <c r="AU3" i="8"/>
  <c r="AT3" i="8"/>
  <c r="AS3" i="8"/>
  <c r="AR3" i="8"/>
  <c r="AQ3" i="8"/>
  <c r="AP3" i="8"/>
  <c r="AO3" i="8"/>
  <c r="AN3" i="8"/>
  <c r="AM3" i="8"/>
  <c r="AL3" i="8"/>
  <c r="AK3" i="8"/>
  <c r="AJ3" i="8"/>
  <c r="AI3" i="8"/>
  <c r="AH3" i="8"/>
  <c r="AG3" i="8"/>
  <c r="AF3" i="8"/>
  <c r="AE3" i="8"/>
  <c r="AD3" i="8"/>
  <c r="AC3" i="8"/>
  <c r="AB3" i="8"/>
  <c r="AA3" i="8"/>
  <c r="Z3" i="8"/>
  <c r="Y3" i="8"/>
  <c r="X3" i="8"/>
  <c r="W3" i="8"/>
  <c r="V3" i="8"/>
  <c r="U3" i="8"/>
  <c r="T3" i="8"/>
  <c r="S3" i="8"/>
  <c r="R3" i="8"/>
  <c r="Q3" i="8"/>
  <c r="P3" i="8"/>
  <c r="O3" i="8"/>
  <c r="N3" i="8"/>
  <c r="M3" i="8"/>
  <c r="L3" i="8"/>
  <c r="K3" i="8"/>
  <c r="J3" i="8"/>
  <c r="I3" i="8"/>
  <c r="H3" i="8"/>
  <c r="G3" i="8"/>
  <c r="F3" i="8"/>
  <c r="E3" i="8"/>
  <c r="E4" i="8" s="1"/>
  <c r="EN39" i="7"/>
  <c r="EM39" i="7"/>
  <c r="EL39" i="7"/>
  <c r="EK39" i="7"/>
  <c r="EJ39" i="7"/>
  <c r="EI39" i="7"/>
  <c r="EH39" i="7"/>
  <c r="EG39" i="7"/>
  <c r="EF39" i="7"/>
  <c r="EE39" i="7"/>
  <c r="ED39" i="7"/>
  <c r="EC39" i="7"/>
  <c r="EB39" i="7"/>
  <c r="EA39" i="7"/>
  <c r="DZ39" i="7"/>
  <c r="DY39" i="7"/>
  <c r="DX39" i="7"/>
  <c r="DW39" i="7"/>
  <c r="DV39" i="7"/>
  <c r="DU39" i="7"/>
  <c r="DT39" i="7"/>
  <c r="DS39" i="7"/>
  <c r="DR39" i="7"/>
  <c r="DQ39" i="7"/>
  <c r="DP39" i="7"/>
  <c r="DO39" i="7"/>
  <c r="DN39" i="7"/>
  <c r="DM39" i="7"/>
  <c r="DL39" i="7"/>
  <c r="DK39" i="7"/>
  <c r="DJ39" i="7"/>
  <c r="DI39" i="7"/>
  <c r="DH39" i="7"/>
  <c r="DG39" i="7"/>
  <c r="DF39" i="7"/>
  <c r="DE39" i="7"/>
  <c r="DD39" i="7"/>
  <c r="DC39" i="7"/>
  <c r="DB39" i="7"/>
  <c r="DA39" i="7"/>
  <c r="CZ39" i="7"/>
  <c r="CY39" i="7"/>
  <c r="CX39" i="7"/>
  <c r="CW39" i="7"/>
  <c r="CV39" i="7"/>
  <c r="CU39" i="7"/>
  <c r="CT39" i="7"/>
  <c r="CS39" i="7"/>
  <c r="CR39" i="7"/>
  <c r="CQ39" i="7"/>
  <c r="CP39" i="7"/>
  <c r="CO39" i="7"/>
  <c r="CN39" i="7"/>
  <c r="CM39" i="7"/>
  <c r="CL39" i="7"/>
  <c r="CK39" i="7"/>
  <c r="CJ39" i="7"/>
  <c r="CI39" i="7"/>
  <c r="CH39" i="7"/>
  <c r="CG39" i="7"/>
  <c r="CF39" i="7"/>
  <c r="CE39" i="7"/>
  <c r="CD39" i="7"/>
  <c r="CC39" i="7"/>
  <c r="CB39" i="7"/>
  <c r="CA39" i="7"/>
  <c r="BZ39" i="7"/>
  <c r="BY39" i="7"/>
  <c r="BX39" i="7"/>
  <c r="BW39" i="7"/>
  <c r="BV39" i="7"/>
  <c r="BU39" i="7"/>
  <c r="BT39" i="7"/>
  <c r="BS39" i="7"/>
  <c r="BR39" i="7"/>
  <c r="BQ39" i="7"/>
  <c r="BP39" i="7"/>
  <c r="BO39" i="7"/>
  <c r="BN39" i="7"/>
  <c r="BM39" i="7"/>
  <c r="BL39" i="7"/>
  <c r="BK39" i="7"/>
  <c r="BJ39" i="7"/>
  <c r="BI39" i="7"/>
  <c r="BH39" i="7"/>
  <c r="BG39" i="7"/>
  <c r="BF39" i="7"/>
  <c r="BE39" i="7"/>
  <c r="BD39" i="7"/>
  <c r="BC39" i="7"/>
  <c r="BB39" i="7"/>
  <c r="BA39" i="7"/>
  <c r="AZ39" i="7"/>
  <c r="AY39" i="7"/>
  <c r="AX39" i="7"/>
  <c r="AW39" i="7"/>
  <c r="AV39" i="7"/>
  <c r="AU39" i="7"/>
  <c r="AT39" i="7"/>
  <c r="AS39" i="7"/>
  <c r="AR39" i="7"/>
  <c r="AQ39" i="7"/>
  <c r="AP39" i="7"/>
  <c r="AO39" i="7"/>
  <c r="AN39" i="7"/>
  <c r="AM39" i="7"/>
  <c r="AL39" i="7"/>
  <c r="AK39" i="7"/>
  <c r="AJ39" i="7"/>
  <c r="AI39" i="7"/>
  <c r="AH39" i="7"/>
  <c r="AG39" i="7"/>
  <c r="AF39" i="7"/>
  <c r="AE39" i="7"/>
  <c r="AD39" i="7"/>
  <c r="AC39" i="7"/>
  <c r="AB39" i="7"/>
  <c r="AA39" i="7"/>
  <c r="Z39" i="7"/>
  <c r="Y39" i="7"/>
  <c r="X39" i="7"/>
  <c r="W39" i="7"/>
  <c r="V39" i="7"/>
  <c r="U39" i="7"/>
  <c r="T39" i="7"/>
  <c r="S39" i="7"/>
  <c r="R39" i="7"/>
  <c r="Q39" i="7"/>
  <c r="P39" i="7"/>
  <c r="O39" i="7"/>
  <c r="N39" i="7"/>
  <c r="M39" i="7"/>
  <c r="L39" i="7"/>
  <c r="K39" i="7"/>
  <c r="J39" i="7"/>
  <c r="I39" i="7"/>
  <c r="H39" i="7"/>
  <c r="G39" i="7"/>
  <c r="F39" i="7"/>
  <c r="E39" i="7"/>
  <c r="B39" i="7"/>
  <c r="D39" i="7" s="1"/>
  <c r="A39" i="7"/>
  <c r="B37" i="7"/>
  <c r="A37" i="7"/>
  <c r="B36" i="7"/>
  <c r="A36" i="7"/>
  <c r="B35" i="7"/>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 r="B10" i="7"/>
  <c r="A10" i="7"/>
  <c r="B9" i="7"/>
  <c r="A9" i="7"/>
  <c r="B8" i="7"/>
  <c r="A8" i="7"/>
  <c r="B7" i="7"/>
  <c r="A7" i="7"/>
  <c r="EN3" i="7"/>
  <c r="EM3" i="7"/>
  <c r="EL3" i="7"/>
  <c r="EK3" i="7"/>
  <c r="EJ3" i="7"/>
  <c r="EI3" i="7"/>
  <c r="EH3" i="7"/>
  <c r="EG3" i="7"/>
  <c r="EF3" i="7"/>
  <c r="EE3" i="7"/>
  <c r="ED3" i="7"/>
  <c r="EC3" i="7"/>
  <c r="EB3" i="7"/>
  <c r="EA3" i="7"/>
  <c r="DZ3" i="7"/>
  <c r="DY3" i="7"/>
  <c r="DX3" i="7"/>
  <c r="DW3" i="7"/>
  <c r="DV3" i="7"/>
  <c r="DU3" i="7"/>
  <c r="DT3" i="7"/>
  <c r="DS3" i="7"/>
  <c r="DR3" i="7"/>
  <c r="DQ3" i="7"/>
  <c r="DP3" i="7"/>
  <c r="DO3" i="7"/>
  <c r="DN3" i="7"/>
  <c r="DM3" i="7"/>
  <c r="DL3" i="7"/>
  <c r="DK3" i="7"/>
  <c r="DJ3" i="7"/>
  <c r="DI3" i="7"/>
  <c r="DH3" i="7"/>
  <c r="DG3" i="7"/>
  <c r="DF3" i="7"/>
  <c r="DE3" i="7"/>
  <c r="DD3" i="7"/>
  <c r="DC3" i="7"/>
  <c r="DB3" i="7"/>
  <c r="DA3" i="7"/>
  <c r="CZ3" i="7"/>
  <c r="CY3" i="7"/>
  <c r="CX3" i="7"/>
  <c r="CW3" i="7"/>
  <c r="CV3" i="7"/>
  <c r="CU3" i="7"/>
  <c r="CT3" i="7"/>
  <c r="CS3" i="7"/>
  <c r="CR3" i="7"/>
  <c r="CQ3" i="7"/>
  <c r="CP3" i="7"/>
  <c r="CO3" i="7"/>
  <c r="CN3" i="7"/>
  <c r="CM3" i="7"/>
  <c r="CL3" i="7"/>
  <c r="CK3" i="7"/>
  <c r="CJ3" i="7"/>
  <c r="CI3" i="7"/>
  <c r="CH3" i="7"/>
  <c r="CG3" i="7"/>
  <c r="CF3" i="7"/>
  <c r="CE3" i="7"/>
  <c r="CD3" i="7"/>
  <c r="CC3" i="7"/>
  <c r="CB3" i="7"/>
  <c r="CA3" i="7"/>
  <c r="BZ3" i="7"/>
  <c r="BY3" i="7"/>
  <c r="BX3" i="7"/>
  <c r="BW3" i="7"/>
  <c r="BV3" i="7"/>
  <c r="BU3" i="7"/>
  <c r="BT3" i="7"/>
  <c r="BS3" i="7"/>
  <c r="BR3" i="7"/>
  <c r="BQ3" i="7"/>
  <c r="BP3" i="7"/>
  <c r="BO3" i="7"/>
  <c r="BN3" i="7"/>
  <c r="BM3" i="7"/>
  <c r="BL3" i="7"/>
  <c r="BK3" i="7"/>
  <c r="BJ3" i="7"/>
  <c r="BI3" i="7"/>
  <c r="BH3" i="7"/>
  <c r="BG3" i="7"/>
  <c r="BF3" i="7"/>
  <c r="BE3" i="7"/>
  <c r="BD3" i="7"/>
  <c r="BC3" i="7"/>
  <c r="BB3" i="7"/>
  <c r="BA3" i="7"/>
  <c r="AZ3" i="7"/>
  <c r="AY3" i="7"/>
  <c r="AX3" i="7"/>
  <c r="AW3" i="7"/>
  <c r="AV3" i="7"/>
  <c r="AU3" i="7"/>
  <c r="AT3" i="7"/>
  <c r="AS3" i="7"/>
  <c r="AR3" i="7"/>
  <c r="AQ3" i="7"/>
  <c r="AP3" i="7"/>
  <c r="AO3" i="7"/>
  <c r="AN3" i="7"/>
  <c r="AM3" i="7"/>
  <c r="AL3" i="7"/>
  <c r="AK3" i="7"/>
  <c r="AJ3" i="7"/>
  <c r="AI3" i="7"/>
  <c r="AH3" i="7"/>
  <c r="AG3" i="7"/>
  <c r="AF3" i="7"/>
  <c r="AE3" i="7"/>
  <c r="AD3" i="7"/>
  <c r="AC3" i="7"/>
  <c r="AB3" i="7"/>
  <c r="AA3" i="7"/>
  <c r="Z3" i="7"/>
  <c r="Y3" i="7"/>
  <c r="X3" i="7"/>
  <c r="W3" i="7"/>
  <c r="V3" i="7"/>
  <c r="U3" i="7"/>
  <c r="T3" i="7"/>
  <c r="S3" i="7"/>
  <c r="R3" i="7"/>
  <c r="Q3" i="7"/>
  <c r="P3" i="7"/>
  <c r="O3" i="7"/>
  <c r="N3" i="7"/>
  <c r="M3" i="7"/>
  <c r="L3" i="7"/>
  <c r="K3" i="7"/>
  <c r="J3" i="7"/>
  <c r="I3" i="7"/>
  <c r="H3" i="7"/>
  <c r="G3" i="7"/>
  <c r="F3" i="7"/>
  <c r="E3" i="7"/>
  <c r="E4" i="7" s="1"/>
  <c r="F39" i="1"/>
  <c r="G39"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BR39" i="1"/>
  <c r="BS39" i="1"/>
  <c r="BT39" i="1"/>
  <c r="BU39" i="1"/>
  <c r="BV39" i="1"/>
  <c r="BW39" i="1"/>
  <c r="BX39" i="1"/>
  <c r="BY39" i="1"/>
  <c r="BZ39" i="1"/>
  <c r="CA39" i="1"/>
  <c r="CB39" i="1"/>
  <c r="CC39" i="1"/>
  <c r="CD39" i="1"/>
  <c r="CE39" i="1"/>
  <c r="CF39" i="1"/>
  <c r="CG39" i="1"/>
  <c r="CH39" i="1"/>
  <c r="CI39" i="1"/>
  <c r="CJ39" i="1"/>
  <c r="CK39" i="1"/>
  <c r="CL39" i="1"/>
  <c r="CM39" i="1"/>
  <c r="CN39" i="1"/>
  <c r="CO39" i="1"/>
  <c r="CP39" i="1"/>
  <c r="CQ39" i="1"/>
  <c r="CR39" i="1"/>
  <c r="CS39" i="1"/>
  <c r="CT39" i="1"/>
  <c r="CU39" i="1"/>
  <c r="CV39" i="1"/>
  <c r="CW39" i="1"/>
  <c r="CX39" i="1"/>
  <c r="CY39" i="1"/>
  <c r="CZ39" i="1"/>
  <c r="DA39" i="1"/>
  <c r="DB39" i="1"/>
  <c r="DC39" i="1"/>
  <c r="DD39" i="1"/>
  <c r="DE39" i="1"/>
  <c r="DF39" i="1"/>
  <c r="DG39" i="1"/>
  <c r="DH39" i="1"/>
  <c r="DI39" i="1"/>
  <c r="DJ39" i="1"/>
  <c r="DK39" i="1"/>
  <c r="DL39" i="1"/>
  <c r="DM39" i="1"/>
  <c r="DN39" i="1"/>
  <c r="DO39" i="1"/>
  <c r="DP39" i="1"/>
  <c r="DQ39" i="1"/>
  <c r="DR39" i="1"/>
  <c r="DS39" i="1"/>
  <c r="DT39" i="1"/>
  <c r="DU39" i="1"/>
  <c r="DV39" i="1"/>
  <c r="DW39" i="1"/>
  <c r="DX39" i="1"/>
  <c r="DY39" i="1"/>
  <c r="DZ39" i="1"/>
  <c r="EA39" i="1"/>
  <c r="EB39" i="1"/>
  <c r="EC39" i="1"/>
  <c r="ED39" i="1"/>
  <c r="EE39" i="1"/>
  <c r="EF39" i="1"/>
  <c r="EG39" i="1"/>
  <c r="EH39" i="1"/>
  <c r="EI39" i="1"/>
  <c r="EJ39" i="1"/>
  <c r="EK39" i="1"/>
  <c r="EL39" i="1"/>
  <c r="EM39" i="1"/>
  <c r="EN39" i="1"/>
  <c r="E39" i="1"/>
  <c r="A39" i="1"/>
  <c r="B39" i="1"/>
  <c r="D39" i="1" s="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K3" i="1"/>
  <c r="L3" i="1"/>
  <c r="M3" i="1"/>
  <c r="N3" i="1"/>
  <c r="O3" i="1"/>
  <c r="P3" i="1"/>
  <c r="Q3" i="1"/>
  <c r="R3" i="1"/>
  <c r="S3" i="1"/>
  <c r="T3" i="1"/>
  <c r="U3" i="1"/>
  <c r="V3" i="1"/>
  <c r="W3" i="1"/>
  <c r="X3" i="1"/>
  <c r="Y3" i="1"/>
  <c r="Z3" i="1"/>
  <c r="AA3" i="1"/>
  <c r="AB3" i="1"/>
  <c r="AC3" i="1"/>
  <c r="AD3" i="1"/>
  <c r="AE3" i="1"/>
  <c r="AF3" i="1"/>
  <c r="AG3" i="1"/>
  <c r="AH3" i="1"/>
  <c r="AI3" i="1"/>
  <c r="AJ3" i="1"/>
  <c r="AK3" i="1"/>
  <c r="AL3" i="1"/>
  <c r="AM3" i="1"/>
  <c r="AN3" i="1"/>
  <c r="AO3" i="1"/>
  <c r="AP3" i="1"/>
  <c r="AQ3" i="1"/>
  <c r="AR3" i="1"/>
  <c r="AS3" i="1"/>
  <c r="AT3" i="1"/>
  <c r="AU3" i="1"/>
  <c r="AV3" i="1"/>
  <c r="AW3" i="1"/>
  <c r="AX3" i="1"/>
  <c r="AY3" i="1"/>
  <c r="AZ3" i="1"/>
  <c r="BA3" i="1"/>
  <c r="BB3" i="1"/>
  <c r="BC3" i="1"/>
  <c r="BD3" i="1"/>
  <c r="BE3" i="1"/>
  <c r="BF3" i="1"/>
  <c r="BG3" i="1"/>
  <c r="BH3" i="1"/>
  <c r="BI3" i="1"/>
  <c r="BJ3" i="1"/>
  <c r="BK3" i="1"/>
  <c r="BL3" i="1"/>
  <c r="BM3" i="1"/>
  <c r="BN3" i="1"/>
  <c r="BO3" i="1"/>
  <c r="BP3" i="1"/>
  <c r="BQ3" i="1"/>
  <c r="BR3" i="1"/>
  <c r="BS3" i="1"/>
  <c r="BT3" i="1"/>
  <c r="BU3" i="1"/>
  <c r="BV3" i="1"/>
  <c r="BW3" i="1"/>
  <c r="BX3" i="1"/>
  <c r="BY3" i="1"/>
  <c r="BZ3" i="1"/>
  <c r="CA3" i="1"/>
  <c r="CB3" i="1"/>
  <c r="CC3" i="1"/>
  <c r="CD3" i="1"/>
  <c r="CE3" i="1"/>
  <c r="CF3" i="1"/>
  <c r="CG3" i="1"/>
  <c r="CH3" i="1"/>
  <c r="CI3" i="1"/>
  <c r="CJ3" i="1"/>
  <c r="CK3" i="1"/>
  <c r="CL3" i="1"/>
  <c r="CM3" i="1"/>
  <c r="CN3" i="1"/>
  <c r="CO3" i="1"/>
  <c r="CP3" i="1"/>
  <c r="CQ3" i="1"/>
  <c r="CR3" i="1"/>
  <c r="CS3" i="1"/>
  <c r="CT3" i="1"/>
  <c r="CU3" i="1"/>
  <c r="CV3" i="1"/>
  <c r="CW3" i="1"/>
  <c r="CX3" i="1"/>
  <c r="CY3" i="1"/>
  <c r="CZ3" i="1"/>
  <c r="DA3" i="1"/>
  <c r="DB3" i="1"/>
  <c r="DC3" i="1"/>
  <c r="DD3" i="1"/>
  <c r="DE3" i="1"/>
  <c r="DF3" i="1"/>
  <c r="DG3" i="1"/>
  <c r="DH3" i="1"/>
  <c r="DI3" i="1"/>
  <c r="DJ3" i="1"/>
  <c r="DK3" i="1"/>
  <c r="DL3" i="1"/>
  <c r="DM3" i="1"/>
  <c r="DN3" i="1"/>
  <c r="DO3" i="1"/>
  <c r="DP3" i="1"/>
  <c r="DQ3" i="1"/>
  <c r="DR3" i="1"/>
  <c r="DS3" i="1"/>
  <c r="DT3" i="1"/>
  <c r="DU3" i="1"/>
  <c r="DV3" i="1"/>
  <c r="DW3" i="1"/>
  <c r="DX3" i="1"/>
  <c r="DY3" i="1"/>
  <c r="DZ3" i="1"/>
  <c r="EA3" i="1"/>
  <c r="EB3" i="1"/>
  <c r="EC3" i="1"/>
  <c r="ED3" i="1"/>
  <c r="EE3" i="1"/>
  <c r="EF3" i="1"/>
  <c r="EG3" i="1"/>
  <c r="EH3" i="1"/>
  <c r="EI3" i="1"/>
  <c r="EJ3" i="1"/>
  <c r="EK3" i="1"/>
  <c r="EL3" i="1"/>
  <c r="EM3" i="1"/>
  <c r="EN3" i="1"/>
  <c r="G3" i="1"/>
  <c r="H3" i="1"/>
  <c r="I3" i="1"/>
  <c r="J3" i="1"/>
  <c r="E3" i="1"/>
  <c r="K4" i="4"/>
  <c r="I4" i="4"/>
  <c r="F3" i="1"/>
  <c r="F14" i="4"/>
  <c r="F24" i="4" s="1"/>
  <c r="K24" i="4" s="1"/>
  <c r="F5" i="4"/>
  <c r="AF28" i="20" l="1"/>
  <c r="AH27" i="20"/>
  <c r="AK27" i="20" s="1"/>
  <c r="AI27" i="20"/>
  <c r="AJ27" i="20"/>
  <c r="DJ41" i="18"/>
  <c r="FX41" i="18"/>
  <c r="FX133" i="18" s="1"/>
  <c r="EX50" i="18"/>
  <c r="EX61" i="18" s="1"/>
  <c r="EX115" i="18"/>
  <c r="W26" i="21"/>
  <c r="T27" i="21"/>
  <c r="V26" i="21"/>
  <c r="Y26" i="21" s="1"/>
  <c r="Z25" i="21"/>
  <c r="AC24" i="21"/>
  <c r="AB24" i="21"/>
  <c r="AE24" i="21" s="1"/>
  <c r="AG24" i="21" s="1"/>
  <c r="GK19" i="18"/>
  <c r="GK65" i="18" s="1"/>
  <c r="EX123" i="18"/>
  <c r="GK69" i="18"/>
  <c r="DW11" i="18"/>
  <c r="X27" i="21"/>
  <c r="U28" i="21"/>
  <c r="EX55" i="18"/>
  <c r="FX63" i="18"/>
  <c r="AD25" i="21"/>
  <c r="AF25" i="21" s="1"/>
  <c r="AA26" i="21"/>
  <c r="FK35" i="18"/>
  <c r="U26" i="20"/>
  <c r="X25" i="20"/>
  <c r="AC24" i="20"/>
  <c r="AB24" i="20"/>
  <c r="AE24" i="20" s="1"/>
  <c r="AM24" i="20" s="1"/>
  <c r="Z25" i="20"/>
  <c r="AA36" i="20"/>
  <c r="AD35" i="20"/>
  <c r="AL35" i="20" s="1"/>
  <c r="V24" i="20"/>
  <c r="Y24" i="20" s="1"/>
  <c r="T25" i="20"/>
  <c r="W25" i="20" s="1"/>
  <c r="GK103" i="18"/>
  <c r="GK57" i="18"/>
  <c r="EX136" i="18"/>
  <c r="EX90" i="18"/>
  <c r="FK112" i="18"/>
  <c r="FK66" i="18"/>
  <c r="GK102" i="18"/>
  <c r="GK56" i="18"/>
  <c r="FX89" i="18"/>
  <c r="FX135" i="18"/>
  <c r="FX81" i="18"/>
  <c r="FX127" i="18"/>
  <c r="FK119" i="18"/>
  <c r="FK73" i="18"/>
  <c r="FK81" i="18"/>
  <c r="FK127" i="18"/>
  <c r="EX91" i="18"/>
  <c r="EX83" i="18"/>
  <c r="FK99" i="18"/>
  <c r="FK53" i="18"/>
  <c r="FK126" i="18"/>
  <c r="FK80" i="18"/>
  <c r="FK69" i="18"/>
  <c r="FK115" i="18"/>
  <c r="GK99" i="18"/>
  <c r="GK53" i="18"/>
  <c r="FK88" i="18"/>
  <c r="FK134" i="18"/>
  <c r="FK135" i="18"/>
  <c r="FK89" i="18"/>
  <c r="CW19" i="18"/>
  <c r="FK77" i="18"/>
  <c r="FK123" i="18"/>
  <c r="FX119" i="18"/>
  <c r="GK111" i="18"/>
  <c r="DJ11" i="18"/>
  <c r="FK118" i="18"/>
  <c r="FK72" i="18"/>
  <c r="FK19" i="18"/>
  <c r="EX96" i="18"/>
  <c r="EX107" i="18" s="1"/>
  <c r="FX86" i="18"/>
  <c r="FX132" i="18"/>
  <c r="EX53" i="18"/>
  <c r="FX71" i="18"/>
  <c r="FX87" i="18"/>
  <c r="EZ25" i="18"/>
  <c r="FK139" i="18"/>
  <c r="FK93" i="18"/>
  <c r="EX92" i="18"/>
  <c r="FK109" i="18"/>
  <c r="FK63" i="18"/>
  <c r="GK122" i="18"/>
  <c r="GK76" i="18"/>
  <c r="FA79" i="18"/>
  <c r="FA125" i="18" s="1"/>
  <c r="FA77" i="18"/>
  <c r="FA123" i="18" s="1"/>
  <c r="FA69" i="18"/>
  <c r="EY71" i="18"/>
  <c r="FA71" i="18"/>
  <c r="FA117" i="18" s="1"/>
  <c r="FA81" i="18"/>
  <c r="FA127" i="18" s="1"/>
  <c r="FA87" i="18"/>
  <c r="EZ89" i="18"/>
  <c r="FA86" i="18"/>
  <c r="FA73" i="18"/>
  <c r="FA119" i="18" s="1"/>
  <c r="FA82" i="18"/>
  <c r="FA90" i="18"/>
  <c r="FA80" i="18"/>
  <c r="FA84" i="18"/>
  <c r="FA130" i="18" s="1"/>
  <c r="EY74" i="18"/>
  <c r="F4" i="12"/>
  <c r="AT4" i="12"/>
  <c r="L4" i="7"/>
  <c r="F4" i="7"/>
  <c r="EZ75" i="18" s="1"/>
  <c r="EZ121" i="18" s="1"/>
  <c r="F4" i="8"/>
  <c r="FA76" i="18" s="1"/>
  <c r="FA122" i="18" s="1"/>
  <c r="L4" i="1"/>
  <c r="F4" i="9"/>
  <c r="AT4" i="9"/>
  <c r="AS4" i="7"/>
  <c r="L4" i="9"/>
  <c r="AT4" i="7"/>
  <c r="L4" i="10"/>
  <c r="AT4" i="8"/>
  <c r="F6" i="4"/>
  <c r="F7" i="4" s="1"/>
  <c r="K7" i="4" s="1"/>
  <c r="L4" i="8" s="1"/>
  <c r="EZ33" i="18"/>
  <c r="EZ17" i="18"/>
  <c r="EZ46" i="18"/>
  <c r="EZ12" i="18" s="1"/>
  <c r="EZ23" i="18"/>
  <c r="EZ20" i="18"/>
  <c r="EZ32" i="18"/>
  <c r="EZ28" i="18"/>
  <c r="EZ24" i="18"/>
  <c r="FG31" i="18"/>
  <c r="EZ31" i="18"/>
  <c r="E4" i="9"/>
  <c r="FB24" i="18" s="1"/>
  <c r="AS4" i="9"/>
  <c r="L4" i="12"/>
  <c r="L4" i="11"/>
  <c r="FA20" i="18"/>
  <c r="FA28" i="18"/>
  <c r="E4" i="11"/>
  <c r="FD79" i="18" s="1"/>
  <c r="E4" i="13"/>
  <c r="FF21" i="18" s="1"/>
  <c r="F4" i="11"/>
  <c r="FD83" i="18" s="1"/>
  <c r="FD129" i="18" s="1"/>
  <c r="AT4" i="11"/>
  <c r="F4" i="13"/>
  <c r="AT4" i="13"/>
  <c r="E4" i="14"/>
  <c r="E4" i="12"/>
  <c r="FE47" i="18" s="1"/>
  <c r="FE13" i="18" s="1"/>
  <c r="L4" i="14"/>
  <c r="L4" i="15"/>
  <c r="F4" i="10"/>
  <c r="FC74" i="18" s="1"/>
  <c r="FC120" i="18" s="1"/>
  <c r="AT4" i="10"/>
  <c r="FC34" i="18"/>
  <c r="FC10" i="18" s="1"/>
  <c r="FA34" i="18"/>
  <c r="FA10" i="18" s="1"/>
  <c r="EZ34" i="18"/>
  <c r="EZ10" i="18" s="1"/>
  <c r="FD34" i="18"/>
  <c r="FD10" i="18" s="1"/>
  <c r="FD44" i="18"/>
  <c r="FD18" i="18"/>
  <c r="I4" i="12"/>
  <c r="L4" i="13"/>
  <c r="FC36" i="18"/>
  <c r="FA36" i="18"/>
  <c r="EZ36" i="18"/>
  <c r="FD36" i="18"/>
  <c r="FX12" i="18"/>
  <c r="GK12" i="18"/>
  <c r="GK29" i="18"/>
  <c r="EJ29" i="18"/>
  <c r="EX38" i="18"/>
  <c r="FK38" i="18"/>
  <c r="DJ22" i="18"/>
  <c r="GK22" i="18"/>
  <c r="F4" i="14"/>
  <c r="AT4" i="14"/>
  <c r="F4" i="15"/>
  <c r="FH83" i="18" s="1"/>
  <c r="AT4" i="15"/>
  <c r="FC38" i="18"/>
  <c r="FA38" i="18"/>
  <c r="EZ38" i="18"/>
  <c r="FD38" i="18"/>
  <c r="H4" i="14"/>
  <c r="E4" i="15"/>
  <c r="FH19" i="18" s="1"/>
  <c r="FC24" i="18"/>
  <c r="FA24" i="18"/>
  <c r="FC32" i="18"/>
  <c r="FA32" i="18"/>
  <c r="FC46" i="18"/>
  <c r="FC12" i="18" s="1"/>
  <c r="FB46" i="18"/>
  <c r="FB12" i="18" s="1"/>
  <c r="FA46" i="18"/>
  <c r="FA12" i="18" s="1"/>
  <c r="FA42" i="18"/>
  <c r="FA40" i="18"/>
  <c r="EZ29" i="18"/>
  <c r="FA26" i="18"/>
  <c r="EZ21" i="18"/>
  <c r="FA18" i="18"/>
  <c r="FH42" i="18"/>
  <c r="EZ19" i="18"/>
  <c r="FC22" i="18"/>
  <c r="FC9" i="18" s="1"/>
  <c r="EZ22" i="18"/>
  <c r="EZ9" i="18" s="1"/>
  <c r="EZ27" i="18"/>
  <c r="FC30" i="18"/>
  <c r="EZ30" i="18"/>
  <c r="I4" i="15"/>
  <c r="FA22" i="18"/>
  <c r="FA9" i="18" s="1"/>
  <c r="FH28" i="18"/>
  <c r="FA30" i="18"/>
  <c r="FC44" i="18"/>
  <c r="FA44" i="18"/>
  <c r="EZ44" i="18"/>
  <c r="FC18" i="18"/>
  <c r="FC26" i="18"/>
  <c r="FC40" i="18"/>
  <c r="FC42" i="18"/>
  <c r="EZ18" i="18"/>
  <c r="EZ26" i="18"/>
  <c r="EZ40" i="18"/>
  <c r="EZ42" i="18"/>
  <c r="FC20" i="18"/>
  <c r="FC28" i="18"/>
  <c r="EJ32" i="18"/>
  <c r="EJ24" i="18"/>
  <c r="DJ32" i="18"/>
  <c r="FX7" i="18"/>
  <c r="EJ26" i="18"/>
  <c r="EJ23" i="18"/>
  <c r="DW27" i="18"/>
  <c r="DW30" i="18"/>
  <c r="GK32" i="18"/>
  <c r="GK33" i="18"/>
  <c r="DW37" i="18"/>
  <c r="EJ39" i="18"/>
  <c r="DW40" i="18"/>
  <c r="EJ44" i="18"/>
  <c r="FX10" i="18"/>
  <c r="FX22" i="18"/>
  <c r="FX30" i="18"/>
  <c r="FX38" i="18"/>
  <c r="FX46" i="18"/>
  <c r="FK8" i="18"/>
  <c r="FK12" i="18"/>
  <c r="EX11" i="18"/>
  <c r="DJ18" i="18"/>
  <c r="DW21" i="18"/>
  <c r="CW23" i="18"/>
  <c r="GK24" i="18"/>
  <c r="GK26" i="18"/>
  <c r="EJ30" i="18"/>
  <c r="CW32" i="18"/>
  <c r="EJ37" i="18"/>
  <c r="EJ40" i="18"/>
  <c r="FX11" i="18"/>
  <c r="FX20" i="18"/>
  <c r="FX28" i="18"/>
  <c r="FX36" i="18"/>
  <c r="FX44" i="18"/>
  <c r="FK9" i="18"/>
  <c r="FK13" i="18"/>
  <c r="EX10" i="18"/>
  <c r="EX12" i="18"/>
  <c r="EX17" i="18"/>
  <c r="EX20" i="18"/>
  <c r="EX21" i="18"/>
  <c r="EX24" i="18"/>
  <c r="EX25" i="18"/>
  <c r="EX28" i="18"/>
  <c r="EX29" i="18"/>
  <c r="EX32" i="18"/>
  <c r="EX33" i="18"/>
  <c r="GK39" i="18"/>
  <c r="FX33" i="18"/>
  <c r="FK39" i="18"/>
  <c r="CW8" i="18"/>
  <c r="DJ19" i="18"/>
  <c r="DW22" i="18"/>
  <c r="CW26" i="18"/>
  <c r="CW29" i="18"/>
  <c r="GK37" i="18"/>
  <c r="CW39" i="18"/>
  <c r="GK40" i="18"/>
  <c r="EJ46" i="18"/>
  <c r="FX23" i="18"/>
  <c r="FX31" i="18"/>
  <c r="FX39" i="18"/>
  <c r="FX47" i="18"/>
  <c r="FK24" i="18"/>
  <c r="FK28" i="18"/>
  <c r="FK32" i="18"/>
  <c r="FK36" i="18"/>
  <c r="FK40" i="18"/>
  <c r="FK44" i="18"/>
  <c r="EX40" i="18"/>
  <c r="EX41" i="18"/>
  <c r="GK21" i="18"/>
  <c r="DJ23" i="18"/>
  <c r="CW24" i="18"/>
  <c r="CW30" i="18"/>
  <c r="DJ33" i="18"/>
  <c r="CW37" i="18"/>
  <c r="CW40" i="18"/>
  <c r="EJ41" i="18"/>
  <c r="EJ42" i="18"/>
  <c r="CW44" i="18"/>
  <c r="FX8" i="18"/>
  <c r="FX18" i="18"/>
  <c r="FX26" i="18"/>
  <c r="FX34" i="18"/>
  <c r="FX42" i="18"/>
  <c r="FK10" i="18"/>
  <c r="EX8" i="18"/>
  <c r="EX43" i="18"/>
  <c r="EX39" i="18"/>
  <c r="DJ8" i="18"/>
  <c r="EJ18" i="18"/>
  <c r="EJ22" i="18"/>
  <c r="DJ26" i="18"/>
  <c r="CW27" i="18"/>
  <c r="DJ28" i="18"/>
  <c r="DJ29" i="18"/>
  <c r="GK41" i="18"/>
  <c r="FX21" i="18"/>
  <c r="FX29" i="18"/>
  <c r="FX37" i="18"/>
  <c r="FX45" i="18"/>
  <c r="FK21" i="18"/>
  <c r="FK25" i="18"/>
  <c r="FK29" i="18"/>
  <c r="FK33" i="18"/>
  <c r="FK37" i="18"/>
  <c r="FK41" i="18"/>
  <c r="FK45" i="18"/>
  <c r="EX34" i="18"/>
  <c r="EX35" i="18"/>
  <c r="EX42" i="18"/>
  <c r="EJ8" i="18"/>
  <c r="GK18" i="18"/>
  <c r="DW23" i="18"/>
  <c r="DJ25" i="18"/>
  <c r="DJ30" i="18"/>
  <c r="FX9" i="18"/>
  <c r="FX13" i="18"/>
  <c r="FX24" i="18"/>
  <c r="FX32" i="18"/>
  <c r="FK11" i="18"/>
  <c r="EX18" i="18"/>
  <c r="EX19" i="18"/>
  <c r="EX22" i="18"/>
  <c r="EX26" i="18"/>
  <c r="EX27" i="18"/>
  <c r="EX30" i="18"/>
  <c r="EX47" i="18"/>
  <c r="CW11" i="18"/>
  <c r="EJ19" i="18"/>
  <c r="CW22" i="18"/>
  <c r="DW26" i="18"/>
  <c r="DW29" i="18"/>
  <c r="EJ33" i="18"/>
  <c r="DJ36" i="18"/>
  <c r="FX19" i="18"/>
  <c r="FK18" i="18"/>
  <c r="FK22" i="18"/>
  <c r="FK30" i="18"/>
  <c r="FK46" i="18"/>
  <c r="EX13" i="18"/>
  <c r="EX36" i="18"/>
  <c r="FA17" i="18"/>
  <c r="FA19" i="18"/>
  <c r="FA21" i="18"/>
  <c r="FA23" i="18"/>
  <c r="FA25" i="18"/>
  <c r="FA27" i="18"/>
  <c r="FA29" i="18"/>
  <c r="FA31" i="18"/>
  <c r="FA33" i="18"/>
  <c r="FA35" i="18"/>
  <c r="FA37" i="18"/>
  <c r="FA39" i="18"/>
  <c r="FA41" i="18"/>
  <c r="FA11" i="18" s="1"/>
  <c r="FA43" i="18"/>
  <c r="FA45" i="18"/>
  <c r="FA8" i="18" s="1"/>
  <c r="FA47" i="18"/>
  <c r="FA13" i="18" s="1"/>
  <c r="FB27" i="18"/>
  <c r="FB29" i="18"/>
  <c r="FF42" i="18"/>
  <c r="FB43" i="18"/>
  <c r="FC17" i="18"/>
  <c r="FC19" i="18"/>
  <c r="FG20" i="18"/>
  <c r="FC21" i="18"/>
  <c r="FC23" i="18"/>
  <c r="FC25" i="18"/>
  <c r="FC27" i="18"/>
  <c r="FC29" i="18"/>
  <c r="FC31" i="18"/>
  <c r="FC33" i="18"/>
  <c r="FG34" i="18"/>
  <c r="FG10" i="18" s="1"/>
  <c r="FC35" i="18"/>
  <c r="FC37" i="18"/>
  <c r="FC39" i="18"/>
  <c r="FG40" i="18"/>
  <c r="FC41" i="18"/>
  <c r="FC11" i="18" s="1"/>
  <c r="FC43" i="18"/>
  <c r="FC45" i="18"/>
  <c r="FC8" i="18" s="1"/>
  <c r="FG46" i="18"/>
  <c r="FG12" i="18" s="1"/>
  <c r="FC47" i="18"/>
  <c r="FC13" i="18" s="1"/>
  <c r="FD17" i="18"/>
  <c r="FD19" i="18"/>
  <c r="FD21" i="18"/>
  <c r="FD23" i="18"/>
  <c r="FD25" i="18"/>
  <c r="FD27" i="18"/>
  <c r="FD29" i="18"/>
  <c r="FD31" i="18"/>
  <c r="FD33" i="18"/>
  <c r="FD35" i="18"/>
  <c r="FD37" i="18"/>
  <c r="FD39" i="18"/>
  <c r="FD41" i="18"/>
  <c r="FD11" i="18" s="1"/>
  <c r="FD43" i="18"/>
  <c r="FD45" i="18"/>
  <c r="FD8" i="18" s="1"/>
  <c r="FD47" i="18"/>
  <c r="FD13" i="18" s="1"/>
  <c r="FE31" i="18"/>
  <c r="FF43" i="18"/>
  <c r="EY21" i="18"/>
  <c r="FG39" i="18"/>
  <c r="FG41" i="18"/>
  <c r="FG11" i="18" s="1"/>
  <c r="EZ35" i="18"/>
  <c r="EZ37" i="18"/>
  <c r="EZ39" i="18"/>
  <c r="EZ41" i="18"/>
  <c r="EZ11" i="18" s="1"/>
  <c r="EZ43" i="18"/>
  <c r="EZ45" i="18"/>
  <c r="EZ8" i="18" s="1"/>
  <c r="EZ47" i="18"/>
  <c r="EZ13" i="18" s="1"/>
  <c r="CW7" i="18"/>
  <c r="DW10" i="18"/>
  <c r="DJ12" i="18"/>
  <c r="DW17" i="18"/>
  <c r="CW17" i="18"/>
  <c r="GK17" i="18"/>
  <c r="DJ17" i="18"/>
  <c r="DJ9" i="18"/>
  <c r="EJ9" i="18"/>
  <c r="DW9" i="18"/>
  <c r="GK9" i="18"/>
  <c r="EJ12" i="18"/>
  <c r="EJ17" i="18"/>
  <c r="DW20" i="18"/>
  <c r="CW20" i="18"/>
  <c r="GK20" i="18"/>
  <c r="DJ20" i="18"/>
  <c r="DJ10" i="18"/>
  <c r="EJ20" i="18"/>
  <c r="DW12" i="18"/>
  <c r="EJ21" i="18"/>
  <c r="CW13" i="18"/>
  <c r="DW13" i="18"/>
  <c r="DJ13" i="18"/>
  <c r="EJ10" i="18"/>
  <c r="CW10" i="18"/>
  <c r="DJ7" i="18"/>
  <c r="EJ7" i="18"/>
  <c r="CW9" i="18"/>
  <c r="CW12" i="18"/>
  <c r="GK13" i="18"/>
  <c r="DJ21" i="18"/>
  <c r="DJ27" i="18"/>
  <c r="EJ27" i="18"/>
  <c r="GK27" i="18"/>
  <c r="DJ43" i="18"/>
  <c r="DW43" i="18"/>
  <c r="CW43" i="18"/>
  <c r="GK43" i="18"/>
  <c r="EJ31" i="18"/>
  <c r="EJ34" i="18"/>
  <c r="DW45" i="18"/>
  <c r="CW45" i="18"/>
  <c r="DJ45" i="18"/>
  <c r="EJ45" i="18"/>
  <c r="EJ11" i="18"/>
  <c r="CW18" i="18"/>
  <c r="EJ25" i="18"/>
  <c r="EJ28" i="18"/>
  <c r="DJ31" i="18"/>
  <c r="CW33" i="18"/>
  <c r="DJ34" i="18"/>
  <c r="GK35" i="18"/>
  <c r="EJ36" i="18"/>
  <c r="GK38" i="18"/>
  <c r="DW41" i="18"/>
  <c r="GK42" i="18"/>
  <c r="CW35" i="18"/>
  <c r="DW35" i="18"/>
  <c r="CW38" i="18"/>
  <c r="DW38" i="18"/>
  <c r="GK8" i="18"/>
  <c r="DJ24" i="18"/>
  <c r="GK31" i="18"/>
  <c r="GK34" i="18"/>
  <c r="DJ39" i="18"/>
  <c r="CW42" i="18"/>
  <c r="GK45" i="18"/>
  <c r="GK25" i="18"/>
  <c r="GK28" i="18"/>
  <c r="CW31" i="18"/>
  <c r="DW31" i="18"/>
  <c r="CW34" i="18"/>
  <c r="DW34" i="18"/>
  <c r="EJ35" i="18"/>
  <c r="GK36" i="18"/>
  <c r="EJ38" i="18"/>
  <c r="CW25" i="18"/>
  <c r="CW28" i="18"/>
  <c r="DJ35" i="18"/>
  <c r="CW36" i="18"/>
  <c r="DJ38" i="18"/>
  <c r="DW42" i="18"/>
  <c r="EJ43" i="18"/>
  <c r="DJ44" i="18"/>
  <c r="DW44" i="18"/>
  <c r="GK44" i="18"/>
  <c r="GK46" i="18"/>
  <c r="EJ47" i="18"/>
  <c r="CW46" i="18"/>
  <c r="DW46" i="18"/>
  <c r="DJ47" i="18"/>
  <c r="GK47" i="18"/>
  <c r="DJ46" i="18"/>
  <c r="CW47" i="18"/>
  <c r="AT4" i="1"/>
  <c r="E4" i="1"/>
  <c r="EY72" i="18" s="1"/>
  <c r="F4" i="1"/>
  <c r="I14" i="4"/>
  <c r="Y4" i="14" s="1"/>
  <c r="Y4" i="1"/>
  <c r="I6" i="4"/>
  <c r="I4" i="1"/>
  <c r="K6" i="4"/>
  <c r="J4" i="13" s="1"/>
  <c r="K14" i="4"/>
  <c r="Z4" i="7" s="1"/>
  <c r="I7" i="4"/>
  <c r="K4" i="13" s="1"/>
  <c r="I24" i="4"/>
  <c r="AS4" i="15" s="1"/>
  <c r="I5" i="4"/>
  <c r="K5" i="4"/>
  <c r="F8" i="4"/>
  <c r="F34" i="4"/>
  <c r="F25" i="4"/>
  <c r="F15" i="4"/>
  <c r="AJ28" i="20" l="1"/>
  <c r="AI28" i="20"/>
  <c r="AH28" i="20"/>
  <c r="AK28" i="20" s="1"/>
  <c r="AF29" i="20"/>
  <c r="FD88" i="18"/>
  <c r="FH81" i="18"/>
  <c r="FC90" i="18"/>
  <c r="FC87" i="18"/>
  <c r="FH79" i="18"/>
  <c r="FH125" i="18" s="1"/>
  <c r="FH63" i="18"/>
  <c r="FF41" i="18"/>
  <c r="FF11" i="18" s="1"/>
  <c r="FB41" i="18"/>
  <c r="FB11" i="18" s="1"/>
  <c r="FB25" i="18"/>
  <c r="FH33" i="18"/>
  <c r="FH24" i="18"/>
  <c r="FB88" i="18"/>
  <c r="FD90" i="18"/>
  <c r="FD136" i="18" s="1"/>
  <c r="FD86" i="18"/>
  <c r="FD132" i="18" s="1"/>
  <c r="EZ91" i="18"/>
  <c r="EZ54" i="18" s="1"/>
  <c r="EZ100" i="18" s="1"/>
  <c r="FH77" i="18"/>
  <c r="FD63" i="18"/>
  <c r="FH71" i="18"/>
  <c r="EZ78" i="18"/>
  <c r="EZ124" i="18" s="1"/>
  <c r="FH88" i="18"/>
  <c r="W27" i="21"/>
  <c r="T28" i="21"/>
  <c r="V27" i="21"/>
  <c r="Y27" i="21" s="1"/>
  <c r="FC83" i="18"/>
  <c r="FC129" i="18" s="1"/>
  <c r="Z26" i="21"/>
  <c r="AC25" i="21"/>
  <c r="AB25" i="21"/>
  <c r="AE25" i="21" s="1"/>
  <c r="AG25" i="21" s="1"/>
  <c r="FF37" i="18"/>
  <c r="FH20" i="18"/>
  <c r="FB32" i="18"/>
  <c r="FC80" i="18"/>
  <c r="FC56" i="18" s="1"/>
  <c r="FC102" i="18" s="1"/>
  <c r="EZ135" i="18"/>
  <c r="FA115" i="18"/>
  <c r="FF27" i="18"/>
  <c r="FB37" i="18"/>
  <c r="FB21" i="18"/>
  <c r="FB20" i="18"/>
  <c r="FH22" i="18"/>
  <c r="FH9" i="18" s="1"/>
  <c r="FD32" i="18"/>
  <c r="FA92" i="18"/>
  <c r="FA58" i="18" s="1"/>
  <c r="FA104" i="18" s="1"/>
  <c r="FC79" i="18"/>
  <c r="FC82" i="18"/>
  <c r="FC128" i="18" s="1"/>
  <c r="FH89" i="18"/>
  <c r="FA66" i="18"/>
  <c r="FA112" i="18" s="1"/>
  <c r="FC70" i="18"/>
  <c r="FE67" i="18"/>
  <c r="FC65" i="18"/>
  <c r="FC111" i="18" s="1"/>
  <c r="FH84" i="18"/>
  <c r="AD26" i="21"/>
  <c r="AF26" i="21" s="1"/>
  <c r="AA27" i="21"/>
  <c r="U29" i="21"/>
  <c r="X28" i="21"/>
  <c r="FB28" i="18"/>
  <c r="FB92" i="18"/>
  <c r="FF25" i="18"/>
  <c r="FB35" i="18"/>
  <c r="FB19" i="18"/>
  <c r="FH43" i="18"/>
  <c r="FD92" i="18"/>
  <c r="FC76" i="18"/>
  <c r="FD82" i="18"/>
  <c r="FD128" i="18" s="1"/>
  <c r="FA89" i="18"/>
  <c r="FC66" i="18"/>
  <c r="FC112" i="18" s="1"/>
  <c r="FD70" i="18"/>
  <c r="FH67" i="18"/>
  <c r="EZ63" i="18"/>
  <c r="EZ109" i="18" s="1"/>
  <c r="FH78" i="18"/>
  <c r="FC68" i="18"/>
  <c r="FB23" i="18"/>
  <c r="FH90" i="18"/>
  <c r="FC71" i="18"/>
  <c r="FC117" i="18" s="1"/>
  <c r="EY28" i="18"/>
  <c r="EY120" i="18" s="1"/>
  <c r="FB47" i="18"/>
  <c r="FB13" i="18" s="1"/>
  <c r="FB33" i="18"/>
  <c r="FB17" i="18"/>
  <c r="FF90" i="18"/>
  <c r="FB38" i="18"/>
  <c r="FA88" i="18"/>
  <c r="FC75" i="18"/>
  <c r="FC121" i="18" s="1"/>
  <c r="FC72" i="18"/>
  <c r="FC118" i="18" s="1"/>
  <c r="FC89" i="18"/>
  <c r="FA93" i="18"/>
  <c r="FA65" i="18"/>
  <c r="FA111" i="18" s="1"/>
  <c r="EZ85" i="18"/>
  <c r="FA75" i="18"/>
  <c r="FD78" i="18"/>
  <c r="FB39" i="18"/>
  <c r="EY25" i="18"/>
  <c r="EY117" i="18" s="1"/>
  <c r="FB45" i="18"/>
  <c r="FB8" i="18" s="1"/>
  <c r="FB31" i="18"/>
  <c r="FH30" i="18"/>
  <c r="FC88" i="18"/>
  <c r="FD89" i="18"/>
  <c r="FD135" i="18" s="1"/>
  <c r="FD93" i="18"/>
  <c r="FD59" i="18" s="1"/>
  <c r="FD105" i="18" s="1"/>
  <c r="FA83" i="18"/>
  <c r="FA129" i="18" s="1"/>
  <c r="U27" i="20"/>
  <c r="X26" i="20"/>
  <c r="AC25" i="20"/>
  <c r="Z26" i="20"/>
  <c r="AB25" i="20"/>
  <c r="AE25" i="20" s="1"/>
  <c r="AM25" i="20" s="1"/>
  <c r="AA37" i="20"/>
  <c r="AD36" i="20"/>
  <c r="AL36" i="20" s="1"/>
  <c r="T26" i="20"/>
  <c r="V25" i="20"/>
  <c r="Y25" i="20" s="1"/>
  <c r="FB58" i="18"/>
  <c r="FB104" i="18" s="1"/>
  <c r="FB138" i="18"/>
  <c r="FF85" i="18"/>
  <c r="FE83" i="18"/>
  <c r="EY64" i="18"/>
  <c r="FG67" i="18"/>
  <c r="EZ90" i="18"/>
  <c r="EZ136" i="18" s="1"/>
  <c r="EZ84" i="18"/>
  <c r="EZ130" i="18" s="1"/>
  <c r="FD125" i="18"/>
  <c r="EZ68" i="18"/>
  <c r="FG63" i="18"/>
  <c r="FH134" i="18"/>
  <c r="EX120" i="18"/>
  <c r="EX74" i="18"/>
  <c r="FX58" i="18"/>
  <c r="FX104" i="18"/>
  <c r="FA56" i="18"/>
  <c r="FA102" i="18" s="1"/>
  <c r="FA126" i="18"/>
  <c r="FK128" i="18"/>
  <c r="FK82" i="18"/>
  <c r="FK58" i="18"/>
  <c r="FK104" i="18"/>
  <c r="FB84" i="18"/>
  <c r="FB130" i="18" s="1"/>
  <c r="FE79" i="18"/>
  <c r="FA138" i="18"/>
  <c r="EY84" i="18"/>
  <c r="FB90" i="18"/>
  <c r="FB82" i="18"/>
  <c r="FG77" i="18"/>
  <c r="FG123" i="18" s="1"/>
  <c r="FG72" i="18"/>
  <c r="FA132" i="18"/>
  <c r="FG78" i="18"/>
  <c r="FC57" i="18"/>
  <c r="FC103" i="18" s="1"/>
  <c r="FC133" i="18"/>
  <c r="FB91" i="18"/>
  <c r="FF88" i="18"/>
  <c r="FF134" i="18" s="1"/>
  <c r="EZ66" i="18"/>
  <c r="EZ112" i="18" s="1"/>
  <c r="FF65" i="18"/>
  <c r="FA59" i="18"/>
  <c r="FA105" i="18" s="1"/>
  <c r="FA139" i="18"/>
  <c r="EY81" i="18"/>
  <c r="FE69" i="18"/>
  <c r="FF64" i="18"/>
  <c r="EZ65" i="18"/>
  <c r="EZ111" i="18" s="1"/>
  <c r="FE92" i="18"/>
  <c r="FG37" i="18"/>
  <c r="FE43" i="18"/>
  <c r="FE27" i="18"/>
  <c r="EY46" i="18"/>
  <c r="EY12" i="18" s="1"/>
  <c r="EY40" i="18"/>
  <c r="FG32" i="18"/>
  <c r="FG26" i="18"/>
  <c r="FK110" i="18"/>
  <c r="FK64" i="18"/>
  <c r="FK103" i="18"/>
  <c r="FK57" i="18"/>
  <c r="GK64" i="18"/>
  <c r="GK110" i="18"/>
  <c r="FK125" i="18"/>
  <c r="FK79" i="18"/>
  <c r="GK87" i="18"/>
  <c r="GK133" i="18"/>
  <c r="EX85" i="18"/>
  <c r="EX131" i="18"/>
  <c r="FX54" i="18"/>
  <c r="FX100" i="18"/>
  <c r="FK124" i="18"/>
  <c r="FK78" i="18"/>
  <c r="GK86" i="18"/>
  <c r="GK132" i="18"/>
  <c r="FK131" i="18"/>
  <c r="FK85" i="18"/>
  <c r="EX116" i="18"/>
  <c r="EX70" i="18"/>
  <c r="FX90" i="18"/>
  <c r="FX136" i="18"/>
  <c r="FK100" i="18"/>
  <c r="FK54" i="18"/>
  <c r="FX53" i="18"/>
  <c r="FX99" i="18"/>
  <c r="FG29" i="18"/>
  <c r="FH45" i="18"/>
  <c r="FH8" i="18" s="1"/>
  <c r="FB44" i="18"/>
  <c r="FH47" i="18"/>
  <c r="FH13" i="18" s="1"/>
  <c r="FG27" i="18"/>
  <c r="FG19" i="18"/>
  <c r="FD40" i="18"/>
  <c r="FB80" i="18"/>
  <c r="FE78" i="18"/>
  <c r="FC92" i="18"/>
  <c r="FG84" i="18"/>
  <c r="FD80" i="18"/>
  <c r="FE90" i="18"/>
  <c r="FE82" i="18"/>
  <c r="FG76" i="18"/>
  <c r="FH86" i="18"/>
  <c r="FC86" i="18"/>
  <c r="FC132" i="18" s="1"/>
  <c r="FF89" i="18"/>
  <c r="FF135" i="18" s="1"/>
  <c r="FE87" i="18"/>
  <c r="FD87" i="18"/>
  <c r="FF91" i="18"/>
  <c r="FE84" i="18"/>
  <c r="FH66" i="18"/>
  <c r="FH112" i="18" s="1"/>
  <c r="FB93" i="18"/>
  <c r="FC93" i="18"/>
  <c r="FG81" i="18"/>
  <c r="FG70" i="18"/>
  <c r="EY67" i="18"/>
  <c r="EY113" i="18" s="1"/>
  <c r="FH87" i="18"/>
  <c r="EZ64" i="18"/>
  <c r="EZ110" i="18" s="1"/>
  <c r="FE85" i="18"/>
  <c r="EZ67" i="18"/>
  <c r="EZ113" i="18" s="1"/>
  <c r="FH85" i="18"/>
  <c r="EZ83" i="18"/>
  <c r="EZ129" i="18" s="1"/>
  <c r="FE80" i="18"/>
  <c r="FD71" i="18"/>
  <c r="FD117" i="18" s="1"/>
  <c r="FG64" i="18"/>
  <c r="FA72" i="18"/>
  <c r="FA118" i="18" s="1"/>
  <c r="FF79" i="18"/>
  <c r="FF92" i="18"/>
  <c r="EZ92" i="18"/>
  <c r="FH92" i="18"/>
  <c r="EZ86" i="18"/>
  <c r="EZ132" i="18" s="1"/>
  <c r="FH68" i="18"/>
  <c r="FB63" i="18"/>
  <c r="FB109" i="18" s="1"/>
  <c r="FF66" i="18"/>
  <c r="FX121" i="18"/>
  <c r="FX75" i="18"/>
  <c r="FG93" i="18"/>
  <c r="FD124" i="18"/>
  <c r="GK73" i="18"/>
  <c r="GK119" i="18"/>
  <c r="GK101" i="18"/>
  <c r="GK55" i="18"/>
  <c r="FE29" i="18"/>
  <c r="FE20" i="18"/>
  <c r="EX117" i="18"/>
  <c r="EX71" i="18"/>
  <c r="FE41" i="18"/>
  <c r="FE11" i="18" s="1"/>
  <c r="FE26" i="18"/>
  <c r="FX82" i="18"/>
  <c r="FX128" i="18"/>
  <c r="EY79" i="18"/>
  <c r="FC125" i="18"/>
  <c r="FG75" i="18"/>
  <c r="FG121" i="18" s="1"/>
  <c r="EZ87" i="18"/>
  <c r="EZ74" i="18"/>
  <c r="EZ120" i="18" s="1"/>
  <c r="FD109" i="18"/>
  <c r="FF80" i="18"/>
  <c r="EY85" i="18"/>
  <c r="EZ76" i="18"/>
  <c r="EZ122" i="18" s="1"/>
  <c r="FF69" i="18"/>
  <c r="FB64" i="18"/>
  <c r="EZ73" i="18"/>
  <c r="EZ119" i="18" s="1"/>
  <c r="FF84" i="18"/>
  <c r="FB72" i="18"/>
  <c r="FF72" i="18"/>
  <c r="FF74" i="18"/>
  <c r="FC55" i="18"/>
  <c r="FC101" i="18" s="1"/>
  <c r="FC114" i="18"/>
  <c r="EY68" i="18"/>
  <c r="FB70" i="18"/>
  <c r="FB116" i="18" s="1"/>
  <c r="FK86" i="18"/>
  <c r="FK132" i="18"/>
  <c r="EX103" i="18"/>
  <c r="EX57" i="18"/>
  <c r="FG73" i="18"/>
  <c r="FE70" i="18"/>
  <c r="FE36" i="18"/>
  <c r="FK129" i="18"/>
  <c r="FK83" i="18"/>
  <c r="FG47" i="18"/>
  <c r="FG13" i="18" s="1"/>
  <c r="FE25" i="18"/>
  <c r="FE42" i="18"/>
  <c r="EX93" i="18"/>
  <c r="EX139" i="18"/>
  <c r="FX125" i="18"/>
  <c r="FX79" i="18"/>
  <c r="FX138" i="18"/>
  <c r="FX92" i="18"/>
  <c r="FK130" i="18"/>
  <c r="FK84" i="18"/>
  <c r="FF82" i="18"/>
  <c r="FH135" i="18"/>
  <c r="EY91" i="18"/>
  <c r="FE93" i="18"/>
  <c r="GK138" i="18"/>
  <c r="GK92" i="18"/>
  <c r="GK77" i="18"/>
  <c r="GK123" i="18"/>
  <c r="GK112" i="18"/>
  <c r="GK66" i="18"/>
  <c r="FG45" i="18"/>
  <c r="FG8" i="18" s="1"/>
  <c r="FG35" i="18"/>
  <c r="FE39" i="18"/>
  <c r="FE23" i="18"/>
  <c r="FG44" i="18"/>
  <c r="FG38" i="18"/>
  <c r="FG30" i="18"/>
  <c r="FG24" i="18"/>
  <c r="EX122" i="18"/>
  <c r="EX76" i="18"/>
  <c r="FX70" i="18"/>
  <c r="FX116" i="18"/>
  <c r="EX134" i="18"/>
  <c r="EX88" i="18"/>
  <c r="FK117" i="18"/>
  <c r="FK71" i="18"/>
  <c r="EX54" i="18"/>
  <c r="EX100" i="18"/>
  <c r="GK113" i="18"/>
  <c r="GK67" i="18"/>
  <c r="FK116" i="18"/>
  <c r="FK70" i="18"/>
  <c r="GK129" i="18"/>
  <c r="GK83" i="18"/>
  <c r="GK131" i="18"/>
  <c r="GK85" i="18"/>
  <c r="EX112" i="18"/>
  <c r="EX66" i="18"/>
  <c r="FX74" i="18"/>
  <c r="FX120" i="18"/>
  <c r="GK116" i="18"/>
  <c r="GK70" i="18"/>
  <c r="FX130" i="18"/>
  <c r="FX84" i="18"/>
  <c r="GK79" i="18"/>
  <c r="GK125" i="18"/>
  <c r="FG21" i="18"/>
  <c r="FB40" i="18"/>
  <c r="FH32" i="18"/>
  <c r="FH124" i="18" s="1"/>
  <c r="FD46" i="18"/>
  <c r="FD24" i="18"/>
  <c r="FG23" i="18"/>
  <c r="EX130" i="18"/>
  <c r="EX84" i="18"/>
  <c r="FB36" i="18"/>
  <c r="FD28" i="18"/>
  <c r="EY78" i="18"/>
  <c r="FE76" i="18"/>
  <c r="EY88" i="18"/>
  <c r="FC84" i="18"/>
  <c r="FC130" i="18" s="1"/>
  <c r="FC78" i="18"/>
  <c r="FC124" i="18" s="1"/>
  <c r="EY90" i="18"/>
  <c r="EY82" i="18"/>
  <c r="FG74" i="18"/>
  <c r="FB86" i="18"/>
  <c r="FB132" i="18" s="1"/>
  <c r="FG79" i="18"/>
  <c r="EY89" i="18"/>
  <c r="FB87" i="18"/>
  <c r="FH69" i="18"/>
  <c r="FG91" i="18"/>
  <c r="FF71" i="18"/>
  <c r="FD66" i="18"/>
  <c r="EZ93" i="18"/>
  <c r="FB81" i="18"/>
  <c r="FC81" i="18"/>
  <c r="FC127" i="18" s="1"/>
  <c r="FA70" i="18"/>
  <c r="FA116" i="18" s="1"/>
  <c r="FA64" i="18"/>
  <c r="FA110" i="18" s="1"/>
  <c r="FH80" i="18"/>
  <c r="FB89" i="18"/>
  <c r="FB135" i="18" s="1"/>
  <c r="FF76" i="18"/>
  <c r="FC67" i="18"/>
  <c r="FC113" i="18" s="1"/>
  <c r="FG85" i="18"/>
  <c r="FG131" i="18" s="1"/>
  <c r="FF83" i="18"/>
  <c r="FF129" i="18" s="1"/>
  <c r="FE72" i="18"/>
  <c r="FE118" i="18" s="1"/>
  <c r="FB68" i="18"/>
  <c r="FC64" i="18"/>
  <c r="FC110" i="18" s="1"/>
  <c r="FE88" i="18"/>
  <c r="FD74" i="18"/>
  <c r="FD120" i="18" s="1"/>
  <c r="FB74" i="18"/>
  <c r="FB120" i="18" s="1"/>
  <c r="FH74" i="18"/>
  <c r="FH120" i="18" s="1"/>
  <c r="FB79" i="18"/>
  <c r="FB125" i="18" s="1"/>
  <c r="FG71" i="18"/>
  <c r="FD68" i="18"/>
  <c r="FH65" i="18"/>
  <c r="FH111" i="18" s="1"/>
  <c r="EY63" i="18"/>
  <c r="GK137" i="18"/>
  <c r="GK91" i="18"/>
  <c r="EX65" i="18"/>
  <c r="EX111" i="18"/>
  <c r="FX72" i="18"/>
  <c r="FX118" i="18"/>
  <c r="FK105" i="18"/>
  <c r="FK59" i="18"/>
  <c r="FG86" i="18"/>
  <c r="FG132" i="18" s="1"/>
  <c r="EZ131" i="18"/>
  <c r="FB66" i="18"/>
  <c r="FB112" i="18" s="1"/>
  <c r="FE28" i="18"/>
  <c r="EX110" i="18"/>
  <c r="EX64" i="18"/>
  <c r="FX110" i="18"/>
  <c r="FX64" i="18"/>
  <c r="FK101" i="18"/>
  <c r="FK55" i="18"/>
  <c r="GK68" i="18"/>
  <c r="GK114" i="18"/>
  <c r="EY37" i="18"/>
  <c r="FE18" i="18"/>
  <c r="FX78" i="18"/>
  <c r="FX124" i="18"/>
  <c r="FK120" i="18"/>
  <c r="FK74" i="18"/>
  <c r="EX113" i="18"/>
  <c r="EX67" i="18"/>
  <c r="FE77" i="18"/>
  <c r="FE123" i="18" s="1"/>
  <c r="FD58" i="18"/>
  <c r="EZ69" i="18"/>
  <c r="EZ115" i="18" s="1"/>
  <c r="EY70" i="18"/>
  <c r="FB83" i="18"/>
  <c r="FB129" i="18" s="1"/>
  <c r="GK136" i="18"/>
  <c r="GK90" i="18"/>
  <c r="GK130" i="18"/>
  <c r="GK84" i="18"/>
  <c r="GK89" i="18"/>
  <c r="GK135" i="18"/>
  <c r="GK105" i="18"/>
  <c r="GK59" i="18"/>
  <c r="EZ7" i="18"/>
  <c r="EY45" i="18"/>
  <c r="EY8" i="18" s="1"/>
  <c r="EY35" i="18"/>
  <c r="FE37" i="18"/>
  <c r="FE21" i="18"/>
  <c r="EY44" i="18"/>
  <c r="EY30" i="18"/>
  <c r="EY24" i="18"/>
  <c r="FE40" i="18"/>
  <c r="FE32" i="18"/>
  <c r="FE24" i="18"/>
  <c r="EX128" i="18"/>
  <c r="EX82" i="18"/>
  <c r="EX73" i="18"/>
  <c r="EX119" i="18"/>
  <c r="FX59" i="18"/>
  <c r="FX105" i="18"/>
  <c r="EX81" i="18"/>
  <c r="EX127" i="18"/>
  <c r="FK113" i="18"/>
  <c r="FK67" i="18"/>
  <c r="FK102" i="18"/>
  <c r="FK56" i="18"/>
  <c r="EX133" i="18"/>
  <c r="EX87" i="18"/>
  <c r="FX93" i="18"/>
  <c r="FX139" i="18"/>
  <c r="EX125" i="18"/>
  <c r="EX79" i="18"/>
  <c r="EX109" i="18"/>
  <c r="EX63" i="18"/>
  <c r="FX66" i="18"/>
  <c r="FX112" i="18"/>
  <c r="FX122" i="18"/>
  <c r="FX76" i="18"/>
  <c r="GK124" i="18"/>
  <c r="GK78" i="18"/>
  <c r="FG25" i="18"/>
  <c r="FD22" i="18"/>
  <c r="FD9" i="18" s="1"/>
  <c r="FD26" i="18"/>
  <c r="FH39" i="18"/>
  <c r="EY77" i="18"/>
  <c r="FE75" i="18"/>
  <c r="FE121" i="18" s="1"/>
  <c r="FG88" i="18"/>
  <c r="FD84" i="18"/>
  <c r="FD130" i="18" s="1"/>
  <c r="FC77" i="18"/>
  <c r="FC123" i="18" s="1"/>
  <c r="FG90" i="18"/>
  <c r="FG82" i="18"/>
  <c r="FB73" i="18"/>
  <c r="FB119" i="18" s="1"/>
  <c r="FE86" i="18"/>
  <c r="FH73" i="18"/>
  <c r="FG89" i="18"/>
  <c r="FF87" i="18"/>
  <c r="FC69" i="18"/>
  <c r="FC115" i="18" s="1"/>
  <c r="FA91" i="18"/>
  <c r="FA67" i="18"/>
  <c r="FA113" i="18" s="1"/>
  <c r="FD65" i="18"/>
  <c r="FD111" i="18" s="1"/>
  <c r="FF93" i="18"/>
  <c r="FE81" i="18"/>
  <c r="FD81" i="18"/>
  <c r="FD127" i="18" s="1"/>
  <c r="EZ70" i="18"/>
  <c r="EZ116" i="18" s="1"/>
  <c r="FE63" i="18"/>
  <c r="FA78" i="18"/>
  <c r="FA124" i="18" s="1"/>
  <c r="FH82" i="18"/>
  <c r="FD73" i="18"/>
  <c r="FD119" i="18" s="1"/>
  <c r="FD67" i="18"/>
  <c r="FD113" i="18" s="1"/>
  <c r="FA85" i="18"/>
  <c r="FA131" i="18" s="1"/>
  <c r="EY83" i="18"/>
  <c r="FB71" i="18"/>
  <c r="FB117" i="18" s="1"/>
  <c r="EY65" i="18"/>
  <c r="FA63" i="18"/>
  <c r="FA109" i="18" s="1"/>
  <c r="FF73" i="18"/>
  <c r="FF119" i="18" s="1"/>
  <c r="FD75" i="18"/>
  <c r="FD121" i="18" s="1"/>
  <c r="FB75" i="18"/>
  <c r="FB121" i="18" s="1"/>
  <c r="FH75" i="18"/>
  <c r="EZ80" i="18"/>
  <c r="EY69" i="18"/>
  <c r="FF67" i="18"/>
  <c r="FF113" i="18" s="1"/>
  <c r="FH91" i="18"/>
  <c r="FK122" i="18"/>
  <c r="FK76" i="18"/>
  <c r="FG92" i="18"/>
  <c r="FB67" i="18"/>
  <c r="FB113" i="18" s="1"/>
  <c r="FG68" i="18"/>
  <c r="FE45" i="18"/>
  <c r="FE8" i="18" s="1"/>
  <c r="FK114" i="18"/>
  <c r="FK68" i="18"/>
  <c r="GK126" i="18"/>
  <c r="GK80" i="18"/>
  <c r="FC7" i="18"/>
  <c r="FG18" i="18"/>
  <c r="FE34" i="18"/>
  <c r="FE10" i="18" s="1"/>
  <c r="FX65" i="18"/>
  <c r="FX111" i="18"/>
  <c r="FK121" i="18"/>
  <c r="FK75" i="18"/>
  <c r="EX89" i="18"/>
  <c r="EX135" i="18"/>
  <c r="GK72" i="18"/>
  <c r="GK118" i="18"/>
  <c r="GK120" i="18"/>
  <c r="GK74" i="18"/>
  <c r="GK100" i="18"/>
  <c r="GK54" i="18"/>
  <c r="GK109" i="18"/>
  <c r="GK63" i="18"/>
  <c r="FG43" i="18"/>
  <c r="FG33" i="18"/>
  <c r="FE35" i="18"/>
  <c r="FE19" i="18"/>
  <c r="FG36" i="18"/>
  <c r="EX59" i="18"/>
  <c r="EX105" i="18"/>
  <c r="EX118" i="18"/>
  <c r="EX72" i="18"/>
  <c r="FX55" i="18"/>
  <c r="FX101" i="18"/>
  <c r="EX126" i="18"/>
  <c r="EX80" i="18"/>
  <c r="FX137" i="18"/>
  <c r="FX91" i="18"/>
  <c r="FX88" i="18"/>
  <c r="FX134" i="18"/>
  <c r="EX132" i="18"/>
  <c r="EX86" i="18"/>
  <c r="FX85" i="18"/>
  <c r="FX131" i="18"/>
  <c r="EX124" i="18"/>
  <c r="EX78" i="18"/>
  <c r="EX58" i="18"/>
  <c r="EX104" i="18"/>
  <c r="FX57" i="18"/>
  <c r="FX103" i="18"/>
  <c r="FX114" i="18"/>
  <c r="FX68" i="18"/>
  <c r="FD30" i="18"/>
  <c r="GK121" i="18"/>
  <c r="GK75" i="18"/>
  <c r="FD20" i="18"/>
  <c r="FD42" i="18"/>
  <c r="FD134" i="18" s="1"/>
  <c r="FB22" i="18"/>
  <c r="FB9" i="18" s="1"/>
  <c r="EY76" i="18"/>
  <c r="FE74" i="18"/>
  <c r="FA134" i="18"/>
  <c r="EY80" i="18"/>
  <c r="FC122" i="18"/>
  <c r="FA136" i="18"/>
  <c r="FA128" i="18"/>
  <c r="FH72" i="18"/>
  <c r="FF86" i="18"/>
  <c r="FC73" i="18"/>
  <c r="FC119" i="18" s="1"/>
  <c r="FA135" i="18"/>
  <c r="EY87" i="18"/>
  <c r="FD69" i="18"/>
  <c r="FD115" i="18" s="1"/>
  <c r="FC91" i="18"/>
  <c r="FG66" i="18"/>
  <c r="FG112" i="18" s="1"/>
  <c r="FD64" i="18"/>
  <c r="FD110" i="18" s="1"/>
  <c r="FH93" i="18"/>
  <c r="EZ81" i="18"/>
  <c r="EZ127" i="18" s="1"/>
  <c r="EZ79" i="18"/>
  <c r="EZ125" i="18" s="1"/>
  <c r="FH70" i="18"/>
  <c r="FH116" i="18" s="1"/>
  <c r="FF75" i="18"/>
  <c r="EZ77" i="18"/>
  <c r="EZ123" i="18" s="1"/>
  <c r="FD72" i="18"/>
  <c r="FD118" i="18" s="1"/>
  <c r="FG69" i="18"/>
  <c r="FC63" i="18"/>
  <c r="FC109" i="18" s="1"/>
  <c r="FC85" i="18"/>
  <c r="FC131" i="18" s="1"/>
  <c r="FG83" i="18"/>
  <c r="FE71" i="18"/>
  <c r="FE117" i="18" s="1"/>
  <c r="FG65" i="18"/>
  <c r="FG111" i="18" s="1"/>
  <c r="FF70" i="18"/>
  <c r="FA74" i="18"/>
  <c r="FA120" i="18" s="1"/>
  <c r="FD76" i="18"/>
  <c r="FB76" i="18"/>
  <c r="FH76" i="18"/>
  <c r="FH122" i="18" s="1"/>
  <c r="EZ88" i="18"/>
  <c r="EZ134" i="18" s="1"/>
  <c r="FA68" i="18"/>
  <c r="FE65" i="18"/>
  <c r="FE111" i="18" s="1"/>
  <c r="EZ82" i="18"/>
  <c r="EZ128" i="18" s="1"/>
  <c r="GK82" i="18"/>
  <c r="GK128" i="18"/>
  <c r="FK133" i="18"/>
  <c r="FK87" i="18"/>
  <c r="FX69" i="18"/>
  <c r="FX115" i="18"/>
  <c r="FA57" i="18"/>
  <c r="FA103" i="18" s="1"/>
  <c r="FA133" i="18"/>
  <c r="FE89" i="18"/>
  <c r="FE44" i="18"/>
  <c r="FX113" i="18"/>
  <c r="FX67" i="18"/>
  <c r="GK134" i="18"/>
  <c r="GK88" i="18"/>
  <c r="GK139" i="18"/>
  <c r="GK93" i="18"/>
  <c r="GK117" i="18"/>
  <c r="GK71" i="18"/>
  <c r="GK81" i="18"/>
  <c r="GK127" i="18"/>
  <c r="EY43" i="18"/>
  <c r="EY27" i="18"/>
  <c r="FE33" i="18"/>
  <c r="FE17" i="18"/>
  <c r="FG42" i="18"/>
  <c r="FG28" i="18"/>
  <c r="FG22" i="18"/>
  <c r="FG9" i="18" s="1"/>
  <c r="FE46" i="18"/>
  <c r="FE12" i="18" s="1"/>
  <c r="FE38" i="18"/>
  <c r="FE30" i="18"/>
  <c r="FE22" i="18"/>
  <c r="FE9" i="18" s="1"/>
  <c r="FE7" i="18" s="1"/>
  <c r="FK138" i="18"/>
  <c r="FK92" i="18"/>
  <c r="EX114" i="18"/>
  <c r="EX68" i="18"/>
  <c r="FK137" i="18"/>
  <c r="FK91" i="18"/>
  <c r="FX129" i="18"/>
  <c r="FX83" i="18"/>
  <c r="FX126" i="18"/>
  <c r="FX80" i="18"/>
  <c r="FK136" i="18"/>
  <c r="FK90" i="18"/>
  <c r="FX77" i="18"/>
  <c r="FX123" i="18"/>
  <c r="EX121" i="18"/>
  <c r="EX75" i="18"/>
  <c r="EX102" i="18"/>
  <c r="EX56" i="18"/>
  <c r="FX56" i="18"/>
  <c r="FX102" i="18"/>
  <c r="FG17" i="18"/>
  <c r="GK104" i="18"/>
  <c r="GK58" i="18"/>
  <c r="EY75" i="18"/>
  <c r="EY92" i="18"/>
  <c r="FC134" i="18"/>
  <c r="FG80" i="18"/>
  <c r="FC136" i="18"/>
  <c r="EY86" i="18"/>
  <c r="EY73" i="18"/>
  <c r="FC135" i="18"/>
  <c r="FG87" i="18"/>
  <c r="FE91" i="18"/>
  <c r="FD91" i="18"/>
  <c r="EY66" i="18"/>
  <c r="FF63" i="18"/>
  <c r="EY93" i="18"/>
  <c r="FF81" i="18"/>
  <c r="FB78" i="18"/>
  <c r="FC116" i="18"/>
  <c r="FB69" i="18"/>
  <c r="FB115" i="18" s="1"/>
  <c r="FE73" i="18"/>
  <c r="FE119" i="18" s="1"/>
  <c r="FH64" i="18"/>
  <c r="FE68" i="18"/>
  <c r="FB85" i="18"/>
  <c r="FB131" i="18" s="1"/>
  <c r="FD85" i="18"/>
  <c r="FD131" i="18" s="1"/>
  <c r="EZ71" i="18"/>
  <c r="EZ117" i="18" s="1"/>
  <c r="FB65" i="18"/>
  <c r="FB111" i="18" s="1"/>
  <c r="FE66" i="18"/>
  <c r="FE112" i="18" s="1"/>
  <c r="FA121" i="18"/>
  <c r="FF77" i="18"/>
  <c r="FB77" i="18"/>
  <c r="FB123" i="18" s="1"/>
  <c r="FF78" i="18"/>
  <c r="FD77" i="18"/>
  <c r="FD123" i="18" s="1"/>
  <c r="FF68" i="18"/>
  <c r="FE64" i="18"/>
  <c r="EZ72" i="18"/>
  <c r="EZ118" i="18" s="1"/>
  <c r="FK65" i="18"/>
  <c r="FK111" i="18"/>
  <c r="FG7" i="18"/>
  <c r="H4" i="1"/>
  <c r="H4" i="11"/>
  <c r="H4" i="15"/>
  <c r="H4" i="12"/>
  <c r="H4" i="9"/>
  <c r="H4" i="7"/>
  <c r="H4" i="10"/>
  <c r="H4" i="8"/>
  <c r="H4" i="13"/>
  <c r="FA7" i="18"/>
  <c r="J4" i="1"/>
  <c r="J4" i="8"/>
  <c r="J4" i="10"/>
  <c r="J4" i="11"/>
  <c r="J4" i="12"/>
  <c r="J4" i="14"/>
  <c r="J4" i="7"/>
  <c r="J4" i="9"/>
  <c r="J4" i="15"/>
  <c r="I4" i="10"/>
  <c r="I4" i="9"/>
  <c r="I4" i="14"/>
  <c r="I4" i="13"/>
  <c r="I4" i="11"/>
  <c r="I4" i="7"/>
  <c r="I4" i="8"/>
  <c r="EY23" i="18"/>
  <c r="FF39" i="18"/>
  <c r="FF23" i="18"/>
  <c r="EY34" i="18"/>
  <c r="EY10" i="18" s="1"/>
  <c r="EY18" i="18"/>
  <c r="FF30" i="18"/>
  <c r="FF22" i="18"/>
  <c r="FF9" i="18" s="1"/>
  <c r="FF7" i="18" s="1"/>
  <c r="FH26" i="18"/>
  <c r="FH35" i="18"/>
  <c r="FH127" i="18" s="1"/>
  <c r="FF34" i="18"/>
  <c r="FF10" i="18" s="1"/>
  <c r="FF24" i="18"/>
  <c r="FF36" i="18"/>
  <c r="FF28" i="18"/>
  <c r="FF20" i="18"/>
  <c r="FF32" i="18"/>
  <c r="FF38" i="18"/>
  <c r="FF18" i="18"/>
  <c r="FF40" i="18"/>
  <c r="EY19" i="18"/>
  <c r="FF35" i="18"/>
  <c r="FF19" i="18"/>
  <c r="EY38" i="18"/>
  <c r="EY22" i="18"/>
  <c r="EY9" i="18" s="1"/>
  <c r="EY41" i="18"/>
  <c r="EY11" i="18" s="1"/>
  <c r="EY33" i="18"/>
  <c r="EY17" i="18"/>
  <c r="FF33" i="18"/>
  <c r="FF17" i="18"/>
  <c r="EY32" i="18"/>
  <c r="FF46" i="18"/>
  <c r="FF12" i="18" s="1"/>
  <c r="G4" i="1"/>
  <c r="G4" i="10"/>
  <c r="G4" i="13"/>
  <c r="G4" i="12"/>
  <c r="G4" i="7"/>
  <c r="G4" i="9"/>
  <c r="G4" i="15"/>
  <c r="G4" i="14"/>
  <c r="G4" i="11"/>
  <c r="G4" i="8"/>
  <c r="AS4" i="1"/>
  <c r="AS4" i="8"/>
  <c r="AS4" i="11"/>
  <c r="AS4" i="13"/>
  <c r="AS4" i="12"/>
  <c r="AS4" i="14"/>
  <c r="AS4" i="10"/>
  <c r="EY31" i="18"/>
  <c r="FF47" i="18"/>
  <c r="FF13" i="18" s="1"/>
  <c r="FF31" i="18"/>
  <c r="EY42" i="18"/>
  <c r="EY26" i="18"/>
  <c r="EY118" i="18" s="1"/>
  <c r="FH40" i="18"/>
  <c r="FH18" i="18"/>
  <c r="FH17" i="18"/>
  <c r="FH109" i="18" s="1"/>
  <c r="FH44" i="18"/>
  <c r="FH25" i="18"/>
  <c r="FH117" i="18" s="1"/>
  <c r="FH31" i="18"/>
  <c r="FH36" i="18"/>
  <c r="FH46" i="18"/>
  <c r="FH12" i="18" s="1"/>
  <c r="FH21" i="18"/>
  <c r="FH113" i="18" s="1"/>
  <c r="FH38" i="18"/>
  <c r="FH37" i="18"/>
  <c r="FH129" i="18" s="1"/>
  <c r="FH34" i="18"/>
  <c r="FH10" i="18" s="1"/>
  <c r="FH41" i="18"/>
  <c r="FH11" i="18" s="1"/>
  <c r="FH23" i="18"/>
  <c r="FH27" i="18"/>
  <c r="FH29" i="18"/>
  <c r="FF26" i="18"/>
  <c r="Y4" i="7"/>
  <c r="Y4" i="13"/>
  <c r="Y4" i="10"/>
  <c r="Y4" i="9"/>
  <c r="Y4" i="11"/>
  <c r="Y4" i="12"/>
  <c r="Y4" i="8"/>
  <c r="K4" i="1"/>
  <c r="K4" i="7"/>
  <c r="K4" i="14"/>
  <c r="K4" i="15"/>
  <c r="K4" i="8"/>
  <c r="K4" i="9"/>
  <c r="K4" i="12"/>
  <c r="K4" i="10"/>
  <c r="K4" i="11"/>
  <c r="Z4" i="1"/>
  <c r="Z4" i="8"/>
  <c r="Z4" i="15"/>
  <c r="Z4" i="10"/>
  <c r="Z4" i="14"/>
  <c r="Z4" i="12"/>
  <c r="Z4" i="9"/>
  <c r="Z4" i="11"/>
  <c r="Z4" i="13"/>
  <c r="EY47" i="18"/>
  <c r="EY13" i="18" s="1"/>
  <c r="EY39" i="18"/>
  <c r="EY29" i="18"/>
  <c r="FF45" i="18"/>
  <c r="FF8" i="18" s="1"/>
  <c r="FF29" i="18"/>
  <c r="EY36" i="18"/>
  <c r="EY20" i="18"/>
  <c r="Y4" i="15"/>
  <c r="FF44" i="18"/>
  <c r="FF136" i="18" s="1"/>
  <c r="FB26" i="18"/>
  <c r="FB30" i="18"/>
  <c r="FB18" i="18"/>
  <c r="FB42" i="18"/>
  <c r="FB134" i="18" s="1"/>
  <c r="FB34" i="18"/>
  <c r="FB10" i="18" s="1"/>
  <c r="FD7" i="18"/>
  <c r="K15" i="4"/>
  <c r="I15" i="4"/>
  <c r="F9" i="4"/>
  <c r="K8" i="4"/>
  <c r="I8" i="4"/>
  <c r="K25" i="4"/>
  <c r="I25" i="4"/>
  <c r="I34" i="4"/>
  <c r="K34" i="4"/>
  <c r="F18" i="4"/>
  <c r="F16" i="4"/>
  <c r="F28" i="4"/>
  <c r="F26" i="4"/>
  <c r="F44" i="4"/>
  <c r="F35" i="4"/>
  <c r="AI29" i="20" l="1"/>
  <c r="AH29" i="20"/>
  <c r="AK29" i="20" s="1"/>
  <c r="AF30" i="20"/>
  <c r="AJ29" i="20"/>
  <c r="FB7" i="18"/>
  <c r="FG136" i="18"/>
  <c r="EY116" i="18"/>
  <c r="FB127" i="18"/>
  <c r="FH130" i="18"/>
  <c r="EY135" i="18"/>
  <c r="FD116" i="18"/>
  <c r="FD139" i="18"/>
  <c r="FG119" i="18"/>
  <c r="EZ137" i="18"/>
  <c r="FG129" i="18"/>
  <c r="T29" i="21"/>
  <c r="W28" i="21"/>
  <c r="V28" i="21"/>
  <c r="Y28" i="21" s="1"/>
  <c r="FH123" i="18"/>
  <c r="FE110" i="18"/>
  <c r="FG115" i="18"/>
  <c r="FE113" i="18"/>
  <c r="FG127" i="18"/>
  <c r="FE115" i="18"/>
  <c r="FC126" i="18"/>
  <c r="U30" i="21"/>
  <c r="X29" i="21"/>
  <c r="EY127" i="18"/>
  <c r="AD27" i="21"/>
  <c r="AF27" i="21" s="1"/>
  <c r="AA28" i="21"/>
  <c r="FE135" i="18"/>
  <c r="FF117" i="18"/>
  <c r="FH131" i="18"/>
  <c r="FE124" i="18"/>
  <c r="FH7" i="18"/>
  <c r="FH136" i="18"/>
  <c r="FB124" i="18"/>
  <c r="FE129" i="18"/>
  <c r="Z27" i="21"/>
  <c r="AC26" i="21"/>
  <c r="AB26" i="21"/>
  <c r="AE26" i="21" s="1"/>
  <c r="AG26" i="21" s="1"/>
  <c r="U28" i="20"/>
  <c r="X27" i="20"/>
  <c r="V26" i="20"/>
  <c r="Y26" i="20" s="1"/>
  <c r="W26" i="20"/>
  <c r="AC26" i="20"/>
  <c r="AB26" i="20"/>
  <c r="AE26" i="20" s="1"/>
  <c r="AM26" i="20" s="1"/>
  <c r="Z27" i="20"/>
  <c r="AA38" i="20"/>
  <c r="AD37" i="20"/>
  <c r="AL37" i="20" s="1"/>
  <c r="T27" i="20"/>
  <c r="W27" i="20" s="1"/>
  <c r="EY134" i="18"/>
  <c r="EY54" i="18"/>
  <c r="EY137" i="18"/>
  <c r="FF123" i="18"/>
  <c r="FE55" i="18"/>
  <c r="FE101" i="18" s="1"/>
  <c r="FE114" i="18"/>
  <c r="FF109" i="18"/>
  <c r="EY7" i="18"/>
  <c r="FH110" i="18"/>
  <c r="EY112" i="18"/>
  <c r="FD12" i="18"/>
  <c r="FD138" i="18"/>
  <c r="EZ57" i="18"/>
  <c r="EZ103" i="18" s="1"/>
  <c r="EZ133" i="18"/>
  <c r="FD54" i="18"/>
  <c r="FD137" i="18"/>
  <c r="FB110" i="18"/>
  <c r="FH58" i="18"/>
  <c r="FH104" i="18" s="1"/>
  <c r="FH138" i="18"/>
  <c r="FC58" i="18"/>
  <c r="FC104" i="18" s="1"/>
  <c r="FC138" i="18"/>
  <c r="FE54" i="18"/>
  <c r="FE137" i="18"/>
  <c r="FG56" i="18"/>
  <c r="FG102" i="18" s="1"/>
  <c r="FG126" i="18"/>
  <c r="FH54" i="18"/>
  <c r="FH137" i="18"/>
  <c r="FA54" i="18"/>
  <c r="FA137" i="18"/>
  <c r="FF115" i="18"/>
  <c r="EZ58" i="18"/>
  <c r="EZ104" i="18" s="1"/>
  <c r="EZ138" i="18"/>
  <c r="FC59" i="18"/>
  <c r="FC105" i="18" s="1"/>
  <c r="FC139" i="18"/>
  <c r="EZ55" i="18"/>
  <c r="EZ114" i="18"/>
  <c r="FF131" i="18"/>
  <c r="FF55" i="18"/>
  <c r="FF101" i="18" s="1"/>
  <c r="FF114" i="18"/>
  <c r="FG57" i="18"/>
  <c r="FG103" i="18" s="1"/>
  <c r="FG133" i="18"/>
  <c r="EY111" i="18"/>
  <c r="FE109" i="18"/>
  <c r="FF121" i="18"/>
  <c r="FF124" i="18"/>
  <c r="FF127" i="18"/>
  <c r="EY119" i="18"/>
  <c r="EY121" i="18"/>
  <c r="FA55" i="18"/>
  <c r="FA101" i="18" s="1"/>
  <c r="FA114" i="18"/>
  <c r="EY57" i="18"/>
  <c r="EY103" i="18" s="1"/>
  <c r="EY133" i="18"/>
  <c r="EY56" i="18"/>
  <c r="EY102" i="18" s="1"/>
  <c r="EY126" i="18"/>
  <c r="EY59" i="18"/>
  <c r="EY105" i="18" s="1"/>
  <c r="EY139" i="18"/>
  <c r="EY132" i="18"/>
  <c r="FG58" i="18"/>
  <c r="FG104" i="18" s="1"/>
  <c r="FG138" i="18"/>
  <c r="FG117" i="18"/>
  <c r="FB57" i="18"/>
  <c r="FB103" i="18" s="1"/>
  <c r="FB133" i="18"/>
  <c r="FE59" i="18"/>
  <c r="FE105" i="18" s="1"/>
  <c r="FE139" i="18"/>
  <c r="EY58" i="18"/>
  <c r="EY104" i="18" s="1"/>
  <c r="EY138" i="18"/>
  <c r="EY115" i="18"/>
  <c r="FF57" i="18"/>
  <c r="FF103" i="18" s="1"/>
  <c r="FF133" i="18"/>
  <c r="FG125" i="18"/>
  <c r="FE122" i="18"/>
  <c r="FF120" i="18"/>
  <c r="FF58" i="18"/>
  <c r="FF104" i="18" s="1"/>
  <c r="FF138" i="18"/>
  <c r="FB59" i="18"/>
  <c r="FB105" i="18" s="1"/>
  <c r="FB139" i="18"/>
  <c r="FH132" i="18"/>
  <c r="FB56" i="18"/>
  <c r="FB102" i="18" s="1"/>
  <c r="FB126" i="18"/>
  <c r="FG124" i="18"/>
  <c r="EY130" i="18"/>
  <c r="FE120" i="18"/>
  <c r="EZ56" i="18"/>
  <c r="EZ102" i="18" s="1"/>
  <c r="EZ126" i="18"/>
  <c r="EY129" i="18"/>
  <c r="FG135" i="18"/>
  <c r="FG134" i="18"/>
  <c r="EZ59" i="18"/>
  <c r="EZ105" i="18" s="1"/>
  <c r="EZ139" i="18"/>
  <c r="EY124" i="18"/>
  <c r="FF128" i="18"/>
  <c r="EY131" i="18"/>
  <c r="EY125" i="18"/>
  <c r="FG59" i="18"/>
  <c r="FG105" i="18" s="1"/>
  <c r="FG139" i="18"/>
  <c r="FF125" i="18"/>
  <c r="FE131" i="18"/>
  <c r="FG122" i="18"/>
  <c r="FB122" i="18"/>
  <c r="FH59" i="18"/>
  <c r="FH105" i="18" s="1"/>
  <c r="FH139" i="18"/>
  <c r="FF132" i="18"/>
  <c r="EY122" i="18"/>
  <c r="FG55" i="18"/>
  <c r="FG101" i="18" s="1"/>
  <c r="FG114" i="18"/>
  <c r="FH121" i="18"/>
  <c r="FE127" i="18"/>
  <c r="FH119" i="18"/>
  <c r="FF122" i="18"/>
  <c r="FD112" i="18"/>
  <c r="FG120" i="18"/>
  <c r="FE116" i="18"/>
  <c r="FF118" i="18"/>
  <c r="FF56" i="18"/>
  <c r="FF102" i="18" s="1"/>
  <c r="FF126" i="18"/>
  <c r="FF112" i="18"/>
  <c r="FE130" i="18"/>
  <c r="FE128" i="18"/>
  <c r="FF111" i="18"/>
  <c r="FG118" i="18"/>
  <c r="FD122" i="18"/>
  <c r="FH118" i="18"/>
  <c r="FF59" i="18"/>
  <c r="FF105" i="18" s="1"/>
  <c r="FF139" i="18"/>
  <c r="FE132" i="18"/>
  <c r="EY123" i="18"/>
  <c r="EY109" i="18"/>
  <c r="FE134" i="18"/>
  <c r="EY128" i="18"/>
  <c r="FB118" i="18"/>
  <c r="FG110" i="18"/>
  <c r="FH57" i="18"/>
  <c r="FH103" i="18" s="1"/>
  <c r="FH133" i="18"/>
  <c r="FF54" i="18"/>
  <c r="FF137" i="18"/>
  <c r="FE136" i="18"/>
  <c r="FE58" i="18"/>
  <c r="FE104" i="18" s="1"/>
  <c r="FE138" i="18"/>
  <c r="FE125" i="18"/>
  <c r="FG113" i="18"/>
  <c r="FD104" i="18"/>
  <c r="FH56" i="18"/>
  <c r="FH102" i="18" s="1"/>
  <c r="FH126" i="18"/>
  <c r="FG54" i="18"/>
  <c r="FG137" i="18"/>
  <c r="EY136" i="18"/>
  <c r="FF130" i="18"/>
  <c r="FH55" i="18"/>
  <c r="FH101" i="18" s="1"/>
  <c r="FH114" i="18"/>
  <c r="FD57" i="18"/>
  <c r="FD103" i="18" s="1"/>
  <c r="FD133" i="18"/>
  <c r="FD56" i="18"/>
  <c r="FD102" i="18" s="1"/>
  <c r="FD126" i="18"/>
  <c r="FB128" i="18"/>
  <c r="EY110" i="18"/>
  <c r="FF116" i="18"/>
  <c r="FC54" i="18"/>
  <c r="FC137" i="18"/>
  <c r="FH128" i="18"/>
  <c r="FG128" i="18"/>
  <c r="FD55" i="18"/>
  <c r="FD101" i="18" s="1"/>
  <c r="FD114" i="18"/>
  <c r="FB55" i="18"/>
  <c r="FB101" i="18" s="1"/>
  <c r="FB114" i="18"/>
  <c r="FH115" i="18"/>
  <c r="EY55" i="18"/>
  <c r="EY101" i="18" s="1"/>
  <c r="EY114" i="18"/>
  <c r="FE56" i="18"/>
  <c r="FE102" i="18" s="1"/>
  <c r="FE126" i="18"/>
  <c r="FG116" i="18"/>
  <c r="FE57" i="18"/>
  <c r="FE103" i="18" s="1"/>
  <c r="FE133" i="18"/>
  <c r="FG130" i="18"/>
  <c r="FF110" i="18"/>
  <c r="FB54" i="18"/>
  <c r="FB137" i="18"/>
  <c r="FB136" i="18"/>
  <c r="FG109" i="18"/>
  <c r="BN4" i="1"/>
  <c r="BN4" i="8"/>
  <c r="BN4" i="11"/>
  <c r="BN4" i="15"/>
  <c r="BN4" i="7"/>
  <c r="BN4" i="14"/>
  <c r="BN4" i="13"/>
  <c r="BN4" i="12"/>
  <c r="BN4" i="9"/>
  <c r="BN4" i="10"/>
  <c r="AB4" i="1"/>
  <c r="AB4" i="7"/>
  <c r="AB4" i="9"/>
  <c r="AB4" i="8"/>
  <c r="AB4" i="14"/>
  <c r="AB4" i="10"/>
  <c r="AB4" i="11"/>
  <c r="AB4" i="13"/>
  <c r="AB4" i="12"/>
  <c r="AB4" i="15"/>
  <c r="AU4" i="1"/>
  <c r="AU4" i="9"/>
  <c r="AU4" i="11"/>
  <c r="AU4" i="8"/>
  <c r="AU4" i="15"/>
  <c r="AU4" i="10"/>
  <c r="AU4" i="13"/>
  <c r="AU4" i="7"/>
  <c r="AU4" i="14"/>
  <c r="AU4" i="12"/>
  <c r="BM4" i="1"/>
  <c r="BM4" i="8"/>
  <c r="BM4" i="7"/>
  <c r="BM4" i="14"/>
  <c r="BM4" i="10"/>
  <c r="BM4" i="12"/>
  <c r="BM4" i="13"/>
  <c r="BM4" i="11"/>
  <c r="BM4" i="9"/>
  <c r="BM4" i="15"/>
  <c r="M4" i="1"/>
  <c r="M4" i="10"/>
  <c r="M4" i="8"/>
  <c r="M4" i="14"/>
  <c r="M4" i="15"/>
  <c r="M4" i="13"/>
  <c r="M4" i="9"/>
  <c r="M4" i="12"/>
  <c r="M4" i="11"/>
  <c r="M4" i="7"/>
  <c r="AV4" i="1"/>
  <c r="AV4" i="12"/>
  <c r="AV4" i="8"/>
  <c r="AV4" i="7"/>
  <c r="AV4" i="11"/>
  <c r="AV4" i="13"/>
  <c r="AV4" i="14"/>
  <c r="AV4" i="10"/>
  <c r="AV4" i="9"/>
  <c r="AV4" i="15"/>
  <c r="N4" i="1"/>
  <c r="N4" i="15"/>
  <c r="N4" i="12"/>
  <c r="N4" i="9"/>
  <c r="N4" i="11"/>
  <c r="N4" i="10"/>
  <c r="N4" i="14"/>
  <c r="N4" i="8"/>
  <c r="N4" i="13"/>
  <c r="N4" i="7"/>
  <c r="AA4" i="1"/>
  <c r="AA4" i="8"/>
  <c r="AA4" i="7"/>
  <c r="AA4" i="13"/>
  <c r="AA4" i="10"/>
  <c r="AA4" i="9"/>
  <c r="AA4" i="12"/>
  <c r="AA4" i="14"/>
  <c r="AA4" i="15"/>
  <c r="AA4" i="11"/>
  <c r="F17" i="4"/>
  <c r="K16" i="4"/>
  <c r="I16" i="4"/>
  <c r="F29" i="4"/>
  <c r="K28" i="4"/>
  <c r="I28" i="4"/>
  <c r="F19" i="4"/>
  <c r="I18" i="4"/>
  <c r="K18" i="4"/>
  <c r="K35" i="4"/>
  <c r="I35" i="4"/>
  <c r="F10" i="4"/>
  <c r="K9" i="4"/>
  <c r="I9" i="4"/>
  <c r="K44" i="4"/>
  <c r="I44" i="4"/>
  <c r="F27" i="4"/>
  <c r="I26" i="4"/>
  <c r="K26" i="4"/>
  <c r="F38" i="4"/>
  <c r="F36" i="4"/>
  <c r="F54" i="4"/>
  <c r="F45" i="4"/>
  <c r="AJ30" i="20" l="1"/>
  <c r="AF31" i="20"/>
  <c r="AI30" i="20"/>
  <c r="AH30" i="20"/>
  <c r="AK30" i="20" s="1"/>
  <c r="U31" i="21"/>
  <c r="X30" i="21"/>
  <c r="T30" i="21"/>
  <c r="W29" i="21"/>
  <c r="V29" i="21"/>
  <c r="Y29" i="21" s="1"/>
  <c r="Z28" i="21"/>
  <c r="AC27" i="21"/>
  <c r="AB27" i="21"/>
  <c r="AE27" i="21" s="1"/>
  <c r="AG27" i="21" s="1"/>
  <c r="AA29" i="21"/>
  <c r="AD28" i="21"/>
  <c r="AF28" i="21" s="1"/>
  <c r="U29" i="20"/>
  <c r="X28" i="20"/>
  <c r="AC27" i="20"/>
  <c r="AB27" i="20"/>
  <c r="AE27" i="20" s="1"/>
  <c r="AM27" i="20" s="1"/>
  <c r="Z28" i="20"/>
  <c r="AD38" i="20"/>
  <c r="AL38" i="20" s="1"/>
  <c r="AA40" i="20"/>
  <c r="T28" i="20"/>
  <c r="W28" i="20" s="1"/>
  <c r="V27" i="20"/>
  <c r="Y27" i="20" s="1"/>
  <c r="FC100" i="18"/>
  <c r="FC53" i="18"/>
  <c r="FC99" i="18" s="1"/>
  <c r="FH100" i="18"/>
  <c r="FH53" i="18"/>
  <c r="FH99" i="18" s="1"/>
  <c r="FD100" i="18"/>
  <c r="FD53" i="18"/>
  <c r="FD99" i="18" s="1"/>
  <c r="FE100" i="18"/>
  <c r="FE53" i="18"/>
  <c r="FE99" i="18" s="1"/>
  <c r="FG100" i="18"/>
  <c r="FG53" i="18"/>
  <c r="FG99" i="18" s="1"/>
  <c r="FF100" i="18"/>
  <c r="FF53" i="18"/>
  <c r="FF99" i="18" s="1"/>
  <c r="FB100" i="18"/>
  <c r="FB53" i="18"/>
  <c r="FB99" i="18" s="1"/>
  <c r="FA100" i="18"/>
  <c r="FA53" i="18"/>
  <c r="FA99" i="18" s="1"/>
  <c r="EZ101" i="18"/>
  <c r="EZ53" i="18"/>
  <c r="EZ99" i="18" s="1"/>
  <c r="EY100" i="18"/>
  <c r="EY53" i="18"/>
  <c r="EY99" i="18" s="1"/>
  <c r="CG4" i="1"/>
  <c r="CG4" i="9"/>
  <c r="CG4" i="10"/>
  <c r="CG4" i="14"/>
  <c r="CG4" i="8"/>
  <c r="CG4" i="15"/>
  <c r="CG4" i="7"/>
  <c r="CG4" i="13"/>
  <c r="CG4" i="12"/>
  <c r="CG4" i="11"/>
  <c r="AG4" i="1"/>
  <c r="AG4" i="14"/>
  <c r="AG4" i="7"/>
  <c r="AG4" i="13"/>
  <c r="AG4" i="9"/>
  <c r="AG4" i="10"/>
  <c r="AG4" i="11"/>
  <c r="AG4" i="12"/>
  <c r="AG4" i="8"/>
  <c r="AG4" i="15"/>
  <c r="O4" i="1"/>
  <c r="O4" i="9"/>
  <c r="O4" i="10"/>
  <c r="O4" i="13"/>
  <c r="O4" i="12"/>
  <c r="O4" i="11"/>
  <c r="O4" i="8"/>
  <c r="O4" i="7"/>
  <c r="O4" i="14"/>
  <c r="O4" i="15"/>
  <c r="BA4" i="1"/>
  <c r="BA4" i="10"/>
  <c r="BA4" i="7"/>
  <c r="BA4" i="8"/>
  <c r="BA4" i="12"/>
  <c r="BA4" i="14"/>
  <c r="BA4" i="13"/>
  <c r="BA4" i="11"/>
  <c r="BA4" i="15"/>
  <c r="BA4" i="9"/>
  <c r="AH4" i="1"/>
  <c r="AH4" i="12"/>
  <c r="AH4" i="14"/>
  <c r="AH4" i="7"/>
  <c r="AH4" i="9"/>
  <c r="AH4" i="15"/>
  <c r="AH4" i="8"/>
  <c r="AH4" i="11"/>
  <c r="AH4" i="10"/>
  <c r="AH4" i="13"/>
  <c r="CH4" i="1"/>
  <c r="CH4" i="13"/>
  <c r="CH4" i="10"/>
  <c r="CH4" i="9"/>
  <c r="CH4" i="15"/>
  <c r="CH4" i="8"/>
  <c r="CH4" i="11"/>
  <c r="CH4" i="12"/>
  <c r="CH4" i="14"/>
  <c r="CH4" i="7"/>
  <c r="P4" i="1"/>
  <c r="P4" i="13"/>
  <c r="P4" i="11"/>
  <c r="P4" i="12"/>
  <c r="P4" i="7"/>
  <c r="P4" i="8"/>
  <c r="P4" i="15"/>
  <c r="P4" i="14"/>
  <c r="P4" i="9"/>
  <c r="P4" i="10"/>
  <c r="BB4" i="1"/>
  <c r="BB4" i="9"/>
  <c r="BB4" i="8"/>
  <c r="BB4" i="12"/>
  <c r="BB4" i="11"/>
  <c r="BB4" i="7"/>
  <c r="BB4" i="13"/>
  <c r="BB4" i="15"/>
  <c r="BB4" i="10"/>
  <c r="BB4" i="14"/>
  <c r="BO4" i="1"/>
  <c r="BO4" i="8"/>
  <c r="BO4" i="15"/>
  <c r="BO4" i="7"/>
  <c r="BO4" i="10"/>
  <c r="BO4" i="9"/>
  <c r="BO4" i="12"/>
  <c r="BO4" i="14"/>
  <c r="BO4" i="11"/>
  <c r="BO4" i="13"/>
  <c r="AX4" i="1"/>
  <c r="AX4" i="8"/>
  <c r="AX4" i="12"/>
  <c r="AX4" i="14"/>
  <c r="AX4" i="7"/>
  <c r="AX4" i="9"/>
  <c r="AX4" i="13"/>
  <c r="AX4" i="15"/>
  <c r="AX4" i="10"/>
  <c r="AX4" i="11"/>
  <c r="AC4" i="1"/>
  <c r="AC4" i="11"/>
  <c r="AC4" i="12"/>
  <c r="AC4" i="9"/>
  <c r="AC4" i="13"/>
  <c r="AC4" i="10"/>
  <c r="AC4" i="8"/>
  <c r="AC4" i="15"/>
  <c r="AC4" i="7"/>
  <c r="AC4" i="14"/>
  <c r="AW4" i="1"/>
  <c r="AW4" i="8"/>
  <c r="AW4" i="14"/>
  <c r="AW4" i="10"/>
  <c r="AW4" i="9"/>
  <c r="AW4" i="11"/>
  <c r="AW4" i="12"/>
  <c r="AW4" i="13"/>
  <c r="AW4" i="7"/>
  <c r="AW4" i="15"/>
  <c r="BP4" i="1"/>
  <c r="BP4" i="12"/>
  <c r="BP4" i="11"/>
  <c r="BP4" i="15"/>
  <c r="BP4" i="10"/>
  <c r="BP4" i="9"/>
  <c r="BP4" i="7"/>
  <c r="BP4" i="14"/>
  <c r="BP4" i="8"/>
  <c r="BP4" i="13"/>
  <c r="AD4" i="1"/>
  <c r="AD4" i="13"/>
  <c r="AD4" i="10"/>
  <c r="AD4" i="14"/>
  <c r="AD4" i="9"/>
  <c r="AD4" i="7"/>
  <c r="AD4" i="15"/>
  <c r="AD4" i="11"/>
  <c r="AD4" i="8"/>
  <c r="AD4" i="12"/>
  <c r="F39" i="4"/>
  <c r="I38" i="4"/>
  <c r="K38" i="4"/>
  <c r="F20" i="4"/>
  <c r="K19" i="4"/>
  <c r="I19" i="4"/>
  <c r="F11" i="4"/>
  <c r="I10" i="4"/>
  <c r="K10" i="4"/>
  <c r="F30" i="4"/>
  <c r="K29" i="4"/>
  <c r="I29" i="4"/>
  <c r="K45" i="4"/>
  <c r="I45" i="4"/>
  <c r="I54" i="4"/>
  <c r="K54" i="4"/>
  <c r="F37" i="4"/>
  <c r="K36" i="4"/>
  <c r="I36" i="4"/>
  <c r="K27" i="4"/>
  <c r="I27" i="4"/>
  <c r="K17" i="4"/>
  <c r="I17" i="4"/>
  <c r="F46" i="4"/>
  <c r="F48" i="4"/>
  <c r="F55" i="4"/>
  <c r="F64" i="4"/>
  <c r="AI31" i="20" l="1"/>
  <c r="AF32" i="20"/>
  <c r="AH31" i="20"/>
  <c r="AK31" i="20" s="1"/>
  <c r="AJ39" i="20"/>
  <c r="AJ31" i="20"/>
  <c r="Z29" i="21"/>
  <c r="AC28" i="21"/>
  <c r="AB28" i="21"/>
  <c r="AE28" i="21" s="1"/>
  <c r="AG28" i="21" s="1"/>
  <c r="W30" i="21"/>
  <c r="V30" i="21"/>
  <c r="Y30" i="21" s="1"/>
  <c r="T31" i="21"/>
  <c r="AA30" i="21"/>
  <c r="AD29" i="21"/>
  <c r="AF29" i="21" s="1"/>
  <c r="U39" i="21"/>
  <c r="X39" i="21" s="1"/>
  <c r="U32" i="21"/>
  <c r="X31" i="21"/>
  <c r="U30" i="20"/>
  <c r="X29" i="20"/>
  <c r="AC28" i="20"/>
  <c r="Z29" i="20"/>
  <c r="AB28" i="20"/>
  <c r="AE28" i="20" s="1"/>
  <c r="AM28" i="20" s="1"/>
  <c r="AA41" i="20"/>
  <c r="AD40" i="20"/>
  <c r="AL40" i="20" s="1"/>
  <c r="V28" i="20"/>
  <c r="Y28" i="20" s="1"/>
  <c r="T29" i="20"/>
  <c r="AF4" i="1"/>
  <c r="AF4" i="7"/>
  <c r="AF4" i="9"/>
  <c r="AF4" i="13"/>
  <c r="AF4" i="11"/>
  <c r="AF4" i="12"/>
  <c r="AF4" i="10"/>
  <c r="AF4" i="8"/>
  <c r="AF4" i="14"/>
  <c r="AF4" i="15"/>
  <c r="CI4" i="1"/>
  <c r="CI4" i="9"/>
  <c r="CI4" i="10"/>
  <c r="CI4" i="11"/>
  <c r="CI4" i="14"/>
  <c r="CI4" i="8"/>
  <c r="CI4" i="13"/>
  <c r="CI4" i="12"/>
  <c r="CI4" i="7"/>
  <c r="CI4" i="15"/>
  <c r="AI4" i="1"/>
  <c r="AI4" i="8"/>
  <c r="AI4" i="15"/>
  <c r="AI4" i="9"/>
  <c r="AI4" i="12"/>
  <c r="AI4" i="7"/>
  <c r="AI4" i="13"/>
  <c r="AI4" i="11"/>
  <c r="AI4" i="14"/>
  <c r="AI4" i="10"/>
  <c r="AJ4" i="1"/>
  <c r="AJ4" i="7"/>
  <c r="AJ4" i="8"/>
  <c r="AJ4" i="12"/>
  <c r="AJ4" i="11"/>
  <c r="AJ4" i="9"/>
  <c r="AJ4" i="10"/>
  <c r="AJ4" i="14"/>
  <c r="AJ4" i="15"/>
  <c r="AJ4" i="13"/>
  <c r="AZ4" i="1"/>
  <c r="AZ4" i="10"/>
  <c r="AZ4" i="9"/>
  <c r="AZ4" i="8"/>
  <c r="AZ4" i="14"/>
  <c r="AZ4" i="15"/>
  <c r="AZ4" i="12"/>
  <c r="AZ4" i="11"/>
  <c r="AZ4" i="13"/>
  <c r="AZ4" i="7"/>
  <c r="BC4" i="1"/>
  <c r="BC4" i="7"/>
  <c r="BC4" i="14"/>
  <c r="BC4" i="11"/>
  <c r="BC4" i="8"/>
  <c r="BC4" i="12"/>
  <c r="BC4" i="10"/>
  <c r="BC4" i="15"/>
  <c r="BC4" i="9"/>
  <c r="BC4" i="13"/>
  <c r="BR4" i="1"/>
  <c r="BR4" i="9"/>
  <c r="BR4" i="13"/>
  <c r="BR4" i="14"/>
  <c r="BR4" i="12"/>
  <c r="BR4" i="7"/>
  <c r="BR4" i="8"/>
  <c r="BR4" i="10"/>
  <c r="BR4" i="15"/>
  <c r="BR4" i="11"/>
  <c r="BU4" i="1"/>
  <c r="BU4" i="10"/>
  <c r="BU4" i="9"/>
  <c r="BU4" i="13"/>
  <c r="BU4" i="14"/>
  <c r="BU4" i="8"/>
  <c r="BU4" i="12"/>
  <c r="BU4" i="11"/>
  <c r="BU4" i="15"/>
  <c r="BU4" i="7"/>
  <c r="CJ4" i="1"/>
  <c r="CJ4" i="9"/>
  <c r="CJ4" i="12"/>
  <c r="CJ4" i="8"/>
  <c r="CJ4" i="11"/>
  <c r="CJ4" i="7"/>
  <c r="CJ4" i="10"/>
  <c r="CJ4" i="15"/>
  <c r="CJ4" i="14"/>
  <c r="CJ4" i="13"/>
  <c r="BQ4" i="1"/>
  <c r="BQ4" i="11"/>
  <c r="BQ4" i="14"/>
  <c r="BQ4" i="7"/>
  <c r="BQ4" i="12"/>
  <c r="BQ4" i="9"/>
  <c r="BQ4" i="8"/>
  <c r="BQ4" i="10"/>
  <c r="BQ4" i="13"/>
  <c r="BQ4" i="15"/>
  <c r="BV4" i="1"/>
  <c r="BV4" i="10"/>
  <c r="BV4" i="8"/>
  <c r="BV4" i="11"/>
  <c r="BV4" i="12"/>
  <c r="BV4" i="14"/>
  <c r="BV4" i="7"/>
  <c r="BV4" i="9"/>
  <c r="BV4" i="15"/>
  <c r="BV4" i="13"/>
  <c r="R4" i="1"/>
  <c r="R4" i="8"/>
  <c r="R4" i="10"/>
  <c r="R4" i="12"/>
  <c r="R4" i="15"/>
  <c r="R4" i="9"/>
  <c r="R4" i="11"/>
  <c r="R4" i="7"/>
  <c r="R4" i="14"/>
  <c r="R4" i="13"/>
  <c r="AY4" i="1"/>
  <c r="AY4" i="8"/>
  <c r="AY4" i="7"/>
  <c r="AY4" i="10"/>
  <c r="AY4" i="9"/>
  <c r="AY4" i="12"/>
  <c r="AY4" i="11"/>
  <c r="AY4" i="14"/>
  <c r="AY4" i="13"/>
  <c r="AY4" i="15"/>
  <c r="BD4" i="1"/>
  <c r="BD4" i="11"/>
  <c r="BD4" i="8"/>
  <c r="BD4" i="13"/>
  <c r="BD4" i="9"/>
  <c r="BD4" i="7"/>
  <c r="BD4" i="14"/>
  <c r="BD4" i="12"/>
  <c r="BD4" i="10"/>
  <c r="BD4" i="15"/>
  <c r="DB4" i="1"/>
  <c r="DB4" i="8"/>
  <c r="DB4" i="10"/>
  <c r="DB4" i="12"/>
  <c r="DB4" i="14"/>
  <c r="DB4" i="7"/>
  <c r="DB4" i="9"/>
  <c r="DB4" i="15"/>
  <c r="DB4" i="13"/>
  <c r="DB4" i="11"/>
  <c r="Q4" i="1"/>
  <c r="Q4" i="13"/>
  <c r="Q4" i="10"/>
  <c r="Q4" i="9"/>
  <c r="Q4" i="11"/>
  <c r="Q4" i="12"/>
  <c r="Q4" i="7"/>
  <c r="Q4" i="14"/>
  <c r="Q4" i="15"/>
  <c r="Q4" i="8"/>
  <c r="AE4" i="1"/>
  <c r="AE4" i="9"/>
  <c r="AE4" i="7"/>
  <c r="AE4" i="13"/>
  <c r="AE4" i="11"/>
  <c r="AE4" i="8"/>
  <c r="AE4" i="14"/>
  <c r="AE4" i="12"/>
  <c r="AE4" i="15"/>
  <c r="AE4" i="10"/>
  <c r="DA4" i="1"/>
  <c r="DA4" i="7"/>
  <c r="DA4" i="9"/>
  <c r="DA4" i="11"/>
  <c r="DA4" i="8"/>
  <c r="DA4" i="10"/>
  <c r="DA4" i="14"/>
  <c r="DA4" i="12"/>
  <c r="DA4" i="15"/>
  <c r="DA4" i="13"/>
  <c r="F12" i="4"/>
  <c r="K11" i="4"/>
  <c r="I11" i="4"/>
  <c r="K55" i="4"/>
  <c r="I55" i="4"/>
  <c r="F49" i="4"/>
  <c r="K48" i="4"/>
  <c r="I48" i="4"/>
  <c r="F47" i="4"/>
  <c r="I46" i="4"/>
  <c r="K46" i="4"/>
  <c r="F21" i="4"/>
  <c r="K20" i="4"/>
  <c r="I20" i="4"/>
  <c r="F65" i="4"/>
  <c r="F68" i="4" s="1"/>
  <c r="K64" i="4"/>
  <c r="I64" i="4"/>
  <c r="F31" i="4"/>
  <c r="I30" i="4"/>
  <c r="K30" i="4"/>
  <c r="K37" i="4"/>
  <c r="I37" i="4"/>
  <c r="F40" i="4"/>
  <c r="K39" i="4"/>
  <c r="I39" i="4"/>
  <c r="F58" i="4"/>
  <c r="F56" i="4"/>
  <c r="AJ32" i="20" l="1"/>
  <c r="AI32" i="20"/>
  <c r="AH32" i="20"/>
  <c r="AK32" i="20" s="1"/>
  <c r="AF33" i="20"/>
  <c r="W31" i="21"/>
  <c r="V31" i="21"/>
  <c r="Y31" i="21" s="1"/>
  <c r="T32" i="21"/>
  <c r="AA31" i="21"/>
  <c r="AD30" i="21"/>
  <c r="AF30" i="21" s="1"/>
  <c r="U33" i="21"/>
  <c r="X32" i="21"/>
  <c r="AC29" i="21"/>
  <c r="Z30" i="21"/>
  <c r="AB29" i="21"/>
  <c r="AE29" i="21" s="1"/>
  <c r="AG29" i="21" s="1"/>
  <c r="T30" i="20"/>
  <c r="V30" i="20" s="1"/>
  <c r="Y30" i="20" s="1"/>
  <c r="W29" i="20"/>
  <c r="U31" i="20"/>
  <c r="X30" i="20"/>
  <c r="AC29" i="20"/>
  <c r="Z30" i="20"/>
  <c r="AB29" i="20"/>
  <c r="AE29" i="20" s="1"/>
  <c r="AM29" i="20" s="1"/>
  <c r="AA42" i="20"/>
  <c r="AD41" i="20"/>
  <c r="AL41" i="20" s="1"/>
  <c r="V29" i="20"/>
  <c r="Y29" i="20" s="1"/>
  <c r="AL4" i="1"/>
  <c r="AL4" i="12"/>
  <c r="AL4" i="11"/>
  <c r="AL4" i="13"/>
  <c r="AL4" i="10"/>
  <c r="AL4" i="14"/>
  <c r="AL4" i="7"/>
  <c r="AL4" i="15"/>
  <c r="AL4" i="9"/>
  <c r="AL4" i="8"/>
  <c r="BF4" i="1"/>
  <c r="BF4" i="8"/>
  <c r="BF4" i="10"/>
  <c r="BF4" i="14"/>
  <c r="BF4" i="13"/>
  <c r="BF4" i="12"/>
  <c r="BF4" i="15"/>
  <c r="BF4" i="9"/>
  <c r="BF4" i="11"/>
  <c r="BF4" i="7"/>
  <c r="DD4" i="1"/>
  <c r="DD4" i="7"/>
  <c r="DD4" i="10"/>
  <c r="DD4" i="12"/>
  <c r="DD4" i="11"/>
  <c r="DD4" i="15"/>
  <c r="DD4" i="13"/>
  <c r="DD4" i="14"/>
  <c r="DD4" i="9"/>
  <c r="DD4" i="8"/>
  <c r="AK4" i="1"/>
  <c r="AK4" i="11"/>
  <c r="AK4" i="12"/>
  <c r="AK4" i="8"/>
  <c r="AK4" i="9"/>
  <c r="AK4" i="13"/>
  <c r="AK4" i="14"/>
  <c r="AK4" i="10"/>
  <c r="AK4" i="7"/>
  <c r="AK4" i="15"/>
  <c r="DC4" i="1"/>
  <c r="DC4" i="9"/>
  <c r="DC4" i="12"/>
  <c r="DC4" i="13"/>
  <c r="DC4" i="14"/>
  <c r="DC4" i="10"/>
  <c r="DC4" i="11"/>
  <c r="DC4" i="8"/>
  <c r="DC4" i="7"/>
  <c r="DC4" i="15"/>
  <c r="BT4" i="1"/>
  <c r="BT4" i="7"/>
  <c r="BT4" i="12"/>
  <c r="BT4" i="11"/>
  <c r="BT4" i="10"/>
  <c r="BT4" i="9"/>
  <c r="BT4" i="15"/>
  <c r="BT4" i="8"/>
  <c r="BT4" i="14"/>
  <c r="BT4" i="13"/>
  <c r="BE4" i="1"/>
  <c r="BE4" i="8"/>
  <c r="BE4" i="13"/>
  <c r="BE4" i="10"/>
  <c r="BE4" i="12"/>
  <c r="BE4" i="11"/>
  <c r="BE4" i="9"/>
  <c r="BE4" i="14"/>
  <c r="BE4" i="15"/>
  <c r="BE4" i="7"/>
  <c r="S4" i="1"/>
  <c r="S4" i="8"/>
  <c r="S4" i="7"/>
  <c r="S4" i="13"/>
  <c r="S4" i="14"/>
  <c r="S4" i="9"/>
  <c r="S4" i="12"/>
  <c r="S4" i="11"/>
  <c r="S4" i="10"/>
  <c r="S4" i="15"/>
  <c r="CL4" i="1"/>
  <c r="CL4" i="8"/>
  <c r="CL4" i="15"/>
  <c r="CL4" i="10"/>
  <c r="CL4" i="7"/>
  <c r="CL4" i="14"/>
  <c r="CL4" i="12"/>
  <c r="CL4" i="9"/>
  <c r="CL4" i="13"/>
  <c r="CL4" i="11"/>
  <c r="CK4" i="1"/>
  <c r="CK4" i="7"/>
  <c r="CK4" i="10"/>
  <c r="CK4" i="9"/>
  <c r="CK4" i="11"/>
  <c r="CK4" i="12"/>
  <c r="CK4" i="8"/>
  <c r="CK4" i="14"/>
  <c r="CK4" i="13"/>
  <c r="CK4" i="15"/>
  <c r="BW4" i="1"/>
  <c r="BW4" i="14"/>
  <c r="BW4" i="15"/>
  <c r="BW4" i="8"/>
  <c r="BW4" i="13"/>
  <c r="BW4" i="9"/>
  <c r="BW4" i="12"/>
  <c r="BW4" i="7"/>
  <c r="BW4" i="10"/>
  <c r="BW4" i="11"/>
  <c r="DU4" i="1"/>
  <c r="DU4" i="7"/>
  <c r="DU4" i="11"/>
  <c r="DU4" i="9"/>
  <c r="DU4" i="10"/>
  <c r="DU4" i="13"/>
  <c r="DU4" i="8"/>
  <c r="DU4" i="12"/>
  <c r="DU4" i="15"/>
  <c r="DU4" i="14"/>
  <c r="BX4" i="1"/>
  <c r="BX4" i="8"/>
  <c r="BX4" i="10"/>
  <c r="BX4" i="14"/>
  <c r="BX4" i="12"/>
  <c r="BX4" i="11"/>
  <c r="BX4" i="15"/>
  <c r="BX4" i="13"/>
  <c r="BX4" i="9"/>
  <c r="BX4" i="7"/>
  <c r="BS4" i="1"/>
  <c r="BS4" i="13"/>
  <c r="BS4" i="9"/>
  <c r="BS4" i="7"/>
  <c r="BS4" i="11"/>
  <c r="BS4" i="15"/>
  <c r="BS4" i="12"/>
  <c r="BS4" i="10"/>
  <c r="BS4" i="14"/>
  <c r="BS4" i="8"/>
  <c r="T4" i="1"/>
  <c r="T4" i="7"/>
  <c r="T4" i="9"/>
  <c r="T4" i="8"/>
  <c r="T4" i="14"/>
  <c r="T4" i="12"/>
  <c r="T4" i="11"/>
  <c r="T4" i="15"/>
  <c r="T4" i="13"/>
  <c r="T4" i="10"/>
  <c r="DV4" i="1"/>
  <c r="DV4" i="9"/>
  <c r="DV4" i="7"/>
  <c r="DV4" i="12"/>
  <c r="DV4" i="13"/>
  <c r="DV4" i="10"/>
  <c r="DV4" i="14"/>
  <c r="DV4" i="15"/>
  <c r="DV4" i="11"/>
  <c r="DV4" i="8"/>
  <c r="CO4" i="1"/>
  <c r="CO4" i="12"/>
  <c r="CO4" i="9"/>
  <c r="CO4" i="10"/>
  <c r="CO4" i="7"/>
  <c r="CO4" i="11"/>
  <c r="CO4" i="15"/>
  <c r="CO4" i="8"/>
  <c r="CO4" i="13"/>
  <c r="CO4" i="14"/>
  <c r="CP4" i="1"/>
  <c r="CP4" i="9"/>
  <c r="CP4" i="13"/>
  <c r="CP4" i="10"/>
  <c r="CP4" i="14"/>
  <c r="CP4" i="11"/>
  <c r="CP4" i="12"/>
  <c r="CP4" i="7"/>
  <c r="CP4" i="8"/>
  <c r="CP4" i="15"/>
  <c r="F66" i="4"/>
  <c r="F67" i="4" s="1"/>
  <c r="F41" i="4"/>
  <c r="K40" i="4"/>
  <c r="I40" i="4"/>
  <c r="K65" i="4"/>
  <c r="I65" i="4"/>
  <c r="F69" i="4"/>
  <c r="K68" i="4"/>
  <c r="I68" i="4"/>
  <c r="F50" i="4"/>
  <c r="K49" i="4"/>
  <c r="I49" i="4"/>
  <c r="F22" i="4"/>
  <c r="K21" i="4"/>
  <c r="I21" i="4"/>
  <c r="F59" i="4"/>
  <c r="I58" i="4"/>
  <c r="K58" i="4"/>
  <c r="F32" i="4"/>
  <c r="K31" i="4"/>
  <c r="I31" i="4"/>
  <c r="F57" i="4"/>
  <c r="K56" i="4"/>
  <c r="I56" i="4"/>
  <c r="K47" i="4"/>
  <c r="I47" i="4"/>
  <c r="F13" i="4"/>
  <c r="K12" i="4"/>
  <c r="I12" i="4"/>
  <c r="AI33" i="20" l="1"/>
  <c r="AH33" i="20"/>
  <c r="AK33" i="20" s="1"/>
  <c r="AF34" i="20"/>
  <c r="AJ33" i="20"/>
  <c r="U34" i="21"/>
  <c r="X33" i="21"/>
  <c r="AA32" i="21"/>
  <c r="AA39" i="21"/>
  <c r="AD39" i="21" s="1"/>
  <c r="AF39" i="21" s="1"/>
  <c r="AD31" i="21"/>
  <c r="AF31" i="21" s="1"/>
  <c r="W32" i="21"/>
  <c r="V32" i="21"/>
  <c r="Y32" i="21" s="1"/>
  <c r="T33" i="21"/>
  <c r="AC30" i="21"/>
  <c r="Z31" i="21"/>
  <c r="AB30" i="21"/>
  <c r="AE30" i="21" s="1"/>
  <c r="AG30" i="21" s="1"/>
  <c r="U32" i="20"/>
  <c r="X31" i="20"/>
  <c r="U39" i="20"/>
  <c r="X39" i="20" s="1"/>
  <c r="T31" i="20"/>
  <c r="W30" i="20"/>
  <c r="AC30" i="20"/>
  <c r="Z31" i="20"/>
  <c r="AB30" i="20"/>
  <c r="AE30" i="20" s="1"/>
  <c r="AM30" i="20" s="1"/>
  <c r="AA43" i="20"/>
  <c r="AD42" i="20"/>
  <c r="AL42" i="20" s="1"/>
  <c r="V4" i="1"/>
  <c r="V4" i="9"/>
  <c r="V4" i="7"/>
  <c r="V4" i="13"/>
  <c r="V4" i="10"/>
  <c r="V4" i="8"/>
  <c r="V4" i="15"/>
  <c r="V4" i="14"/>
  <c r="V4" i="11"/>
  <c r="V4" i="12"/>
  <c r="BH4" i="1"/>
  <c r="BH4" i="9"/>
  <c r="BH4" i="7"/>
  <c r="BH4" i="15"/>
  <c r="BH4" i="12"/>
  <c r="BH4" i="13"/>
  <c r="BH4" i="10"/>
  <c r="BH4" i="14"/>
  <c r="BH4" i="8"/>
  <c r="BH4" i="11"/>
  <c r="CQ4" i="1"/>
  <c r="CQ4" i="7"/>
  <c r="CQ4" i="14"/>
  <c r="CQ4" i="8"/>
  <c r="CQ4" i="9"/>
  <c r="CQ4" i="11"/>
  <c r="CQ4" i="10"/>
  <c r="CQ4" i="13"/>
  <c r="CQ4" i="12"/>
  <c r="CQ4" i="15"/>
  <c r="BY4" i="1"/>
  <c r="BY4" i="7"/>
  <c r="BY4" i="10"/>
  <c r="BY4" i="14"/>
  <c r="BY4" i="13"/>
  <c r="BY4" i="8"/>
  <c r="BY4" i="11"/>
  <c r="BY4" i="15"/>
  <c r="BY4" i="9"/>
  <c r="BY4" i="12"/>
  <c r="AN4" i="1"/>
  <c r="AN4" i="9"/>
  <c r="AN4" i="11"/>
  <c r="AN4" i="13"/>
  <c r="AN4" i="14"/>
  <c r="AN4" i="7"/>
  <c r="AN4" i="10"/>
  <c r="AN4" i="8"/>
  <c r="AN4" i="12"/>
  <c r="AN4" i="15"/>
  <c r="CR4" i="1"/>
  <c r="CR4" i="9"/>
  <c r="CR4" i="11"/>
  <c r="CR4" i="10"/>
  <c r="CR4" i="14"/>
  <c r="CR4" i="7"/>
  <c r="CR4" i="8"/>
  <c r="CR4" i="12"/>
  <c r="CR4" i="15"/>
  <c r="CR4" i="13"/>
  <c r="BZ4" i="1"/>
  <c r="BZ4" i="9"/>
  <c r="BZ4" i="8"/>
  <c r="BZ4" i="15"/>
  <c r="BZ4" i="12"/>
  <c r="BZ4" i="11"/>
  <c r="BZ4" i="7"/>
  <c r="BZ4" i="13"/>
  <c r="BZ4" i="14"/>
  <c r="BZ4" i="10"/>
  <c r="CM4" i="1"/>
  <c r="CM4" i="8"/>
  <c r="CM4" i="7"/>
  <c r="CM4" i="10"/>
  <c r="CM4" i="13"/>
  <c r="CM4" i="11"/>
  <c r="CM4" i="15"/>
  <c r="CM4" i="9"/>
  <c r="CM4" i="12"/>
  <c r="CM4" i="14"/>
  <c r="DJ4" i="1"/>
  <c r="DJ4" i="8"/>
  <c r="DJ4" i="12"/>
  <c r="DJ4" i="14"/>
  <c r="DJ4" i="7"/>
  <c r="DJ4" i="10"/>
  <c r="DJ4" i="9"/>
  <c r="DJ4" i="11"/>
  <c r="DJ4" i="13"/>
  <c r="DJ4" i="15"/>
  <c r="DW4" i="1"/>
  <c r="DW4" i="13"/>
  <c r="DW4" i="9"/>
  <c r="DW4" i="7"/>
  <c r="DW4" i="11"/>
  <c r="DW4" i="14"/>
  <c r="DW4" i="15"/>
  <c r="DW4" i="12"/>
  <c r="DW4" i="8"/>
  <c r="DW4" i="10"/>
  <c r="U4" i="1"/>
  <c r="U4" i="9"/>
  <c r="U4" i="13"/>
  <c r="U4" i="10"/>
  <c r="U4" i="8"/>
  <c r="U4" i="14"/>
  <c r="U4" i="15"/>
  <c r="U4" i="7"/>
  <c r="U4" i="11"/>
  <c r="U4" i="12"/>
  <c r="BG4" i="1"/>
  <c r="BG4" i="8"/>
  <c r="BG4" i="7"/>
  <c r="BG4" i="10"/>
  <c r="BG4" i="9"/>
  <c r="BG4" i="12"/>
  <c r="BG4" i="11"/>
  <c r="BG4" i="13"/>
  <c r="BG4" i="15"/>
  <c r="BG4" i="14"/>
  <c r="DX4" i="1"/>
  <c r="DX4" i="7"/>
  <c r="DX4" i="11"/>
  <c r="DX4" i="10"/>
  <c r="DX4" i="8"/>
  <c r="DX4" i="9"/>
  <c r="DX4" i="15"/>
  <c r="DX4" i="12"/>
  <c r="DX4" i="13"/>
  <c r="DX4" i="14"/>
  <c r="EC4" i="1"/>
  <c r="EC4" i="7"/>
  <c r="EC4" i="12"/>
  <c r="EC4" i="10"/>
  <c r="EC4" i="11"/>
  <c r="EC4" i="8"/>
  <c r="EC4" i="9"/>
  <c r="EC4" i="14"/>
  <c r="EC4" i="15"/>
  <c r="EC4" i="13"/>
  <c r="ED4" i="1"/>
  <c r="ED4" i="7"/>
  <c r="ED4" i="10"/>
  <c r="ED4" i="15"/>
  <c r="ED4" i="12"/>
  <c r="ED4" i="13"/>
  <c r="ED4" i="14"/>
  <c r="ED4" i="9"/>
  <c r="ED4" i="8"/>
  <c r="ED4" i="11"/>
  <c r="I66" i="4"/>
  <c r="CN4" i="1"/>
  <c r="CN4" i="7"/>
  <c r="CN4" i="9"/>
  <c r="CN4" i="8"/>
  <c r="CN4" i="14"/>
  <c r="CN4" i="10"/>
  <c r="CN4" i="15"/>
  <c r="CN4" i="12"/>
  <c r="CN4" i="11"/>
  <c r="CN4" i="13"/>
  <c r="DI4" i="1"/>
  <c r="DI4" i="8"/>
  <c r="DI4" i="10"/>
  <c r="DI4" i="9"/>
  <c r="DI4" i="11"/>
  <c r="DI4" i="12"/>
  <c r="DI4" i="7"/>
  <c r="DI4" i="15"/>
  <c r="DI4" i="14"/>
  <c r="DI4" i="13"/>
  <c r="K66" i="4"/>
  <c r="DE4" i="1"/>
  <c r="DE4" i="11"/>
  <c r="DE4" i="12"/>
  <c r="DE4" i="8"/>
  <c r="DE4" i="13"/>
  <c r="DE4" i="9"/>
  <c r="DE4" i="14"/>
  <c r="DE4" i="10"/>
  <c r="DE4" i="7"/>
  <c r="DE4" i="15"/>
  <c r="DF4" i="1"/>
  <c r="DF4" i="9"/>
  <c r="DF4" i="12"/>
  <c r="DF4" i="11"/>
  <c r="DF4" i="8"/>
  <c r="DF4" i="15"/>
  <c r="DF4" i="13"/>
  <c r="DF4" i="7"/>
  <c r="DF4" i="10"/>
  <c r="DF4" i="14"/>
  <c r="AM4" i="1"/>
  <c r="AM4" i="11"/>
  <c r="AM4" i="8"/>
  <c r="AM4" i="15"/>
  <c r="AM4" i="13"/>
  <c r="AM4" i="12"/>
  <c r="AM4" i="9"/>
  <c r="AM4" i="7"/>
  <c r="AM4" i="14"/>
  <c r="AM4" i="10"/>
  <c r="F23" i="4"/>
  <c r="I22" i="4"/>
  <c r="K22" i="4"/>
  <c r="K57" i="4"/>
  <c r="I57" i="4"/>
  <c r="K13" i="4"/>
  <c r="I13" i="4"/>
  <c r="F33" i="4"/>
  <c r="K32" i="4"/>
  <c r="I32" i="4"/>
  <c r="F51" i="4"/>
  <c r="I50" i="4"/>
  <c r="K50" i="4"/>
  <c r="F42" i="4"/>
  <c r="K41" i="4"/>
  <c r="I41" i="4"/>
  <c r="F60" i="4"/>
  <c r="K59" i="4"/>
  <c r="I59" i="4"/>
  <c r="F70" i="4"/>
  <c r="K69" i="4"/>
  <c r="I69" i="4"/>
  <c r="K67" i="4"/>
  <c r="I67" i="4"/>
  <c r="AJ34" i="20" l="1"/>
  <c r="AF35" i="20"/>
  <c r="AI34" i="20"/>
  <c r="AH34" i="20"/>
  <c r="AK34" i="20" s="1"/>
  <c r="W33" i="21"/>
  <c r="V33" i="21"/>
  <c r="Y33" i="21" s="1"/>
  <c r="T34" i="21"/>
  <c r="AA33" i="21"/>
  <c r="AD32" i="21"/>
  <c r="AF32" i="21" s="1"/>
  <c r="AC31" i="21"/>
  <c r="Z32" i="21"/>
  <c r="AB31" i="21"/>
  <c r="AE31" i="21" s="1"/>
  <c r="AG31" i="21" s="1"/>
  <c r="U35" i="21"/>
  <c r="X34" i="21"/>
  <c r="T32" i="20"/>
  <c r="V32" i="20" s="1"/>
  <c r="Y32" i="20" s="1"/>
  <c r="W31" i="20"/>
  <c r="V31" i="20"/>
  <c r="Y31" i="20" s="1"/>
  <c r="U33" i="20"/>
  <c r="X32" i="20"/>
  <c r="AC31" i="20"/>
  <c r="AB31" i="20"/>
  <c r="AE31" i="20" s="1"/>
  <c r="AM31" i="20" s="1"/>
  <c r="Z32" i="20"/>
  <c r="AA44" i="20"/>
  <c r="AD43" i="20"/>
  <c r="AL43" i="20" s="1"/>
  <c r="EA4" i="1"/>
  <c r="EA4" i="8"/>
  <c r="EA4" i="15"/>
  <c r="EA4" i="7"/>
  <c r="EA4" i="10"/>
  <c r="EA4" i="9"/>
  <c r="EA4" i="13"/>
  <c r="EA4" i="12"/>
  <c r="EA4" i="14"/>
  <c r="EA4" i="11"/>
  <c r="CA4" i="1"/>
  <c r="CA4" i="10"/>
  <c r="CA4" i="13"/>
  <c r="CA4" i="9"/>
  <c r="CA4" i="8"/>
  <c r="CA4" i="15"/>
  <c r="CA4" i="12"/>
  <c r="CA4" i="11"/>
  <c r="CA4" i="7"/>
  <c r="CA4" i="14"/>
  <c r="BI4" i="1"/>
  <c r="BI4" i="13"/>
  <c r="BI4" i="9"/>
  <c r="BI4" i="12"/>
  <c r="BI4" i="14"/>
  <c r="BI4" i="10"/>
  <c r="BI4" i="7"/>
  <c r="BI4" i="11"/>
  <c r="BI4" i="15"/>
  <c r="BI4" i="8"/>
  <c r="AO4" i="1"/>
  <c r="AO4" i="14"/>
  <c r="AO4" i="7"/>
  <c r="AO4" i="8"/>
  <c r="AO4" i="10"/>
  <c r="AO4" i="12"/>
  <c r="AO4" i="13"/>
  <c r="AO4" i="11"/>
  <c r="AO4" i="9"/>
  <c r="AO4" i="15"/>
  <c r="CB4" i="1"/>
  <c r="CB4" i="12"/>
  <c r="CB4" i="7"/>
  <c r="CB4" i="11"/>
  <c r="CB4" i="13"/>
  <c r="CB4" i="9"/>
  <c r="CB4" i="15"/>
  <c r="CB4" i="8"/>
  <c r="CB4" i="10"/>
  <c r="CB4" i="14"/>
  <c r="W4" i="1"/>
  <c r="W4" i="10"/>
  <c r="W4" i="14"/>
  <c r="W4" i="9"/>
  <c r="W4" i="13"/>
  <c r="W4" i="7"/>
  <c r="W4" i="11"/>
  <c r="W4" i="8"/>
  <c r="W4" i="12"/>
  <c r="W4" i="15"/>
  <c r="DZ4" i="1"/>
  <c r="DZ4" i="11"/>
  <c r="DZ4" i="8"/>
  <c r="DZ4" i="15"/>
  <c r="DZ4" i="10"/>
  <c r="DZ4" i="13"/>
  <c r="DZ4" i="7"/>
  <c r="DZ4" i="12"/>
  <c r="DZ4" i="9"/>
  <c r="DZ4" i="14"/>
  <c r="DL4" i="1"/>
  <c r="DL4" i="9"/>
  <c r="DL4" i="14"/>
  <c r="DL4" i="10"/>
  <c r="DL4" i="8"/>
  <c r="DL4" i="13"/>
  <c r="DL4" i="7"/>
  <c r="DL4" i="15"/>
  <c r="DL4" i="12"/>
  <c r="DL4" i="11"/>
  <c r="EB4" i="1"/>
  <c r="EB4" i="12"/>
  <c r="EB4" i="11"/>
  <c r="EB4" i="15"/>
  <c r="EB4" i="8"/>
  <c r="EB4" i="7"/>
  <c r="EB4" i="14"/>
  <c r="EB4" i="13"/>
  <c r="EB4" i="10"/>
  <c r="EB4" i="9"/>
  <c r="DY4" i="1"/>
  <c r="DY4" i="13"/>
  <c r="DY4" i="8"/>
  <c r="DY4" i="7"/>
  <c r="DY4" i="15"/>
  <c r="DY4" i="10"/>
  <c r="DY4" i="11"/>
  <c r="DY4" i="12"/>
  <c r="DY4" i="9"/>
  <c r="DY4" i="14"/>
  <c r="BJ4" i="1"/>
  <c r="BJ4" i="9"/>
  <c r="BJ4" i="7"/>
  <c r="BJ4" i="12"/>
  <c r="BJ4" i="13"/>
  <c r="BJ4" i="10"/>
  <c r="BJ4" i="14"/>
  <c r="BJ4" i="15"/>
  <c r="BJ4" i="11"/>
  <c r="BJ4" i="8"/>
  <c r="EF4" i="1"/>
  <c r="EF4" i="7"/>
  <c r="EF4" i="11"/>
  <c r="EF4" i="10"/>
  <c r="EF4" i="15"/>
  <c r="EF4" i="12"/>
  <c r="EF4" i="13"/>
  <c r="EF4" i="9"/>
  <c r="EF4" i="14"/>
  <c r="EF4" i="8"/>
  <c r="CT4" i="1"/>
  <c r="CT4" i="12"/>
  <c r="CT4" i="14"/>
  <c r="CT4" i="7"/>
  <c r="CT4" i="9"/>
  <c r="CT4" i="15"/>
  <c r="CT4" i="10"/>
  <c r="CT4" i="8"/>
  <c r="CT4" i="11"/>
  <c r="CT4" i="13"/>
  <c r="DG4" i="1"/>
  <c r="DG4" i="11"/>
  <c r="DG4" i="8"/>
  <c r="DG4" i="9"/>
  <c r="DG4" i="10"/>
  <c r="DG4" i="13"/>
  <c r="DG4" i="7"/>
  <c r="DG4" i="14"/>
  <c r="DG4" i="15"/>
  <c r="DG4" i="12"/>
  <c r="EE4" i="1"/>
  <c r="EE4" i="13"/>
  <c r="EE4" i="7"/>
  <c r="EE4" i="11"/>
  <c r="EE4" i="15"/>
  <c r="EE4" i="12"/>
  <c r="EE4" i="8"/>
  <c r="EE4" i="10"/>
  <c r="EE4" i="14"/>
  <c r="EE4" i="9"/>
  <c r="X4" i="1"/>
  <c r="X4" i="9"/>
  <c r="X4" i="13"/>
  <c r="X4" i="7"/>
  <c r="X4" i="8"/>
  <c r="X4" i="10"/>
  <c r="X4" i="14"/>
  <c r="X4" i="11"/>
  <c r="X4" i="15"/>
  <c r="X4" i="12"/>
  <c r="CS4" i="1"/>
  <c r="CS4" i="14"/>
  <c r="CS4" i="7"/>
  <c r="CS4" i="13"/>
  <c r="CS4" i="9"/>
  <c r="CS4" i="11"/>
  <c r="CS4" i="8"/>
  <c r="CS4" i="10"/>
  <c r="CS4" i="12"/>
  <c r="CS4" i="15"/>
  <c r="DH4" i="1"/>
  <c r="DH4" i="12"/>
  <c r="DH4" i="8"/>
  <c r="DH4" i="13"/>
  <c r="DH4" i="9"/>
  <c r="DH4" i="11"/>
  <c r="DH4" i="7"/>
  <c r="DH4" i="14"/>
  <c r="DH4" i="10"/>
  <c r="DH4" i="15"/>
  <c r="DK4" i="1"/>
  <c r="DK4" i="8"/>
  <c r="DK4" i="7"/>
  <c r="DK4" i="10"/>
  <c r="DK4" i="9"/>
  <c r="DK4" i="12"/>
  <c r="DK4" i="11"/>
  <c r="DK4" i="13"/>
  <c r="DK4" i="14"/>
  <c r="DK4" i="15"/>
  <c r="AP4" i="1"/>
  <c r="AP4" i="8"/>
  <c r="AP4" i="10"/>
  <c r="AP4" i="12"/>
  <c r="AP4" i="14"/>
  <c r="AP4" i="7"/>
  <c r="AP4" i="9"/>
  <c r="AP4" i="15"/>
  <c r="AP4" i="11"/>
  <c r="AP4" i="13"/>
  <c r="K33" i="4"/>
  <c r="I33" i="4"/>
  <c r="F43" i="4"/>
  <c r="I42" i="4"/>
  <c r="K42" i="4"/>
  <c r="F71" i="4"/>
  <c r="K70" i="4"/>
  <c r="I70" i="4"/>
  <c r="F52" i="4"/>
  <c r="K51" i="4"/>
  <c r="I51" i="4"/>
  <c r="F61" i="4"/>
  <c r="K60" i="4"/>
  <c r="I60" i="4"/>
  <c r="K23" i="4"/>
  <c r="I23" i="4"/>
  <c r="AF36" i="20" l="1"/>
  <c r="AI35" i="20"/>
  <c r="AH35" i="20"/>
  <c r="AK35" i="20" s="1"/>
  <c r="AJ35" i="20"/>
  <c r="AC32" i="21"/>
  <c r="Z33" i="21"/>
  <c r="AB32" i="21"/>
  <c r="AE32" i="21" s="1"/>
  <c r="AG32" i="21" s="1"/>
  <c r="AA34" i="21"/>
  <c r="AD33" i="21"/>
  <c r="AF33" i="21" s="1"/>
  <c r="T35" i="21"/>
  <c r="W34" i="21"/>
  <c r="V34" i="21"/>
  <c r="Y34" i="21" s="1"/>
  <c r="U36" i="21"/>
  <c r="X35" i="21"/>
  <c r="U34" i="20"/>
  <c r="X33" i="20"/>
  <c r="T33" i="20"/>
  <c r="W32" i="20"/>
  <c r="AC32" i="20"/>
  <c r="AB32" i="20"/>
  <c r="AE32" i="20" s="1"/>
  <c r="AM32" i="20" s="1"/>
  <c r="Z33" i="20"/>
  <c r="AA45" i="20"/>
  <c r="AD44" i="20"/>
  <c r="AL44" i="20" s="1"/>
  <c r="CV4" i="1"/>
  <c r="CV4" i="10"/>
  <c r="CV4" i="7"/>
  <c r="CV4" i="8"/>
  <c r="CV4" i="13"/>
  <c r="CV4" i="14"/>
  <c r="CV4" i="9"/>
  <c r="CV4" i="12"/>
  <c r="CV4" i="11"/>
  <c r="CV4" i="15"/>
  <c r="BK4" i="1"/>
  <c r="BK4" i="13"/>
  <c r="BK4" i="7"/>
  <c r="BK4" i="14"/>
  <c r="BK4" i="11"/>
  <c r="BK4" i="9"/>
  <c r="BK4" i="12"/>
  <c r="BK4" i="10"/>
  <c r="BK4" i="15"/>
  <c r="BK4" i="8"/>
  <c r="BL4" i="1"/>
  <c r="BL4" i="7"/>
  <c r="BL4" i="11"/>
  <c r="BL4" i="10"/>
  <c r="BL4" i="8"/>
  <c r="BL4" i="9"/>
  <c r="BL4" i="15"/>
  <c r="BL4" i="13"/>
  <c r="BL4" i="12"/>
  <c r="BL4" i="14"/>
  <c r="AQ4" i="1"/>
  <c r="AQ4" i="9"/>
  <c r="AQ4" i="12"/>
  <c r="AQ4" i="13"/>
  <c r="AQ4" i="14"/>
  <c r="AQ4" i="8"/>
  <c r="AQ4" i="10"/>
  <c r="AQ4" i="11"/>
  <c r="AQ4" i="15"/>
  <c r="AQ4" i="7"/>
  <c r="EH4" i="1"/>
  <c r="EH4" i="8"/>
  <c r="EH4" i="10"/>
  <c r="EH4" i="15"/>
  <c r="EH4" i="11"/>
  <c r="EH4" i="12"/>
  <c r="EH4" i="14"/>
  <c r="EH4" i="7"/>
  <c r="EH4" i="9"/>
  <c r="EH4" i="13"/>
  <c r="AR4" i="1"/>
  <c r="AR4" i="9"/>
  <c r="AR4" i="7"/>
  <c r="AR4" i="12"/>
  <c r="AR4" i="11"/>
  <c r="AR4" i="15"/>
  <c r="AR4" i="13"/>
  <c r="AR4" i="8"/>
  <c r="AR4" i="10"/>
  <c r="AR4" i="14"/>
  <c r="EG4" i="1"/>
  <c r="EG4" i="10"/>
  <c r="EG4" i="9"/>
  <c r="EG4" i="13"/>
  <c r="EG4" i="12"/>
  <c r="EG4" i="7"/>
  <c r="EG4" i="11"/>
  <c r="EG4" i="8"/>
  <c r="EG4" i="15"/>
  <c r="EG4" i="14"/>
  <c r="DM4" i="1"/>
  <c r="DM4" i="11"/>
  <c r="DM4" i="10"/>
  <c r="DM4" i="8"/>
  <c r="DM4" i="7"/>
  <c r="DM4" i="9"/>
  <c r="DM4" i="12"/>
  <c r="DM4" i="15"/>
  <c r="DM4" i="13"/>
  <c r="DM4" i="14"/>
  <c r="CU4" i="1"/>
  <c r="CU4" i="8"/>
  <c r="CU4" i="13"/>
  <c r="CU4" i="15"/>
  <c r="CU4" i="14"/>
  <c r="CU4" i="11"/>
  <c r="CU4" i="9"/>
  <c r="CU4" i="12"/>
  <c r="CU4" i="10"/>
  <c r="CU4" i="7"/>
  <c r="DN4" i="1"/>
  <c r="DN4" i="7"/>
  <c r="DN4" i="12"/>
  <c r="DN4" i="11"/>
  <c r="DN4" i="8"/>
  <c r="DN4" i="15"/>
  <c r="DN4" i="14"/>
  <c r="DN4" i="13"/>
  <c r="DN4" i="9"/>
  <c r="DN4" i="10"/>
  <c r="CD4" i="1"/>
  <c r="CD4" i="8"/>
  <c r="CD4" i="7"/>
  <c r="CD4" i="14"/>
  <c r="CD4" i="12"/>
  <c r="CD4" i="15"/>
  <c r="CD4" i="9"/>
  <c r="CD4" i="11"/>
  <c r="CD4" i="13"/>
  <c r="CD4" i="10"/>
  <c r="CC4" i="1"/>
  <c r="CC4" i="10"/>
  <c r="CC4" i="9"/>
  <c r="CC4" i="11"/>
  <c r="CC4" i="12"/>
  <c r="CC4" i="7"/>
  <c r="CC4" i="14"/>
  <c r="CC4" i="8"/>
  <c r="CC4" i="13"/>
  <c r="CC4" i="15"/>
  <c r="F72" i="4"/>
  <c r="K71" i="4"/>
  <c r="I71" i="4"/>
  <c r="F62" i="4"/>
  <c r="K61" i="4"/>
  <c r="I61" i="4"/>
  <c r="K43" i="4"/>
  <c r="I43" i="4"/>
  <c r="F53" i="4"/>
  <c r="K52" i="4"/>
  <c r="I52" i="4"/>
  <c r="AJ36" i="20" l="1"/>
  <c r="AI36" i="20"/>
  <c r="AH36" i="20"/>
  <c r="AK36" i="20" s="1"/>
  <c r="AF37" i="20"/>
  <c r="V35" i="21"/>
  <c r="Y35" i="21" s="1"/>
  <c r="T36" i="21"/>
  <c r="W35" i="21"/>
  <c r="AA35" i="21"/>
  <c r="AD34" i="21"/>
  <c r="AF34" i="21" s="1"/>
  <c r="AC33" i="21"/>
  <c r="Z34" i="21"/>
  <c r="AB33" i="21"/>
  <c r="AE33" i="21" s="1"/>
  <c r="AG33" i="21" s="1"/>
  <c r="U37" i="21"/>
  <c r="X36" i="21"/>
  <c r="T34" i="20"/>
  <c r="V34" i="20" s="1"/>
  <c r="Y34" i="20" s="1"/>
  <c r="W33" i="20"/>
  <c r="V33" i="20"/>
  <c r="Y33" i="20" s="1"/>
  <c r="U35" i="20"/>
  <c r="X34" i="20"/>
  <c r="AC33" i="20"/>
  <c r="Z34" i="20"/>
  <c r="AB33" i="20"/>
  <c r="AE33" i="20" s="1"/>
  <c r="AM33" i="20" s="1"/>
  <c r="AA46" i="20"/>
  <c r="AD45" i="20"/>
  <c r="AL45" i="20" s="1"/>
  <c r="CF4" i="1"/>
  <c r="CF4" i="7"/>
  <c r="CF4" i="8"/>
  <c r="CF4" i="14"/>
  <c r="CF4" i="10"/>
  <c r="CF4" i="9"/>
  <c r="CF4" i="12"/>
  <c r="CF4" i="11"/>
  <c r="CF4" i="15"/>
  <c r="CF4" i="13"/>
  <c r="CE4" i="1"/>
  <c r="CE4" i="8"/>
  <c r="CE4" i="14"/>
  <c r="CE4" i="9"/>
  <c r="CE4" i="12"/>
  <c r="CE4" i="11"/>
  <c r="CE4" i="15"/>
  <c r="CE4" i="7"/>
  <c r="CE4" i="10"/>
  <c r="CE4" i="13"/>
  <c r="DP4" i="1"/>
  <c r="DP4" i="11"/>
  <c r="DP4" i="8"/>
  <c r="DP4" i="13"/>
  <c r="DP4" i="12"/>
  <c r="DP4" i="10"/>
  <c r="DP4" i="9"/>
  <c r="DP4" i="14"/>
  <c r="DP4" i="7"/>
  <c r="DP4" i="15"/>
  <c r="CW4" i="1"/>
  <c r="CW4" i="13"/>
  <c r="CW4" i="7"/>
  <c r="CW4" i="12"/>
  <c r="CW4" i="11"/>
  <c r="CW4" i="9"/>
  <c r="CW4" i="8"/>
  <c r="CW4" i="14"/>
  <c r="CW4" i="10"/>
  <c r="CW4" i="15"/>
  <c r="EI4" i="1"/>
  <c r="EI4" i="14"/>
  <c r="EI4" i="15"/>
  <c r="EI4" i="12"/>
  <c r="EI4" i="7"/>
  <c r="EI4" i="10"/>
  <c r="EI4" i="11"/>
  <c r="EI4" i="9"/>
  <c r="EI4" i="8"/>
  <c r="EI4" i="13"/>
  <c r="DO4" i="1"/>
  <c r="DO4" i="7"/>
  <c r="DO4" i="11"/>
  <c r="DO4" i="14"/>
  <c r="DO4" i="8"/>
  <c r="DO4" i="13"/>
  <c r="DO4" i="9"/>
  <c r="DO4" i="10"/>
  <c r="DO4" i="15"/>
  <c r="DO4" i="12"/>
  <c r="CX4" i="1"/>
  <c r="CX4" i="12"/>
  <c r="CX4" i="11"/>
  <c r="CX4" i="8"/>
  <c r="CX4" i="13"/>
  <c r="CX4" i="10"/>
  <c r="CX4" i="14"/>
  <c r="CX4" i="9"/>
  <c r="CX4" i="7"/>
  <c r="CX4" i="15"/>
  <c r="EJ4" i="1"/>
  <c r="EJ4" i="14"/>
  <c r="EJ4" i="12"/>
  <c r="EJ4" i="11"/>
  <c r="EJ4" i="15"/>
  <c r="EJ4" i="13"/>
  <c r="EJ4" i="8"/>
  <c r="EJ4" i="10"/>
  <c r="EJ4" i="9"/>
  <c r="EJ4" i="7"/>
  <c r="F63" i="4"/>
  <c r="I62" i="4"/>
  <c r="K62" i="4"/>
  <c r="K53" i="4"/>
  <c r="I53" i="4"/>
  <c r="F73" i="4"/>
  <c r="K72" i="4"/>
  <c r="I72" i="4"/>
  <c r="AI37" i="20" l="1"/>
  <c r="AH37" i="20"/>
  <c r="AK37" i="20" s="1"/>
  <c r="AF38" i="20"/>
  <c r="AJ37" i="20"/>
  <c r="AD35" i="21"/>
  <c r="AF35" i="21" s="1"/>
  <c r="AA36" i="21"/>
  <c r="AC34" i="21"/>
  <c r="Z35" i="21"/>
  <c r="AB34" i="21"/>
  <c r="AE34" i="21" s="1"/>
  <c r="AG34" i="21" s="1"/>
  <c r="V36" i="21"/>
  <c r="Y36" i="21" s="1"/>
  <c r="T37" i="21"/>
  <c r="W36" i="21"/>
  <c r="U38" i="21"/>
  <c r="X37" i="21"/>
  <c r="U36" i="20"/>
  <c r="X35" i="20"/>
  <c r="T35" i="20"/>
  <c r="W34" i="20"/>
  <c r="AC34" i="20"/>
  <c r="AB34" i="20"/>
  <c r="AE34" i="20" s="1"/>
  <c r="AM34" i="20" s="1"/>
  <c r="Z35" i="20"/>
  <c r="AD46" i="20"/>
  <c r="AL46" i="20" s="1"/>
  <c r="AA47" i="20"/>
  <c r="EK4" i="1"/>
  <c r="EK4" i="10"/>
  <c r="EK4" i="7"/>
  <c r="EK4" i="15"/>
  <c r="EK4" i="13"/>
  <c r="EK4" i="11"/>
  <c r="EK4" i="8"/>
  <c r="EK4" i="9"/>
  <c r="EK4" i="14"/>
  <c r="EK4" i="12"/>
  <c r="EL4" i="1"/>
  <c r="EL4" i="9"/>
  <c r="EL4" i="7"/>
  <c r="EL4" i="15"/>
  <c r="EL4" i="12"/>
  <c r="EL4" i="11"/>
  <c r="EL4" i="8"/>
  <c r="EL4" i="10"/>
  <c r="EL4" i="13"/>
  <c r="EL4" i="14"/>
  <c r="FK4" i="18"/>
  <c r="FX4" i="18"/>
  <c r="GK4" i="18"/>
  <c r="CY4" i="1"/>
  <c r="CY4" i="8"/>
  <c r="CY4" i="13"/>
  <c r="CY4" i="11"/>
  <c r="CY4" i="7"/>
  <c r="CY4" i="14"/>
  <c r="CY4" i="9"/>
  <c r="CY4" i="10"/>
  <c r="CY4" i="15"/>
  <c r="CY4" i="12"/>
  <c r="CZ4" i="1"/>
  <c r="CZ4" i="9"/>
  <c r="CZ4" i="7"/>
  <c r="CZ4" i="12"/>
  <c r="CZ4" i="13"/>
  <c r="CZ4" i="11"/>
  <c r="CZ4" i="15"/>
  <c r="CZ4" i="14"/>
  <c r="CZ4" i="10"/>
  <c r="CZ4" i="8"/>
  <c r="DR4" i="1"/>
  <c r="DR4" i="8"/>
  <c r="DR4" i="10"/>
  <c r="DR4" i="11"/>
  <c r="DR4" i="13"/>
  <c r="DR4" i="7"/>
  <c r="DR4" i="14"/>
  <c r="DR4" i="12"/>
  <c r="DR4" i="9"/>
  <c r="DR4" i="15"/>
  <c r="DQ4" i="1"/>
  <c r="DQ4" i="8"/>
  <c r="DQ4" i="13"/>
  <c r="DQ4" i="7"/>
  <c r="DQ4" i="9"/>
  <c r="DQ4" i="11"/>
  <c r="DQ4" i="10"/>
  <c r="DQ4" i="14"/>
  <c r="DQ4" i="12"/>
  <c r="DQ4" i="15"/>
  <c r="K73" i="4"/>
  <c r="I73" i="4"/>
  <c r="K63" i="4"/>
  <c r="I63" i="4"/>
  <c r="AF39" i="20" l="1"/>
  <c r="AI38" i="20"/>
  <c r="AC35" i="21"/>
  <c r="AB35" i="21"/>
  <c r="AE35" i="21" s="1"/>
  <c r="AG35" i="21" s="1"/>
  <c r="Z36" i="21"/>
  <c r="V37" i="21"/>
  <c r="Y37" i="21" s="1"/>
  <c r="T38" i="21"/>
  <c r="W37" i="21"/>
  <c r="AD36" i="21"/>
  <c r="AF36" i="21" s="1"/>
  <c r="AA37" i="21"/>
  <c r="U40" i="21"/>
  <c r="X40" i="21" s="1"/>
  <c r="X38" i="21"/>
  <c r="T36" i="20"/>
  <c r="W35" i="20"/>
  <c r="V35" i="20"/>
  <c r="Y35" i="20" s="1"/>
  <c r="U37" i="20"/>
  <c r="X36" i="20"/>
  <c r="AC35" i="20"/>
  <c r="Z36" i="20"/>
  <c r="AB35" i="20"/>
  <c r="AE35" i="20" s="1"/>
  <c r="AM35" i="20" s="1"/>
  <c r="AA48" i="20"/>
  <c r="AD47" i="20"/>
  <c r="AL47" i="20" s="1"/>
  <c r="V36" i="20"/>
  <c r="Y36" i="20" s="1"/>
  <c r="GK15" i="18"/>
  <c r="GK96" i="18"/>
  <c r="GK107" i="18" s="1"/>
  <c r="GK50" i="18"/>
  <c r="GK61" i="18" s="1"/>
  <c r="FK15" i="18"/>
  <c r="FK96" i="18"/>
  <c r="FK107" i="18" s="1"/>
  <c r="FK50" i="18"/>
  <c r="FK61" i="18" s="1"/>
  <c r="FX15" i="18"/>
  <c r="FX50" i="18"/>
  <c r="FX61" i="18" s="1"/>
  <c r="FX96" i="18"/>
  <c r="FX107" i="18" s="1"/>
  <c r="DS4" i="1"/>
  <c r="DS4" i="8"/>
  <c r="DS4" i="7"/>
  <c r="DS4" i="10"/>
  <c r="DS4" i="9"/>
  <c r="DS4" i="12"/>
  <c r="DS4" i="11"/>
  <c r="DS4" i="13"/>
  <c r="DS4" i="14"/>
  <c r="DS4" i="15"/>
  <c r="DT4" i="1"/>
  <c r="DT4" i="8"/>
  <c r="DT4" i="10"/>
  <c r="DT4" i="7"/>
  <c r="DT4" i="9"/>
  <c r="DT4" i="13"/>
  <c r="DT4" i="15"/>
  <c r="DT4" i="14"/>
  <c r="DT4" i="12"/>
  <c r="DT4" i="11"/>
  <c r="EM4" i="1"/>
  <c r="EM4" i="9"/>
  <c r="EM4" i="10"/>
  <c r="EM4" i="13"/>
  <c r="EM4" i="8"/>
  <c r="EM4" i="11"/>
  <c r="EM4" i="15"/>
  <c r="EM4" i="7"/>
  <c r="EM4" i="12"/>
  <c r="EM4" i="14"/>
  <c r="EN4" i="1"/>
  <c r="EN4" i="12"/>
  <c r="EN4" i="7"/>
  <c r="EN4" i="11"/>
  <c r="EN4" i="13"/>
  <c r="EN4" i="8"/>
  <c r="EN4" i="14"/>
  <c r="EN4" i="10"/>
  <c r="EN4" i="15"/>
  <c r="EN4" i="9"/>
  <c r="AH39" i="20" l="1"/>
  <c r="AK39" i="20" s="1"/>
  <c r="AI39" i="20"/>
  <c r="AF40" i="20"/>
  <c r="AD37" i="21"/>
  <c r="AF37" i="21" s="1"/>
  <c r="AA38" i="21"/>
  <c r="U41" i="21"/>
  <c r="V38" i="21"/>
  <c r="Y38" i="21" s="1"/>
  <c r="T39" i="21"/>
  <c r="W38" i="21"/>
  <c r="AC36" i="21"/>
  <c r="Z37" i="21"/>
  <c r="AB36" i="21"/>
  <c r="AE36" i="21" s="1"/>
  <c r="AG36" i="21" s="1"/>
  <c r="U38" i="20"/>
  <c r="X37" i="20"/>
  <c r="T37" i="20"/>
  <c r="V37" i="20" s="1"/>
  <c r="Y37" i="20" s="1"/>
  <c r="W36" i="20"/>
  <c r="AC36" i="20"/>
  <c r="Z37" i="20"/>
  <c r="AB36" i="20"/>
  <c r="AE36" i="20" s="1"/>
  <c r="AM36" i="20" s="1"/>
  <c r="AA49" i="20"/>
  <c r="AD48" i="20"/>
  <c r="AL48" i="20" s="1"/>
  <c r="FU73" i="18"/>
  <c r="FU69" i="18"/>
  <c r="FU67" i="18"/>
  <c r="GU84" i="18"/>
  <c r="FU87" i="18"/>
  <c r="FU70" i="18"/>
  <c r="GU80" i="18"/>
  <c r="GH92" i="18"/>
  <c r="FU93" i="18"/>
  <c r="FU91" i="18"/>
  <c r="FU81" i="18"/>
  <c r="FU63" i="18"/>
  <c r="FU71" i="18"/>
  <c r="FU83" i="18"/>
  <c r="FU64" i="18"/>
  <c r="FU79" i="18"/>
  <c r="FU65" i="18"/>
  <c r="FU72" i="18"/>
  <c r="FU75" i="18"/>
  <c r="FU85" i="18"/>
  <c r="FU89" i="18"/>
  <c r="GH81" i="18"/>
  <c r="FU77" i="18"/>
  <c r="GH91" i="18"/>
  <c r="GU87" i="18"/>
  <c r="GH65" i="18"/>
  <c r="GU78" i="18"/>
  <c r="GU76" i="18"/>
  <c r="GU68" i="18"/>
  <c r="GU64" i="18"/>
  <c r="FU76" i="18"/>
  <c r="GH75" i="18"/>
  <c r="GU66" i="18"/>
  <c r="GH63" i="18"/>
  <c r="FU66" i="18"/>
  <c r="GU90" i="18"/>
  <c r="GH67" i="18"/>
  <c r="GU86" i="18"/>
  <c r="GU65" i="18"/>
  <c r="GU82" i="18"/>
  <c r="GU77" i="18"/>
  <c r="GH78" i="18"/>
  <c r="GH90" i="18"/>
  <c r="GU63" i="18"/>
  <c r="GU85" i="18"/>
  <c r="GU71" i="18"/>
  <c r="GH74" i="18"/>
  <c r="GU72" i="18"/>
  <c r="GH77" i="18"/>
  <c r="FU92" i="18"/>
  <c r="GH68" i="18"/>
  <c r="GH76" i="18"/>
  <c r="FU80" i="18"/>
  <c r="GU92" i="18"/>
  <c r="FU74" i="18"/>
  <c r="GH69" i="18"/>
  <c r="FU86" i="18"/>
  <c r="GH82" i="18"/>
  <c r="GH89" i="18"/>
  <c r="GU70" i="18"/>
  <c r="GH72" i="18"/>
  <c r="GH85" i="18"/>
  <c r="GU74" i="18"/>
  <c r="GH71" i="18"/>
  <c r="GU79" i="18"/>
  <c r="FU90" i="18"/>
  <c r="GH83" i="18"/>
  <c r="GU88" i="18"/>
  <c r="FU68" i="18"/>
  <c r="GH73" i="18"/>
  <c r="GH70" i="18"/>
  <c r="GU91" i="18"/>
  <c r="GH84" i="18"/>
  <c r="GH66" i="18"/>
  <c r="GU93" i="18"/>
  <c r="GH88" i="18"/>
  <c r="FU84" i="18"/>
  <c r="GU73" i="18"/>
  <c r="FU88" i="18"/>
  <c r="GU81" i="18"/>
  <c r="GU69" i="18"/>
  <c r="GH64" i="18"/>
  <c r="GU89" i="18"/>
  <c r="GH86" i="18"/>
  <c r="GH80" i="18"/>
  <c r="GU75" i="18"/>
  <c r="GU67" i="18"/>
  <c r="GH93" i="18"/>
  <c r="FU82" i="18"/>
  <c r="FU78" i="18"/>
  <c r="GH79" i="18"/>
  <c r="GH87" i="18"/>
  <c r="GU83" i="18"/>
  <c r="GT83" i="18"/>
  <c r="FT64" i="18"/>
  <c r="GT77" i="18"/>
  <c r="GT79" i="18"/>
  <c r="GT89" i="18"/>
  <c r="GT85" i="18"/>
  <c r="FT71" i="18"/>
  <c r="GT69" i="18"/>
  <c r="GT93" i="18"/>
  <c r="GG85" i="18"/>
  <c r="FT80" i="18"/>
  <c r="FT84" i="18"/>
  <c r="FT91" i="18"/>
  <c r="GG66" i="18"/>
  <c r="GT65" i="18"/>
  <c r="GT91" i="18"/>
  <c r="FT82" i="18"/>
  <c r="FT85" i="18"/>
  <c r="GG71" i="18"/>
  <c r="GT72" i="18"/>
  <c r="GT63" i="18"/>
  <c r="GT109" i="18" s="1"/>
  <c r="GG64" i="18"/>
  <c r="FT93" i="18"/>
  <c r="FT70" i="18"/>
  <c r="GG69" i="18"/>
  <c r="FT75" i="18"/>
  <c r="FT78" i="18"/>
  <c r="GG91" i="18"/>
  <c r="GT68" i="18"/>
  <c r="FT68" i="18"/>
  <c r="GT84" i="18"/>
  <c r="FT79" i="18"/>
  <c r="FT69" i="18"/>
  <c r="FT86" i="18"/>
  <c r="GG86" i="18"/>
  <c r="GG87" i="18"/>
  <c r="GG84" i="18"/>
  <c r="GG65" i="18"/>
  <c r="FT73" i="18"/>
  <c r="GG67" i="18"/>
  <c r="FT72" i="18"/>
  <c r="FT87" i="18"/>
  <c r="GG93" i="18"/>
  <c r="GG90" i="18"/>
  <c r="GG92" i="18"/>
  <c r="GG89" i="18"/>
  <c r="GT80" i="18"/>
  <c r="FT77" i="18"/>
  <c r="GG70" i="18"/>
  <c r="GT78" i="18"/>
  <c r="FT76" i="18"/>
  <c r="GG82" i="18"/>
  <c r="GT82" i="18"/>
  <c r="FT83" i="18"/>
  <c r="GG79" i="18"/>
  <c r="GG73" i="18"/>
  <c r="GG88" i="18"/>
  <c r="GG77" i="18"/>
  <c r="GG75" i="18"/>
  <c r="GT88" i="18"/>
  <c r="GG72" i="18"/>
  <c r="GG63" i="18"/>
  <c r="FT67" i="18"/>
  <c r="FT89" i="18"/>
  <c r="GT64" i="18"/>
  <c r="GT81" i="18"/>
  <c r="GT70" i="18"/>
  <c r="GT66" i="18"/>
  <c r="GG81" i="18"/>
  <c r="GT76" i="18"/>
  <c r="GT90" i="18"/>
  <c r="GG68" i="18"/>
  <c r="FT90" i="18"/>
  <c r="GT71" i="18"/>
  <c r="GG80" i="18"/>
  <c r="GG76" i="18"/>
  <c r="GT86" i="18"/>
  <c r="FT74" i="18"/>
  <c r="GT75" i="18"/>
  <c r="FT88" i="18"/>
  <c r="FT81" i="18"/>
  <c r="FT65" i="18"/>
  <c r="GT73" i="18"/>
  <c r="FT63" i="18"/>
  <c r="GG78" i="18"/>
  <c r="FT92" i="18"/>
  <c r="GT67" i="18"/>
  <c r="GT92" i="18"/>
  <c r="GG83" i="18"/>
  <c r="GG74" i="18"/>
  <c r="GT87" i="18"/>
  <c r="FT66" i="18"/>
  <c r="GT74" i="18"/>
  <c r="FP90" i="18"/>
  <c r="FP76" i="18"/>
  <c r="GP78" i="18"/>
  <c r="FP92" i="18"/>
  <c r="FP82" i="18"/>
  <c r="FP78" i="18"/>
  <c r="FP88" i="18"/>
  <c r="FP86" i="18"/>
  <c r="GP86" i="18"/>
  <c r="FP80" i="18"/>
  <c r="FP84" i="18"/>
  <c r="GP92" i="18"/>
  <c r="GP74" i="18"/>
  <c r="GP81" i="18"/>
  <c r="GC79" i="18"/>
  <c r="GP73" i="18"/>
  <c r="GP84" i="18"/>
  <c r="FP85" i="18"/>
  <c r="GC90" i="18"/>
  <c r="FP77" i="18"/>
  <c r="GC88" i="18"/>
  <c r="GC78" i="18"/>
  <c r="GC81" i="18"/>
  <c r="FP65" i="18"/>
  <c r="FP75" i="18"/>
  <c r="GC74" i="18"/>
  <c r="GP63" i="18"/>
  <c r="GC93" i="18"/>
  <c r="GC72" i="18"/>
  <c r="GP71" i="18"/>
  <c r="GC67" i="18"/>
  <c r="GC84" i="18"/>
  <c r="FP93" i="18"/>
  <c r="GC83" i="18"/>
  <c r="GC91" i="18"/>
  <c r="GP87" i="18"/>
  <c r="GC82" i="18"/>
  <c r="FP79" i="18"/>
  <c r="GP83" i="18"/>
  <c r="GP68" i="18"/>
  <c r="FP74" i="18"/>
  <c r="GC89" i="18"/>
  <c r="FP71" i="18"/>
  <c r="GP91" i="18"/>
  <c r="GP82" i="18"/>
  <c r="GC66" i="18"/>
  <c r="GC77" i="18"/>
  <c r="GC69" i="18"/>
  <c r="FP81" i="18"/>
  <c r="FP63" i="18"/>
  <c r="FP89" i="18"/>
  <c r="GC63" i="18"/>
  <c r="GC80" i="18"/>
  <c r="GP85" i="18"/>
  <c r="GP89" i="18"/>
  <c r="GP65" i="18"/>
  <c r="GP66" i="18"/>
  <c r="GP69" i="18"/>
  <c r="GP88" i="18"/>
  <c r="GP134" i="18" s="1"/>
  <c r="FP87" i="18"/>
  <c r="FP66" i="18"/>
  <c r="GP70" i="18"/>
  <c r="GP77" i="18"/>
  <c r="GC92" i="18"/>
  <c r="FP91" i="18"/>
  <c r="GP76" i="18"/>
  <c r="GP79" i="18"/>
  <c r="GC68" i="18"/>
  <c r="GC75" i="18"/>
  <c r="FP70" i="18"/>
  <c r="FP73" i="18"/>
  <c r="GP80" i="18"/>
  <c r="GP67" i="18"/>
  <c r="FP72" i="18"/>
  <c r="GC85" i="18"/>
  <c r="GC73" i="18"/>
  <c r="FP68" i="18"/>
  <c r="GP72" i="18"/>
  <c r="GC86" i="18"/>
  <c r="FP69" i="18"/>
  <c r="GC65" i="18"/>
  <c r="FP64" i="18"/>
  <c r="FP83" i="18"/>
  <c r="FP129" i="18" s="1"/>
  <c r="GC70" i="18"/>
  <c r="GC64" i="18"/>
  <c r="GP90" i="18"/>
  <c r="GP93" i="18"/>
  <c r="GP75" i="18"/>
  <c r="GC71" i="18"/>
  <c r="FP67" i="18"/>
  <c r="GC76" i="18"/>
  <c r="GC87" i="18"/>
  <c r="GP64" i="18"/>
  <c r="GN82" i="18"/>
  <c r="GN88" i="18"/>
  <c r="GN69" i="18"/>
  <c r="FN93" i="18"/>
  <c r="FN69" i="18"/>
  <c r="GN63" i="18"/>
  <c r="GN67" i="18"/>
  <c r="GN76" i="18"/>
  <c r="GN71" i="18"/>
  <c r="FN67" i="18"/>
  <c r="FN89" i="18"/>
  <c r="FN71" i="18"/>
  <c r="FN81" i="18"/>
  <c r="FN91" i="18"/>
  <c r="GN83" i="18"/>
  <c r="GA68" i="18"/>
  <c r="GA71" i="18"/>
  <c r="GA83" i="18"/>
  <c r="GN70" i="18"/>
  <c r="GA72" i="18"/>
  <c r="GA63" i="18"/>
  <c r="GN66" i="18"/>
  <c r="GN112" i="18" s="1"/>
  <c r="GN79" i="18"/>
  <c r="GA64" i="18"/>
  <c r="GN75" i="18"/>
  <c r="GN87" i="18"/>
  <c r="GN93" i="18"/>
  <c r="GA80" i="18"/>
  <c r="FN86" i="18"/>
  <c r="GA75" i="18"/>
  <c r="FN64" i="18"/>
  <c r="GA91" i="18"/>
  <c r="FN85" i="18"/>
  <c r="GA66" i="18"/>
  <c r="FN63" i="18"/>
  <c r="GN65" i="18"/>
  <c r="GN68" i="18"/>
  <c r="GN73" i="18"/>
  <c r="GN119" i="18" s="1"/>
  <c r="GA67" i="18"/>
  <c r="FN75" i="18"/>
  <c r="GN72" i="18"/>
  <c r="FN65" i="18"/>
  <c r="GA82" i="18"/>
  <c r="GA65" i="18"/>
  <c r="GN78" i="18"/>
  <c r="GN89" i="18"/>
  <c r="GN81" i="18"/>
  <c r="GA88" i="18"/>
  <c r="GN84" i="18"/>
  <c r="FN84" i="18"/>
  <c r="GN64" i="18"/>
  <c r="GN77" i="18"/>
  <c r="GA77" i="18"/>
  <c r="FN79" i="18"/>
  <c r="GN80" i="18"/>
  <c r="GA93" i="18"/>
  <c r="GA70" i="18"/>
  <c r="GA92" i="18"/>
  <c r="FN87" i="18"/>
  <c r="FN92" i="18"/>
  <c r="GA90" i="18"/>
  <c r="FN70" i="18"/>
  <c r="GN92" i="18"/>
  <c r="GA69" i="18"/>
  <c r="GA74" i="18"/>
  <c r="GA76" i="18"/>
  <c r="GA81" i="18"/>
  <c r="GA127" i="18" s="1"/>
  <c r="GA73" i="18"/>
  <c r="GN91" i="18"/>
  <c r="FN72" i="18"/>
  <c r="GA84" i="18"/>
  <c r="GN74" i="18"/>
  <c r="GN86" i="18"/>
  <c r="GA79" i="18"/>
  <c r="FN78" i="18"/>
  <c r="FN73" i="18"/>
  <c r="GN85" i="18"/>
  <c r="FN74" i="18"/>
  <c r="GA78" i="18"/>
  <c r="GA85" i="18"/>
  <c r="GA86" i="18"/>
  <c r="FN76" i="18"/>
  <c r="FN88" i="18"/>
  <c r="FN68" i="18"/>
  <c r="FN83" i="18"/>
  <c r="FN90" i="18"/>
  <c r="GA89" i="18"/>
  <c r="FN66" i="18"/>
  <c r="FN77" i="18"/>
  <c r="FN82" i="18"/>
  <c r="FN80" i="18"/>
  <c r="GA87" i="18"/>
  <c r="GN90" i="18"/>
  <c r="FS70" i="18"/>
  <c r="FS73" i="18"/>
  <c r="FS79" i="18"/>
  <c r="FS74" i="18"/>
  <c r="FS77" i="18"/>
  <c r="FS66" i="18"/>
  <c r="FS112" i="18" s="1"/>
  <c r="GF72" i="18"/>
  <c r="FS83" i="18"/>
  <c r="FS72" i="18"/>
  <c r="FS91" i="18"/>
  <c r="FS68" i="18"/>
  <c r="FS78" i="18"/>
  <c r="GS76" i="18"/>
  <c r="GF68" i="18"/>
  <c r="GS78" i="18"/>
  <c r="GS89" i="18"/>
  <c r="FS87" i="18"/>
  <c r="GS81" i="18"/>
  <c r="GF67" i="18"/>
  <c r="GS72" i="18"/>
  <c r="FS63" i="18"/>
  <c r="GF90" i="18"/>
  <c r="GS91" i="18"/>
  <c r="GF88" i="18"/>
  <c r="GS73" i="18"/>
  <c r="GS119" i="18" s="1"/>
  <c r="GF79" i="18"/>
  <c r="GS71" i="18"/>
  <c r="GS85" i="18"/>
  <c r="GS69" i="18"/>
  <c r="GS70" i="18"/>
  <c r="FS75" i="18"/>
  <c r="GS82" i="18"/>
  <c r="GF73" i="18"/>
  <c r="FS65" i="18"/>
  <c r="GF87" i="18"/>
  <c r="FS67" i="18"/>
  <c r="GS92" i="18"/>
  <c r="GF69" i="18"/>
  <c r="GF84" i="18"/>
  <c r="FS76" i="18"/>
  <c r="FS71" i="18"/>
  <c r="GS63" i="18"/>
  <c r="GF92" i="18"/>
  <c r="GS67" i="18"/>
  <c r="GS90" i="18"/>
  <c r="GF75" i="18"/>
  <c r="GF76" i="18"/>
  <c r="GF63" i="18"/>
  <c r="GS80" i="18"/>
  <c r="FS86" i="18"/>
  <c r="GS74" i="18"/>
  <c r="FS93" i="18"/>
  <c r="GS66" i="18"/>
  <c r="FS64" i="18"/>
  <c r="GF91" i="18"/>
  <c r="GF78" i="18"/>
  <c r="GF93" i="18"/>
  <c r="GF70" i="18"/>
  <c r="GF80" i="18"/>
  <c r="GS64" i="18"/>
  <c r="GF74" i="18"/>
  <c r="GS79" i="18"/>
  <c r="GS77" i="18"/>
  <c r="FS69" i="18"/>
  <c r="GS68" i="18"/>
  <c r="FS92" i="18"/>
  <c r="FS85" i="18"/>
  <c r="GF77" i="18"/>
  <c r="FS88" i="18"/>
  <c r="GS83" i="18"/>
  <c r="GF64" i="18"/>
  <c r="GF81" i="18"/>
  <c r="GF89" i="18"/>
  <c r="GS65" i="18"/>
  <c r="FS81" i="18"/>
  <c r="GF65" i="18"/>
  <c r="GS75" i="18"/>
  <c r="GF86" i="18"/>
  <c r="GF71" i="18"/>
  <c r="FS80" i="18"/>
  <c r="GS84" i="18"/>
  <c r="GF82" i="18"/>
  <c r="GS87" i="18"/>
  <c r="GS88" i="18"/>
  <c r="GS86" i="18"/>
  <c r="FS84" i="18"/>
  <c r="FS89" i="18"/>
  <c r="GF83" i="18"/>
  <c r="GF66" i="18"/>
  <c r="FS90" i="18"/>
  <c r="GF85" i="18"/>
  <c r="GS93" i="18"/>
  <c r="FS82" i="18"/>
  <c r="FQ67" i="18"/>
  <c r="FQ65" i="18"/>
  <c r="GQ64" i="18"/>
  <c r="GQ72" i="18"/>
  <c r="GQ66" i="18"/>
  <c r="GQ70" i="18"/>
  <c r="GQ68" i="18"/>
  <c r="FQ70" i="18"/>
  <c r="GD76" i="18"/>
  <c r="FQ69" i="18"/>
  <c r="FQ64" i="18"/>
  <c r="FQ66" i="18"/>
  <c r="FQ112" i="18" s="1"/>
  <c r="FQ68" i="18"/>
  <c r="GQ77" i="18"/>
  <c r="GQ75" i="18"/>
  <c r="GD86" i="18"/>
  <c r="GD69" i="18"/>
  <c r="GD89" i="18"/>
  <c r="GD63" i="18"/>
  <c r="FQ89" i="18"/>
  <c r="FQ93" i="18"/>
  <c r="GQ73" i="18"/>
  <c r="FQ83" i="18"/>
  <c r="GQ86" i="18"/>
  <c r="GD92" i="18"/>
  <c r="GQ74" i="18"/>
  <c r="GD73" i="18"/>
  <c r="GD93" i="18"/>
  <c r="GQ84" i="18"/>
  <c r="GQ88" i="18"/>
  <c r="GQ69" i="18"/>
  <c r="GQ71" i="18"/>
  <c r="GD83" i="18"/>
  <c r="GQ78" i="18"/>
  <c r="GD79" i="18"/>
  <c r="GD65" i="18"/>
  <c r="FQ71" i="18"/>
  <c r="FQ84" i="18"/>
  <c r="FQ81" i="18"/>
  <c r="FQ74" i="18"/>
  <c r="GD90" i="18"/>
  <c r="GD136" i="18" s="1"/>
  <c r="FQ91" i="18"/>
  <c r="GQ79" i="18"/>
  <c r="GD84" i="18"/>
  <c r="FQ76" i="18"/>
  <c r="FQ79" i="18"/>
  <c r="FQ77" i="18"/>
  <c r="GD75" i="18"/>
  <c r="GQ91" i="18"/>
  <c r="GD81" i="18"/>
  <c r="GD66" i="18"/>
  <c r="GD82" i="18"/>
  <c r="GQ85" i="18"/>
  <c r="GD67" i="18"/>
  <c r="GQ93" i="18"/>
  <c r="GQ89" i="18"/>
  <c r="FQ82" i="18"/>
  <c r="FQ80" i="18"/>
  <c r="GQ90" i="18"/>
  <c r="FQ88" i="18"/>
  <c r="GQ63" i="18"/>
  <c r="GQ81" i="18"/>
  <c r="GQ76" i="18"/>
  <c r="GD77" i="18"/>
  <c r="GD74" i="18"/>
  <c r="FQ73" i="18"/>
  <c r="GD88" i="18"/>
  <c r="GQ82" i="18"/>
  <c r="FQ63" i="18"/>
  <c r="GD85" i="18"/>
  <c r="FQ85" i="18"/>
  <c r="GD71" i="18"/>
  <c r="GD68" i="18"/>
  <c r="GQ80" i="18"/>
  <c r="GD80" i="18"/>
  <c r="GQ65" i="18"/>
  <c r="GD72" i="18"/>
  <c r="GD70" i="18"/>
  <c r="GQ67" i="18"/>
  <c r="GQ83" i="18"/>
  <c r="FQ86" i="18"/>
  <c r="FQ90" i="18"/>
  <c r="FQ92" i="18"/>
  <c r="FQ75" i="18"/>
  <c r="GD64" i="18"/>
  <c r="FQ78" i="18"/>
  <c r="GD78" i="18"/>
  <c r="FQ72" i="18"/>
  <c r="GQ92" i="18"/>
  <c r="GQ87" i="18"/>
  <c r="FQ87" i="18"/>
  <c r="GD91" i="18"/>
  <c r="GD87" i="18"/>
  <c r="FL91" i="18"/>
  <c r="FL81" i="18"/>
  <c r="GL85" i="18"/>
  <c r="GL81" i="18"/>
  <c r="FL85" i="18"/>
  <c r="FL87" i="18"/>
  <c r="FL89" i="18"/>
  <c r="GL91" i="18"/>
  <c r="GL75" i="18"/>
  <c r="FL79" i="18"/>
  <c r="FL92" i="18"/>
  <c r="FY93" i="18"/>
  <c r="FL63" i="18"/>
  <c r="GL89" i="18"/>
  <c r="FL64" i="18"/>
  <c r="FL71" i="18"/>
  <c r="GL76" i="18"/>
  <c r="FY73" i="18"/>
  <c r="GL84" i="18"/>
  <c r="GL72" i="18"/>
  <c r="FL67" i="18"/>
  <c r="GL80" i="18"/>
  <c r="GL70" i="18"/>
  <c r="FL66" i="18"/>
  <c r="FY84" i="18"/>
  <c r="GL66" i="18"/>
  <c r="FY77" i="18"/>
  <c r="FL93" i="18"/>
  <c r="FL72" i="18"/>
  <c r="GL68" i="18"/>
  <c r="GL64" i="18"/>
  <c r="GL67" i="18"/>
  <c r="GL92" i="18"/>
  <c r="FY76" i="18"/>
  <c r="FL78" i="18"/>
  <c r="GL69" i="18"/>
  <c r="GL78" i="18"/>
  <c r="GL93" i="18"/>
  <c r="GL86" i="18"/>
  <c r="FL74" i="18"/>
  <c r="FY70" i="18"/>
  <c r="FY68" i="18"/>
  <c r="FL77" i="18"/>
  <c r="FY66" i="18"/>
  <c r="GL79" i="18"/>
  <c r="FY71" i="18"/>
  <c r="FY90" i="18"/>
  <c r="FY91" i="18"/>
  <c r="FL75" i="18"/>
  <c r="GL90" i="18"/>
  <c r="GL71" i="18"/>
  <c r="FL69" i="18"/>
  <c r="FY92" i="18"/>
  <c r="FL83" i="18"/>
  <c r="FY67" i="18"/>
  <c r="FL86" i="18"/>
  <c r="FY88" i="18"/>
  <c r="GL87" i="18"/>
  <c r="FL68" i="18"/>
  <c r="FY72" i="18"/>
  <c r="FY69" i="18"/>
  <c r="FY65" i="18"/>
  <c r="FL70" i="18"/>
  <c r="FY83" i="18"/>
  <c r="FY79" i="18"/>
  <c r="FY63" i="18"/>
  <c r="FL65" i="18"/>
  <c r="FY89" i="18"/>
  <c r="GL83" i="18"/>
  <c r="FL84" i="18"/>
  <c r="FY75" i="18"/>
  <c r="GL88" i="18"/>
  <c r="FL88" i="18"/>
  <c r="FY87" i="18"/>
  <c r="FL90" i="18"/>
  <c r="FL80" i="18"/>
  <c r="GL65" i="18"/>
  <c r="GL82" i="18"/>
  <c r="FL73" i="18"/>
  <c r="FY74" i="18"/>
  <c r="GL63" i="18"/>
  <c r="FY86" i="18"/>
  <c r="FY78" i="18"/>
  <c r="FY64" i="18"/>
  <c r="GL74" i="18"/>
  <c r="FY82" i="18"/>
  <c r="GL77" i="18"/>
  <c r="FY81" i="18"/>
  <c r="GL73" i="18"/>
  <c r="FY80" i="18"/>
  <c r="FY85" i="18"/>
  <c r="FL76" i="18"/>
  <c r="FL82" i="18"/>
  <c r="GM74" i="18"/>
  <c r="FM75" i="18"/>
  <c r="FM79" i="18"/>
  <c r="FM72" i="18"/>
  <c r="FM66" i="18"/>
  <c r="FM69" i="18"/>
  <c r="FM71" i="18"/>
  <c r="FM67" i="18"/>
  <c r="FM68" i="18"/>
  <c r="FM77" i="18"/>
  <c r="FM123" i="18" s="1"/>
  <c r="FM63" i="18"/>
  <c r="FM65" i="18"/>
  <c r="GM68" i="18"/>
  <c r="FM88" i="18"/>
  <c r="GM88" i="18"/>
  <c r="GM67" i="18"/>
  <c r="GM83" i="18"/>
  <c r="FM92" i="18"/>
  <c r="FZ69" i="18"/>
  <c r="FM91" i="18"/>
  <c r="FZ86" i="18"/>
  <c r="FZ83" i="18"/>
  <c r="FM93" i="18"/>
  <c r="GM65" i="18"/>
  <c r="FM78" i="18"/>
  <c r="FM64" i="18"/>
  <c r="FZ88" i="18"/>
  <c r="GM78" i="18"/>
  <c r="FM70" i="18"/>
  <c r="FM86" i="18"/>
  <c r="FZ73" i="18"/>
  <c r="FM74" i="18"/>
  <c r="FZ82" i="18"/>
  <c r="FM87" i="18"/>
  <c r="GM70" i="18"/>
  <c r="FM73" i="18"/>
  <c r="FZ78" i="18"/>
  <c r="FZ67" i="18"/>
  <c r="FM76" i="18"/>
  <c r="FZ77" i="18"/>
  <c r="GM75" i="18"/>
  <c r="GM85" i="18"/>
  <c r="GM80" i="18"/>
  <c r="GM86" i="18"/>
  <c r="GM66" i="18"/>
  <c r="FM80" i="18"/>
  <c r="FZ79" i="18"/>
  <c r="FZ93" i="18"/>
  <c r="FZ91" i="18"/>
  <c r="GM77" i="18"/>
  <c r="GM69" i="18"/>
  <c r="FM82" i="18"/>
  <c r="GM76" i="18"/>
  <c r="FZ80" i="18"/>
  <c r="FZ87" i="18"/>
  <c r="FZ72" i="18"/>
  <c r="GM90" i="18"/>
  <c r="FM81" i="18"/>
  <c r="FM127" i="18" s="1"/>
  <c r="FZ90" i="18"/>
  <c r="FZ65" i="18"/>
  <c r="FZ84" i="18"/>
  <c r="GM71" i="18"/>
  <c r="FZ89" i="18"/>
  <c r="GM73" i="18"/>
  <c r="GM63" i="18"/>
  <c r="GM64" i="18"/>
  <c r="GM92" i="18"/>
  <c r="FZ74" i="18"/>
  <c r="GM82" i="18"/>
  <c r="FZ66" i="18"/>
  <c r="FZ63" i="18"/>
  <c r="GM91" i="18"/>
  <c r="GM89" i="18"/>
  <c r="FZ75" i="18"/>
  <c r="FZ92" i="18"/>
  <c r="GM81" i="18"/>
  <c r="FM83" i="18"/>
  <c r="FM129" i="18" s="1"/>
  <c r="FM89" i="18"/>
  <c r="FZ85" i="18"/>
  <c r="FZ70" i="18"/>
  <c r="FZ64" i="18"/>
  <c r="FM85" i="18"/>
  <c r="FZ81" i="18"/>
  <c r="GM87" i="18"/>
  <c r="FZ68" i="18"/>
  <c r="GM93" i="18"/>
  <c r="FZ76" i="18"/>
  <c r="FZ71" i="18"/>
  <c r="FM84" i="18"/>
  <c r="GM84" i="18"/>
  <c r="GM130" i="18" s="1"/>
  <c r="GM72" i="18"/>
  <c r="FM90" i="18"/>
  <c r="GM79" i="18"/>
  <c r="GM125" i="18" s="1"/>
  <c r="GO71" i="18"/>
  <c r="GO63" i="18"/>
  <c r="GO109" i="18" s="1"/>
  <c r="GO92" i="18"/>
  <c r="FO71" i="18"/>
  <c r="FO65" i="18"/>
  <c r="FO63" i="18"/>
  <c r="FO88" i="18"/>
  <c r="FO69" i="18"/>
  <c r="FO67" i="18"/>
  <c r="GO65" i="18"/>
  <c r="GO67" i="18"/>
  <c r="GO69" i="18"/>
  <c r="GO82" i="18"/>
  <c r="GO73" i="18"/>
  <c r="GO77" i="18"/>
  <c r="GB89" i="18"/>
  <c r="GB88" i="18"/>
  <c r="GB81" i="18"/>
  <c r="GB65" i="18"/>
  <c r="GB73" i="18"/>
  <c r="FO72" i="18"/>
  <c r="FO82" i="18"/>
  <c r="GB72" i="18"/>
  <c r="GB76" i="18"/>
  <c r="GO70" i="18"/>
  <c r="FO84" i="18"/>
  <c r="FO74" i="18"/>
  <c r="GB86" i="18"/>
  <c r="FO66" i="18"/>
  <c r="FO77" i="18"/>
  <c r="GO87" i="18"/>
  <c r="FO81" i="18"/>
  <c r="FO90" i="18"/>
  <c r="FO87" i="18"/>
  <c r="GO75" i="18"/>
  <c r="FO93" i="18"/>
  <c r="GO81" i="18"/>
  <c r="GB78" i="18"/>
  <c r="FO78" i="18"/>
  <c r="GB91" i="18"/>
  <c r="FO79" i="18"/>
  <c r="GB69" i="18"/>
  <c r="GO68" i="18"/>
  <c r="GB84" i="18"/>
  <c r="GB85" i="18"/>
  <c r="GO72" i="18"/>
  <c r="GO86" i="18"/>
  <c r="GO76" i="18"/>
  <c r="FO76" i="18"/>
  <c r="GO64" i="18"/>
  <c r="GB87" i="18"/>
  <c r="GB74" i="18"/>
  <c r="GO78" i="18"/>
  <c r="GB67" i="18"/>
  <c r="GB75" i="18"/>
  <c r="FO85" i="18"/>
  <c r="FO131" i="18" s="1"/>
  <c r="FO64" i="18"/>
  <c r="GO83" i="18"/>
  <c r="GO84" i="18"/>
  <c r="FO86" i="18"/>
  <c r="GO79" i="18"/>
  <c r="GO66" i="18"/>
  <c r="FO68" i="18"/>
  <c r="GO91" i="18"/>
  <c r="GO85" i="18"/>
  <c r="GB64" i="18"/>
  <c r="FO70" i="18"/>
  <c r="FO73" i="18"/>
  <c r="FO92" i="18"/>
  <c r="GB79" i="18"/>
  <c r="FO89" i="18"/>
  <c r="GB66" i="18"/>
  <c r="GB112" i="18" s="1"/>
  <c r="GB68" i="18"/>
  <c r="FO75" i="18"/>
  <c r="FO121" i="18" s="1"/>
  <c r="GB80" i="18"/>
  <c r="GB93" i="18"/>
  <c r="FO83" i="18"/>
  <c r="FO129" i="18" s="1"/>
  <c r="GO74" i="18"/>
  <c r="GB77" i="18"/>
  <c r="GB92" i="18"/>
  <c r="GO80" i="18"/>
  <c r="GB83" i="18"/>
  <c r="GO93" i="18"/>
  <c r="GB82" i="18"/>
  <c r="GB70" i="18"/>
  <c r="FO91" i="18"/>
  <c r="GB63" i="18"/>
  <c r="GB90" i="18"/>
  <c r="GB71" i="18"/>
  <c r="FO80" i="18"/>
  <c r="GO88" i="18"/>
  <c r="GO90" i="18"/>
  <c r="GO89" i="18"/>
  <c r="FR68" i="18"/>
  <c r="FR70" i="18"/>
  <c r="FR85" i="18"/>
  <c r="GR63" i="18"/>
  <c r="GR69" i="18"/>
  <c r="FR66" i="18"/>
  <c r="GR77" i="18"/>
  <c r="GR71" i="18"/>
  <c r="GR67" i="18"/>
  <c r="FR64" i="18"/>
  <c r="GR75" i="18"/>
  <c r="GE64" i="18"/>
  <c r="GR64" i="18"/>
  <c r="GE82" i="18"/>
  <c r="FR77" i="18"/>
  <c r="GR89" i="18"/>
  <c r="FR78" i="18"/>
  <c r="GE88" i="18"/>
  <c r="FR80" i="18"/>
  <c r="GR83" i="18"/>
  <c r="GE72" i="18"/>
  <c r="GE118" i="18" s="1"/>
  <c r="GE81" i="18"/>
  <c r="GE75" i="18"/>
  <c r="GE87" i="18"/>
  <c r="FR86" i="18"/>
  <c r="GR70" i="18"/>
  <c r="GE65" i="18"/>
  <c r="FR83" i="18"/>
  <c r="GR92" i="18"/>
  <c r="GE68" i="18"/>
  <c r="FR79" i="18"/>
  <c r="FR89" i="18"/>
  <c r="GR84" i="18"/>
  <c r="GE76" i="18"/>
  <c r="GE67" i="18"/>
  <c r="GE113" i="18" s="1"/>
  <c r="GE69" i="18"/>
  <c r="GR87" i="18"/>
  <c r="GE63" i="18"/>
  <c r="GR65" i="18"/>
  <c r="GR85" i="18"/>
  <c r="GE71" i="18"/>
  <c r="GE92" i="18"/>
  <c r="GE93" i="18"/>
  <c r="FR84" i="18"/>
  <c r="FR74" i="18"/>
  <c r="FR67" i="18"/>
  <c r="GR91" i="18"/>
  <c r="GE77" i="18"/>
  <c r="FR90" i="18"/>
  <c r="GR80" i="18"/>
  <c r="GR66" i="18"/>
  <c r="GE66" i="18"/>
  <c r="FR82" i="18"/>
  <c r="GR88" i="18"/>
  <c r="GR74" i="18"/>
  <c r="GR86" i="18"/>
  <c r="FR69" i="18"/>
  <c r="FR93" i="18"/>
  <c r="GE84" i="18"/>
  <c r="FR63" i="18"/>
  <c r="GE79" i="18"/>
  <c r="GE125" i="18" s="1"/>
  <c r="FR92" i="18"/>
  <c r="FR87" i="18"/>
  <c r="GE89" i="18"/>
  <c r="FR72" i="18"/>
  <c r="GR78" i="18"/>
  <c r="GR76" i="18"/>
  <c r="FR88" i="18"/>
  <c r="GE74" i="18"/>
  <c r="GR82" i="18"/>
  <c r="GR68" i="18"/>
  <c r="GR90" i="18"/>
  <c r="FR75" i="18"/>
  <c r="GE91" i="18"/>
  <c r="GR79" i="18"/>
  <c r="GR72" i="18"/>
  <c r="FR91" i="18"/>
  <c r="GR73" i="18"/>
  <c r="FR73" i="18"/>
  <c r="GE85" i="18"/>
  <c r="GE78" i="18"/>
  <c r="FR71" i="18"/>
  <c r="GE90" i="18"/>
  <c r="GE73" i="18"/>
  <c r="FR76" i="18"/>
  <c r="GR81" i="18"/>
  <c r="GE86" i="18"/>
  <c r="GR93" i="18"/>
  <c r="GE83" i="18"/>
  <c r="GE80" i="18"/>
  <c r="FR65" i="18"/>
  <c r="GE70" i="18"/>
  <c r="FR81" i="18"/>
  <c r="GP31" i="18"/>
  <c r="GP35" i="18"/>
  <c r="GP20" i="18"/>
  <c r="GP41" i="18"/>
  <c r="GP11" i="18" s="1"/>
  <c r="GP45" i="18"/>
  <c r="GP8" i="18" s="1"/>
  <c r="GP17" i="18"/>
  <c r="GP24" i="18"/>
  <c r="GP47" i="18"/>
  <c r="GP13" i="18" s="1"/>
  <c r="FP36" i="18"/>
  <c r="FP20" i="18"/>
  <c r="GP39" i="18"/>
  <c r="FP32" i="18"/>
  <c r="GP34" i="18"/>
  <c r="GP10" i="18" s="1"/>
  <c r="FP38" i="18"/>
  <c r="GP36" i="18"/>
  <c r="GP30" i="18"/>
  <c r="FP30" i="18"/>
  <c r="GP46" i="18"/>
  <c r="GP12" i="18" s="1"/>
  <c r="GP40" i="18"/>
  <c r="FP18" i="18"/>
  <c r="FP26" i="18"/>
  <c r="GP33" i="18"/>
  <c r="GP32" i="18"/>
  <c r="GP28" i="18"/>
  <c r="FP40" i="18"/>
  <c r="GP44" i="18"/>
  <c r="GP29" i="18"/>
  <c r="FP28" i="18"/>
  <c r="FP37" i="18"/>
  <c r="GP25" i="18"/>
  <c r="FP42" i="18"/>
  <c r="GC46" i="18"/>
  <c r="GC17" i="18"/>
  <c r="GC42" i="18"/>
  <c r="FP46" i="18"/>
  <c r="FP33" i="18"/>
  <c r="GC35" i="18"/>
  <c r="EO35" i="18" s="1"/>
  <c r="DO35" i="18" s="1"/>
  <c r="GC22" i="18"/>
  <c r="GC45" i="18"/>
  <c r="GP43" i="18"/>
  <c r="FP45" i="18"/>
  <c r="GP37" i="18"/>
  <c r="GP27" i="18"/>
  <c r="FP21" i="18"/>
  <c r="FP44" i="18"/>
  <c r="GC41" i="18"/>
  <c r="FP22" i="18"/>
  <c r="FP9" i="18" s="1"/>
  <c r="GC40" i="18"/>
  <c r="GP22" i="18"/>
  <c r="GP9" i="18" s="1"/>
  <c r="GC27" i="18"/>
  <c r="GC20" i="18"/>
  <c r="EO20" i="18" s="1"/>
  <c r="DO20" i="18" s="1"/>
  <c r="GP42" i="18"/>
  <c r="GC34" i="18"/>
  <c r="GP19" i="18"/>
  <c r="FP39" i="18"/>
  <c r="FP24" i="18"/>
  <c r="GC25" i="18"/>
  <c r="GP23" i="18"/>
  <c r="FP19" i="18"/>
  <c r="FP31" i="18"/>
  <c r="FP34" i="18"/>
  <c r="GC43" i="18"/>
  <c r="GC19" i="18"/>
  <c r="GP21" i="18"/>
  <c r="GC47" i="18"/>
  <c r="FP23" i="18"/>
  <c r="GC38" i="18"/>
  <c r="GC36" i="18"/>
  <c r="GC39" i="18"/>
  <c r="FP29" i="18"/>
  <c r="GC29" i="18"/>
  <c r="GC37" i="18"/>
  <c r="EO37" i="18" s="1"/>
  <c r="DO37" i="18" s="1"/>
  <c r="GC21" i="18"/>
  <c r="GC24" i="18"/>
  <c r="FP41" i="18"/>
  <c r="FP27" i="18"/>
  <c r="GC28" i="18"/>
  <c r="FP25" i="18"/>
  <c r="GP18" i="18"/>
  <c r="GC33" i="18"/>
  <c r="EO33" i="18" s="1"/>
  <c r="DO33" i="18" s="1"/>
  <c r="FP17" i="18"/>
  <c r="GP26" i="18"/>
  <c r="GC44" i="18"/>
  <c r="EO44" i="18" s="1"/>
  <c r="DO44" i="18" s="1"/>
  <c r="FP47" i="18"/>
  <c r="FP13" i="18" s="1"/>
  <c r="GC26" i="18"/>
  <c r="EO26" i="18" s="1"/>
  <c r="DO26" i="18" s="1"/>
  <c r="FP43" i="18"/>
  <c r="GC32" i="18"/>
  <c r="EO32" i="18" s="1"/>
  <c r="DO32" i="18" s="1"/>
  <c r="GC23" i="18"/>
  <c r="EO23" i="18" s="1"/>
  <c r="DO23" i="18" s="1"/>
  <c r="GC30" i="18"/>
  <c r="GP38" i="18"/>
  <c r="GC31" i="18"/>
  <c r="EO31" i="18" s="1"/>
  <c r="DO31" i="18" s="1"/>
  <c r="GC18" i="18"/>
  <c r="FP35" i="18"/>
  <c r="EB35" i="18" s="1"/>
  <c r="DB35" i="18" s="1"/>
  <c r="CO35" i="18" s="1"/>
  <c r="GB27" i="18"/>
  <c r="GB43" i="18"/>
  <c r="GB35" i="18"/>
  <c r="GO18" i="18"/>
  <c r="GO24" i="18"/>
  <c r="GB33" i="18"/>
  <c r="GB47" i="18"/>
  <c r="GO29" i="18"/>
  <c r="GO19" i="18"/>
  <c r="GO45" i="18"/>
  <c r="GO8" i="18" s="1"/>
  <c r="GO39" i="18"/>
  <c r="GO37" i="18"/>
  <c r="GB39" i="18"/>
  <c r="GO35" i="18"/>
  <c r="GB19" i="18"/>
  <c r="GO21" i="18"/>
  <c r="GO17" i="18"/>
  <c r="GO40" i="18"/>
  <c r="GO41" i="18"/>
  <c r="GO11" i="18" s="1"/>
  <c r="GB21" i="18"/>
  <c r="GO20" i="18"/>
  <c r="GO36" i="18"/>
  <c r="GB17" i="18"/>
  <c r="GO46" i="18"/>
  <c r="GO12" i="18" s="1"/>
  <c r="GB29" i="18"/>
  <c r="GB23" i="18"/>
  <c r="GO28" i="18"/>
  <c r="GO31" i="18"/>
  <c r="GO44" i="18"/>
  <c r="GB41" i="18"/>
  <c r="GO25" i="18"/>
  <c r="GO43" i="18"/>
  <c r="GO38" i="18"/>
  <c r="GO32" i="18"/>
  <c r="GB45" i="18"/>
  <c r="GO33" i="18"/>
  <c r="GO42" i="18"/>
  <c r="GB37" i="18"/>
  <c r="EN37" i="18" s="1"/>
  <c r="DN37" i="18" s="1"/>
  <c r="GO23" i="18"/>
  <c r="GO30" i="18"/>
  <c r="GO27" i="18"/>
  <c r="GB31" i="18"/>
  <c r="GB25" i="18"/>
  <c r="GO47" i="18"/>
  <c r="GO13" i="18" s="1"/>
  <c r="GO34" i="18"/>
  <c r="GO10" i="18" s="1"/>
  <c r="GO22" i="18"/>
  <c r="GO9" i="18" s="1"/>
  <c r="GO26" i="18"/>
  <c r="GB44" i="18"/>
  <c r="EN44" i="18" s="1"/>
  <c r="DN44" i="18" s="1"/>
  <c r="GB38" i="18"/>
  <c r="EN38" i="18" s="1"/>
  <c r="DN38" i="18" s="1"/>
  <c r="FO39" i="18"/>
  <c r="FO28" i="18"/>
  <c r="FO38" i="18"/>
  <c r="FO47" i="18"/>
  <c r="FO13" i="18" s="1"/>
  <c r="GB32" i="18"/>
  <c r="GB22" i="18"/>
  <c r="GB20" i="18"/>
  <c r="EN20" i="18" s="1"/>
  <c r="DN20" i="18" s="1"/>
  <c r="GB36" i="18"/>
  <c r="FO29" i="18"/>
  <c r="FO27" i="18"/>
  <c r="FO35" i="18"/>
  <c r="FO36" i="18"/>
  <c r="FO24" i="18"/>
  <c r="FO19" i="18"/>
  <c r="FO45" i="18"/>
  <c r="FO8" i="18" s="1"/>
  <c r="FO40" i="18"/>
  <c r="FO20" i="18"/>
  <c r="FO22" i="18"/>
  <c r="GB28" i="18"/>
  <c r="FO33" i="18"/>
  <c r="FO31" i="18"/>
  <c r="FO37" i="18"/>
  <c r="FO30" i="18"/>
  <c r="GB24" i="18"/>
  <c r="EN24" i="18" s="1"/>
  <c r="DN24" i="18" s="1"/>
  <c r="GB18" i="18"/>
  <c r="FO34" i="18"/>
  <c r="FO10" i="18" s="1"/>
  <c r="FO26" i="18"/>
  <c r="GB30" i="18"/>
  <c r="FO23" i="18"/>
  <c r="GB26" i="18"/>
  <c r="EN26" i="18" s="1"/>
  <c r="DN26" i="18" s="1"/>
  <c r="GB42" i="18"/>
  <c r="EN42" i="18" s="1"/>
  <c r="DN42" i="18" s="1"/>
  <c r="FO46" i="18"/>
  <c r="GB40" i="18"/>
  <c r="EN40" i="18" s="1"/>
  <c r="DN40" i="18" s="1"/>
  <c r="FO25" i="18"/>
  <c r="GB46" i="18"/>
  <c r="FO32" i="18"/>
  <c r="FO42" i="18"/>
  <c r="FO17" i="18"/>
  <c r="FO18" i="18"/>
  <c r="FO41" i="18"/>
  <c r="FO11" i="18" s="1"/>
  <c r="GB34" i="18"/>
  <c r="FO43" i="18"/>
  <c r="FO21" i="18"/>
  <c r="FO44" i="18"/>
  <c r="GN45" i="18"/>
  <c r="GN8" i="18" s="1"/>
  <c r="GN22" i="18"/>
  <c r="GN9" i="18" s="1"/>
  <c r="GN44" i="18"/>
  <c r="GN37" i="18"/>
  <c r="GN19" i="18"/>
  <c r="GN36" i="18"/>
  <c r="GN24" i="18"/>
  <c r="GN34" i="18"/>
  <c r="GN10" i="18" s="1"/>
  <c r="GN41" i="18"/>
  <c r="GN11" i="18" s="1"/>
  <c r="GN46" i="18"/>
  <c r="GN12" i="18" s="1"/>
  <c r="GN26" i="18"/>
  <c r="GN39" i="18"/>
  <c r="GN17" i="18"/>
  <c r="GN25" i="18"/>
  <c r="GN31" i="18"/>
  <c r="GN20" i="18"/>
  <c r="GN23" i="18"/>
  <c r="GA46" i="18"/>
  <c r="GA18" i="18"/>
  <c r="GA22" i="18"/>
  <c r="GN40" i="18"/>
  <c r="GN38" i="18"/>
  <c r="GA47" i="18"/>
  <c r="GN47" i="18"/>
  <c r="GN13" i="18" s="1"/>
  <c r="FN17" i="18"/>
  <c r="GA45" i="18"/>
  <c r="FN30" i="18"/>
  <c r="GN35" i="18"/>
  <c r="GN43" i="18"/>
  <c r="GA27" i="18"/>
  <c r="FN46" i="18"/>
  <c r="GN27" i="18"/>
  <c r="GN29" i="18"/>
  <c r="FN42" i="18"/>
  <c r="GN28" i="18"/>
  <c r="GN30" i="18"/>
  <c r="GN18" i="18"/>
  <c r="FN40" i="18"/>
  <c r="FN37" i="18"/>
  <c r="GN21" i="18"/>
  <c r="FN44" i="18"/>
  <c r="GN32" i="18"/>
  <c r="GA33" i="18"/>
  <c r="GA17" i="18"/>
  <c r="GN33" i="18"/>
  <c r="GA38" i="18"/>
  <c r="EM38" i="18" s="1"/>
  <c r="DM38" i="18" s="1"/>
  <c r="GA23" i="18"/>
  <c r="FN18" i="18"/>
  <c r="FN29" i="18"/>
  <c r="FN34" i="18"/>
  <c r="FN20" i="18"/>
  <c r="GA31" i="18"/>
  <c r="GA37" i="18"/>
  <c r="GA40" i="18"/>
  <c r="GA20" i="18"/>
  <c r="EM20" i="18" s="1"/>
  <c r="DM20" i="18" s="1"/>
  <c r="GA19" i="18"/>
  <c r="FN41" i="18"/>
  <c r="FN11" i="18" s="1"/>
  <c r="FN38" i="18"/>
  <c r="GA34" i="18"/>
  <c r="GA29" i="18"/>
  <c r="GA42" i="18"/>
  <c r="FN33" i="18"/>
  <c r="FN26" i="18"/>
  <c r="GA35" i="18"/>
  <c r="FN43" i="18"/>
  <c r="GA43" i="18"/>
  <c r="FN19" i="18"/>
  <c r="GA21" i="18"/>
  <c r="EM21" i="18" s="1"/>
  <c r="DM21" i="18" s="1"/>
  <c r="FN27" i="18"/>
  <c r="FN32" i="18"/>
  <c r="GA26" i="18"/>
  <c r="FN21" i="18"/>
  <c r="FN47" i="18"/>
  <c r="GA41" i="18"/>
  <c r="FN39" i="18"/>
  <c r="GA28" i="18"/>
  <c r="FN23" i="18"/>
  <c r="FN28" i="18"/>
  <c r="GA39" i="18"/>
  <c r="GN42" i="18"/>
  <c r="GA30" i="18"/>
  <c r="EM30" i="18" s="1"/>
  <c r="DM30" i="18" s="1"/>
  <c r="FN45" i="18"/>
  <c r="GA32" i="18"/>
  <c r="FN31" i="18"/>
  <c r="GA25" i="18"/>
  <c r="FN22" i="18"/>
  <c r="FN9" i="18" s="1"/>
  <c r="FN36" i="18"/>
  <c r="GA44" i="18"/>
  <c r="FN35" i="18"/>
  <c r="GA36" i="18"/>
  <c r="GA24" i="18"/>
  <c r="FN25" i="18"/>
  <c r="FN24" i="18"/>
  <c r="GU22" i="18"/>
  <c r="GU9" i="18" s="1"/>
  <c r="GU23" i="18"/>
  <c r="GU28" i="18"/>
  <c r="GU20" i="18"/>
  <c r="GU19" i="18"/>
  <c r="GU34" i="18"/>
  <c r="GU10" i="18" s="1"/>
  <c r="GU37" i="18"/>
  <c r="GU32" i="18"/>
  <c r="GU39" i="18"/>
  <c r="GH31" i="18"/>
  <c r="GH17" i="18"/>
  <c r="GH33" i="18"/>
  <c r="GU40" i="18"/>
  <c r="GH43" i="18"/>
  <c r="GU26" i="18"/>
  <c r="GU45" i="18"/>
  <c r="GU8" i="18" s="1"/>
  <c r="GU25" i="18"/>
  <c r="GU33" i="18"/>
  <c r="GH23" i="18"/>
  <c r="GU41" i="18"/>
  <c r="GU11" i="18" s="1"/>
  <c r="GU44" i="18"/>
  <c r="FU47" i="18"/>
  <c r="GU21" i="18"/>
  <c r="GU42" i="18"/>
  <c r="GU47" i="18"/>
  <c r="GU13" i="18" s="1"/>
  <c r="GH47" i="18"/>
  <c r="GU36" i="18"/>
  <c r="GU18" i="18"/>
  <c r="GH39" i="18"/>
  <c r="GH44" i="18"/>
  <c r="GH21" i="18"/>
  <c r="ET21" i="18" s="1"/>
  <c r="DT21" i="18" s="1"/>
  <c r="FU24" i="18"/>
  <c r="GU29" i="18"/>
  <c r="FU17" i="18"/>
  <c r="FU43" i="18"/>
  <c r="GH19" i="18"/>
  <c r="ET19" i="18" s="1"/>
  <c r="DT19" i="18" s="1"/>
  <c r="GU31" i="18"/>
  <c r="GU17" i="18"/>
  <c r="GU35" i="18"/>
  <c r="FU34" i="18"/>
  <c r="GU24" i="18"/>
  <c r="GH25" i="18"/>
  <c r="FU18" i="18"/>
  <c r="FU30" i="18"/>
  <c r="GH41" i="18"/>
  <c r="GH32" i="18"/>
  <c r="FU38" i="18"/>
  <c r="GU27" i="18"/>
  <c r="GU43" i="18"/>
  <c r="FU20" i="18"/>
  <c r="FU36" i="18"/>
  <c r="GH35" i="18"/>
  <c r="ET35" i="18" s="1"/>
  <c r="DT35" i="18" s="1"/>
  <c r="GH28" i="18"/>
  <c r="ET28" i="18" s="1"/>
  <c r="GU38" i="18"/>
  <c r="GH20" i="18"/>
  <c r="FU35" i="18"/>
  <c r="FU44" i="18"/>
  <c r="GH27" i="18"/>
  <c r="GU30" i="18"/>
  <c r="GH38" i="18"/>
  <c r="GH30" i="18"/>
  <c r="FU42" i="18"/>
  <c r="FU45" i="18"/>
  <c r="GH34" i="18"/>
  <c r="FU25" i="18"/>
  <c r="FU33" i="18"/>
  <c r="GH29" i="18"/>
  <c r="FU41" i="18"/>
  <c r="GH37" i="18"/>
  <c r="FU39" i="18"/>
  <c r="FU31" i="18"/>
  <c r="FU32" i="18"/>
  <c r="GH42" i="18"/>
  <c r="FU46" i="18"/>
  <c r="FU12" i="18" s="1"/>
  <c r="FU27" i="18"/>
  <c r="FU28" i="18"/>
  <c r="GH22" i="18"/>
  <c r="GH45" i="18"/>
  <c r="GH18" i="18"/>
  <c r="GU46" i="18"/>
  <c r="GU12" i="18" s="1"/>
  <c r="FU26" i="18"/>
  <c r="FU22" i="18"/>
  <c r="FU9" i="18" s="1"/>
  <c r="GH36" i="18"/>
  <c r="ET36" i="18" s="1"/>
  <c r="FU29" i="18"/>
  <c r="GH40" i="18"/>
  <c r="ET40" i="18" s="1"/>
  <c r="DT40" i="18" s="1"/>
  <c r="FU40" i="18"/>
  <c r="GH26" i="18"/>
  <c r="ET26" i="18" s="1"/>
  <c r="DT26" i="18" s="1"/>
  <c r="FU21" i="18"/>
  <c r="GH24" i="18"/>
  <c r="ET24" i="18" s="1"/>
  <c r="DT24" i="18" s="1"/>
  <c r="GH46" i="18"/>
  <c r="FU37" i="18"/>
  <c r="FU23" i="18"/>
  <c r="FU19" i="18"/>
  <c r="FT31" i="18"/>
  <c r="GT19" i="18"/>
  <c r="GT17" i="18"/>
  <c r="FT35" i="18"/>
  <c r="GT31" i="18"/>
  <c r="GG26" i="18"/>
  <c r="GT44" i="18"/>
  <c r="GT42" i="18"/>
  <c r="GT21" i="18"/>
  <c r="GT27" i="18"/>
  <c r="GT34" i="18"/>
  <c r="GT10" i="18" s="1"/>
  <c r="GT37" i="18"/>
  <c r="FT37" i="18"/>
  <c r="FT41" i="18"/>
  <c r="GG19" i="18"/>
  <c r="ES19" i="18" s="1"/>
  <c r="DS19" i="18" s="1"/>
  <c r="FT38" i="18"/>
  <c r="GG40" i="18"/>
  <c r="GT45" i="18"/>
  <c r="GT8" i="18" s="1"/>
  <c r="FT23" i="18"/>
  <c r="FT40" i="18"/>
  <c r="GT18" i="18"/>
  <c r="GG45" i="18"/>
  <c r="FT21" i="18"/>
  <c r="GT32" i="18"/>
  <c r="GT20" i="18"/>
  <c r="GT41" i="18"/>
  <c r="GT11" i="18" s="1"/>
  <c r="GT40" i="18"/>
  <c r="GG39" i="18"/>
  <c r="FT47" i="18"/>
  <c r="FT13" i="18" s="1"/>
  <c r="GT36" i="18"/>
  <c r="GT35" i="18"/>
  <c r="FT22" i="18"/>
  <c r="FT9" i="18" s="1"/>
  <c r="FT30" i="18"/>
  <c r="GT38" i="18"/>
  <c r="GT24" i="18"/>
  <c r="FT45" i="18"/>
  <c r="FT39" i="18"/>
  <c r="FT33" i="18"/>
  <c r="FT43" i="18"/>
  <c r="FT44" i="18"/>
  <c r="FT25" i="18"/>
  <c r="GT46" i="18"/>
  <c r="GT12" i="18" s="1"/>
  <c r="GG34" i="18"/>
  <c r="GT29" i="18"/>
  <c r="GG28" i="18"/>
  <c r="GG29" i="18"/>
  <c r="GG17" i="18"/>
  <c r="GT25" i="18"/>
  <c r="GG31" i="18"/>
  <c r="GG24" i="18"/>
  <c r="GG32" i="18"/>
  <c r="GG30" i="18"/>
  <c r="GG38" i="18"/>
  <c r="GG41" i="18"/>
  <c r="GT23" i="18"/>
  <c r="GT47" i="18"/>
  <c r="GT13" i="18" s="1"/>
  <c r="FT32" i="18"/>
  <c r="GG23" i="18"/>
  <c r="FT42" i="18"/>
  <c r="GT30" i="18"/>
  <c r="GT43" i="18"/>
  <c r="GG20" i="18"/>
  <c r="GG47" i="18"/>
  <c r="FT19" i="18"/>
  <c r="GT28" i="18"/>
  <c r="FT28" i="18"/>
  <c r="GT33" i="18"/>
  <c r="GT22" i="18"/>
  <c r="GT9" i="18" s="1"/>
  <c r="GT26" i="18"/>
  <c r="FT24" i="18"/>
  <c r="GG35" i="18"/>
  <c r="ES35" i="18" s="1"/>
  <c r="DS35" i="18" s="1"/>
  <c r="FT34" i="18"/>
  <c r="FT20" i="18"/>
  <c r="FT29" i="18"/>
  <c r="FT18" i="18"/>
  <c r="GT39" i="18"/>
  <c r="GG18" i="18"/>
  <c r="ES18" i="18" s="1"/>
  <c r="DS18" i="18" s="1"/>
  <c r="FT17" i="18"/>
  <c r="GG44" i="18"/>
  <c r="ES44" i="18" s="1"/>
  <c r="DS44" i="18" s="1"/>
  <c r="GG46" i="18"/>
  <c r="GG21" i="18"/>
  <c r="ES21" i="18" s="1"/>
  <c r="DS21" i="18" s="1"/>
  <c r="GG43" i="18"/>
  <c r="FT27" i="18"/>
  <c r="GG25" i="18"/>
  <c r="FT36" i="18"/>
  <c r="FT46" i="18"/>
  <c r="GG42" i="18"/>
  <c r="ES42" i="18" s="1"/>
  <c r="DS42" i="18" s="1"/>
  <c r="GG33" i="18"/>
  <c r="GG27" i="18"/>
  <c r="GG37" i="18"/>
  <c r="FT26" i="18"/>
  <c r="GG22" i="18"/>
  <c r="GG36" i="18"/>
  <c r="ES36" i="18" s="1"/>
  <c r="DS36" i="18" s="1"/>
  <c r="GS20" i="18"/>
  <c r="GS31" i="18"/>
  <c r="FS45" i="18"/>
  <c r="GS25" i="18"/>
  <c r="GS41" i="18"/>
  <c r="GS11" i="18" s="1"/>
  <c r="GS23" i="18"/>
  <c r="GF46" i="18"/>
  <c r="GS33" i="18"/>
  <c r="GS37" i="18"/>
  <c r="GS18" i="18"/>
  <c r="GF22" i="18"/>
  <c r="GF18" i="18"/>
  <c r="GS19" i="18"/>
  <c r="GS22" i="18"/>
  <c r="GS9" i="18" s="1"/>
  <c r="GS43" i="18"/>
  <c r="GF30" i="18"/>
  <c r="GS28" i="18"/>
  <c r="GS29" i="18"/>
  <c r="GS27" i="18"/>
  <c r="FS36" i="18"/>
  <c r="GS45" i="18"/>
  <c r="GS8" i="18" s="1"/>
  <c r="GS26" i="18"/>
  <c r="GS42" i="18"/>
  <c r="GS30" i="18"/>
  <c r="GF44" i="18"/>
  <c r="GS39" i="18"/>
  <c r="GS46" i="18"/>
  <c r="GS12" i="18" s="1"/>
  <c r="GF26" i="18"/>
  <c r="GS47" i="18"/>
  <c r="GS13" i="18" s="1"/>
  <c r="GF28" i="18"/>
  <c r="GF25" i="18"/>
  <c r="GS38" i="18"/>
  <c r="GS24" i="18"/>
  <c r="FS25" i="18"/>
  <c r="FS47" i="18"/>
  <c r="GS40" i="18"/>
  <c r="GF24" i="18"/>
  <c r="ER24" i="18" s="1"/>
  <c r="DR24" i="18" s="1"/>
  <c r="GF42" i="18"/>
  <c r="GS44" i="18"/>
  <c r="FS40" i="18"/>
  <c r="FS28" i="18"/>
  <c r="GF43" i="18"/>
  <c r="GF36" i="18"/>
  <c r="GS21" i="18"/>
  <c r="GF20" i="18"/>
  <c r="ER20" i="18" s="1"/>
  <c r="DR20" i="18" s="1"/>
  <c r="FS29" i="18"/>
  <c r="FS26" i="18"/>
  <c r="GS34" i="18"/>
  <c r="GS10" i="18" s="1"/>
  <c r="FS33" i="18"/>
  <c r="GF32" i="18"/>
  <c r="ER32" i="18" s="1"/>
  <c r="DR32" i="18" s="1"/>
  <c r="GS32" i="18"/>
  <c r="GF21" i="18"/>
  <c r="ER21" i="18" s="1"/>
  <c r="DR21" i="18" s="1"/>
  <c r="FS19" i="18"/>
  <c r="FS42" i="18"/>
  <c r="GF34" i="18"/>
  <c r="GF29" i="18"/>
  <c r="GF40" i="18"/>
  <c r="GS36" i="18"/>
  <c r="GS35" i="18"/>
  <c r="GF47" i="18"/>
  <c r="FS18" i="18"/>
  <c r="GS17" i="18"/>
  <c r="GF35" i="18"/>
  <c r="FS38" i="18"/>
  <c r="FS44" i="18"/>
  <c r="GF23" i="18"/>
  <c r="GF27" i="18"/>
  <c r="ER27" i="18" s="1"/>
  <c r="DR27" i="18" s="1"/>
  <c r="FS41" i="18"/>
  <c r="FS11" i="18" s="1"/>
  <c r="GF45" i="18"/>
  <c r="FS32" i="18"/>
  <c r="FS34" i="18"/>
  <c r="FS10" i="18" s="1"/>
  <c r="GF37" i="18"/>
  <c r="ER37" i="18" s="1"/>
  <c r="DR37" i="18" s="1"/>
  <c r="FS17" i="18"/>
  <c r="GF38" i="18"/>
  <c r="ER38" i="18" s="1"/>
  <c r="DR38" i="18" s="1"/>
  <c r="FS21" i="18"/>
  <c r="FS37" i="18"/>
  <c r="GF17" i="18"/>
  <c r="FS24" i="18"/>
  <c r="GF39" i="18"/>
  <c r="GF31" i="18"/>
  <c r="FS31" i="18"/>
  <c r="FS43" i="18"/>
  <c r="FS30" i="18"/>
  <c r="FS46" i="18"/>
  <c r="FS12" i="18" s="1"/>
  <c r="FS23" i="18"/>
  <c r="GF19" i="18"/>
  <c r="GF41" i="18"/>
  <c r="GF33" i="18"/>
  <c r="ER33" i="18" s="1"/>
  <c r="DR33" i="18" s="1"/>
  <c r="FS22" i="18"/>
  <c r="FS35" i="18"/>
  <c r="FS20" i="18"/>
  <c r="FS39" i="18"/>
  <c r="FS27" i="18"/>
  <c r="GL19" i="18"/>
  <c r="GL29" i="18"/>
  <c r="GL28" i="18"/>
  <c r="GL42" i="18"/>
  <c r="GL23" i="18"/>
  <c r="GL24" i="18"/>
  <c r="GL34" i="18"/>
  <c r="GL10" i="18" s="1"/>
  <c r="GL36" i="18"/>
  <c r="FY25" i="18"/>
  <c r="GL41" i="18"/>
  <c r="GL11" i="18" s="1"/>
  <c r="FL24" i="18"/>
  <c r="GL21" i="18"/>
  <c r="FL28" i="18"/>
  <c r="GL30" i="18"/>
  <c r="GL27" i="18"/>
  <c r="GL47" i="18"/>
  <c r="GL13" i="18" s="1"/>
  <c r="GL17" i="18"/>
  <c r="GL22" i="18"/>
  <c r="GL9" i="18" s="1"/>
  <c r="GL37" i="18"/>
  <c r="GL20" i="18"/>
  <c r="GL38" i="18"/>
  <c r="GL46" i="18"/>
  <c r="GL12" i="18" s="1"/>
  <c r="GL35" i="18"/>
  <c r="GL31" i="18"/>
  <c r="GL39" i="18"/>
  <c r="FY28" i="18"/>
  <c r="GL44" i="18"/>
  <c r="FY23" i="18"/>
  <c r="FY30" i="18"/>
  <c r="EK30" i="18" s="1"/>
  <c r="DK30" i="18" s="1"/>
  <c r="FL47" i="18"/>
  <c r="FY24" i="18"/>
  <c r="EK24" i="18" s="1"/>
  <c r="DK24" i="18" s="1"/>
  <c r="FL44" i="18"/>
  <c r="FY26" i="18"/>
  <c r="GL25" i="18"/>
  <c r="FL38" i="18"/>
  <c r="FY40" i="18"/>
  <c r="FY46" i="18"/>
  <c r="FL43" i="18"/>
  <c r="GL40" i="18"/>
  <c r="FY20" i="18"/>
  <c r="EK20" i="18" s="1"/>
  <c r="DK20" i="18" s="1"/>
  <c r="GL43" i="18"/>
  <c r="GL33" i="18"/>
  <c r="FY36" i="18"/>
  <c r="FY21" i="18"/>
  <c r="EK21" i="18" s="1"/>
  <c r="DK21" i="18" s="1"/>
  <c r="FY38" i="18"/>
  <c r="EK38" i="18" s="1"/>
  <c r="DK38" i="18" s="1"/>
  <c r="FL46" i="18"/>
  <c r="FY19" i="18"/>
  <c r="GL32" i="18"/>
  <c r="FL41" i="18"/>
  <c r="FL33" i="18"/>
  <c r="GL45" i="18"/>
  <c r="GL8" i="18" s="1"/>
  <c r="FL29" i="18"/>
  <c r="FL36" i="18"/>
  <c r="FL18" i="18"/>
  <c r="FY35" i="18"/>
  <c r="EK35" i="18" s="1"/>
  <c r="DK35" i="18" s="1"/>
  <c r="FY31" i="18"/>
  <c r="EK31" i="18" s="1"/>
  <c r="DK31" i="18" s="1"/>
  <c r="FL39" i="18"/>
  <c r="FL31" i="18"/>
  <c r="FY32" i="18"/>
  <c r="FL35" i="18"/>
  <c r="FY29" i="18"/>
  <c r="FL25" i="18"/>
  <c r="FL42" i="18"/>
  <c r="GL26" i="18"/>
  <c r="FL30" i="18"/>
  <c r="FL40" i="18"/>
  <c r="GL18" i="18"/>
  <c r="FY44" i="18"/>
  <c r="FL21" i="18"/>
  <c r="DX21" i="18" s="1"/>
  <c r="CX21" i="18" s="1"/>
  <c r="CK21" i="18" s="1"/>
  <c r="FL37" i="18"/>
  <c r="FL17" i="18"/>
  <c r="FL32" i="18"/>
  <c r="FY17" i="18"/>
  <c r="EK17" i="18" s="1"/>
  <c r="DK17" i="18" s="1"/>
  <c r="FY43" i="18"/>
  <c r="FY39" i="18"/>
  <c r="FL26" i="18"/>
  <c r="FL22" i="18"/>
  <c r="FL19" i="18"/>
  <c r="FY37" i="18"/>
  <c r="FY42" i="18"/>
  <c r="EK42" i="18" s="1"/>
  <c r="DK42" i="18" s="1"/>
  <c r="FY41" i="18"/>
  <c r="FY47" i="18"/>
  <c r="FY33" i="18"/>
  <c r="FL45" i="18"/>
  <c r="FY22" i="18"/>
  <c r="FL34" i="18"/>
  <c r="FY27" i="18"/>
  <c r="EK27" i="18" s="1"/>
  <c r="DK27" i="18" s="1"/>
  <c r="FL23" i="18"/>
  <c r="FY34" i="18"/>
  <c r="FL20" i="18"/>
  <c r="DX20" i="18" s="1"/>
  <c r="CX20" i="18" s="1"/>
  <c r="CK20" i="18" s="1"/>
  <c r="FY45" i="18"/>
  <c r="FL27" i="18"/>
  <c r="FY18" i="18"/>
  <c r="EK18" i="18" s="1"/>
  <c r="DK18" i="18" s="1"/>
  <c r="GQ32" i="18"/>
  <c r="GQ22" i="18"/>
  <c r="GQ9" i="18" s="1"/>
  <c r="GQ17" i="18"/>
  <c r="GQ40" i="18"/>
  <c r="GQ20" i="18"/>
  <c r="GQ37" i="18"/>
  <c r="GQ23" i="18"/>
  <c r="GQ34" i="18"/>
  <c r="GQ10" i="18" s="1"/>
  <c r="GQ30" i="18"/>
  <c r="GQ18" i="18"/>
  <c r="GQ31" i="18"/>
  <c r="FQ37" i="18"/>
  <c r="GQ43" i="18"/>
  <c r="GQ28" i="18"/>
  <c r="GQ42" i="18"/>
  <c r="GD34" i="18"/>
  <c r="GQ46" i="18"/>
  <c r="GQ12" i="18" s="1"/>
  <c r="GD44" i="18"/>
  <c r="GQ39" i="18"/>
  <c r="GQ21" i="18"/>
  <c r="GQ19" i="18"/>
  <c r="GD42" i="18"/>
  <c r="GQ35" i="18"/>
  <c r="GQ26" i="18"/>
  <c r="GQ25" i="18"/>
  <c r="GQ36" i="18"/>
  <c r="GD33" i="18"/>
  <c r="GQ41" i="18"/>
  <c r="GQ11" i="18" s="1"/>
  <c r="GQ33" i="18"/>
  <c r="GD24" i="18"/>
  <c r="FQ20" i="18"/>
  <c r="FQ39" i="18"/>
  <c r="GD36" i="18"/>
  <c r="GD18" i="18"/>
  <c r="EP18" i="18" s="1"/>
  <c r="DP18" i="18" s="1"/>
  <c r="FQ22" i="18"/>
  <c r="FQ9" i="18" s="1"/>
  <c r="GD47" i="18"/>
  <c r="FQ19" i="18"/>
  <c r="FQ31" i="18"/>
  <c r="GD21" i="18"/>
  <c r="GD26" i="18"/>
  <c r="EP26" i="18" s="1"/>
  <c r="DP26" i="18" s="1"/>
  <c r="GD22" i="18"/>
  <c r="FQ41" i="18"/>
  <c r="GQ27" i="18"/>
  <c r="FQ27" i="18"/>
  <c r="GQ44" i="18"/>
  <c r="GD29" i="18"/>
  <c r="FQ23" i="18"/>
  <c r="GD30" i="18"/>
  <c r="EP30" i="18" s="1"/>
  <c r="DP30" i="18" s="1"/>
  <c r="GD38" i="18"/>
  <c r="GD20" i="18"/>
  <c r="GD25" i="18"/>
  <c r="EP25" i="18" s="1"/>
  <c r="DP25" i="18" s="1"/>
  <c r="FQ46" i="18"/>
  <c r="FQ12" i="18" s="1"/>
  <c r="FQ18" i="18"/>
  <c r="FQ36" i="18"/>
  <c r="GQ47" i="18"/>
  <c r="GQ13" i="18" s="1"/>
  <c r="GQ45" i="18"/>
  <c r="GQ8" i="18" s="1"/>
  <c r="FQ43" i="18"/>
  <c r="GD28" i="18"/>
  <c r="GQ29" i="18"/>
  <c r="GD23" i="18"/>
  <c r="FQ34" i="18"/>
  <c r="GD17" i="18"/>
  <c r="FQ30" i="18"/>
  <c r="GD35" i="18"/>
  <c r="EP35" i="18" s="1"/>
  <c r="DP35" i="18" s="1"/>
  <c r="FQ33" i="18"/>
  <c r="FQ28" i="18"/>
  <c r="FQ21" i="18"/>
  <c r="FQ25" i="18"/>
  <c r="GD40" i="18"/>
  <c r="FQ26" i="18"/>
  <c r="FQ44" i="18"/>
  <c r="GQ38" i="18"/>
  <c r="FQ17" i="18"/>
  <c r="GQ24" i="18"/>
  <c r="FQ32" i="18"/>
  <c r="EC32" i="18" s="1"/>
  <c r="DC32" i="18" s="1"/>
  <c r="CP32" i="18" s="1"/>
  <c r="GD46" i="18"/>
  <c r="FQ24" i="18"/>
  <c r="FQ42" i="18"/>
  <c r="GD39" i="18"/>
  <c r="FQ29" i="18"/>
  <c r="GD32" i="18"/>
  <c r="EP32" i="18" s="1"/>
  <c r="DP32" i="18" s="1"/>
  <c r="GD31" i="18"/>
  <c r="FQ47" i="18"/>
  <c r="FQ13" i="18" s="1"/>
  <c r="FQ45" i="18"/>
  <c r="GD45" i="18"/>
  <c r="GD19" i="18"/>
  <c r="FQ40" i="18"/>
  <c r="FQ35" i="18"/>
  <c r="EC35" i="18" s="1"/>
  <c r="DC35" i="18" s="1"/>
  <c r="CP35" i="18" s="1"/>
  <c r="GD43" i="18"/>
  <c r="GD37" i="18"/>
  <c r="FQ38" i="18"/>
  <c r="GD41" i="18"/>
  <c r="GD27" i="18"/>
  <c r="EP27" i="18" s="1"/>
  <c r="DP27" i="18" s="1"/>
  <c r="GR29" i="18"/>
  <c r="GR21" i="18"/>
  <c r="GR45" i="18"/>
  <c r="GR8" i="18" s="1"/>
  <c r="FR42" i="18"/>
  <c r="GR22" i="18"/>
  <c r="GR9" i="18" s="1"/>
  <c r="GR24" i="18"/>
  <c r="GR17" i="18"/>
  <c r="GR46" i="18"/>
  <c r="GR12" i="18" s="1"/>
  <c r="GR40" i="18"/>
  <c r="GR19" i="18"/>
  <c r="GR37" i="18"/>
  <c r="GR42" i="18"/>
  <c r="GR18" i="18"/>
  <c r="GR31" i="18"/>
  <c r="GR30" i="18"/>
  <c r="GR41" i="18"/>
  <c r="GR11" i="18" s="1"/>
  <c r="GR27" i="18"/>
  <c r="GR44" i="18"/>
  <c r="GR35" i="18"/>
  <c r="FR27" i="18"/>
  <c r="GR38" i="18"/>
  <c r="GR34" i="18"/>
  <c r="GR10" i="18" s="1"/>
  <c r="GE38" i="18"/>
  <c r="FR25" i="18"/>
  <c r="GR28" i="18"/>
  <c r="FR19" i="18"/>
  <c r="FR23" i="18"/>
  <c r="FR36" i="18"/>
  <c r="GR36" i="18"/>
  <c r="FR29" i="18"/>
  <c r="FR45" i="18"/>
  <c r="GR25" i="18"/>
  <c r="FR21" i="18"/>
  <c r="GE17" i="18"/>
  <c r="FR37" i="18"/>
  <c r="GE40" i="18"/>
  <c r="GR26" i="18"/>
  <c r="FR24" i="18"/>
  <c r="FR18" i="18"/>
  <c r="FR40" i="18"/>
  <c r="GR39" i="18"/>
  <c r="FR43" i="18"/>
  <c r="FR22" i="18"/>
  <c r="FR9" i="18" s="1"/>
  <c r="GR43" i="18"/>
  <c r="FR47" i="18"/>
  <c r="FR17" i="18"/>
  <c r="GR32" i="18"/>
  <c r="GR47" i="18"/>
  <c r="GR13" i="18" s="1"/>
  <c r="GE20" i="18"/>
  <c r="GR23" i="18"/>
  <c r="GE42" i="18"/>
  <c r="EQ42" i="18" s="1"/>
  <c r="DQ42" i="18" s="1"/>
  <c r="GE24" i="18"/>
  <c r="FR20" i="18"/>
  <c r="GE47" i="18"/>
  <c r="GE28" i="18"/>
  <c r="GE25" i="18"/>
  <c r="EQ25" i="18" s="1"/>
  <c r="DQ25" i="18" s="1"/>
  <c r="GE43" i="18"/>
  <c r="GE22" i="18"/>
  <c r="FR31" i="18"/>
  <c r="FR26" i="18"/>
  <c r="FR39" i="18"/>
  <c r="GR20" i="18"/>
  <c r="FR28" i="18"/>
  <c r="GE35" i="18"/>
  <c r="GE37" i="18"/>
  <c r="GE32" i="18"/>
  <c r="GR33" i="18"/>
  <c r="GE41" i="18"/>
  <c r="GE26" i="18"/>
  <c r="EQ26" i="18" s="1"/>
  <c r="FR38" i="18"/>
  <c r="FR44" i="18"/>
  <c r="GE39" i="18"/>
  <c r="GE31" i="18"/>
  <c r="FR33" i="18"/>
  <c r="FR41" i="18"/>
  <c r="GE21" i="18"/>
  <c r="EQ21" i="18" s="1"/>
  <c r="GE29" i="18"/>
  <c r="GE36" i="18"/>
  <c r="GE23" i="18"/>
  <c r="GE46" i="18"/>
  <c r="GE19" i="18"/>
  <c r="EQ19" i="18" s="1"/>
  <c r="DQ19" i="18" s="1"/>
  <c r="FR32" i="18"/>
  <c r="FR30" i="18"/>
  <c r="GE45" i="18"/>
  <c r="FR46" i="18"/>
  <c r="FR12" i="18" s="1"/>
  <c r="GE27" i="18"/>
  <c r="FR34" i="18"/>
  <c r="GE30" i="18"/>
  <c r="GE18" i="18"/>
  <c r="GE34" i="18"/>
  <c r="FR35" i="18"/>
  <c r="GE33" i="18"/>
  <c r="GE44" i="18"/>
  <c r="EQ44" i="18" s="1"/>
  <c r="DQ44" i="18" s="1"/>
  <c r="GM47" i="18"/>
  <c r="GM13" i="18" s="1"/>
  <c r="GM43" i="18"/>
  <c r="GM37" i="18"/>
  <c r="GM36" i="18"/>
  <c r="GM25" i="18"/>
  <c r="GM32" i="18"/>
  <c r="GM41" i="18"/>
  <c r="GM11" i="18" s="1"/>
  <c r="GM33" i="18"/>
  <c r="GM29" i="18"/>
  <c r="GM38" i="18"/>
  <c r="GM30" i="18"/>
  <c r="GM20" i="18"/>
  <c r="GM40" i="18"/>
  <c r="GM39" i="18"/>
  <c r="GM26" i="18"/>
  <c r="GM27" i="18"/>
  <c r="GM28" i="18"/>
  <c r="GM17" i="18"/>
  <c r="GM18" i="18"/>
  <c r="FZ40" i="18"/>
  <c r="GM31" i="18"/>
  <c r="FM36" i="18"/>
  <c r="GM42" i="18"/>
  <c r="FM32" i="18"/>
  <c r="FZ33" i="18"/>
  <c r="GM22" i="18"/>
  <c r="GM9" i="18" s="1"/>
  <c r="FZ25" i="18"/>
  <c r="EL25" i="18" s="1"/>
  <c r="DL25" i="18" s="1"/>
  <c r="GM23" i="18"/>
  <c r="GM21" i="18"/>
  <c r="GM34" i="18"/>
  <c r="GM10" i="18" s="1"/>
  <c r="GM44" i="18"/>
  <c r="FM24" i="18"/>
  <c r="FZ19" i="18"/>
  <c r="FM31" i="18"/>
  <c r="FM23" i="18"/>
  <c r="GM45" i="18"/>
  <c r="GM8" i="18" s="1"/>
  <c r="GM46" i="18"/>
  <c r="GM12" i="18" s="1"/>
  <c r="FZ23" i="18"/>
  <c r="EL23" i="18" s="1"/>
  <c r="DL23" i="18" s="1"/>
  <c r="FZ44" i="18"/>
  <c r="EL44" i="18" s="1"/>
  <c r="DL44" i="18" s="1"/>
  <c r="FZ21" i="18"/>
  <c r="EL21" i="18" s="1"/>
  <c r="DL21" i="18" s="1"/>
  <c r="FZ38" i="18"/>
  <c r="FZ29" i="18"/>
  <c r="GM35" i="18"/>
  <c r="FZ45" i="18"/>
  <c r="FM28" i="18"/>
  <c r="FM42" i="18"/>
  <c r="FM27" i="18"/>
  <c r="FZ28" i="18"/>
  <c r="FM41" i="18"/>
  <c r="FM37" i="18"/>
  <c r="FM34" i="18"/>
  <c r="GM24" i="18"/>
  <c r="FZ24" i="18"/>
  <c r="FM33" i="18"/>
  <c r="FM43" i="18"/>
  <c r="FZ17" i="18"/>
  <c r="FM18" i="18"/>
  <c r="FM38" i="18"/>
  <c r="FZ26" i="18"/>
  <c r="EL26" i="18" s="1"/>
  <c r="DL26" i="18" s="1"/>
  <c r="FZ39" i="18"/>
  <c r="FM30" i="18"/>
  <c r="FZ46" i="18"/>
  <c r="FM26" i="18"/>
  <c r="FZ36" i="18"/>
  <c r="FZ34" i="18"/>
  <c r="FZ43" i="18"/>
  <c r="EL43" i="18" s="1"/>
  <c r="DL43" i="18" s="1"/>
  <c r="FZ31" i="18"/>
  <c r="EL31" i="18" s="1"/>
  <c r="DL31" i="18" s="1"/>
  <c r="FM17" i="18"/>
  <c r="FM39" i="18"/>
  <c r="FM44" i="18"/>
  <c r="DY44" i="18" s="1"/>
  <c r="CY44" i="18" s="1"/>
  <c r="CL44" i="18" s="1"/>
  <c r="FZ22" i="18"/>
  <c r="FM35" i="18"/>
  <c r="FZ35" i="18"/>
  <c r="FM45" i="18"/>
  <c r="FM47" i="18"/>
  <c r="GM19" i="18"/>
  <c r="FZ20" i="18"/>
  <c r="FZ47" i="18"/>
  <c r="FZ27" i="18"/>
  <c r="FM25" i="18"/>
  <c r="FM46" i="18"/>
  <c r="FM12" i="18" s="1"/>
  <c r="FM21" i="18"/>
  <c r="FZ37" i="18"/>
  <c r="EL37" i="18" s="1"/>
  <c r="DL37" i="18" s="1"/>
  <c r="FM19" i="18"/>
  <c r="FZ30" i="18"/>
  <c r="FM20" i="18"/>
  <c r="FZ41" i="18"/>
  <c r="FZ32" i="18"/>
  <c r="FZ42" i="18"/>
  <c r="EL42" i="18" s="1"/>
  <c r="DL42" i="18" s="1"/>
  <c r="FM29" i="18"/>
  <c r="FM22" i="18"/>
  <c r="FZ18" i="18"/>
  <c r="FM40" i="18"/>
  <c r="AI40" i="20" l="1"/>
  <c r="AF41" i="20"/>
  <c r="FN120" i="18"/>
  <c r="FN125" i="18"/>
  <c r="FP135" i="18"/>
  <c r="FU130" i="18"/>
  <c r="EP39" i="18"/>
  <c r="DP39" i="18" s="1"/>
  <c r="EM35" i="18"/>
  <c r="DM35" i="18" s="1"/>
  <c r="GR120" i="18"/>
  <c r="GR111" i="18"/>
  <c r="FR125" i="18"/>
  <c r="GB120" i="18"/>
  <c r="GB130" i="18"/>
  <c r="GO115" i="18"/>
  <c r="FM130" i="18"/>
  <c r="GM135" i="18"/>
  <c r="GL128" i="18"/>
  <c r="GL135" i="18"/>
  <c r="GD134" i="18"/>
  <c r="GD119" i="18"/>
  <c r="FN129" i="18"/>
  <c r="GN131" i="18"/>
  <c r="GP122" i="18"/>
  <c r="GC129" i="18"/>
  <c r="GC120" i="18"/>
  <c r="GT121" i="18"/>
  <c r="GT130" i="18"/>
  <c r="GU134" i="18"/>
  <c r="GU130" i="18"/>
  <c r="GM110" i="18"/>
  <c r="FS118" i="18"/>
  <c r="GA121" i="18"/>
  <c r="FP117" i="18"/>
  <c r="AC37" i="21"/>
  <c r="AB37" i="21"/>
  <c r="AE37" i="21" s="1"/>
  <c r="AG37" i="21" s="1"/>
  <c r="Z38" i="21"/>
  <c r="EQ31" i="18"/>
  <c r="DQ31" i="18" s="1"/>
  <c r="EQ43" i="18"/>
  <c r="DQ43" i="18" s="1"/>
  <c r="EP17" i="18"/>
  <c r="DP17" i="18" s="1"/>
  <c r="EM39" i="18"/>
  <c r="DM39" i="18" s="1"/>
  <c r="EA26" i="18"/>
  <c r="DA26" i="18" s="1"/>
  <c r="CN26" i="18" s="1"/>
  <c r="EA38" i="18"/>
  <c r="DA38" i="18" s="1"/>
  <c r="CN38" i="18" s="1"/>
  <c r="EO25" i="18"/>
  <c r="DO25" i="18" s="1"/>
  <c r="EO17" i="18"/>
  <c r="DO17" i="18" s="1"/>
  <c r="GR128" i="18"/>
  <c r="GO113" i="18"/>
  <c r="FZ123" i="18"/>
  <c r="GM111" i="18"/>
  <c r="GL120" i="18"/>
  <c r="GL129" i="18"/>
  <c r="GL125" i="18"/>
  <c r="FL131" i="18"/>
  <c r="GF117" i="18"/>
  <c r="GF110" i="18"/>
  <c r="GF118" i="18"/>
  <c r="GC111" i="18"/>
  <c r="FP120" i="18"/>
  <c r="FU127" i="18"/>
  <c r="FZ125" i="18"/>
  <c r="V39" i="21"/>
  <c r="Y39" i="21" s="1"/>
  <c r="W39" i="21"/>
  <c r="DY29" i="18"/>
  <c r="CY29" i="18" s="1"/>
  <c r="CL29" i="18" s="1"/>
  <c r="DY21" i="18"/>
  <c r="CY21" i="18" s="1"/>
  <c r="CL21" i="18" s="1"/>
  <c r="EL29" i="18"/>
  <c r="DL29" i="18" s="1"/>
  <c r="EQ23" i="18"/>
  <c r="DQ23" i="18" s="1"/>
  <c r="ED44" i="18"/>
  <c r="DD44" i="18" s="1"/>
  <c r="CQ44" i="18" s="1"/>
  <c r="EQ38" i="18"/>
  <c r="DQ38" i="18" s="1"/>
  <c r="EC25" i="18"/>
  <c r="DC25" i="18" s="1"/>
  <c r="CP25" i="18" s="1"/>
  <c r="EP23" i="18"/>
  <c r="DP23" i="18" s="1"/>
  <c r="EK26" i="18"/>
  <c r="DK26" i="18" s="1"/>
  <c r="ER19" i="18"/>
  <c r="DR19" i="18" s="1"/>
  <c r="EE24" i="18"/>
  <c r="DE24" i="18" s="1"/>
  <c r="CR24" i="18" s="1"/>
  <c r="ER28" i="18"/>
  <c r="DR28" i="18" s="1"/>
  <c r="ES32" i="18"/>
  <c r="DS32" i="18" s="1"/>
  <c r="EG21" i="18"/>
  <c r="DG21" i="18" s="1"/>
  <c r="CT21" i="18" s="1"/>
  <c r="EM42" i="18"/>
  <c r="DM42" i="18" s="1"/>
  <c r="EM37" i="18"/>
  <c r="DM37" i="18" s="1"/>
  <c r="EA20" i="18"/>
  <c r="DA20" i="18" s="1"/>
  <c r="CN20" i="18" s="1"/>
  <c r="EN23" i="18"/>
  <c r="DN23" i="18" s="1"/>
  <c r="EN43" i="18"/>
  <c r="DN43" i="18" s="1"/>
  <c r="EO19" i="18"/>
  <c r="DO19" i="18" s="1"/>
  <c r="FR134" i="18"/>
  <c r="GE112" i="18"/>
  <c r="FR130" i="18"/>
  <c r="FO125" i="18"/>
  <c r="GO116" i="18"/>
  <c r="GB134" i="18"/>
  <c r="FO113" i="18"/>
  <c r="FM135" i="18"/>
  <c r="FL111" i="18"/>
  <c r="GL131" i="18"/>
  <c r="FQ118" i="18"/>
  <c r="GD123" i="18"/>
  <c r="FQ116" i="18"/>
  <c r="GS122" i="18"/>
  <c r="GA112" i="18"/>
  <c r="GN134" i="18"/>
  <c r="GP129" i="18"/>
  <c r="FT112" i="18"/>
  <c r="GT112" i="18"/>
  <c r="GT134" i="18"/>
  <c r="GT125" i="18"/>
  <c r="FU128" i="18"/>
  <c r="T40" i="21"/>
  <c r="GQ121" i="18"/>
  <c r="GS134" i="18"/>
  <c r="GF111" i="18"/>
  <c r="FP116" i="18"/>
  <c r="GP117" i="18"/>
  <c r="GG132" i="18"/>
  <c r="FT124" i="18"/>
  <c r="GU127" i="18"/>
  <c r="X41" i="21"/>
  <c r="U42" i="21"/>
  <c r="EP31" i="18"/>
  <c r="DP31" i="18" s="1"/>
  <c r="DX42" i="18"/>
  <c r="CX42" i="18" s="1"/>
  <c r="CK42" i="18" s="1"/>
  <c r="ES27" i="18"/>
  <c r="DS27" i="18" s="1"/>
  <c r="GR124" i="18"/>
  <c r="GE122" i="18"/>
  <c r="GB121" i="18"/>
  <c r="GO132" i="18"/>
  <c r="GB118" i="18"/>
  <c r="GM132" i="18"/>
  <c r="FY134" i="18"/>
  <c r="GD131" i="18"/>
  <c r="GQ119" i="18"/>
  <c r="GF131" i="18"/>
  <c r="GS120" i="18"/>
  <c r="FS125" i="18"/>
  <c r="GA131" i="18"/>
  <c r="GA134" i="18"/>
  <c r="GN122" i="18"/>
  <c r="GP128" i="18"/>
  <c r="GG123" i="18"/>
  <c r="FT110" i="18"/>
  <c r="GU120" i="18"/>
  <c r="AD38" i="21"/>
  <c r="AF38" i="21" s="1"/>
  <c r="AA41" i="21"/>
  <c r="AD41" i="21" s="1"/>
  <c r="AF41" i="21" s="1"/>
  <c r="AA40" i="21"/>
  <c r="AD40" i="21" s="1"/>
  <c r="AF40" i="21" s="1"/>
  <c r="FZ130" i="18"/>
  <c r="EL28" i="18"/>
  <c r="DL28" i="18" s="1"/>
  <c r="ET37" i="18"/>
  <c r="DT37" i="18" s="1"/>
  <c r="GE124" i="18"/>
  <c r="GO118" i="18"/>
  <c r="GL134" i="18"/>
  <c r="FL132" i="18"/>
  <c r="FL112" i="18"/>
  <c r="FS136" i="18"/>
  <c r="GF116" i="18"/>
  <c r="FS111" i="18"/>
  <c r="GA130" i="18"/>
  <c r="GN113" i="18"/>
  <c r="GG129" i="18"/>
  <c r="GG116" i="18"/>
  <c r="FT118" i="18"/>
  <c r="T38" i="20"/>
  <c r="W38" i="20" s="1"/>
  <c r="W37" i="20"/>
  <c r="X38" i="20"/>
  <c r="U40" i="20"/>
  <c r="Z38" i="20"/>
  <c r="AC37" i="20"/>
  <c r="AB37" i="20"/>
  <c r="AE37" i="20" s="1"/>
  <c r="AM37" i="20" s="1"/>
  <c r="AA50" i="20"/>
  <c r="AD49" i="20"/>
  <c r="AL49" i="20" s="1"/>
  <c r="GR139" i="18"/>
  <c r="GR59" i="18"/>
  <c r="GR105" i="18" s="1"/>
  <c r="GE133" i="18"/>
  <c r="GE57" i="18"/>
  <c r="GM133" i="18"/>
  <c r="GM57" i="18"/>
  <c r="GM103" i="18" s="1"/>
  <c r="GM138" i="18"/>
  <c r="GM58" i="18"/>
  <c r="GM104" i="18" s="1"/>
  <c r="FM139" i="18"/>
  <c r="FM59" i="18"/>
  <c r="GS55" i="18"/>
  <c r="GS101" i="18" s="1"/>
  <c r="GS114" i="18"/>
  <c r="GS137" i="18"/>
  <c r="GS54" i="18"/>
  <c r="GN138" i="18"/>
  <c r="GN58" i="18"/>
  <c r="GN104" i="18" s="1"/>
  <c r="GN121" i="18"/>
  <c r="FN135" i="18"/>
  <c r="FN139" i="18"/>
  <c r="FN59" i="18"/>
  <c r="GC122" i="18"/>
  <c r="GC58" i="18"/>
  <c r="GC138" i="18"/>
  <c r="GP123" i="18"/>
  <c r="FP57" i="18"/>
  <c r="FP133" i="18"/>
  <c r="GP132" i="18"/>
  <c r="FT129" i="18"/>
  <c r="GG110" i="18"/>
  <c r="FT131" i="18"/>
  <c r="EL20" i="18"/>
  <c r="EL24" i="18"/>
  <c r="DL24" i="18" s="1"/>
  <c r="ED43" i="18"/>
  <c r="DD43" i="18" s="1"/>
  <c r="CQ43" i="18" s="1"/>
  <c r="EC30" i="18"/>
  <c r="DC30" i="18" s="1"/>
  <c r="CP30" i="18" s="1"/>
  <c r="EK44" i="18"/>
  <c r="DK44" i="18" s="1"/>
  <c r="EK23" i="18"/>
  <c r="DK23" i="18" s="1"/>
  <c r="ET23" i="18"/>
  <c r="DT23" i="18" s="1"/>
  <c r="EO27" i="18"/>
  <c r="DO27" i="18" s="1"/>
  <c r="GR127" i="18"/>
  <c r="GE131" i="18"/>
  <c r="GE120" i="18"/>
  <c r="FR57" i="18"/>
  <c r="FR133" i="18"/>
  <c r="FR115" i="18"/>
  <c r="GR112" i="18"/>
  <c r="GE109" i="18"/>
  <c r="GE114" i="18"/>
  <c r="GE55" i="18"/>
  <c r="FR129" i="18"/>
  <c r="GE121" i="18"/>
  <c r="GR115" i="18"/>
  <c r="FR131" i="18"/>
  <c r="GB117" i="18"/>
  <c r="FO54" i="18"/>
  <c r="FO137" i="18"/>
  <c r="GO139" i="18"/>
  <c r="GO59" i="18"/>
  <c r="GO105" i="18" s="1"/>
  <c r="GO120" i="18"/>
  <c r="FO119" i="18"/>
  <c r="GB124" i="18"/>
  <c r="FO112" i="18"/>
  <c r="GB132" i="18"/>
  <c r="GB122" i="18"/>
  <c r="GB135" i="18"/>
  <c r="FZ127" i="18"/>
  <c r="FZ121" i="18"/>
  <c r="GM136" i="18"/>
  <c r="GM115" i="18"/>
  <c r="GM121" i="18"/>
  <c r="GM116" i="18"/>
  <c r="FM116" i="18"/>
  <c r="GM129" i="18"/>
  <c r="GM55" i="18"/>
  <c r="GM101" i="18" s="1"/>
  <c r="GM114" i="18"/>
  <c r="FM115" i="18"/>
  <c r="FL122" i="18"/>
  <c r="FY110" i="18"/>
  <c r="FL134" i="18"/>
  <c r="FY135" i="18"/>
  <c r="FL114" i="18"/>
  <c r="FL55" i="18"/>
  <c r="FY58" i="18"/>
  <c r="FY138" i="18"/>
  <c r="FY112" i="18"/>
  <c r="GL115" i="18"/>
  <c r="FY119" i="18"/>
  <c r="FL109" i="18"/>
  <c r="GD124" i="18"/>
  <c r="FQ132" i="18"/>
  <c r="GD116" i="18"/>
  <c r="GQ126" i="18"/>
  <c r="GQ56" i="18"/>
  <c r="GQ102" i="18" s="1"/>
  <c r="FQ131" i="18"/>
  <c r="GQ122" i="18"/>
  <c r="GQ127" i="18"/>
  <c r="GD128" i="18"/>
  <c r="GD121" i="18"/>
  <c r="FQ120" i="18"/>
  <c r="GD129" i="18"/>
  <c r="GQ120" i="18"/>
  <c r="GQ123" i="18"/>
  <c r="FQ110" i="18"/>
  <c r="GQ112" i="18"/>
  <c r="GF129" i="18"/>
  <c r="GS133" i="18"/>
  <c r="GS57" i="18"/>
  <c r="GS103" i="18" s="1"/>
  <c r="GS121" i="18"/>
  <c r="GF127" i="18"/>
  <c r="GF123" i="18"/>
  <c r="FS115" i="18"/>
  <c r="GF56" i="18"/>
  <c r="GF126" i="18"/>
  <c r="FS139" i="18"/>
  <c r="FS59" i="18"/>
  <c r="GS126" i="18"/>
  <c r="GS56" i="18"/>
  <c r="GS102" i="18" s="1"/>
  <c r="GF130" i="18"/>
  <c r="GS115" i="18"/>
  <c r="GS127" i="18"/>
  <c r="GF114" i="18"/>
  <c r="GF55" i="18"/>
  <c r="GF101" i="18" s="1"/>
  <c r="FN114" i="18"/>
  <c r="FN55" i="18"/>
  <c r="FN101" i="18" s="1"/>
  <c r="GA124" i="18"/>
  <c r="FN118" i="18"/>
  <c r="FN133" i="18"/>
  <c r="FN57" i="18"/>
  <c r="FN103" i="18" s="1"/>
  <c r="GA123" i="18"/>
  <c r="GN118" i="18"/>
  <c r="FN131" i="18"/>
  <c r="GA110" i="18"/>
  <c r="GA109" i="18"/>
  <c r="GN129" i="18"/>
  <c r="FP113" i="18"/>
  <c r="FP110" i="18"/>
  <c r="GP113" i="18"/>
  <c r="GC121" i="18"/>
  <c r="FP109" i="18"/>
  <c r="GC112" i="18"/>
  <c r="GC135" i="18"/>
  <c r="FP139" i="18"/>
  <c r="FP59" i="18"/>
  <c r="FP105" i="18" s="1"/>
  <c r="GC113" i="18"/>
  <c r="FP121" i="18"/>
  <c r="GC134" i="18"/>
  <c r="FP131" i="18"/>
  <c r="GP127" i="18"/>
  <c r="FP136" i="18"/>
  <c r="GT133" i="18"/>
  <c r="GT57" i="18"/>
  <c r="GT103" i="18" s="1"/>
  <c r="GG124" i="18"/>
  <c r="GT119" i="18"/>
  <c r="GG122" i="18"/>
  <c r="GT116" i="18"/>
  <c r="FT113" i="18"/>
  <c r="GG121" i="18"/>
  <c r="FT123" i="18"/>
  <c r="FT132" i="18"/>
  <c r="GG137" i="18"/>
  <c r="GG54" i="18"/>
  <c r="FT128" i="18"/>
  <c r="GG112" i="18"/>
  <c r="FT117" i="18"/>
  <c r="FU124" i="18"/>
  <c r="GU119" i="18"/>
  <c r="GH130" i="18"/>
  <c r="GU125" i="18"/>
  <c r="GU116" i="18"/>
  <c r="GH122" i="18"/>
  <c r="FU138" i="18"/>
  <c r="FU58" i="18"/>
  <c r="FU104" i="18" s="1"/>
  <c r="GU118" i="18"/>
  <c r="GH113" i="18"/>
  <c r="GU112" i="18"/>
  <c r="GU124" i="18"/>
  <c r="FU121" i="18"/>
  <c r="GH138" i="18"/>
  <c r="GH58" i="18"/>
  <c r="EG23" i="18"/>
  <c r="DG23" i="18" s="1"/>
  <c r="CT23" i="18" s="1"/>
  <c r="FR56" i="18"/>
  <c r="FR126" i="18"/>
  <c r="EQ37" i="18"/>
  <c r="DQ37" i="18" s="1"/>
  <c r="EC26" i="18"/>
  <c r="DC26" i="18" s="1"/>
  <c r="CP26" i="18" s="1"/>
  <c r="GR138" i="18"/>
  <c r="GR58" i="18"/>
  <c r="GR104" i="18" s="1"/>
  <c r="GM137" i="18"/>
  <c r="GM54" i="18"/>
  <c r="GM124" i="18"/>
  <c r="FM125" i="18"/>
  <c r="FL139" i="18"/>
  <c r="FL59" i="18"/>
  <c r="GD54" i="18"/>
  <c r="GD137" i="18"/>
  <c r="GD111" i="18"/>
  <c r="FQ139" i="18"/>
  <c r="FQ59" i="18"/>
  <c r="FQ105" i="18" s="1"/>
  <c r="GQ118" i="18"/>
  <c r="GF58" i="18"/>
  <c r="GF138" i="18"/>
  <c r="GN137" i="18"/>
  <c r="GN54" i="18"/>
  <c r="GN123" i="18"/>
  <c r="GN114" i="18"/>
  <c r="GN55" i="18"/>
  <c r="GN101" i="18" s="1"/>
  <c r="GC117" i="18"/>
  <c r="GC130" i="18"/>
  <c r="GT127" i="18"/>
  <c r="GT56" i="18"/>
  <c r="GT102" i="18" s="1"/>
  <c r="GT126" i="18"/>
  <c r="GU137" i="18"/>
  <c r="GU54" i="18"/>
  <c r="DY23" i="18"/>
  <c r="CY23" i="18" s="1"/>
  <c r="CL23" i="18" s="1"/>
  <c r="EQ30" i="18"/>
  <c r="DQ30" i="18" s="1"/>
  <c r="EQ39" i="18"/>
  <c r="EQ35" i="18"/>
  <c r="DQ35" i="18" s="1"/>
  <c r="EP40" i="18"/>
  <c r="DP40" i="18" s="1"/>
  <c r="EC18" i="18"/>
  <c r="DC18" i="18" s="1"/>
  <c r="CP18" i="18" s="1"/>
  <c r="EK43" i="18"/>
  <c r="DK43" i="18" s="1"/>
  <c r="DX31" i="18"/>
  <c r="CX31" i="18" s="1"/>
  <c r="CK31" i="18" s="1"/>
  <c r="EK28" i="18"/>
  <c r="DK28" i="18" s="1"/>
  <c r="ER39" i="18"/>
  <c r="DR39" i="18" s="1"/>
  <c r="ER35" i="18"/>
  <c r="DR35" i="18" s="1"/>
  <c r="ER25" i="18"/>
  <c r="DR25" i="18" s="1"/>
  <c r="ES25" i="18"/>
  <c r="EF35" i="18"/>
  <c r="DF35" i="18" s="1"/>
  <c r="CS35" i="18" s="1"/>
  <c r="EG26" i="18"/>
  <c r="DG26" i="18" s="1"/>
  <c r="CT26" i="18" s="1"/>
  <c r="ET42" i="18"/>
  <c r="DT42" i="18" s="1"/>
  <c r="EM40" i="18"/>
  <c r="DM40" i="18" s="1"/>
  <c r="EM27" i="18"/>
  <c r="DM27" i="18" s="1"/>
  <c r="EA43" i="18"/>
  <c r="DA43" i="18" s="1"/>
  <c r="CN43" i="18" s="1"/>
  <c r="EN25" i="18"/>
  <c r="DN25" i="18" s="1"/>
  <c r="EN35" i="18"/>
  <c r="DN35" i="18" s="1"/>
  <c r="EO40" i="18"/>
  <c r="DO40" i="18" s="1"/>
  <c r="GE116" i="18"/>
  <c r="FR119" i="18"/>
  <c r="GR122" i="18"/>
  <c r="FR118" i="18"/>
  <c r="GR126" i="18"/>
  <c r="GR56" i="18"/>
  <c r="GR102" i="18" s="1"/>
  <c r="GR137" i="18"/>
  <c r="GR54" i="18"/>
  <c r="GR130" i="18"/>
  <c r="GR113" i="18"/>
  <c r="GR117" i="18"/>
  <c r="GB136" i="18"/>
  <c r="GB129" i="18"/>
  <c r="FO135" i="18"/>
  <c r="FO55" i="18"/>
  <c r="FO114" i="18"/>
  <c r="GO125" i="18"/>
  <c r="GO129" i="18"/>
  <c r="GB113" i="18"/>
  <c r="GO110" i="18"/>
  <c r="GO114" i="18"/>
  <c r="GO55" i="18"/>
  <c r="GO101" i="18" s="1"/>
  <c r="GO127" i="18"/>
  <c r="FO128" i="18"/>
  <c r="FO117" i="18"/>
  <c r="FM136" i="18"/>
  <c r="FZ117" i="18"/>
  <c r="FM131" i="18"/>
  <c r="FZ131" i="18"/>
  <c r="GM127" i="18"/>
  <c r="FZ109" i="18"/>
  <c r="GM109" i="18"/>
  <c r="FZ118" i="18"/>
  <c r="GM123" i="18"/>
  <c r="FZ128" i="18"/>
  <c r="FZ129" i="18"/>
  <c r="FM111" i="18"/>
  <c r="FM112" i="18"/>
  <c r="FY56" i="18"/>
  <c r="FY126" i="18"/>
  <c r="FY124" i="18"/>
  <c r="FY109" i="18"/>
  <c r="GL133" i="18"/>
  <c r="GL57" i="18"/>
  <c r="GL103" i="18" s="1"/>
  <c r="FL115" i="18"/>
  <c r="FL123" i="18"/>
  <c r="GL139" i="18"/>
  <c r="GL59" i="18"/>
  <c r="GL105" i="18" s="1"/>
  <c r="FY123" i="18"/>
  <c r="GL116" i="18"/>
  <c r="GL137" i="18"/>
  <c r="GL54" i="18"/>
  <c r="FQ133" i="18"/>
  <c r="FQ57" i="18"/>
  <c r="FQ124" i="18"/>
  <c r="GD117" i="18"/>
  <c r="FQ119" i="18"/>
  <c r="GQ109" i="18"/>
  <c r="FQ128" i="18"/>
  <c r="GD112" i="18"/>
  <c r="GD138" i="18"/>
  <c r="GD58" i="18"/>
  <c r="FQ135" i="18"/>
  <c r="FQ115" i="18"/>
  <c r="GQ55" i="18"/>
  <c r="GQ101" i="18" s="1"/>
  <c r="GQ114" i="18"/>
  <c r="GQ116" i="18"/>
  <c r="FS135" i="18"/>
  <c r="GS123" i="18"/>
  <c r="GF124" i="18"/>
  <c r="GS136" i="18"/>
  <c r="GF115" i="18"/>
  <c r="GF119" i="18"/>
  <c r="GS131" i="18"/>
  <c r="GF136" i="18"/>
  <c r="GS135" i="18"/>
  <c r="FS124" i="18"/>
  <c r="FS129" i="18"/>
  <c r="FS123" i="18"/>
  <c r="FN123" i="18"/>
  <c r="FN134" i="18"/>
  <c r="FN116" i="18"/>
  <c r="GA116" i="18"/>
  <c r="GN110" i="18"/>
  <c r="GN130" i="18"/>
  <c r="GA111" i="18"/>
  <c r="GN111" i="18"/>
  <c r="GN116" i="18"/>
  <c r="GP121" i="18"/>
  <c r="GP126" i="18"/>
  <c r="GP56" i="18"/>
  <c r="GP102" i="18" s="1"/>
  <c r="FP137" i="18"/>
  <c r="FP54" i="18"/>
  <c r="GP116" i="18"/>
  <c r="GP115" i="18"/>
  <c r="GP111" i="18"/>
  <c r="GP55" i="18"/>
  <c r="GP101" i="18" s="1"/>
  <c r="GP114" i="18"/>
  <c r="GP133" i="18"/>
  <c r="GP57" i="18"/>
  <c r="GP103" i="18" s="1"/>
  <c r="GC118" i="18"/>
  <c r="FP111" i="18"/>
  <c r="GP130" i="18"/>
  <c r="GP138" i="18"/>
  <c r="GP58" i="18"/>
  <c r="GP104" i="18" s="1"/>
  <c r="FP124" i="18"/>
  <c r="FP122" i="18"/>
  <c r="FT111" i="18"/>
  <c r="FT120" i="18"/>
  <c r="FT136" i="18"/>
  <c r="GT110" i="18"/>
  <c r="GT128" i="18"/>
  <c r="GG135" i="18"/>
  <c r="GG139" i="18"/>
  <c r="GG59" i="18"/>
  <c r="GG113" i="18"/>
  <c r="GG133" i="18"/>
  <c r="GG57" i="18"/>
  <c r="GT137" i="18"/>
  <c r="GT54" i="18"/>
  <c r="FT137" i="18"/>
  <c r="FT54" i="18"/>
  <c r="GT139" i="18"/>
  <c r="GT59" i="18"/>
  <c r="GT105" i="18" s="1"/>
  <c r="GU129" i="18"/>
  <c r="GH59" i="18"/>
  <c r="GH139" i="18"/>
  <c r="GU135" i="18"/>
  <c r="GH129" i="18"/>
  <c r="GH120" i="18"/>
  <c r="GU111" i="18"/>
  <c r="GU136" i="18"/>
  <c r="GH121" i="18"/>
  <c r="GH127" i="18"/>
  <c r="FU118" i="18"/>
  <c r="FO138" i="18"/>
  <c r="FO58" i="18"/>
  <c r="FL128" i="18"/>
  <c r="FY137" i="18"/>
  <c r="FY54" i="18"/>
  <c r="GQ139" i="18"/>
  <c r="GQ59" i="18"/>
  <c r="GQ105" i="18" s="1"/>
  <c r="GF135" i="18"/>
  <c r="ER29" i="18"/>
  <c r="DR29" i="18" s="1"/>
  <c r="EM23" i="18"/>
  <c r="DM23" i="18" s="1"/>
  <c r="GF121" i="18"/>
  <c r="FS133" i="18"/>
  <c r="FS57" i="18"/>
  <c r="FS103" i="18" s="1"/>
  <c r="FN128" i="18"/>
  <c r="GA122" i="18"/>
  <c r="DX30" i="18"/>
  <c r="CX30" i="18" s="1"/>
  <c r="CK30" i="18" s="1"/>
  <c r="EE32" i="18"/>
  <c r="DE32" i="18" s="1"/>
  <c r="CR32" i="18" s="1"/>
  <c r="EE29" i="18"/>
  <c r="DE29" i="18" s="1"/>
  <c r="CR29" i="18" s="1"/>
  <c r="EF18" i="18"/>
  <c r="DF18" i="18" s="1"/>
  <c r="CS18" i="18" s="1"/>
  <c r="EF42" i="18"/>
  <c r="DF42" i="18" s="1"/>
  <c r="CS42" i="18" s="1"/>
  <c r="EG35" i="18"/>
  <c r="DG35" i="18" s="1"/>
  <c r="CT35" i="18" s="1"/>
  <c r="EN18" i="18"/>
  <c r="DN18" i="18" s="1"/>
  <c r="EN31" i="18"/>
  <c r="DN31" i="18" s="1"/>
  <c r="EO29" i="18"/>
  <c r="DO29" i="18" s="1"/>
  <c r="FR127" i="18"/>
  <c r="FR111" i="18"/>
  <c r="GE119" i="18"/>
  <c r="GR119" i="18"/>
  <c r="GE54" i="18"/>
  <c r="GE137" i="18"/>
  <c r="FR109" i="18"/>
  <c r="GE138" i="18"/>
  <c r="GE58" i="18"/>
  <c r="GR133" i="18"/>
  <c r="GR57" i="18"/>
  <c r="GR103" i="18" s="1"/>
  <c r="FR135" i="18"/>
  <c r="GR129" i="18"/>
  <c r="GE134" i="18"/>
  <c r="GE110" i="18"/>
  <c r="GR123" i="18"/>
  <c r="FR112" i="18"/>
  <c r="GR109" i="18"/>
  <c r="FR116" i="18"/>
  <c r="FR114" i="18"/>
  <c r="FR55" i="18"/>
  <c r="FR101" i="18" s="1"/>
  <c r="GO135" i="18"/>
  <c r="GB116" i="18"/>
  <c r="GB55" i="18"/>
  <c r="GB114" i="18"/>
  <c r="FO116" i="18"/>
  <c r="GB131" i="18"/>
  <c r="GB137" i="18"/>
  <c r="GB54" i="18"/>
  <c r="FO139" i="18"/>
  <c r="FO59" i="18"/>
  <c r="FO105" i="18" s="1"/>
  <c r="FO136" i="18"/>
  <c r="FO118" i="18"/>
  <c r="GO119" i="18"/>
  <c r="FO115" i="18"/>
  <c r="FZ122" i="18"/>
  <c r="FZ110" i="18"/>
  <c r="GM119" i="18"/>
  <c r="FZ57" i="18"/>
  <c r="FZ133" i="18"/>
  <c r="FZ124" i="18"/>
  <c r="FM120" i="18"/>
  <c r="FZ134" i="18"/>
  <c r="GL119" i="18"/>
  <c r="FY132" i="18"/>
  <c r="GL111" i="18"/>
  <c r="FY125" i="18"/>
  <c r="FY111" i="18"/>
  <c r="FY136" i="18"/>
  <c r="FL120" i="18"/>
  <c r="FL124" i="18"/>
  <c r="GL112" i="18"/>
  <c r="GL126" i="18"/>
  <c r="GL56" i="18"/>
  <c r="GL102" i="18" s="1"/>
  <c r="GL122" i="18"/>
  <c r="FY139" i="18"/>
  <c r="FY59" i="18"/>
  <c r="FL127" i="18"/>
  <c r="GQ133" i="18"/>
  <c r="GQ57" i="18"/>
  <c r="GQ103" i="18" s="1"/>
  <c r="GD110" i="18"/>
  <c r="GQ129" i="18"/>
  <c r="GD120" i="18"/>
  <c r="FQ134" i="18"/>
  <c r="GD113" i="18"/>
  <c r="FQ123" i="18"/>
  <c r="GQ125" i="18"/>
  <c r="FQ130" i="18"/>
  <c r="GD125" i="18"/>
  <c r="GQ117" i="18"/>
  <c r="GQ134" i="18"/>
  <c r="GQ132" i="18"/>
  <c r="GD109" i="18"/>
  <c r="FS130" i="18"/>
  <c r="GF128" i="18"/>
  <c r="GF132" i="18"/>
  <c r="FS127" i="18"/>
  <c r="GF137" i="18"/>
  <c r="GF54" i="18"/>
  <c r="FS132" i="18"/>
  <c r="GS109" i="18"/>
  <c r="FS109" i="18"/>
  <c r="FS137" i="18"/>
  <c r="FS54" i="18"/>
  <c r="FS116" i="18"/>
  <c r="FN122" i="18"/>
  <c r="FN124" i="18"/>
  <c r="GA59" i="18"/>
  <c r="GA139" i="18"/>
  <c r="GN127" i="18"/>
  <c r="FN109" i="18"/>
  <c r="FN132" i="18"/>
  <c r="GN139" i="18"/>
  <c r="GN59" i="18"/>
  <c r="GN105" i="18" s="1"/>
  <c r="GA129" i="18"/>
  <c r="FN54" i="18"/>
  <c r="FN137" i="18"/>
  <c r="GP110" i="18"/>
  <c r="GP139" i="18"/>
  <c r="GP59" i="18"/>
  <c r="GP105" i="18" s="1"/>
  <c r="FP115" i="18"/>
  <c r="FP114" i="18"/>
  <c r="FP55" i="18"/>
  <c r="FP101" i="18" s="1"/>
  <c r="GP135" i="18"/>
  <c r="FP127" i="18"/>
  <c r="GC137" i="18"/>
  <c r="GC54" i="18"/>
  <c r="GC59" i="18"/>
  <c r="GC139" i="18"/>
  <c r="FP130" i="18"/>
  <c r="GP124" i="18"/>
  <c r="FT127" i="18"/>
  <c r="GG55" i="18"/>
  <c r="GG114" i="18"/>
  <c r="GG134" i="18"/>
  <c r="GG128" i="18"/>
  <c r="FT119" i="18"/>
  <c r="FT115" i="18"/>
  <c r="FT114" i="18"/>
  <c r="FT55" i="18"/>
  <c r="FT101" i="18" s="1"/>
  <c r="FT121" i="18"/>
  <c r="GT118" i="18"/>
  <c r="FT130" i="18"/>
  <c r="GT123" i="18"/>
  <c r="GU113" i="18"/>
  <c r="GH134" i="18"/>
  <c r="GH119" i="18"/>
  <c r="FU136" i="18"/>
  <c r="GH117" i="18"/>
  <c r="GH136" i="18"/>
  <c r="FU112" i="18"/>
  <c r="FU122" i="18"/>
  <c r="GH111" i="18"/>
  <c r="FU135" i="18"/>
  <c r="FU129" i="18"/>
  <c r="FU137" i="18"/>
  <c r="FU54" i="18"/>
  <c r="FU119" i="18"/>
  <c r="FR139" i="18"/>
  <c r="FR59" i="18"/>
  <c r="GM131" i="18"/>
  <c r="FM134" i="18"/>
  <c r="GQ130" i="18"/>
  <c r="GE59" i="18"/>
  <c r="GE139" i="18"/>
  <c r="GB133" i="18"/>
  <c r="GB57" i="18"/>
  <c r="FY131" i="18"/>
  <c r="FS117" i="18"/>
  <c r="FP132" i="18"/>
  <c r="GH114" i="18"/>
  <c r="GH55" i="18"/>
  <c r="EQ27" i="18"/>
  <c r="DQ27" i="18" s="1"/>
  <c r="DX23" i="18"/>
  <c r="CX23" i="18" s="1"/>
  <c r="CK23" i="18" s="1"/>
  <c r="EE27" i="18"/>
  <c r="DE27" i="18" s="1"/>
  <c r="CR27" i="18" s="1"/>
  <c r="ES43" i="18"/>
  <c r="DS43" i="18" s="1"/>
  <c r="ES23" i="18"/>
  <c r="DS23" i="18" s="1"/>
  <c r="ET18" i="18"/>
  <c r="DT18" i="18" s="1"/>
  <c r="ET20" i="18"/>
  <c r="DT20" i="18" s="1"/>
  <c r="EM29" i="18"/>
  <c r="DM29" i="18" s="1"/>
  <c r="EM31" i="18"/>
  <c r="EN36" i="18"/>
  <c r="DN36" i="18" s="1"/>
  <c r="EB25" i="18"/>
  <c r="DB25" i="18" s="1"/>
  <c r="CO25" i="18" s="1"/>
  <c r="GE126" i="18"/>
  <c r="GE56" i="18"/>
  <c r="FR122" i="18"/>
  <c r="FR121" i="18"/>
  <c r="GR134" i="18"/>
  <c r="FR136" i="18"/>
  <c r="GE111" i="18"/>
  <c r="FR124" i="18"/>
  <c r="GO134" i="18"/>
  <c r="GB128" i="18"/>
  <c r="GO126" i="18"/>
  <c r="GO56" i="18"/>
  <c r="GO102" i="18" s="1"/>
  <c r="GB110" i="18"/>
  <c r="GO112" i="18"/>
  <c r="FO132" i="18"/>
  <c r="FO122" i="18"/>
  <c r="FO124" i="18"/>
  <c r="FO127" i="18"/>
  <c r="FO120" i="18"/>
  <c r="GB119" i="18"/>
  <c r="GO128" i="18"/>
  <c r="GO111" i="18"/>
  <c r="FO109" i="18"/>
  <c r="GM118" i="18"/>
  <c r="GM139" i="18"/>
  <c r="GM59" i="18"/>
  <c r="GM105" i="18" s="1"/>
  <c r="FZ112" i="18"/>
  <c r="FZ135" i="18"/>
  <c r="FZ111" i="18"/>
  <c r="FZ56" i="18"/>
  <c r="FZ126" i="18"/>
  <c r="GM126" i="18"/>
  <c r="GM56" i="18"/>
  <c r="GM102" i="18" s="1"/>
  <c r="FM122" i="18"/>
  <c r="FZ119" i="18"/>
  <c r="FZ132" i="18"/>
  <c r="GM113" i="18"/>
  <c r="FM113" i="18"/>
  <c r="FM118" i="18"/>
  <c r="FY127" i="18"/>
  <c r="GL109" i="18"/>
  <c r="FL126" i="18"/>
  <c r="FL56" i="18"/>
  <c r="FY121" i="18"/>
  <c r="FL116" i="18"/>
  <c r="FL121" i="18"/>
  <c r="FY117" i="18"/>
  <c r="GL132" i="18"/>
  <c r="FY122" i="18"/>
  <c r="GL55" i="18"/>
  <c r="GL101" i="18" s="1"/>
  <c r="GL114" i="18"/>
  <c r="FY130" i="18"/>
  <c r="FL113" i="18"/>
  <c r="FL117" i="18"/>
  <c r="FL133" i="18"/>
  <c r="FL57" i="18"/>
  <c r="FL137" i="18"/>
  <c r="FL54" i="18"/>
  <c r="FQ121" i="18"/>
  <c r="GQ113" i="18"/>
  <c r="GD118" i="18"/>
  <c r="FQ109" i="18"/>
  <c r="GQ136" i="18"/>
  <c r="GQ135" i="18"/>
  <c r="FQ125" i="18"/>
  <c r="FQ117" i="18"/>
  <c r="GQ124" i="18"/>
  <c r="GQ115" i="18"/>
  <c r="GD135" i="18"/>
  <c r="GD122" i="18"/>
  <c r="GQ110" i="18"/>
  <c r="GF112" i="18"/>
  <c r="GS130" i="18"/>
  <c r="GS129" i="18"/>
  <c r="GS125" i="18"/>
  <c r="FS110" i="18"/>
  <c r="GF109" i="18"/>
  <c r="GS138" i="18"/>
  <c r="GS58" i="18"/>
  <c r="GS104" i="18" s="1"/>
  <c r="GS128" i="18"/>
  <c r="GF113" i="18"/>
  <c r="FS119" i="18"/>
  <c r="GN136" i="18"/>
  <c r="FN112" i="18"/>
  <c r="GA125" i="18"/>
  <c r="GN56" i="18"/>
  <c r="GN102" i="18" s="1"/>
  <c r="GN126" i="18"/>
  <c r="FN130" i="18"/>
  <c r="GA128" i="18"/>
  <c r="GN125" i="18"/>
  <c r="GA118" i="18"/>
  <c r="GA117" i="18"/>
  <c r="GN109" i="18"/>
  <c r="GC133" i="18"/>
  <c r="GC57" i="18"/>
  <c r="GP136" i="18"/>
  <c r="GC119" i="18"/>
  <c r="GP112" i="18"/>
  <c r="GP131" i="18"/>
  <c r="GC115" i="18"/>
  <c r="GP137" i="18"/>
  <c r="GP54" i="18"/>
  <c r="FP125" i="18"/>
  <c r="GC127" i="18"/>
  <c r="FP123" i="18"/>
  <c r="GP119" i="18"/>
  <c r="GP120" i="18"/>
  <c r="FP138" i="18"/>
  <c r="FP58" i="18"/>
  <c r="GT120" i="18"/>
  <c r="GG120" i="18"/>
  <c r="GT113" i="18"/>
  <c r="FT109" i="18"/>
  <c r="GG56" i="18"/>
  <c r="GG126" i="18"/>
  <c r="GT136" i="18"/>
  <c r="GG119" i="18"/>
  <c r="FT122" i="18"/>
  <c r="GG138" i="18"/>
  <c r="GG58" i="18"/>
  <c r="GG111" i="18"/>
  <c r="GG115" i="18"/>
  <c r="FT116" i="18"/>
  <c r="GT115" i="18"/>
  <c r="GU139" i="18"/>
  <c r="GU59" i="18"/>
  <c r="GU105" i="18" s="1"/>
  <c r="GH116" i="18"/>
  <c r="FU114" i="18"/>
  <c r="FU55" i="18"/>
  <c r="FU101" i="18" s="1"/>
  <c r="GH131" i="18"/>
  <c r="GH135" i="18"/>
  <c r="GU138" i="18"/>
  <c r="GU58" i="18"/>
  <c r="GU104" i="18" s="1"/>
  <c r="GU117" i="18"/>
  <c r="GH124" i="18"/>
  <c r="GU110" i="18"/>
  <c r="GU57" i="18"/>
  <c r="GU103" i="18" s="1"/>
  <c r="GU133" i="18"/>
  <c r="FU139" i="18"/>
  <c r="FU59" i="18"/>
  <c r="GU126" i="18"/>
  <c r="GU56" i="18"/>
  <c r="GU102" i="18" s="1"/>
  <c r="GO138" i="18"/>
  <c r="GO58" i="18"/>
  <c r="GO104" i="18" s="1"/>
  <c r="FY133" i="18"/>
  <c r="FY57" i="18"/>
  <c r="GD57" i="18"/>
  <c r="GD133" i="18"/>
  <c r="EL39" i="18"/>
  <c r="DL39" i="18" s="1"/>
  <c r="ER31" i="18"/>
  <c r="DR31" i="18" s="1"/>
  <c r="FR138" i="18"/>
  <c r="FR58" i="18"/>
  <c r="FR104" i="18" s="1"/>
  <c r="GE123" i="18"/>
  <c r="GL110" i="18"/>
  <c r="GD55" i="18"/>
  <c r="GD114" i="18"/>
  <c r="FQ127" i="18"/>
  <c r="GA138" i="18"/>
  <c r="GA58" i="18"/>
  <c r="GT58" i="18"/>
  <c r="GT104" i="18" s="1"/>
  <c r="GT138" i="18"/>
  <c r="EL32" i="18"/>
  <c r="DL32" i="18" s="1"/>
  <c r="EL36" i="18"/>
  <c r="DL36" i="18" s="1"/>
  <c r="EQ29" i="18"/>
  <c r="ED29" i="18" s="1"/>
  <c r="DD29" i="18" s="1"/>
  <c r="EP37" i="18"/>
  <c r="DP37" i="18" s="1"/>
  <c r="EP28" i="18"/>
  <c r="EK37" i="18"/>
  <c r="DK37" i="18" s="1"/>
  <c r="EE37" i="18"/>
  <c r="DE37" i="18" s="1"/>
  <c r="CR37" i="18" s="1"/>
  <c r="ER18" i="18"/>
  <c r="DR18" i="18" s="1"/>
  <c r="ES31" i="18"/>
  <c r="DS31" i="18" s="1"/>
  <c r="EG40" i="18"/>
  <c r="DG40" i="18" s="1"/>
  <c r="CT40" i="18" s="1"/>
  <c r="ET44" i="18"/>
  <c r="DT44" i="18" s="1"/>
  <c r="EM24" i="18"/>
  <c r="DM24" i="18" s="1"/>
  <c r="EM32" i="18"/>
  <c r="DM32" i="18" s="1"/>
  <c r="DZ20" i="18"/>
  <c r="CZ20" i="18" s="1"/>
  <c r="CM20" i="18" s="1"/>
  <c r="DZ30" i="18"/>
  <c r="CZ30" i="18" s="1"/>
  <c r="CM30" i="18" s="1"/>
  <c r="EO39" i="18"/>
  <c r="DO39" i="18" s="1"/>
  <c r="EB44" i="18"/>
  <c r="DB44" i="18" s="1"/>
  <c r="CO44" i="18" s="1"/>
  <c r="GE132" i="18"/>
  <c r="GE136" i="18"/>
  <c r="FR137" i="18"/>
  <c r="FR54" i="18"/>
  <c r="GR136" i="18"/>
  <c r="GE130" i="18"/>
  <c r="GR132" i="18"/>
  <c r="FR128" i="18"/>
  <c r="FR113" i="18"/>
  <c r="GE117" i="18"/>
  <c r="GE115" i="18"/>
  <c r="GR116" i="18"/>
  <c r="GR135" i="18"/>
  <c r="GE128" i="18"/>
  <c r="GR121" i="18"/>
  <c r="FR110" i="18"/>
  <c r="FO126" i="18"/>
  <c r="FO56" i="18"/>
  <c r="FO102" i="18" s="1"/>
  <c r="GB58" i="18"/>
  <c r="GB138" i="18"/>
  <c r="GB59" i="18"/>
  <c r="GB139" i="18"/>
  <c r="GB125" i="18"/>
  <c r="GO131" i="18"/>
  <c r="GO130" i="18"/>
  <c r="GO121" i="18"/>
  <c r="GO57" i="18"/>
  <c r="GO103" i="18" s="1"/>
  <c r="GO133" i="18"/>
  <c r="FO130" i="18"/>
  <c r="GB111" i="18"/>
  <c r="GO123" i="18"/>
  <c r="GO117" i="18"/>
  <c r="FZ55" i="18"/>
  <c r="FZ114" i="18"/>
  <c r="GM128" i="18"/>
  <c r="GM117" i="18"/>
  <c r="FZ137" i="18"/>
  <c r="FZ54" i="18"/>
  <c r="FZ113" i="18"/>
  <c r="FM110" i="18"/>
  <c r="FM137" i="18"/>
  <c r="FM54" i="18"/>
  <c r="GM134" i="18"/>
  <c r="FM109" i="18"/>
  <c r="FM114" i="18"/>
  <c r="FM55" i="18"/>
  <c r="FM121" i="18"/>
  <c r="GL123" i="18"/>
  <c r="FY120" i="18"/>
  <c r="FL136" i="18"/>
  <c r="FY129" i="18"/>
  <c r="FY115" i="18"/>
  <c r="FY113" i="18"/>
  <c r="GL117" i="18"/>
  <c r="FY55" i="18"/>
  <c r="FY114" i="18"/>
  <c r="GL124" i="18"/>
  <c r="GL58" i="18"/>
  <c r="GL104" i="18" s="1"/>
  <c r="GL138" i="18"/>
  <c r="FL118" i="18"/>
  <c r="GL118" i="18"/>
  <c r="FL138" i="18"/>
  <c r="FL58" i="18"/>
  <c r="FL135" i="18"/>
  <c r="FQ138" i="18"/>
  <c r="FQ58" i="18"/>
  <c r="FQ104" i="18" s="1"/>
  <c r="GQ111" i="18"/>
  <c r="GQ131" i="18"/>
  <c r="GD127" i="18"/>
  <c r="FQ122" i="18"/>
  <c r="GD139" i="18"/>
  <c r="GD59" i="18"/>
  <c r="FQ129" i="18"/>
  <c r="GD115" i="18"/>
  <c r="FQ111" i="18"/>
  <c r="FS128" i="18"/>
  <c r="GS111" i="18"/>
  <c r="FS134" i="18"/>
  <c r="FS131" i="18"/>
  <c r="GF120" i="18"/>
  <c r="GF122" i="18"/>
  <c r="GS113" i="18"/>
  <c r="FS113" i="18"/>
  <c r="FS121" i="18"/>
  <c r="GS117" i="18"/>
  <c r="GF134" i="18"/>
  <c r="FS120" i="18"/>
  <c r="GA57" i="18"/>
  <c r="GA133" i="18"/>
  <c r="GA135" i="18"/>
  <c r="GN132" i="18"/>
  <c r="GA120" i="18"/>
  <c r="GA136" i="18"/>
  <c r="GN135" i="18"/>
  <c r="GA54" i="18"/>
  <c r="GA137" i="18"/>
  <c r="GA114" i="18"/>
  <c r="GA55" i="18"/>
  <c r="FN117" i="18"/>
  <c r="FN113" i="18"/>
  <c r="GC110" i="18"/>
  <c r="GC132" i="18"/>
  <c r="GC131" i="18"/>
  <c r="FP119" i="18"/>
  <c r="GC56" i="18"/>
  <c r="GC102" i="18" s="1"/>
  <c r="GC126" i="18"/>
  <c r="GC136" i="18"/>
  <c r="FP126" i="18"/>
  <c r="FP56" i="18"/>
  <c r="GT117" i="18"/>
  <c r="GT122" i="18"/>
  <c r="FT135" i="18"/>
  <c r="GG109" i="18"/>
  <c r="GG125" i="18"/>
  <c r="GG136" i="18"/>
  <c r="GG130" i="18"/>
  <c r="FT125" i="18"/>
  <c r="FT139" i="18"/>
  <c r="FT59" i="18"/>
  <c r="FT105" i="18" s="1"/>
  <c r="GT111" i="18"/>
  <c r="FT126" i="18"/>
  <c r="FT56" i="18"/>
  <c r="GT131" i="18"/>
  <c r="GH57" i="18"/>
  <c r="GH133" i="18"/>
  <c r="GU121" i="18"/>
  <c r="GH118" i="18"/>
  <c r="GH128" i="18"/>
  <c r="FU56" i="18"/>
  <c r="FU102" i="18" s="1"/>
  <c r="FU126" i="18"/>
  <c r="GH123" i="18"/>
  <c r="GU131" i="18"/>
  <c r="GU123" i="18"/>
  <c r="GH137" i="18"/>
  <c r="GH54" i="18"/>
  <c r="FU131" i="18"/>
  <c r="FU117" i="18"/>
  <c r="FU116" i="18"/>
  <c r="GR125" i="18"/>
  <c r="FO134" i="18"/>
  <c r="FZ138" i="18"/>
  <c r="FZ58" i="18"/>
  <c r="FM138" i="18"/>
  <c r="FM58" i="18"/>
  <c r="FM104" i="18" s="1"/>
  <c r="GF59" i="18"/>
  <c r="GF139" i="18"/>
  <c r="FN126" i="18"/>
  <c r="FN56" i="18"/>
  <c r="FR123" i="18"/>
  <c r="FM126" i="18"/>
  <c r="FM56" i="18"/>
  <c r="FM57" i="18"/>
  <c r="FM133" i="18"/>
  <c r="GL136" i="18"/>
  <c r="FS114" i="18"/>
  <c r="FS55" i="18"/>
  <c r="FN121" i="18"/>
  <c r="GN115" i="18"/>
  <c r="GC55" i="18"/>
  <c r="GC114" i="18"/>
  <c r="FU120" i="18"/>
  <c r="FU125" i="18"/>
  <c r="EQ28" i="18"/>
  <c r="DQ28" i="18" s="1"/>
  <c r="DY24" i="18"/>
  <c r="CY24" i="18" s="1"/>
  <c r="CL24" i="18" s="1"/>
  <c r="EQ40" i="18"/>
  <c r="DQ40" i="18" s="1"/>
  <c r="EF19" i="18"/>
  <c r="DF19" i="18" s="1"/>
  <c r="CS19" i="18" s="1"/>
  <c r="EG19" i="18"/>
  <c r="DG19" i="18" s="1"/>
  <c r="CT19" i="18" s="1"/>
  <c r="EA37" i="18"/>
  <c r="DA37" i="18" s="1"/>
  <c r="CN37" i="18" s="1"/>
  <c r="EB27" i="18"/>
  <c r="DB27" i="18" s="1"/>
  <c r="CO27" i="18" s="1"/>
  <c r="GE129" i="18"/>
  <c r="FR117" i="18"/>
  <c r="GR118" i="18"/>
  <c r="GR55" i="18"/>
  <c r="GR101" i="18" s="1"/>
  <c r="GR114" i="18"/>
  <c r="GE135" i="18"/>
  <c r="FR120" i="18"/>
  <c r="GR131" i="18"/>
  <c r="FR132" i="18"/>
  <c r="GE127" i="18"/>
  <c r="GR110" i="18"/>
  <c r="GO136" i="18"/>
  <c r="GB109" i="18"/>
  <c r="GB123" i="18"/>
  <c r="GB126" i="18"/>
  <c r="GB56" i="18"/>
  <c r="GB102" i="18" s="1"/>
  <c r="GO137" i="18"/>
  <c r="GO54" i="18"/>
  <c r="FO110" i="18"/>
  <c r="GO124" i="18"/>
  <c r="GO122" i="18"/>
  <c r="GB115" i="18"/>
  <c r="FO57" i="18"/>
  <c r="FO103" i="18" s="1"/>
  <c r="FO133" i="18"/>
  <c r="FO123" i="18"/>
  <c r="GB127" i="18"/>
  <c r="FO111" i="18"/>
  <c r="FZ116" i="18"/>
  <c r="FZ120" i="18"/>
  <c r="FZ136" i="18"/>
  <c r="GM122" i="18"/>
  <c r="FM128" i="18"/>
  <c r="FZ59" i="18"/>
  <c r="FZ139" i="18"/>
  <c r="GM112" i="18"/>
  <c r="FM119" i="18"/>
  <c r="FM132" i="18"/>
  <c r="FM124" i="18"/>
  <c r="FZ115" i="18"/>
  <c r="FM117" i="18"/>
  <c r="GM120" i="18"/>
  <c r="FY128" i="18"/>
  <c r="FL119" i="18"/>
  <c r="FL130" i="18"/>
  <c r="FY118" i="18"/>
  <c r="FL129" i="18"/>
  <c r="FY116" i="18"/>
  <c r="GL113" i="18"/>
  <c r="GL130" i="18"/>
  <c r="FL110" i="18"/>
  <c r="FL125" i="18"/>
  <c r="GL121" i="18"/>
  <c r="GL127" i="18"/>
  <c r="GQ58" i="18"/>
  <c r="GQ104" i="18" s="1"/>
  <c r="GQ138" i="18"/>
  <c r="FQ136" i="18"/>
  <c r="GD56" i="18"/>
  <c r="GD126" i="18"/>
  <c r="GQ128" i="18"/>
  <c r="FQ126" i="18"/>
  <c r="FQ56" i="18"/>
  <c r="GQ137" i="18"/>
  <c r="GQ54" i="18"/>
  <c r="GD130" i="18"/>
  <c r="FQ54" i="18"/>
  <c r="FQ137" i="18"/>
  <c r="GD132" i="18"/>
  <c r="FQ114" i="18"/>
  <c r="FQ55" i="18"/>
  <c r="FQ101" i="18" s="1"/>
  <c r="FQ113" i="18"/>
  <c r="GS59" i="18"/>
  <c r="GS105" i="18" s="1"/>
  <c r="GS139" i="18"/>
  <c r="GS132" i="18"/>
  <c r="FS56" i="18"/>
  <c r="FS102" i="18" s="1"/>
  <c r="FS126" i="18"/>
  <c r="FS138" i="18"/>
  <c r="FS58" i="18"/>
  <c r="FS104" i="18" s="1"/>
  <c r="GS110" i="18"/>
  <c r="GS112" i="18"/>
  <c r="FS122" i="18"/>
  <c r="GF133" i="18"/>
  <c r="GF57" i="18"/>
  <c r="GS116" i="18"/>
  <c r="GF125" i="18"/>
  <c r="GS118" i="18"/>
  <c r="GS124" i="18"/>
  <c r="FN136" i="18"/>
  <c r="GA132" i="18"/>
  <c r="FN119" i="18"/>
  <c r="GN120" i="18"/>
  <c r="GA119" i="18"/>
  <c r="GA115" i="18"/>
  <c r="FN58" i="18"/>
  <c r="FN138" i="18"/>
  <c r="GN124" i="18"/>
  <c r="FN111" i="18"/>
  <c r="GA113" i="18"/>
  <c r="FN110" i="18"/>
  <c r="GA126" i="18"/>
  <c r="GA56" i="18"/>
  <c r="GN133" i="18"/>
  <c r="GN57" i="18"/>
  <c r="GN103" i="18" s="1"/>
  <c r="FN127" i="18"/>
  <c r="GN117" i="18"/>
  <c r="FN115" i="18"/>
  <c r="GN128" i="18"/>
  <c r="GC116" i="18"/>
  <c r="GP118" i="18"/>
  <c r="FP118" i="18"/>
  <c r="GP125" i="18"/>
  <c r="FP112" i="18"/>
  <c r="GC109" i="18"/>
  <c r="GC123" i="18"/>
  <c r="GC128" i="18"/>
  <c r="GP109" i="18"/>
  <c r="GC124" i="18"/>
  <c r="GC125" i="18"/>
  <c r="FP134" i="18"/>
  <c r="FP128" i="18"/>
  <c r="FT138" i="18"/>
  <c r="FT58" i="18"/>
  <c r="FT134" i="18"/>
  <c r="GT132" i="18"/>
  <c r="GG127" i="18"/>
  <c r="GG118" i="18"/>
  <c r="GT124" i="18"/>
  <c r="FT133" i="18"/>
  <c r="FT57" i="18"/>
  <c r="GT114" i="18"/>
  <c r="GT55" i="18"/>
  <c r="GT101" i="18" s="1"/>
  <c r="GG117" i="18"/>
  <c r="GG131" i="18"/>
  <c r="GT135" i="18"/>
  <c r="GT129" i="18"/>
  <c r="GH125" i="18"/>
  <c r="GH126" i="18"/>
  <c r="GH56" i="18"/>
  <c r="GH110" i="18"/>
  <c r="FU132" i="18"/>
  <c r="GU109" i="18"/>
  <c r="GU132" i="18"/>
  <c r="GU55" i="18"/>
  <c r="GU101" i="18" s="1"/>
  <c r="GU114" i="18"/>
  <c r="FU123" i="18"/>
  <c r="FU111" i="18"/>
  <c r="FU110" i="18"/>
  <c r="FU109" i="18"/>
  <c r="FU133" i="18"/>
  <c r="FU57" i="18"/>
  <c r="FU113" i="18"/>
  <c r="GH132" i="18"/>
  <c r="GU115" i="18"/>
  <c r="FU134" i="18"/>
  <c r="GH112" i="18"/>
  <c r="GH115" i="18"/>
  <c r="GU128" i="18"/>
  <c r="GH109" i="18"/>
  <c r="GU122" i="18"/>
  <c r="FU115" i="18"/>
  <c r="FQ10" i="18"/>
  <c r="FT8" i="18"/>
  <c r="GD13" i="18"/>
  <c r="EP47" i="18"/>
  <c r="FY10" i="18"/>
  <c r="EK34" i="18"/>
  <c r="EG24" i="18"/>
  <c r="DG24" i="18" s="1"/>
  <c r="CT24" i="18" s="1"/>
  <c r="GB10" i="18"/>
  <c r="EN34" i="18"/>
  <c r="GO7" i="18"/>
  <c r="GC8" i="18"/>
  <c r="EO45" i="18"/>
  <c r="EL35" i="18"/>
  <c r="DL35" i="18" s="1"/>
  <c r="FZ10" i="18"/>
  <c r="EL34" i="18"/>
  <c r="FM11" i="18"/>
  <c r="EL38" i="18"/>
  <c r="DL38" i="18" s="1"/>
  <c r="EL19" i="18"/>
  <c r="DL19" i="18" s="1"/>
  <c r="EL33" i="18"/>
  <c r="DL33" i="18" s="1"/>
  <c r="EQ36" i="18"/>
  <c r="DQ36" i="18" s="1"/>
  <c r="ED38" i="18"/>
  <c r="DD38" i="18" s="1"/>
  <c r="CQ38" i="18" s="1"/>
  <c r="GE13" i="18"/>
  <c r="EQ47" i="18"/>
  <c r="EP33" i="18"/>
  <c r="DP33" i="18" s="1"/>
  <c r="DX44" i="18"/>
  <c r="CX44" i="18" s="1"/>
  <c r="CK44" i="18" s="1"/>
  <c r="ER17" i="18"/>
  <c r="DR17" i="18" s="1"/>
  <c r="GF8" i="18"/>
  <c r="ER45" i="18"/>
  <c r="EE18" i="18"/>
  <c r="DE18" i="18" s="1"/>
  <c r="CR18" i="18" s="1"/>
  <c r="GS7" i="18"/>
  <c r="ES37" i="18"/>
  <c r="DS37" i="18" s="1"/>
  <c r="ES24" i="18"/>
  <c r="DS24" i="18" s="1"/>
  <c r="GT7" i="18"/>
  <c r="FU8" i="18"/>
  <c r="EM28" i="18"/>
  <c r="DM28" i="18" s="1"/>
  <c r="DZ31" i="18"/>
  <c r="CZ31" i="18" s="1"/>
  <c r="DM31" i="18"/>
  <c r="EM17" i="18"/>
  <c r="DM17" i="18" s="1"/>
  <c r="GA9" i="18"/>
  <c r="EM22" i="18"/>
  <c r="FO12" i="18"/>
  <c r="EA40" i="18"/>
  <c r="DA40" i="18" s="1"/>
  <c r="CN40" i="18" s="1"/>
  <c r="EN29" i="18"/>
  <c r="EN27" i="18"/>
  <c r="DN27" i="18" s="1"/>
  <c r="EB29" i="18"/>
  <c r="DB29" i="18" s="1"/>
  <c r="CO29" i="18" s="1"/>
  <c r="EO43" i="18"/>
  <c r="DO43" i="18" s="1"/>
  <c r="GC11" i="18"/>
  <c r="EO41" i="18"/>
  <c r="GC9" i="18"/>
  <c r="EO22" i="18"/>
  <c r="ED39" i="18"/>
  <c r="DD39" i="18" s="1"/>
  <c r="DQ39" i="18"/>
  <c r="GD8" i="18"/>
  <c r="EP45" i="18"/>
  <c r="EF25" i="18"/>
  <c r="DF25" i="18" s="1"/>
  <c r="DS25" i="18"/>
  <c r="DZ40" i="18"/>
  <c r="CZ40" i="18" s="1"/>
  <c r="CM40" i="18" s="1"/>
  <c r="DY37" i="18"/>
  <c r="CY37" i="18" s="1"/>
  <c r="CL37" i="18" s="1"/>
  <c r="GD11" i="18"/>
  <c r="EP41" i="18"/>
  <c r="FY11" i="18"/>
  <c r="EK41" i="18"/>
  <c r="DX41" i="18" s="1"/>
  <c r="FL11" i="18"/>
  <c r="EK25" i="18"/>
  <c r="DK25" i="18" s="1"/>
  <c r="GG10" i="18"/>
  <c r="ES34" i="18"/>
  <c r="GU7" i="18"/>
  <c r="DY35" i="18"/>
  <c r="CY35" i="18" s="1"/>
  <c r="CL35" i="18" s="1"/>
  <c r="DX17" i="18"/>
  <c r="CX17" i="18" s="1"/>
  <c r="CK17" i="18" s="1"/>
  <c r="EF32" i="18"/>
  <c r="DF32" i="18" s="1"/>
  <c r="CS32" i="18" s="1"/>
  <c r="ET32" i="18"/>
  <c r="DT32" i="18" s="1"/>
  <c r="ET43" i="18"/>
  <c r="DT43" i="18" s="1"/>
  <c r="EA18" i="18"/>
  <c r="DA18" i="18" s="1"/>
  <c r="CN18" i="18" s="1"/>
  <c r="FP10" i="18"/>
  <c r="EB37" i="18"/>
  <c r="DB37" i="18" s="1"/>
  <c r="CO37" i="18" s="1"/>
  <c r="EB26" i="18"/>
  <c r="DB26" i="18" s="1"/>
  <c r="CO26" i="18" s="1"/>
  <c r="GP7" i="18"/>
  <c r="FZ11" i="18"/>
  <c r="EL41" i="18"/>
  <c r="EL27" i="18"/>
  <c r="DL27" i="18" s="1"/>
  <c r="FZ9" i="18"/>
  <c r="EL22" i="18"/>
  <c r="DY26" i="18"/>
  <c r="CY26" i="18" s="1"/>
  <c r="CL26" i="18" s="1"/>
  <c r="DY43" i="18"/>
  <c r="CY43" i="18" s="1"/>
  <c r="CL43" i="18" s="1"/>
  <c r="EQ33" i="18"/>
  <c r="DQ33" i="18" s="1"/>
  <c r="GE8" i="18"/>
  <c r="EQ45" i="18"/>
  <c r="ED45" i="18" s="1"/>
  <c r="ED21" i="18"/>
  <c r="DD21" i="18" s="1"/>
  <c r="DQ21" i="18"/>
  <c r="GE11" i="18"/>
  <c r="EQ41" i="18"/>
  <c r="EQ24" i="18"/>
  <c r="ED36" i="18"/>
  <c r="DD36" i="18" s="1"/>
  <c r="CQ36" i="18" s="1"/>
  <c r="ED27" i="18"/>
  <c r="DD27" i="18" s="1"/>
  <c r="CQ27" i="18" s="1"/>
  <c r="ED42" i="18"/>
  <c r="DD42" i="18" s="1"/>
  <c r="CQ42" i="18" s="1"/>
  <c r="EP43" i="18"/>
  <c r="DP43" i="18" s="1"/>
  <c r="EC17" i="18"/>
  <c r="DC17" i="18" s="1"/>
  <c r="CP17" i="18" s="1"/>
  <c r="EC33" i="18"/>
  <c r="DC33" i="18" s="1"/>
  <c r="CP33" i="18" s="1"/>
  <c r="EC43" i="18"/>
  <c r="DC43" i="18" s="1"/>
  <c r="CP43" i="18" s="1"/>
  <c r="EP38" i="18"/>
  <c r="DP38" i="18" s="1"/>
  <c r="GD9" i="18"/>
  <c r="EP22" i="18"/>
  <c r="EP36" i="18"/>
  <c r="DP36" i="18" s="1"/>
  <c r="FL10" i="18"/>
  <c r="DX37" i="18"/>
  <c r="CX37" i="18" s="1"/>
  <c r="CK37" i="18" s="1"/>
  <c r="DX18" i="18"/>
  <c r="CX18" i="18" s="1"/>
  <c r="CK18" i="18" s="1"/>
  <c r="FL12" i="18"/>
  <c r="DX43" i="18"/>
  <c r="CX43" i="18" s="1"/>
  <c r="CK43" i="18" s="1"/>
  <c r="FL13" i="18"/>
  <c r="EE20" i="18"/>
  <c r="DE20" i="18" s="1"/>
  <c r="CR20" i="18" s="1"/>
  <c r="EE21" i="18"/>
  <c r="DE21" i="18" s="1"/>
  <c r="CR21" i="18" s="1"/>
  <c r="ER36" i="18"/>
  <c r="DR36" i="18" s="1"/>
  <c r="FS13" i="18"/>
  <c r="GF9" i="18"/>
  <c r="ER22" i="18"/>
  <c r="FS8" i="18"/>
  <c r="ES33" i="18"/>
  <c r="DS33" i="18" s="1"/>
  <c r="GG12" i="18"/>
  <c r="ES46" i="18"/>
  <c r="EF46" i="18" s="1"/>
  <c r="FT10" i="18"/>
  <c r="EF34" i="18"/>
  <c r="EF44" i="18"/>
  <c r="DF44" i="18" s="1"/>
  <c r="CS44" i="18" s="1"/>
  <c r="GH9" i="18"/>
  <c r="ET22" i="18"/>
  <c r="ET30" i="18"/>
  <c r="DT30" i="18" s="1"/>
  <c r="EG28" i="18"/>
  <c r="DG28" i="18" s="1"/>
  <c r="DT28" i="18"/>
  <c r="GH11" i="18"/>
  <c r="ET41" i="18"/>
  <c r="EG41" i="18" s="1"/>
  <c r="ET39" i="18"/>
  <c r="DT39" i="18" s="1"/>
  <c r="EM36" i="18"/>
  <c r="DM36" i="18" s="1"/>
  <c r="FN8" i="18"/>
  <c r="FN7" i="18" s="1"/>
  <c r="GA11" i="18"/>
  <c r="EM41" i="18"/>
  <c r="EM43" i="18"/>
  <c r="DM43" i="18" s="1"/>
  <c r="DZ38" i="18"/>
  <c r="CZ38" i="18" s="1"/>
  <c r="CM38" i="18" s="1"/>
  <c r="FN10" i="18"/>
  <c r="DZ42" i="18"/>
  <c r="CZ42" i="18" s="1"/>
  <c r="CM42" i="18" s="1"/>
  <c r="GA8" i="18"/>
  <c r="EM45" i="18"/>
  <c r="DZ45" i="18" s="1"/>
  <c r="GA12" i="18"/>
  <c r="EM46" i="18"/>
  <c r="GB9" i="18"/>
  <c r="EN22" i="18"/>
  <c r="EN17" i="18"/>
  <c r="EN19" i="18"/>
  <c r="DN19" i="18" s="1"/>
  <c r="GB13" i="18"/>
  <c r="EN47" i="18"/>
  <c r="EO18" i="18"/>
  <c r="EO36" i="18"/>
  <c r="DO36" i="18" s="1"/>
  <c r="EB31" i="18"/>
  <c r="DB31" i="18" s="1"/>
  <c r="CO31" i="18" s="1"/>
  <c r="EB33" i="18"/>
  <c r="DB33" i="18" s="1"/>
  <c r="CO33" i="18" s="1"/>
  <c r="EB32" i="18"/>
  <c r="DB32" i="18" s="1"/>
  <c r="CO32" i="18" s="1"/>
  <c r="GE12" i="18"/>
  <c r="EQ46" i="18"/>
  <c r="FY13" i="18"/>
  <c r="EK47" i="18"/>
  <c r="GF10" i="18"/>
  <c r="ER34" i="18"/>
  <c r="FO9" i="18"/>
  <c r="GB8" i="18"/>
  <c r="EN45" i="18"/>
  <c r="GC12" i="18"/>
  <c r="EO46" i="18"/>
  <c r="EB46" i="18" s="1"/>
  <c r="ER42" i="18"/>
  <c r="DR42" i="18" s="1"/>
  <c r="GH10" i="18"/>
  <c r="ET34" i="18"/>
  <c r="EM25" i="18"/>
  <c r="DM25" i="18" s="1"/>
  <c r="DY25" i="18"/>
  <c r="CY25" i="18" s="1"/>
  <c r="CL25" i="18" s="1"/>
  <c r="EL17" i="18"/>
  <c r="FR13" i="18"/>
  <c r="EP20" i="18"/>
  <c r="DP20" i="18" s="1"/>
  <c r="ES40" i="18"/>
  <c r="DS40" i="18" s="1"/>
  <c r="GH8" i="18"/>
  <c r="ET45" i="18"/>
  <c r="FU13" i="18"/>
  <c r="EM18" i="18"/>
  <c r="DM18" i="18" s="1"/>
  <c r="FZ13" i="18"/>
  <c r="EL47" i="18"/>
  <c r="FZ12" i="18"/>
  <c r="EL46" i="18"/>
  <c r="DY42" i="18"/>
  <c r="CY42" i="18" s="1"/>
  <c r="CL42" i="18" s="1"/>
  <c r="DY36" i="18"/>
  <c r="CY36" i="18" s="1"/>
  <c r="CL36" i="18" s="1"/>
  <c r="ED35" i="18"/>
  <c r="DD35" i="18" s="1"/>
  <c r="CQ35" i="18" s="1"/>
  <c r="ED30" i="18"/>
  <c r="DD30" i="18" s="1"/>
  <c r="CQ30" i="18" s="1"/>
  <c r="FR11" i="18"/>
  <c r="ED41" i="18"/>
  <c r="ED37" i="18"/>
  <c r="DD37" i="18" s="1"/>
  <c r="CQ37" i="18" s="1"/>
  <c r="ED23" i="18"/>
  <c r="DD23" i="18" s="1"/>
  <c r="CQ23" i="18" s="1"/>
  <c r="GR7" i="18"/>
  <c r="GQ7" i="18"/>
  <c r="EC39" i="18"/>
  <c r="DC39" i="18" s="1"/>
  <c r="CP39" i="18" s="1"/>
  <c r="GD10" i="18"/>
  <c r="EP34" i="18"/>
  <c r="FY9" i="18"/>
  <c r="EK22" i="18"/>
  <c r="DX22" i="18" s="1"/>
  <c r="FL9" i="18"/>
  <c r="EK29" i="18"/>
  <c r="DK29" i="18" s="1"/>
  <c r="FY12" i="18"/>
  <c r="EK46" i="18"/>
  <c r="DX28" i="18"/>
  <c r="CX28" i="18" s="1"/>
  <c r="CK28" i="18" s="1"/>
  <c r="EE35" i="18"/>
  <c r="DE35" i="18" s="1"/>
  <c r="CR35" i="18" s="1"/>
  <c r="ER23" i="18"/>
  <c r="DR23" i="18" s="1"/>
  <c r="ER43" i="18"/>
  <c r="DR43" i="18" s="1"/>
  <c r="EE25" i="18"/>
  <c r="DE25" i="18" s="1"/>
  <c r="CR25" i="18" s="1"/>
  <c r="GG13" i="18"/>
  <c r="ES47" i="18"/>
  <c r="ES17" i="18"/>
  <c r="DS17" i="18" s="1"/>
  <c r="EF43" i="18"/>
  <c r="DF43" i="18" s="1"/>
  <c r="CS43" i="18" s="1"/>
  <c r="EF21" i="18"/>
  <c r="DF21" i="18" s="1"/>
  <c r="CS21" i="18" s="1"/>
  <c r="FU11" i="18"/>
  <c r="ET38" i="18"/>
  <c r="DT38" i="18" s="1"/>
  <c r="ET33" i="18"/>
  <c r="DT33" i="18" s="1"/>
  <c r="FN13" i="18"/>
  <c r="DZ29" i="18"/>
  <c r="CZ29" i="18" s="1"/>
  <c r="CM29" i="18" s="1"/>
  <c r="GN7" i="18"/>
  <c r="EA42" i="18"/>
  <c r="DA42" i="18" s="1"/>
  <c r="CN42" i="18" s="1"/>
  <c r="EA23" i="18"/>
  <c r="DA23" i="18" s="1"/>
  <c r="CN23" i="18" s="1"/>
  <c r="EA24" i="18"/>
  <c r="DA24" i="18" s="1"/>
  <c r="CN24" i="18" s="1"/>
  <c r="EN32" i="18"/>
  <c r="GB11" i="18"/>
  <c r="EN41" i="18"/>
  <c r="EN33" i="18"/>
  <c r="DN33" i="18" s="1"/>
  <c r="FP11" i="18"/>
  <c r="EB41" i="18"/>
  <c r="EO38" i="18"/>
  <c r="DO38" i="18" s="1"/>
  <c r="EB19" i="18"/>
  <c r="DB19" i="18" s="1"/>
  <c r="CO19" i="18" s="1"/>
  <c r="FP12" i="18"/>
  <c r="FM13" i="18"/>
  <c r="DY47" i="18"/>
  <c r="GF11" i="18"/>
  <c r="ER41" i="18"/>
  <c r="GF12" i="18"/>
  <c r="ER46" i="18"/>
  <c r="ES39" i="18"/>
  <c r="DS39" i="18" s="1"/>
  <c r="FM8" i="18"/>
  <c r="FM7" i="18" s="1"/>
  <c r="DY31" i="18"/>
  <c r="CY31" i="18" s="1"/>
  <c r="CL31" i="18" s="1"/>
  <c r="FR10" i="18"/>
  <c r="GD12" i="18"/>
  <c r="EP46" i="18"/>
  <c r="EE42" i="18"/>
  <c r="DE42" i="18" s="1"/>
  <c r="CR42" i="18" s="1"/>
  <c r="FU10" i="18"/>
  <c r="EC28" i="18"/>
  <c r="DC28" i="18" s="1"/>
  <c r="DP28" i="18"/>
  <c r="EP44" i="18"/>
  <c r="DP44" i="18" s="1"/>
  <c r="EK19" i="18"/>
  <c r="DK19" i="18" s="1"/>
  <c r="EG39" i="18"/>
  <c r="DG39" i="18" s="1"/>
  <c r="CT39" i="18" s="1"/>
  <c r="EM33" i="18"/>
  <c r="DM33" i="18" s="1"/>
  <c r="FO7" i="18"/>
  <c r="GC10" i="18"/>
  <c r="EO34" i="18"/>
  <c r="DY20" i="18"/>
  <c r="CY20" i="18" s="1"/>
  <c r="DL20" i="18"/>
  <c r="DY28" i="18"/>
  <c r="CY28" i="18" s="1"/>
  <c r="CL28" i="18" s="1"/>
  <c r="GE10" i="18"/>
  <c r="EQ34" i="18"/>
  <c r="ED33" i="18"/>
  <c r="DD33" i="18" s="1"/>
  <c r="CQ33" i="18" s="1"/>
  <c r="EQ32" i="18"/>
  <c r="DQ32" i="18" s="1"/>
  <c r="GE9" i="18"/>
  <c r="EQ22" i="18"/>
  <c r="EQ17" i="18"/>
  <c r="DQ17" i="18" s="1"/>
  <c r="ED19" i="18"/>
  <c r="DD19" i="18" s="1"/>
  <c r="CQ19" i="18" s="1"/>
  <c r="EC40" i="18"/>
  <c r="DC40" i="18" s="1"/>
  <c r="CP40" i="18" s="1"/>
  <c r="EC44" i="18"/>
  <c r="DC44" i="18" s="1"/>
  <c r="CP44" i="18" s="1"/>
  <c r="EC23" i="18"/>
  <c r="DC23" i="18" s="1"/>
  <c r="CP23" i="18" s="1"/>
  <c r="EP21" i="18"/>
  <c r="DP21" i="18" s="1"/>
  <c r="DX27" i="18"/>
  <c r="CX27" i="18" s="1"/>
  <c r="CK27" i="18" s="1"/>
  <c r="FL8" i="18"/>
  <c r="DX26" i="18"/>
  <c r="CX26" i="18" s="1"/>
  <c r="CK26" i="18" s="1"/>
  <c r="DX35" i="18"/>
  <c r="CX35" i="18" s="1"/>
  <c r="CK35" i="18" s="1"/>
  <c r="EK40" i="18"/>
  <c r="DK40" i="18" s="1"/>
  <c r="FS9" i="18"/>
  <c r="ER40" i="18"/>
  <c r="DR40" i="18" s="1"/>
  <c r="EE33" i="18"/>
  <c r="DE33" i="18" s="1"/>
  <c r="CR33" i="18" s="1"/>
  <c r="EE28" i="18"/>
  <c r="DE28" i="18" s="1"/>
  <c r="CR28" i="18" s="1"/>
  <c r="ER44" i="18"/>
  <c r="DR44" i="18" s="1"/>
  <c r="FT12" i="18"/>
  <c r="ES20" i="18"/>
  <c r="DS20" i="18" s="1"/>
  <c r="GG11" i="18"/>
  <c r="ES41" i="18"/>
  <c r="ES29" i="18"/>
  <c r="DS29" i="18" s="1"/>
  <c r="GG8" i="18"/>
  <c r="ES45" i="18"/>
  <c r="EF45" i="18" s="1"/>
  <c r="FT11" i="18"/>
  <c r="ES26" i="18"/>
  <c r="DS26" i="18" s="1"/>
  <c r="EG36" i="18"/>
  <c r="DG36" i="18" s="1"/>
  <c r="DT36" i="18"/>
  <c r="ET29" i="18"/>
  <c r="DT29" i="18" s="1"/>
  <c r="EG18" i="18"/>
  <c r="DG18" i="18" s="1"/>
  <c r="CT18" i="18" s="1"/>
  <c r="ET17" i="18"/>
  <c r="DT17" i="18" s="1"/>
  <c r="EM44" i="18"/>
  <c r="DM44" i="18" s="1"/>
  <c r="DZ21" i="18"/>
  <c r="CZ21" i="18" s="1"/>
  <c r="CM21" i="18" s="1"/>
  <c r="EM19" i="18"/>
  <c r="DM19" i="18" s="1"/>
  <c r="EA44" i="18"/>
  <c r="DA44" i="18" s="1"/>
  <c r="CN44" i="18" s="1"/>
  <c r="EN30" i="18"/>
  <c r="DN30" i="18" s="1"/>
  <c r="EA36" i="18"/>
  <c r="DA36" i="18" s="1"/>
  <c r="CN36" i="18" s="1"/>
  <c r="EN39" i="18"/>
  <c r="DN39" i="18" s="1"/>
  <c r="EO24" i="18"/>
  <c r="DO24" i="18" s="1"/>
  <c r="EB23" i="18"/>
  <c r="DB23" i="18" s="1"/>
  <c r="CO23" i="18" s="1"/>
  <c r="EO42" i="18"/>
  <c r="DO42" i="18" s="1"/>
  <c r="EB20" i="18"/>
  <c r="DB20" i="18" s="1"/>
  <c r="CO20" i="18" s="1"/>
  <c r="FM9" i="18"/>
  <c r="DY22" i="18"/>
  <c r="FM10" i="18"/>
  <c r="DY34" i="18"/>
  <c r="ED25" i="18"/>
  <c r="DD25" i="18" s="1"/>
  <c r="CQ25" i="18" s="1"/>
  <c r="EC24" i="18"/>
  <c r="DC24" i="18" s="1"/>
  <c r="CP24" i="18" s="1"/>
  <c r="GG9" i="18"/>
  <c r="ES22" i="18"/>
  <c r="ES30" i="18"/>
  <c r="DS30" i="18" s="1"/>
  <c r="EA27" i="18"/>
  <c r="DA27" i="18" s="1"/>
  <c r="CN27" i="18" s="1"/>
  <c r="FR8" i="18"/>
  <c r="FQ8" i="18"/>
  <c r="EC45" i="18"/>
  <c r="EC27" i="18"/>
  <c r="DC27" i="18" s="1"/>
  <c r="CP27" i="18" s="1"/>
  <c r="DZ27" i="18"/>
  <c r="CZ27" i="18" s="1"/>
  <c r="CM27" i="18" s="1"/>
  <c r="ED26" i="18"/>
  <c r="DD26" i="18" s="1"/>
  <c r="DQ26" i="18"/>
  <c r="FQ11" i="18"/>
  <c r="EC41" i="18"/>
  <c r="EE39" i="18"/>
  <c r="DE39" i="18" s="1"/>
  <c r="CR39" i="18" s="1"/>
  <c r="GF13" i="18"/>
  <c r="ER47" i="18"/>
  <c r="ER26" i="18"/>
  <c r="DR26" i="18" s="1"/>
  <c r="GA10" i="18"/>
  <c r="EM34" i="18"/>
  <c r="DZ34" i="18" s="1"/>
  <c r="EO28" i="18"/>
  <c r="DO28" i="18" s="1"/>
  <c r="EL30" i="18"/>
  <c r="DL30" i="18" s="1"/>
  <c r="EL18" i="18"/>
  <c r="DL18" i="18" s="1"/>
  <c r="DY19" i="18"/>
  <c r="CY19" i="18" s="1"/>
  <c r="CL19" i="18" s="1"/>
  <c r="FZ8" i="18"/>
  <c r="EL45" i="18"/>
  <c r="GM7" i="18"/>
  <c r="EL40" i="18"/>
  <c r="DL40" i="18" s="1"/>
  <c r="EQ18" i="18"/>
  <c r="DQ18" i="18" s="1"/>
  <c r="EQ20" i="18"/>
  <c r="DQ20" i="18" s="1"/>
  <c r="EP19" i="18"/>
  <c r="DP19" i="18" s="1"/>
  <c r="EP29" i="18"/>
  <c r="DP29" i="18" s="1"/>
  <c r="EC31" i="18"/>
  <c r="DC31" i="18" s="1"/>
  <c r="CP31" i="18" s="1"/>
  <c r="EP24" i="18"/>
  <c r="DP24" i="18" s="1"/>
  <c r="EP42" i="18"/>
  <c r="DP42" i="18" s="1"/>
  <c r="FY8" i="18"/>
  <c r="EK45" i="18"/>
  <c r="DX45" i="18" s="1"/>
  <c r="EK33" i="18"/>
  <c r="DK33" i="18" s="1"/>
  <c r="EK39" i="18"/>
  <c r="DK39" i="18" s="1"/>
  <c r="EK32" i="18"/>
  <c r="DK32" i="18" s="1"/>
  <c r="GL7" i="18"/>
  <c r="EK36" i="18"/>
  <c r="DK36" i="18" s="1"/>
  <c r="DX38" i="18"/>
  <c r="CX38" i="18" s="1"/>
  <c r="CK38" i="18" s="1"/>
  <c r="DX24" i="18"/>
  <c r="CX24" i="18" s="1"/>
  <c r="CK24" i="18" s="1"/>
  <c r="EE38" i="18"/>
  <c r="DE38" i="18" s="1"/>
  <c r="CR38" i="18" s="1"/>
  <c r="EE40" i="18"/>
  <c r="DE40" i="18" s="1"/>
  <c r="CR40" i="18" s="1"/>
  <c r="ER30" i="18"/>
  <c r="DR30" i="18" s="1"/>
  <c r="EF36" i="18"/>
  <c r="DF36" i="18" s="1"/>
  <c r="CS36" i="18" s="1"/>
  <c r="ES38" i="18"/>
  <c r="DS38" i="18" s="1"/>
  <c r="ES28" i="18"/>
  <c r="EF39" i="18"/>
  <c r="DF39" i="18" s="1"/>
  <c r="CS39" i="18" s="1"/>
  <c r="GH12" i="18"/>
  <c r="ET46" i="18"/>
  <c r="ET27" i="18"/>
  <c r="DT27" i="18" s="1"/>
  <c r="EG20" i="18"/>
  <c r="DG20" i="18" s="1"/>
  <c r="CT20" i="18" s="1"/>
  <c r="ET25" i="18"/>
  <c r="GH13" i="18"/>
  <c r="ET47" i="18"/>
  <c r="ET31" i="18"/>
  <c r="DT31" i="18" s="1"/>
  <c r="EM26" i="18"/>
  <c r="DM26" i="18" s="1"/>
  <c r="DZ37" i="18"/>
  <c r="CZ37" i="18" s="1"/>
  <c r="CM37" i="18" s="1"/>
  <c r="FN12" i="18"/>
  <c r="DZ46" i="18"/>
  <c r="GA13" i="18"/>
  <c r="EM47" i="18"/>
  <c r="GB12" i="18"/>
  <c r="EN46" i="18"/>
  <c r="EA46" i="18" s="1"/>
  <c r="EN28" i="18"/>
  <c r="EN21" i="18"/>
  <c r="EO30" i="18"/>
  <c r="DO30" i="18" s="1"/>
  <c r="EO21" i="18"/>
  <c r="DO21" i="18" s="1"/>
  <c r="GC13" i="18"/>
  <c r="EO47" i="18"/>
  <c r="FP8" i="18"/>
  <c r="EB40" i="18"/>
  <c r="DB40" i="18" s="1"/>
  <c r="CO40" i="18" s="1"/>
  <c r="T39" i="20" l="1"/>
  <c r="AI41" i="20"/>
  <c r="AF42" i="20"/>
  <c r="V38" i="20"/>
  <c r="Y38" i="20" s="1"/>
  <c r="FQ7" i="18"/>
  <c r="GD105" i="18"/>
  <c r="FL102" i="18"/>
  <c r="FL101" i="18"/>
  <c r="FR7" i="18"/>
  <c r="EE19" i="18"/>
  <c r="DE19" i="18" s="1"/>
  <c r="CR19" i="18" s="1"/>
  <c r="GE102" i="18"/>
  <c r="DZ23" i="18"/>
  <c r="CZ23" i="18" s="1"/>
  <c r="CM23" i="18" s="1"/>
  <c r="EA25" i="18"/>
  <c r="DA25" i="18" s="1"/>
  <c r="CN25" i="18" s="1"/>
  <c r="DQ29" i="18"/>
  <c r="FM101" i="18"/>
  <c r="ED31" i="18"/>
  <c r="DD31" i="18" s="1"/>
  <c r="CQ31" i="18" s="1"/>
  <c r="X42" i="21"/>
  <c r="U43" i="21"/>
  <c r="AC38" i="21"/>
  <c r="Z39" i="21"/>
  <c r="AB38" i="21"/>
  <c r="AE38" i="21" s="1"/>
  <c r="AG38" i="21" s="1"/>
  <c r="EF37" i="18"/>
  <c r="DF37" i="18" s="1"/>
  <c r="CS37" i="18" s="1"/>
  <c r="EF20" i="18"/>
  <c r="DF20" i="18" s="1"/>
  <c r="CS20" i="18" s="1"/>
  <c r="FS101" i="18"/>
  <c r="DZ39" i="18"/>
  <c r="CZ39" i="18" s="1"/>
  <c r="CM39" i="18" s="1"/>
  <c r="EG37" i="18"/>
  <c r="DG37" i="18" s="1"/>
  <c r="CT37" i="18" s="1"/>
  <c r="EF27" i="18"/>
  <c r="DF27" i="18" s="1"/>
  <c r="CS27" i="18" s="1"/>
  <c r="EB17" i="18"/>
  <c r="DB17" i="18" s="1"/>
  <c r="CO17" i="18" s="1"/>
  <c r="FZ102" i="18"/>
  <c r="FO104" i="18"/>
  <c r="V40" i="21"/>
  <c r="Y40" i="21" s="1"/>
  <c r="W40" i="21"/>
  <c r="T41" i="21"/>
  <c r="DY40" i="18"/>
  <c r="CY40" i="18" s="1"/>
  <c r="CL40" i="18" s="1"/>
  <c r="EE23" i="18"/>
  <c r="DE23" i="18" s="1"/>
  <c r="CR23" i="18" s="1"/>
  <c r="FT7" i="18"/>
  <c r="GH102" i="18"/>
  <c r="FT102" i="18"/>
  <c r="GH104" i="18"/>
  <c r="FS105" i="18"/>
  <c r="AA42" i="21"/>
  <c r="DZ35" i="18"/>
  <c r="CZ35" i="18" s="1"/>
  <c r="CM35" i="18" s="1"/>
  <c r="U41" i="20"/>
  <c r="X40" i="20"/>
  <c r="T40" i="20"/>
  <c r="W40" i="20" s="1"/>
  <c r="W39" i="20"/>
  <c r="AC38" i="20"/>
  <c r="AB38" i="20"/>
  <c r="AE38" i="20" s="1"/>
  <c r="AM38" i="20" s="1"/>
  <c r="Z39" i="20"/>
  <c r="Z40" i="20" s="1"/>
  <c r="AA51" i="20"/>
  <c r="AD50" i="20"/>
  <c r="AL50" i="20" s="1"/>
  <c r="V40" i="20"/>
  <c r="Y40" i="20" s="1"/>
  <c r="V39" i="20"/>
  <c r="Y39" i="20" s="1"/>
  <c r="FN100" i="18"/>
  <c r="FN53" i="18"/>
  <c r="FN99" i="18" s="1"/>
  <c r="DX39" i="18"/>
  <c r="CX39" i="18" s="1"/>
  <c r="CK39" i="18" s="1"/>
  <c r="EG17" i="18"/>
  <c r="DG17" i="18" s="1"/>
  <c r="CT17" i="18" s="1"/>
  <c r="EA30" i="18"/>
  <c r="DA30" i="18" s="1"/>
  <c r="CN30" i="18" s="1"/>
  <c r="DX29" i="18"/>
  <c r="CX29" i="18" s="1"/>
  <c r="CK29" i="18" s="1"/>
  <c r="EG32" i="18"/>
  <c r="DG32" i="18" s="1"/>
  <c r="CT32" i="18" s="1"/>
  <c r="EA31" i="18"/>
  <c r="DA31" i="18" s="1"/>
  <c r="CN31" i="18" s="1"/>
  <c r="EG30" i="18"/>
  <c r="DG30" i="18" s="1"/>
  <c r="CT30" i="18" s="1"/>
  <c r="DX36" i="18"/>
  <c r="CX36" i="18" s="1"/>
  <c r="CK36" i="18" s="1"/>
  <c r="DY32" i="18"/>
  <c r="CY32" i="18" s="1"/>
  <c r="CL32" i="18" s="1"/>
  <c r="EB42" i="18"/>
  <c r="DB42" i="18" s="1"/>
  <c r="CO42" i="18" s="1"/>
  <c r="GF103" i="18"/>
  <c r="FQ102" i="18"/>
  <c r="FZ105" i="18"/>
  <c r="FZ100" i="18"/>
  <c r="FZ53" i="18"/>
  <c r="GH101" i="18"/>
  <c r="GE105" i="18"/>
  <c r="GC105" i="18"/>
  <c r="GE100" i="18"/>
  <c r="GE53" i="18"/>
  <c r="GL53" i="18"/>
  <c r="GL99" i="18" s="1"/>
  <c r="GL100" i="18"/>
  <c r="EG44" i="18"/>
  <c r="DG44" i="18" s="1"/>
  <c r="CT44" i="18" s="1"/>
  <c r="FL105" i="18"/>
  <c r="FY104" i="18"/>
  <c r="DY33" i="18"/>
  <c r="CY33" i="18" s="1"/>
  <c r="CL33" i="18" s="1"/>
  <c r="GE7" i="18"/>
  <c r="FT104" i="18"/>
  <c r="FN102" i="18"/>
  <c r="FP102" i="18"/>
  <c r="FL104" i="18"/>
  <c r="FZ101" i="18"/>
  <c r="GD101" i="18"/>
  <c r="GG104" i="18"/>
  <c r="GG102" i="18"/>
  <c r="GC103" i="18"/>
  <c r="FL100" i="18"/>
  <c r="FL53" i="18"/>
  <c r="FU100" i="18"/>
  <c r="FU53" i="18"/>
  <c r="GG101" i="18"/>
  <c r="FY105" i="18"/>
  <c r="GG103" i="18"/>
  <c r="FO101" i="18"/>
  <c r="GE101" i="18"/>
  <c r="FR103" i="18"/>
  <c r="GB100" i="18"/>
  <c r="GB53" i="18"/>
  <c r="EA35" i="18"/>
  <c r="DA35" i="18" s="1"/>
  <c r="CN35" i="18" s="1"/>
  <c r="GG7" i="18"/>
  <c r="FL7" i="18"/>
  <c r="CL20" i="18"/>
  <c r="GA102" i="18"/>
  <c r="FQ53" i="18"/>
  <c r="FQ99" i="18" s="1"/>
  <c r="FQ100" i="18"/>
  <c r="GC101" i="18"/>
  <c r="GA103" i="18"/>
  <c r="FR53" i="18"/>
  <c r="FR99" i="18" s="1"/>
  <c r="FR100" i="18"/>
  <c r="GA104" i="18"/>
  <c r="FP104" i="18"/>
  <c r="GB101" i="18"/>
  <c r="GT100" i="18"/>
  <c r="GT53" i="18"/>
  <c r="GT99" i="18" s="1"/>
  <c r="GN53" i="18"/>
  <c r="GN99" i="18" s="1"/>
  <c r="GN100" i="18"/>
  <c r="DY39" i="18"/>
  <c r="CY39" i="18" s="1"/>
  <c r="CL39" i="18" s="1"/>
  <c r="GC100" i="18"/>
  <c r="GC53" i="18"/>
  <c r="GR100" i="18"/>
  <c r="GR53" i="18"/>
  <c r="GR99" i="18" s="1"/>
  <c r="EG42" i="18"/>
  <c r="DG42" i="18" s="1"/>
  <c r="CT42" i="18" s="1"/>
  <c r="EC42" i="18"/>
  <c r="DC42" i="18" s="1"/>
  <c r="CP42" i="18" s="1"/>
  <c r="FS7" i="18"/>
  <c r="EB43" i="18"/>
  <c r="DB43" i="18" s="1"/>
  <c r="CO43" i="18" s="1"/>
  <c r="EC38" i="18"/>
  <c r="DC38" i="18" s="1"/>
  <c r="CP38" i="18" s="1"/>
  <c r="GA100" i="18"/>
  <c r="GA53" i="18"/>
  <c r="GD103" i="18"/>
  <c r="GB103" i="18"/>
  <c r="FR105" i="18"/>
  <c r="GA105" i="18"/>
  <c r="GF100" i="18"/>
  <c r="GF53" i="18"/>
  <c r="FZ103" i="18"/>
  <c r="DZ24" i="18"/>
  <c r="CZ24" i="18" s="1"/>
  <c r="CM24" i="18" s="1"/>
  <c r="EC37" i="18"/>
  <c r="DC37" i="18" s="1"/>
  <c r="CP37" i="18" s="1"/>
  <c r="FY53" i="18"/>
  <c r="FY100" i="18"/>
  <c r="GU100" i="18"/>
  <c r="GU53" i="18"/>
  <c r="GU99" i="18" s="1"/>
  <c r="GM53" i="18"/>
  <c r="GM99" i="18" s="1"/>
  <c r="GM100" i="18"/>
  <c r="FR102" i="18"/>
  <c r="FP103" i="18"/>
  <c r="FN105" i="18"/>
  <c r="GE103" i="18"/>
  <c r="EB30" i="18"/>
  <c r="DB30" i="18" s="1"/>
  <c r="CO30" i="18" s="1"/>
  <c r="EC36" i="18"/>
  <c r="DC36" i="18" s="1"/>
  <c r="CP36" i="18" s="1"/>
  <c r="EF31" i="18"/>
  <c r="DF31" i="18" s="1"/>
  <c r="CS31" i="18" s="1"/>
  <c r="DZ44" i="18"/>
  <c r="CZ44" i="18" s="1"/>
  <c r="CM44" i="18" s="1"/>
  <c r="EF30" i="18"/>
  <c r="DF30" i="18" s="1"/>
  <c r="CS30" i="18" s="1"/>
  <c r="DY38" i="18"/>
  <c r="CY38" i="18" s="1"/>
  <c r="CL38" i="18" s="1"/>
  <c r="CM31" i="18"/>
  <c r="GQ53" i="18"/>
  <c r="GQ99" i="18" s="1"/>
  <c r="GQ100" i="18"/>
  <c r="GO53" i="18"/>
  <c r="GO99" i="18" s="1"/>
  <c r="GO100" i="18"/>
  <c r="FZ104" i="18"/>
  <c r="FM100" i="18"/>
  <c r="FM53" i="18"/>
  <c r="FM99" i="18" s="1"/>
  <c r="GB105" i="18"/>
  <c r="FY103" i="18"/>
  <c r="FL103" i="18"/>
  <c r="FS100" i="18"/>
  <c r="FS53" i="18"/>
  <c r="FS99" i="18" s="1"/>
  <c r="GE104" i="18"/>
  <c r="ED28" i="18"/>
  <c r="DD28" i="18" s="1"/>
  <c r="CQ28" i="18" s="1"/>
  <c r="GG105" i="18"/>
  <c r="GD104" i="18"/>
  <c r="ED40" i="18"/>
  <c r="DD40" i="18" s="1"/>
  <c r="CQ40" i="18" s="1"/>
  <c r="GF102" i="18"/>
  <c r="EE31" i="18"/>
  <c r="DE31" i="18" s="1"/>
  <c r="CR31" i="18" s="1"/>
  <c r="GS100" i="18"/>
  <c r="GS53" i="18"/>
  <c r="GS99" i="18" s="1"/>
  <c r="FM105" i="18"/>
  <c r="GH100" i="18"/>
  <c r="GH53" i="18"/>
  <c r="FT100" i="18"/>
  <c r="FT53" i="18"/>
  <c r="FT99" i="18" s="1"/>
  <c r="EA19" i="18"/>
  <c r="DA19" i="18" s="1"/>
  <c r="CN19" i="18" s="1"/>
  <c r="FU103" i="18"/>
  <c r="FN104" i="18"/>
  <c r="GD102" i="18"/>
  <c r="FM103" i="18"/>
  <c r="GH103" i="18"/>
  <c r="GA101" i="18"/>
  <c r="GP53" i="18"/>
  <c r="GP99" i="18" s="1"/>
  <c r="GP100" i="18"/>
  <c r="EF23" i="18"/>
  <c r="DF23" i="18" s="1"/>
  <c r="CS23" i="18" s="1"/>
  <c r="FP100" i="18"/>
  <c r="FP53" i="18"/>
  <c r="FY102" i="18"/>
  <c r="GF104" i="18"/>
  <c r="GD100" i="18"/>
  <c r="GD53" i="18"/>
  <c r="GG53" i="18"/>
  <c r="GG99" i="18" s="1"/>
  <c r="GG100" i="18"/>
  <c r="FO100" i="18"/>
  <c r="FO53" i="18"/>
  <c r="FO99" i="18" s="1"/>
  <c r="FU7" i="18"/>
  <c r="FT103" i="18"/>
  <c r="FM102" i="18"/>
  <c r="GF105" i="18"/>
  <c r="FY101" i="18"/>
  <c r="GB104" i="18"/>
  <c r="FU105" i="18"/>
  <c r="EB39" i="18"/>
  <c r="DB39" i="18" s="1"/>
  <c r="CO39" i="18" s="1"/>
  <c r="GH105" i="18"/>
  <c r="FQ103" i="18"/>
  <c r="DZ32" i="18"/>
  <c r="CZ32" i="18" s="1"/>
  <c r="CM32" i="18" s="1"/>
  <c r="GC104" i="18"/>
  <c r="EB12" i="18"/>
  <c r="DB12" i="18" s="1"/>
  <c r="DB46" i="18"/>
  <c r="EA12" i="18"/>
  <c r="DA12" i="18" s="1"/>
  <c r="DA46" i="18"/>
  <c r="DF45" i="18"/>
  <c r="EF8" i="18"/>
  <c r="CX41" i="18"/>
  <c r="DX11" i="18"/>
  <c r="CX11" i="18" s="1"/>
  <c r="DX8" i="18"/>
  <c r="CX45" i="18"/>
  <c r="CX22" i="18"/>
  <c r="DX9" i="18"/>
  <c r="CX9" i="18" s="1"/>
  <c r="DM47" i="18"/>
  <c r="EM13" i="18"/>
  <c r="DM13" i="18" s="1"/>
  <c r="BB43" i="18" s="1"/>
  <c r="EL11" i="18"/>
  <c r="DL11" i="18" s="1"/>
  <c r="BA31" i="18" s="1"/>
  <c r="DL41" i="18"/>
  <c r="EC21" i="18"/>
  <c r="DC21" i="18" s="1"/>
  <c r="CP21" i="18" s="1"/>
  <c r="CQ26" i="18"/>
  <c r="CT36" i="18"/>
  <c r="DY13" i="18"/>
  <c r="CY13" i="18" s="1"/>
  <c r="CY47" i="18"/>
  <c r="EF47" i="18"/>
  <c r="DS47" i="18"/>
  <c r="ES13" i="18"/>
  <c r="DS13" i="18" s="1"/>
  <c r="BH43" i="18" s="1"/>
  <c r="EK12" i="18"/>
  <c r="DK12" i="18" s="1"/>
  <c r="AZ37" i="18" s="1"/>
  <c r="DK46" i="18"/>
  <c r="DP34" i="18"/>
  <c r="EP10" i="18"/>
  <c r="DP10" i="18" s="1"/>
  <c r="BE25" i="18" s="1"/>
  <c r="DD41" i="18"/>
  <c r="ED11" i="18"/>
  <c r="DD11" i="18" s="1"/>
  <c r="DY17" i="18"/>
  <c r="CY17" i="18" s="1"/>
  <c r="DL17" i="18"/>
  <c r="EK13" i="18"/>
  <c r="DK13" i="18" s="1"/>
  <c r="AZ43" i="18" s="1"/>
  <c r="DK47" i="18"/>
  <c r="EB21" i="18"/>
  <c r="DB21" i="18" s="1"/>
  <c r="CO21" i="18" s="1"/>
  <c r="DN22" i="18"/>
  <c r="EN9" i="18"/>
  <c r="DN9" i="18" s="1"/>
  <c r="BC19" i="18" s="1"/>
  <c r="DZ10" i="18"/>
  <c r="CZ10" i="18" s="1"/>
  <c r="CZ34" i="18"/>
  <c r="GH7" i="18"/>
  <c r="CQ39" i="18"/>
  <c r="EG31" i="18"/>
  <c r="DG31" i="18" s="1"/>
  <c r="CT31" i="18" s="1"/>
  <c r="DR45" i="18"/>
  <c r="ER8" i="18"/>
  <c r="DO45" i="18"/>
  <c r="EO8" i="18"/>
  <c r="EB36" i="18"/>
  <c r="DB36" i="18" s="1"/>
  <c r="CO36" i="18" s="1"/>
  <c r="CZ46" i="18"/>
  <c r="DZ12" i="18"/>
  <c r="CZ12" i="18" s="1"/>
  <c r="FY7" i="18"/>
  <c r="DY10" i="18"/>
  <c r="CY10" i="18" s="1"/>
  <c r="CY34" i="18"/>
  <c r="ED32" i="18"/>
  <c r="DD32" i="18" s="1"/>
  <c r="CQ32" i="18" s="1"/>
  <c r="DO34" i="18"/>
  <c r="EO10" i="18"/>
  <c r="DO10" i="18" s="1"/>
  <c r="BD25" i="18" s="1"/>
  <c r="EC46" i="18"/>
  <c r="DP46" i="18"/>
  <c r="EP12" i="18"/>
  <c r="DP12" i="18" s="1"/>
  <c r="BE37" i="18" s="1"/>
  <c r="DZ33" i="18"/>
  <c r="CZ33" i="18" s="1"/>
  <c r="CM33" i="18" s="1"/>
  <c r="EA41" i="18"/>
  <c r="EN11" i="18"/>
  <c r="DN11" i="18" s="1"/>
  <c r="BC31" i="18" s="1"/>
  <c r="DN41" i="18"/>
  <c r="DZ17" i="18"/>
  <c r="CZ17" i="18" s="1"/>
  <c r="CM17" i="18" s="1"/>
  <c r="EL13" i="18"/>
  <c r="DL13" i="18" s="1"/>
  <c r="BA43" i="18" s="1"/>
  <c r="DL47" i="18"/>
  <c r="EE36" i="18"/>
  <c r="DE36" i="18" s="1"/>
  <c r="CR36" i="18" s="1"/>
  <c r="EA45" i="18"/>
  <c r="EN8" i="18"/>
  <c r="DN45" i="18"/>
  <c r="GB7" i="18"/>
  <c r="EF38" i="18"/>
  <c r="DF38" i="18" s="1"/>
  <c r="CS38" i="18" s="1"/>
  <c r="EE45" i="18"/>
  <c r="EE30" i="18"/>
  <c r="DE30" i="18" s="1"/>
  <c r="CR30" i="18" s="1"/>
  <c r="DX25" i="18"/>
  <c r="CX25" i="18" s="1"/>
  <c r="CK25" i="18" s="1"/>
  <c r="ED24" i="18"/>
  <c r="DD24" i="18" s="1"/>
  <c r="DQ24" i="18"/>
  <c r="DY27" i="18"/>
  <c r="CY27" i="18" s="1"/>
  <c r="CL27" i="18" s="1"/>
  <c r="DZ28" i="18"/>
  <c r="CZ28" i="18" s="1"/>
  <c r="CM28" i="18" s="1"/>
  <c r="EB38" i="18"/>
  <c r="DB38" i="18" s="1"/>
  <c r="CO38" i="18" s="1"/>
  <c r="GF7" i="18"/>
  <c r="ED17" i="18"/>
  <c r="DD17" i="18" s="1"/>
  <c r="CQ17" i="18" s="1"/>
  <c r="DY41" i="18"/>
  <c r="GC7" i="18"/>
  <c r="EC47" i="18"/>
  <c r="DP47" i="18"/>
  <c r="EP13" i="18"/>
  <c r="DP13" i="18" s="1"/>
  <c r="BE43" i="18" s="1"/>
  <c r="EG46" i="18"/>
  <c r="ET12" i="18"/>
  <c r="DT12" i="18" s="1"/>
  <c r="BI37" i="18" s="1"/>
  <c r="DT46" i="18"/>
  <c r="ET13" i="18"/>
  <c r="DT13" i="18" s="1"/>
  <c r="BI43" i="18" s="1"/>
  <c r="DT47" i="18"/>
  <c r="EB24" i="18"/>
  <c r="DB24" i="18" s="1"/>
  <c r="CO24" i="18" s="1"/>
  <c r="EA21" i="18"/>
  <c r="DA21" i="18" s="1"/>
  <c r="DN21" i="18"/>
  <c r="EQ10" i="18"/>
  <c r="DQ10" i="18" s="1"/>
  <c r="BF25" i="18" s="1"/>
  <c r="DQ34" i="18"/>
  <c r="DG41" i="18"/>
  <c r="EG11" i="18"/>
  <c r="DG11" i="18" s="1"/>
  <c r="ET11" i="18"/>
  <c r="DT11" i="18" s="1"/>
  <c r="BI31" i="18" s="1"/>
  <c r="DT41" i="18"/>
  <c r="EB22" i="18"/>
  <c r="EO9" i="18"/>
  <c r="DO9" i="18" s="1"/>
  <c r="BD19" i="18" s="1"/>
  <c r="DO22" i="18"/>
  <c r="EG25" i="18"/>
  <c r="DG25" i="18" s="1"/>
  <c r="DT25" i="18"/>
  <c r="EA33" i="18"/>
  <c r="DA33" i="18" s="1"/>
  <c r="CN33" i="18" s="1"/>
  <c r="EF24" i="18"/>
  <c r="DF24" i="18" s="1"/>
  <c r="CS24" i="18" s="1"/>
  <c r="DT34" i="18"/>
  <c r="ET10" i="18"/>
  <c r="DT10" i="18" s="1"/>
  <c r="BI25" i="18" s="1"/>
  <c r="EA22" i="18"/>
  <c r="ED46" i="18"/>
  <c r="DQ46" i="18"/>
  <c r="EQ12" i="18"/>
  <c r="DQ12" i="18" s="1"/>
  <c r="BF37" i="18" s="1"/>
  <c r="EB18" i="18"/>
  <c r="DB18" i="18" s="1"/>
  <c r="CO18" i="18" s="1"/>
  <c r="DO18" i="18"/>
  <c r="DM46" i="18"/>
  <c r="EM12" i="18"/>
  <c r="DM12" i="18" s="1"/>
  <c r="BB37" i="18" s="1"/>
  <c r="DR22" i="18"/>
  <c r="ER9" i="18"/>
  <c r="DR9" i="18" s="1"/>
  <c r="BG19" i="18" s="1"/>
  <c r="DX47" i="18"/>
  <c r="DX19" i="18"/>
  <c r="CX19" i="18" s="1"/>
  <c r="CK19" i="18" s="1"/>
  <c r="CS25" i="18"/>
  <c r="EF29" i="18"/>
  <c r="DF29" i="18" s="1"/>
  <c r="CS29" i="18" s="1"/>
  <c r="DY18" i="18"/>
  <c r="CY18" i="18" s="1"/>
  <c r="CL18" i="18" s="1"/>
  <c r="EA39" i="18"/>
  <c r="DA39" i="18" s="1"/>
  <c r="CN39" i="18" s="1"/>
  <c r="EA17" i="18"/>
  <c r="DA17" i="18" s="1"/>
  <c r="DN17" i="18"/>
  <c r="CN17" i="18" s="1"/>
  <c r="EK10" i="18"/>
  <c r="DK10" i="18" s="1"/>
  <c r="AZ25" i="18" s="1"/>
  <c r="DK34" i="18"/>
  <c r="DS41" i="18"/>
  <c r="ES11" i="18"/>
  <c r="DS11" i="18" s="1"/>
  <c r="BH31" i="18" s="1"/>
  <c r="DR47" i="18"/>
  <c r="ER13" i="18"/>
  <c r="DR13" i="18" s="1"/>
  <c r="BG43" i="18" s="1"/>
  <c r="DQ47" i="18"/>
  <c r="EQ13" i="18"/>
  <c r="DQ13" i="18" s="1"/>
  <c r="BF43" i="18" s="1"/>
  <c r="EF22" i="18"/>
  <c r="DS22" i="18"/>
  <c r="ES9" i="18"/>
  <c r="DS9" i="18" s="1"/>
  <c r="BH19" i="18" s="1"/>
  <c r="CP28" i="18"/>
  <c r="EE46" i="18"/>
  <c r="DR46" i="18"/>
  <c r="ER12" i="18"/>
  <c r="DR12" i="18" s="1"/>
  <c r="BG37" i="18" s="1"/>
  <c r="ED47" i="18"/>
  <c r="EB45" i="18"/>
  <c r="EA28" i="18"/>
  <c r="DA28" i="18" s="1"/>
  <c r="DN28" i="18"/>
  <c r="DZ26" i="18"/>
  <c r="CZ26" i="18" s="1"/>
  <c r="CM26" i="18" s="1"/>
  <c r="EM10" i="18"/>
  <c r="DM10" i="18" s="1"/>
  <c r="BB25" i="18" s="1"/>
  <c r="DM34" i="18"/>
  <c r="DC45" i="18"/>
  <c r="EC8" i="18"/>
  <c r="ES8" i="18"/>
  <c r="DS45" i="18"/>
  <c r="EF17" i="18"/>
  <c r="DF17" i="18" s="1"/>
  <c r="CS17" i="18" s="1"/>
  <c r="EE17" i="18"/>
  <c r="DE17" i="18" s="1"/>
  <c r="CR17" i="18" s="1"/>
  <c r="ED20" i="18"/>
  <c r="DD20" i="18" s="1"/>
  <c r="CQ20" i="18" s="1"/>
  <c r="DZ43" i="18"/>
  <c r="CZ43" i="18" s="1"/>
  <c r="CM43" i="18" s="1"/>
  <c r="EG29" i="18"/>
  <c r="DG29" i="18" s="1"/>
  <c r="CT29" i="18" s="1"/>
  <c r="EC29" i="18"/>
  <c r="DC29" i="18" s="1"/>
  <c r="CP29" i="18" s="1"/>
  <c r="EG47" i="18"/>
  <c r="EA47" i="18"/>
  <c r="EN13" i="18"/>
  <c r="DN13" i="18" s="1"/>
  <c r="BC43" i="18" s="1"/>
  <c r="DN47" i="18"/>
  <c r="DZ41" i="18"/>
  <c r="DM41" i="18"/>
  <c r="EM11" i="18"/>
  <c r="DM11" i="18" s="1"/>
  <c r="BB31" i="18" s="1"/>
  <c r="CT28" i="18"/>
  <c r="DF34" i="18"/>
  <c r="EF10" i="18"/>
  <c r="DF10" i="18" s="1"/>
  <c r="DX34" i="18"/>
  <c r="CQ21" i="18"/>
  <c r="DL22" i="18"/>
  <c r="EL9" i="18"/>
  <c r="DL9" i="18" s="1"/>
  <c r="BA19" i="18" s="1"/>
  <c r="EB34" i="18"/>
  <c r="EP11" i="18"/>
  <c r="DP11" i="18" s="1"/>
  <c r="BE31" i="18" s="1"/>
  <c r="DP41" i="18"/>
  <c r="DX33" i="18"/>
  <c r="CX33" i="18" s="1"/>
  <c r="CK33" i="18" s="1"/>
  <c r="DO41" i="18"/>
  <c r="EO11" i="18"/>
  <c r="DO11" i="18" s="1"/>
  <c r="BD31" i="18" s="1"/>
  <c r="DZ25" i="18"/>
  <c r="CZ25" i="18" s="1"/>
  <c r="CM25" i="18" s="1"/>
  <c r="DL34" i="18"/>
  <c r="EL10" i="18"/>
  <c r="DL10" i="18" s="1"/>
  <c r="BA25" i="18" s="1"/>
  <c r="EA34" i="18"/>
  <c r="DN34" i="18"/>
  <c r="EN10" i="18"/>
  <c r="DN10" i="18" s="1"/>
  <c r="BC25" i="18" s="1"/>
  <c r="EC22" i="18"/>
  <c r="DP22" i="18"/>
  <c r="EP9" i="18"/>
  <c r="DP9" i="18" s="1"/>
  <c r="BE19" i="18" s="1"/>
  <c r="DK45" i="18"/>
  <c r="EK8" i="18"/>
  <c r="DQ41" i="18"/>
  <c r="EQ11" i="18"/>
  <c r="DQ11" i="18" s="1"/>
  <c r="BF31" i="18" s="1"/>
  <c r="ED34" i="18"/>
  <c r="FP7" i="18"/>
  <c r="EL8" i="18"/>
  <c r="DL45" i="18"/>
  <c r="DC41" i="18"/>
  <c r="EC11" i="18"/>
  <c r="DC11" i="18" s="1"/>
  <c r="DX40" i="18"/>
  <c r="CX40" i="18" s="1"/>
  <c r="CK40" i="18" s="1"/>
  <c r="EF12" i="18"/>
  <c r="DF12" i="18" s="1"/>
  <c r="DF46" i="18"/>
  <c r="EE22" i="18"/>
  <c r="ED22" i="18"/>
  <c r="DQ22" i="18"/>
  <c r="EQ9" i="18"/>
  <c r="DQ9" i="18" s="1"/>
  <c r="BF19" i="18" s="1"/>
  <c r="DY30" i="18"/>
  <c r="CY30" i="18" s="1"/>
  <c r="CL30" i="18" s="1"/>
  <c r="DZ19" i="18"/>
  <c r="CZ19" i="18" s="1"/>
  <c r="CM19" i="18" s="1"/>
  <c r="EG34" i="18"/>
  <c r="EE26" i="18"/>
  <c r="DE26" i="18" s="1"/>
  <c r="CR26" i="18" s="1"/>
  <c r="DZ47" i="18"/>
  <c r="EE43" i="18"/>
  <c r="DE43" i="18" s="1"/>
  <c r="CR43" i="18" s="1"/>
  <c r="CQ29" i="18"/>
  <c r="EF26" i="18"/>
  <c r="DF26" i="18" s="1"/>
  <c r="CS26" i="18" s="1"/>
  <c r="EF40" i="18"/>
  <c r="DF40" i="18" s="1"/>
  <c r="CS40" i="18" s="1"/>
  <c r="EM8" i="18"/>
  <c r="DM45" i="18"/>
  <c r="EE47" i="18"/>
  <c r="ES10" i="18"/>
  <c r="DS10" i="18" s="1"/>
  <c r="BH25" i="18" s="1"/>
  <c r="DS34" i="18"/>
  <c r="DP45" i="18"/>
  <c r="EP8" i="18"/>
  <c r="EG38" i="18"/>
  <c r="DG38" i="18" s="1"/>
  <c r="CT38" i="18" s="1"/>
  <c r="DX32" i="18"/>
  <c r="CX32" i="18" s="1"/>
  <c r="CK32" i="18" s="1"/>
  <c r="EC34" i="18"/>
  <c r="DY46" i="18"/>
  <c r="DL46" i="18"/>
  <c r="EL12" i="18"/>
  <c r="DL12" i="18" s="1"/>
  <c r="BA37" i="18" s="1"/>
  <c r="EO12" i="18"/>
  <c r="DO12" i="18" s="1"/>
  <c r="BD37" i="18" s="1"/>
  <c r="DO46" i="18"/>
  <c r="EG22" i="18"/>
  <c r="DT22" i="18"/>
  <c r="ET9" i="18"/>
  <c r="DT9" i="18" s="1"/>
  <c r="BI19" i="18" s="1"/>
  <c r="EF41" i="18"/>
  <c r="EK11" i="18"/>
  <c r="DK11" i="18" s="1"/>
  <c r="AZ31" i="18" s="1"/>
  <c r="DK41" i="18"/>
  <c r="EA29" i="18"/>
  <c r="DA29" i="18" s="1"/>
  <c r="DN29" i="18"/>
  <c r="EF28" i="18"/>
  <c r="DF28" i="18" s="1"/>
  <c r="DS28" i="18"/>
  <c r="CY22" i="18"/>
  <c r="DY9" i="18"/>
  <c r="CY9" i="18" s="1"/>
  <c r="EG43" i="18"/>
  <c r="DG43" i="18" s="1"/>
  <c r="CT43" i="18" s="1"/>
  <c r="EE44" i="18"/>
  <c r="DE44" i="18" s="1"/>
  <c r="CR44" i="18" s="1"/>
  <c r="EA32" i="18"/>
  <c r="DA32" i="18" s="1"/>
  <c r="DN32" i="18"/>
  <c r="EN12" i="18"/>
  <c r="DN12" i="18" s="1"/>
  <c r="BC37" i="18" s="1"/>
  <c r="DN46" i="18"/>
  <c r="EB47" i="18"/>
  <c r="DO47" i="18"/>
  <c r="EO13" i="18"/>
  <c r="DO13" i="18" s="1"/>
  <c r="BD43" i="18" s="1"/>
  <c r="DZ36" i="18"/>
  <c r="CZ36" i="18" s="1"/>
  <c r="CM36" i="18" s="1"/>
  <c r="EG33" i="18"/>
  <c r="DG33" i="18" s="1"/>
  <c r="CT33" i="18" s="1"/>
  <c r="FZ7" i="18"/>
  <c r="ED8" i="18"/>
  <c r="DD45" i="18"/>
  <c r="EC19" i="18"/>
  <c r="DC19" i="18" s="1"/>
  <c r="CP19" i="18" s="1"/>
  <c r="DZ18" i="18"/>
  <c r="CZ18" i="18" s="1"/>
  <c r="CM18" i="18" s="1"/>
  <c r="EG27" i="18"/>
  <c r="DG27" i="18" s="1"/>
  <c r="CT27" i="18" s="1"/>
  <c r="EF33" i="18"/>
  <c r="DF33" i="18" s="1"/>
  <c r="CS33" i="18" s="1"/>
  <c r="EC20" i="18"/>
  <c r="DC20" i="18" s="1"/>
  <c r="CP20" i="18" s="1"/>
  <c r="DY45" i="18"/>
  <c r="EE41" i="18"/>
  <c r="ER11" i="18"/>
  <c r="DR11" i="18" s="1"/>
  <c r="BG31" i="18" s="1"/>
  <c r="DR41" i="18"/>
  <c r="DB41" i="18"/>
  <c r="EB11" i="18"/>
  <c r="DB11" i="18" s="1"/>
  <c r="EK9" i="18"/>
  <c r="DK9" i="18" s="1"/>
  <c r="AZ19" i="18" s="1"/>
  <c r="DK22" i="18"/>
  <c r="DT45" i="18"/>
  <c r="ET8" i="18"/>
  <c r="EE34" i="18"/>
  <c r="DR34" i="18"/>
  <c r="ER10" i="18"/>
  <c r="DR10" i="18" s="1"/>
  <c r="BG25" i="18" s="1"/>
  <c r="EB28" i="18"/>
  <c r="DB28" i="18" s="1"/>
  <c r="CO28" i="18" s="1"/>
  <c r="GA7" i="18"/>
  <c r="DZ8" i="18"/>
  <c r="CZ45" i="18"/>
  <c r="DS46" i="18"/>
  <c r="ES12" i="18"/>
  <c r="DS12" i="18" s="1"/>
  <c r="BH37" i="18" s="1"/>
  <c r="DX46" i="18"/>
  <c r="EQ8" i="18"/>
  <c r="DQ45" i="18"/>
  <c r="ED18" i="18"/>
  <c r="DD18" i="18" s="1"/>
  <c r="CQ18" i="18" s="1"/>
  <c r="GD7" i="18"/>
  <c r="DZ22" i="18"/>
  <c r="DM22" i="18"/>
  <c r="EM9" i="18"/>
  <c r="DM9" i="18" s="1"/>
  <c r="BB19" i="18" s="1"/>
  <c r="EG45" i="18"/>
  <c r="AI42" i="20" l="1"/>
  <c r="AF43" i="20"/>
  <c r="GC99" i="18"/>
  <c r="CO41" i="18"/>
  <c r="X43" i="21"/>
  <c r="U44" i="21"/>
  <c r="CS34" i="18"/>
  <c r="AD42" i="21"/>
  <c r="AF42" i="21" s="1"/>
  <c r="AA43" i="21"/>
  <c r="V41" i="21"/>
  <c r="Y41" i="21" s="1"/>
  <c r="W41" i="21"/>
  <c r="T42" i="21"/>
  <c r="AC39" i="21"/>
  <c r="AB39" i="21"/>
  <c r="AE39" i="21" s="1"/>
  <c r="AG39" i="21" s="1"/>
  <c r="FY99" i="18"/>
  <c r="GB99" i="18"/>
  <c r="CN21" i="18"/>
  <c r="CL47" i="18"/>
  <c r="CS45" i="18"/>
  <c r="Z40" i="21"/>
  <c r="T41" i="20"/>
  <c r="W41" i="20" s="1"/>
  <c r="U42" i="20"/>
  <c r="X41" i="20"/>
  <c r="AC40" i="20"/>
  <c r="Z41" i="20"/>
  <c r="AB40" i="20"/>
  <c r="AE40" i="20" s="1"/>
  <c r="AM40" i="20" s="1"/>
  <c r="AB39" i="20"/>
  <c r="AE39" i="20" s="1"/>
  <c r="AM39" i="20" s="1"/>
  <c r="AC39" i="20"/>
  <c r="AA52" i="20"/>
  <c r="AD51" i="20"/>
  <c r="AL51" i="20" s="1"/>
  <c r="CQ45" i="18"/>
  <c r="GA99" i="18"/>
  <c r="FU99" i="18"/>
  <c r="GD99" i="18"/>
  <c r="GF99" i="18"/>
  <c r="GE99" i="18"/>
  <c r="GH99" i="18"/>
  <c r="CL22" i="18"/>
  <c r="CT25" i="18"/>
  <c r="CM46" i="18"/>
  <c r="FP99" i="18"/>
  <c r="CK41" i="18"/>
  <c r="FL99" i="18"/>
  <c r="FZ99" i="18"/>
  <c r="DX12" i="18"/>
  <c r="CX12" i="18" s="1"/>
  <c r="CX46" i="18"/>
  <c r="CK46" i="18" s="1"/>
  <c r="DB47" i="18"/>
  <c r="CO47" i="18" s="1"/>
  <c r="EB13" i="18"/>
  <c r="DB13" i="18" s="1"/>
  <c r="DC34" i="18"/>
  <c r="CP34" i="18" s="1"/>
  <c r="EC10" i="18"/>
  <c r="DC10" i="18" s="1"/>
  <c r="DC46" i="18"/>
  <c r="CP46" i="18" s="1"/>
  <c r="EC12" i="18"/>
  <c r="DC12" i="18" s="1"/>
  <c r="DD46" i="18"/>
  <c r="CQ46" i="18" s="1"/>
  <c r="ED12" i="18"/>
  <c r="DD12" i="18" s="1"/>
  <c r="DG46" i="18"/>
  <c r="CT46" i="18" s="1"/>
  <c r="EG12" i="18"/>
  <c r="DG12" i="18" s="1"/>
  <c r="CM34" i="18"/>
  <c r="CL17" i="18"/>
  <c r="DT8" i="18"/>
  <c r="BI13" i="18" s="1"/>
  <c r="ET7" i="18"/>
  <c r="DT7" i="18" s="1"/>
  <c r="BI7" i="18" s="1"/>
  <c r="EE11" i="18"/>
  <c r="DE11" i="18" s="1"/>
  <c r="DE41" i="18"/>
  <c r="CR41" i="18" s="1"/>
  <c r="DD8" i="18"/>
  <c r="CS28" i="18"/>
  <c r="DG22" i="18"/>
  <c r="CT22" i="18" s="1"/>
  <c r="EG9" i="18"/>
  <c r="DG9" i="18" s="1"/>
  <c r="BE32" i="18"/>
  <c r="BE33" i="18" s="1"/>
  <c r="CP11" i="18"/>
  <c r="DK8" i="18"/>
  <c r="AZ13" i="18" s="1"/>
  <c r="EK7" i="18"/>
  <c r="DK7" i="18" s="1"/>
  <c r="AZ7" i="18" s="1"/>
  <c r="DB34" i="18"/>
  <c r="CO34" i="18" s="1"/>
  <c r="EB10" i="18"/>
  <c r="DB10" i="18" s="1"/>
  <c r="CP45" i="18"/>
  <c r="DA22" i="18"/>
  <c r="CN22" i="18" s="1"/>
  <c r="EA9" i="18"/>
  <c r="DA9" i="18" s="1"/>
  <c r="EO7" i="18"/>
  <c r="DO7" i="18" s="1"/>
  <c r="BD7" i="18" s="1"/>
  <c r="DO8" i="18"/>
  <c r="BD13" i="18" s="1"/>
  <c r="CM10" i="18"/>
  <c r="BB26" i="18"/>
  <c r="BB27" i="18" s="1"/>
  <c r="BF32" i="18"/>
  <c r="BF33" i="18" s="1"/>
  <c r="CQ11" i="18"/>
  <c r="DF47" i="18"/>
  <c r="CS47" i="18" s="1"/>
  <c r="EF13" i="18"/>
  <c r="DF13" i="18" s="1"/>
  <c r="DF8" i="18"/>
  <c r="ES7" i="18"/>
  <c r="DS7" i="18" s="1"/>
  <c r="BH7" i="18" s="1"/>
  <c r="DS8" i="18"/>
  <c r="BH13" i="18" s="1"/>
  <c r="EA10" i="18"/>
  <c r="DA10" i="18" s="1"/>
  <c r="DA34" i="18"/>
  <c r="CN34" i="18" s="1"/>
  <c r="CZ22" i="18"/>
  <c r="CM22" i="18" s="1"/>
  <c r="DZ9" i="18"/>
  <c r="CZ9" i="18" s="1"/>
  <c r="CY45" i="18"/>
  <c r="CL45" i="18" s="1"/>
  <c r="DY8" i="18"/>
  <c r="CP41" i="18"/>
  <c r="CQ41" i="18"/>
  <c r="CN29" i="18"/>
  <c r="EE12" i="18"/>
  <c r="DE12" i="18" s="1"/>
  <c r="DE46" i="18"/>
  <c r="CR46" i="18" s="1"/>
  <c r="DC47" i="18"/>
  <c r="CP47" i="18" s="1"/>
  <c r="EC13" i="18"/>
  <c r="DC13" i="18" s="1"/>
  <c r="EN7" i="18"/>
  <c r="DN7" i="18" s="1"/>
  <c r="BC7" i="18" s="1"/>
  <c r="DN8" i="18"/>
  <c r="BC13" i="18" s="1"/>
  <c r="DA41" i="18"/>
  <c r="CN41" i="18" s="1"/>
  <c r="EA11" i="18"/>
  <c r="DA11" i="18" s="1"/>
  <c r="CL34" i="18"/>
  <c r="ER7" i="18"/>
  <c r="DR7" i="18" s="1"/>
  <c r="BG7" i="18" s="1"/>
  <c r="DR8" i="18"/>
  <c r="BG13" i="18" s="1"/>
  <c r="CN46" i="18"/>
  <c r="DD22" i="18"/>
  <c r="CQ22" i="18" s="1"/>
  <c r="ED9" i="18"/>
  <c r="DD9" i="18" s="1"/>
  <c r="EL7" i="18"/>
  <c r="DL7" i="18" s="1"/>
  <c r="BA7" i="18" s="1"/>
  <c r="DL8" i="18"/>
  <c r="BA13" i="18" s="1"/>
  <c r="CQ24" i="18"/>
  <c r="EA8" i="18"/>
  <c r="DA45" i="18"/>
  <c r="CN45" i="18" s="1"/>
  <c r="CL10" i="18"/>
  <c r="BA26" i="18"/>
  <c r="BA27" i="18" s="1"/>
  <c r="CK22" i="18"/>
  <c r="BC38" i="18"/>
  <c r="BC39" i="18" s="1"/>
  <c r="CN12" i="18"/>
  <c r="EG8" i="18"/>
  <c r="DG45" i="18"/>
  <c r="CT45" i="18" s="1"/>
  <c r="EG10" i="18"/>
  <c r="DG10" i="18" s="1"/>
  <c r="DG34" i="18"/>
  <c r="CT34" i="18" s="1"/>
  <c r="CK11" i="18"/>
  <c r="AZ32" i="18"/>
  <c r="AZ33" i="18" s="1"/>
  <c r="DE34" i="18"/>
  <c r="CR34" i="18" s="1"/>
  <c r="EE10" i="18"/>
  <c r="DE10" i="18" s="1"/>
  <c r="DM8" i="18"/>
  <c r="BB13" i="18" s="1"/>
  <c r="EM7" i="18"/>
  <c r="DM7" i="18" s="1"/>
  <c r="BB7" i="18" s="1"/>
  <c r="CM45" i="18"/>
  <c r="EB9" i="18"/>
  <c r="DB9" i="18" s="1"/>
  <c r="DB22" i="18"/>
  <c r="CO22" i="18" s="1"/>
  <c r="CZ8" i="18"/>
  <c r="CK9" i="18"/>
  <c r="AZ20" i="18"/>
  <c r="AZ21" i="18" s="1"/>
  <c r="CO11" i="18"/>
  <c r="BD32" i="18"/>
  <c r="BD33" i="18" s="1"/>
  <c r="DZ13" i="18"/>
  <c r="CZ13" i="18" s="1"/>
  <c r="CZ47" i="18"/>
  <c r="CM47" i="18" s="1"/>
  <c r="DE22" i="18"/>
  <c r="CR22" i="18" s="1"/>
  <c r="EE9" i="18"/>
  <c r="DE9" i="18" s="1"/>
  <c r="EC9" i="18"/>
  <c r="DC9" i="18" s="1"/>
  <c r="DC22" i="18"/>
  <c r="CP22" i="18" s="1"/>
  <c r="CX34" i="18"/>
  <c r="CK34" i="18" s="1"/>
  <c r="DX10" i="18"/>
  <c r="CX10" i="18" s="1"/>
  <c r="CN28" i="18"/>
  <c r="CT11" i="18"/>
  <c r="BI32" i="18"/>
  <c r="BI33" i="18" s="1"/>
  <c r="CY41" i="18"/>
  <c r="CL41" i="18" s="1"/>
  <c r="DY11" i="18"/>
  <c r="CY11" i="18" s="1"/>
  <c r="CK45" i="18"/>
  <c r="CO46" i="18"/>
  <c r="CS12" i="18"/>
  <c r="BH38" i="18"/>
  <c r="BH39" i="18" s="1"/>
  <c r="DG47" i="18"/>
  <c r="CT47" i="18" s="1"/>
  <c r="EG13" i="18"/>
  <c r="DG13" i="18" s="1"/>
  <c r="EB8" i="18"/>
  <c r="DB45" i="18"/>
  <c r="CO45" i="18" s="1"/>
  <c r="EF9" i="18"/>
  <c r="DF9" i="18" s="1"/>
  <c r="DF22" i="18"/>
  <c r="CS22" i="18" s="1"/>
  <c r="DX13" i="18"/>
  <c r="CX13" i="18" s="1"/>
  <c r="CX47" i="18"/>
  <c r="CK47" i="18" s="1"/>
  <c r="EE8" i="18"/>
  <c r="DE45" i="18"/>
  <c r="CR45" i="18" s="1"/>
  <c r="DC8" i="18"/>
  <c r="DD47" i="18"/>
  <c r="CQ47" i="18" s="1"/>
  <c r="ED13" i="18"/>
  <c r="DD13" i="18" s="1"/>
  <c r="EP7" i="18"/>
  <c r="DP7" i="18" s="1"/>
  <c r="BE7" i="18" s="1"/>
  <c r="DP8" i="18"/>
  <c r="BE13" i="18" s="1"/>
  <c r="CN32" i="18"/>
  <c r="CZ41" i="18"/>
  <c r="CM41" i="18" s="1"/>
  <c r="DZ11" i="18"/>
  <c r="CZ11" i="18" s="1"/>
  <c r="BA44" i="18"/>
  <c r="BA45" i="18" s="1"/>
  <c r="CL13" i="18"/>
  <c r="DQ8" i="18"/>
  <c r="BF13" i="18" s="1"/>
  <c r="EQ7" i="18"/>
  <c r="DQ7" i="18" s="1"/>
  <c r="BF7" i="18" s="1"/>
  <c r="BA20" i="18"/>
  <c r="BA21" i="18" s="1"/>
  <c r="CL9" i="18"/>
  <c r="DF41" i="18"/>
  <c r="CS41" i="18" s="1"/>
  <c r="EF11" i="18"/>
  <c r="DF11" i="18" s="1"/>
  <c r="DY12" i="18"/>
  <c r="CY12" i="18" s="1"/>
  <c r="CY46" i="18"/>
  <c r="CL46" i="18" s="1"/>
  <c r="DE47" i="18"/>
  <c r="CR47" i="18" s="1"/>
  <c r="EE13" i="18"/>
  <c r="DE13" i="18" s="1"/>
  <c r="CS46" i="18"/>
  <c r="ED10" i="18"/>
  <c r="DD10" i="18" s="1"/>
  <c r="DD34" i="18"/>
  <c r="CQ34" i="18" s="1"/>
  <c r="CS10" i="18"/>
  <c r="BH26" i="18"/>
  <c r="BH27" i="18" s="1"/>
  <c r="DA47" i="18"/>
  <c r="CN47" i="18" s="1"/>
  <c r="EA13" i="18"/>
  <c r="DA13" i="18" s="1"/>
  <c r="CT41" i="18"/>
  <c r="BB38" i="18"/>
  <c r="BB39" i="18" s="1"/>
  <c r="CM12" i="18"/>
  <c r="CX8" i="18"/>
  <c r="CO12" i="18"/>
  <c r="BD38" i="18"/>
  <c r="BD39" i="18" s="1"/>
  <c r="AI43" i="20" l="1"/>
  <c r="AF44" i="20"/>
  <c r="T42" i="20"/>
  <c r="W42" i="20" s="1"/>
  <c r="V41" i="20"/>
  <c r="Y41" i="20" s="1"/>
  <c r="B11" i="21"/>
  <c r="B11" i="20"/>
  <c r="AD43" i="21"/>
  <c r="AF43" i="21" s="1"/>
  <c r="AA44" i="21"/>
  <c r="B14" i="21"/>
  <c r="B14" i="20"/>
  <c r="B9" i="21"/>
  <c r="B9" i="20"/>
  <c r="B10" i="21"/>
  <c r="B10" i="20"/>
  <c r="B15" i="21"/>
  <c r="B15" i="20"/>
  <c r="X44" i="21"/>
  <c r="U45" i="21"/>
  <c r="B12" i="21"/>
  <c r="B12" i="20"/>
  <c r="B6" i="21"/>
  <c r="B6" i="20"/>
  <c r="B7" i="21"/>
  <c r="B7" i="20"/>
  <c r="AC40" i="21"/>
  <c r="AB40" i="21"/>
  <c r="AE40" i="21" s="1"/>
  <c r="AG40" i="21" s="1"/>
  <c r="Z41" i="21"/>
  <c r="V42" i="21"/>
  <c r="Y42" i="21" s="1"/>
  <c r="W42" i="21"/>
  <c r="T43" i="21"/>
  <c r="B8" i="21"/>
  <c r="B8" i="20"/>
  <c r="B13" i="21"/>
  <c r="B13" i="20"/>
  <c r="U43" i="20"/>
  <c r="X42" i="20"/>
  <c r="AC41" i="20"/>
  <c r="AB41" i="20"/>
  <c r="AE41" i="20" s="1"/>
  <c r="AM41" i="20" s="1"/>
  <c r="Z42" i="20"/>
  <c r="AA53" i="20"/>
  <c r="AD52" i="20"/>
  <c r="AL52" i="20" s="1"/>
  <c r="V42" i="20"/>
  <c r="Y42" i="20" s="1"/>
  <c r="T43" i="20"/>
  <c r="W43" i="20" s="1"/>
  <c r="EC7" i="18"/>
  <c r="DC7" i="18" s="1"/>
  <c r="BE8" i="18" s="1"/>
  <c r="BA38" i="18"/>
  <c r="BA39" i="18" s="1"/>
  <c r="CL12" i="18"/>
  <c r="CS9" i="18"/>
  <c r="BH20" i="18"/>
  <c r="BH21" i="18" s="1"/>
  <c r="CN9" i="18"/>
  <c r="BC20" i="18"/>
  <c r="BC21" i="18" s="1"/>
  <c r="CP12" i="18"/>
  <c r="BE38" i="18"/>
  <c r="BE39" i="18" s="1"/>
  <c r="CS11" i="18"/>
  <c r="BH32" i="18"/>
  <c r="BH33" i="18" s="1"/>
  <c r="CM11" i="18"/>
  <c r="BB32" i="18"/>
  <c r="BB33" i="18" s="1"/>
  <c r="CP7" i="18"/>
  <c r="BA32" i="18"/>
  <c r="BA33" i="18" s="1"/>
  <c r="CL11" i="18"/>
  <c r="CP9" i="18"/>
  <c r="BE20" i="18"/>
  <c r="BE21" i="18" s="1"/>
  <c r="DG8" i="18"/>
  <c r="EG7" i="18"/>
  <c r="DG7" i="18" s="1"/>
  <c r="BI20" i="18"/>
  <c r="BI21" i="18" s="1"/>
  <c r="CT9" i="18"/>
  <c r="DB8" i="18"/>
  <c r="EB7" i="18"/>
  <c r="DB7" i="18" s="1"/>
  <c r="BG20" i="18"/>
  <c r="BG21" i="18" s="1"/>
  <c r="CR9" i="18"/>
  <c r="BG26" i="18"/>
  <c r="BG27" i="18" s="1"/>
  <c r="CR10" i="18"/>
  <c r="CR12" i="18"/>
  <c r="BG38" i="18"/>
  <c r="BG39" i="18" s="1"/>
  <c r="CP10" i="18"/>
  <c r="BE26" i="18"/>
  <c r="BE27" i="18" s="1"/>
  <c r="CK8" i="18"/>
  <c r="AZ14" i="18"/>
  <c r="AZ15" i="18" s="1"/>
  <c r="CP8" i="18"/>
  <c r="BE14" i="18"/>
  <c r="BE15" i="18" s="1"/>
  <c r="BB20" i="18"/>
  <c r="BB21" i="18" s="1"/>
  <c r="CM9" i="18"/>
  <c r="CN11" i="18"/>
  <c r="BC32" i="18"/>
  <c r="BC33" i="18" s="1"/>
  <c r="BC26" i="18"/>
  <c r="BC27" i="18" s="1"/>
  <c r="CN10" i="18"/>
  <c r="DE8" i="18"/>
  <c r="EE7" i="18"/>
  <c r="DE7" i="18" s="1"/>
  <c r="ED7" i="18"/>
  <c r="DD7" i="18" s="1"/>
  <c r="BI38" i="18"/>
  <c r="BI39" i="18" s="1"/>
  <c r="CT12" i="18"/>
  <c r="BB44" i="18"/>
  <c r="BB45" i="18" s="1"/>
  <c r="CM13" i="18"/>
  <c r="BF14" i="18"/>
  <c r="BF15" i="18" s="1"/>
  <c r="CQ8" i="18"/>
  <c r="DA8" i="18"/>
  <c r="EA7" i="18"/>
  <c r="DA7" i="18" s="1"/>
  <c r="CS13" i="18"/>
  <c r="BH44" i="18"/>
  <c r="BH45" i="18" s="1"/>
  <c r="CO10" i="18"/>
  <c r="BD26" i="18"/>
  <c r="BD27" i="18" s="1"/>
  <c r="BF20" i="18"/>
  <c r="BF21" i="18" s="1"/>
  <c r="CQ9" i="18"/>
  <c r="CR13" i="18"/>
  <c r="BG44" i="18"/>
  <c r="BG45" i="18" s="1"/>
  <c r="CN13" i="18"/>
  <c r="BC44" i="18"/>
  <c r="BC45" i="18" s="1"/>
  <c r="BF44" i="18"/>
  <c r="BF45" i="18" s="1"/>
  <c r="CQ13" i="18"/>
  <c r="CK10" i="18"/>
  <c r="AZ26" i="18"/>
  <c r="AZ27" i="18" s="1"/>
  <c r="BD20" i="18"/>
  <c r="BD21" i="18" s="1"/>
  <c r="CO9" i="18"/>
  <c r="CY8" i="18"/>
  <c r="DY7" i="18"/>
  <c r="CY7" i="18" s="1"/>
  <c r="BH14" i="18"/>
  <c r="BH15" i="18" s="1"/>
  <c r="CS8" i="18"/>
  <c r="CQ12" i="18"/>
  <c r="BF38" i="18"/>
  <c r="BF39" i="18" s="1"/>
  <c r="CQ10" i="18"/>
  <c r="BF26" i="18"/>
  <c r="BF27" i="18" s="1"/>
  <c r="BI44" i="18"/>
  <c r="BI45" i="18" s="1"/>
  <c r="CT13" i="18"/>
  <c r="BB14" i="18"/>
  <c r="BB15" i="18" s="1"/>
  <c r="CM8" i="18"/>
  <c r="DZ7" i="18"/>
  <c r="CZ7" i="18" s="1"/>
  <c r="CO13" i="18"/>
  <c r="BD44" i="18"/>
  <c r="BD45" i="18" s="1"/>
  <c r="CK13" i="18"/>
  <c r="AZ44" i="18"/>
  <c r="AZ45" i="18" s="1"/>
  <c r="DX7" i="18"/>
  <c r="CX7" i="18" s="1"/>
  <c r="BI26" i="18"/>
  <c r="BI27" i="18" s="1"/>
  <c r="CT10" i="18"/>
  <c r="CP13" i="18"/>
  <c r="BE44" i="18"/>
  <c r="BE45" i="18" s="1"/>
  <c r="EF7" i="18"/>
  <c r="DF7" i="18" s="1"/>
  <c r="BG32" i="18"/>
  <c r="BG33" i="18" s="1"/>
  <c r="CR11" i="18"/>
  <c r="CK12" i="18"/>
  <c r="AZ38" i="18"/>
  <c r="AZ39" i="18" s="1"/>
  <c r="AJ46" i="20" l="1"/>
  <c r="AI44" i="20"/>
  <c r="AF45" i="20"/>
  <c r="BE9" i="18"/>
  <c r="C11" i="21"/>
  <c r="C11" i="20"/>
  <c r="D11" i="20" s="1"/>
  <c r="E12" i="20"/>
  <c r="E9" i="20"/>
  <c r="AC41" i="21"/>
  <c r="AB41" i="21"/>
  <c r="AE41" i="21" s="1"/>
  <c r="AG41" i="21" s="1"/>
  <c r="Z42" i="21"/>
  <c r="E13" i="21"/>
  <c r="E14" i="21"/>
  <c r="E8" i="20"/>
  <c r="E7" i="20"/>
  <c r="E15" i="20"/>
  <c r="N25" i="20"/>
  <c r="N21" i="20"/>
  <c r="N46" i="20"/>
  <c r="N43" i="20"/>
  <c r="N33" i="20"/>
  <c r="N42" i="20"/>
  <c r="N51" i="20"/>
  <c r="Z15" i="20"/>
  <c r="N52" i="20"/>
  <c r="N29" i="20"/>
  <c r="N54" i="20"/>
  <c r="N24" i="20"/>
  <c r="N41" i="20"/>
  <c r="N50" i="20"/>
  <c r="N53" i="20"/>
  <c r="N27" i="20"/>
  <c r="N17" i="20"/>
  <c r="N37" i="20"/>
  <c r="T15" i="20"/>
  <c r="N32" i="20"/>
  <c r="N49" i="20"/>
  <c r="N19" i="20"/>
  <c r="N48" i="20"/>
  <c r="N38" i="20"/>
  <c r="N34" i="20"/>
  <c r="N45" i="20"/>
  <c r="N23" i="20"/>
  <c r="N40" i="20"/>
  <c r="N16" i="20"/>
  <c r="N20" i="20"/>
  <c r="N31" i="20"/>
  <c r="N28" i="20"/>
  <c r="N22" i="20"/>
  <c r="N39" i="20"/>
  <c r="N56" i="20"/>
  <c r="N18" i="20"/>
  <c r="N36" i="20"/>
  <c r="N30" i="20"/>
  <c r="N47" i="20"/>
  <c r="N35" i="20"/>
  <c r="N26" i="20"/>
  <c r="N44" i="20"/>
  <c r="N55" i="20"/>
  <c r="AD44" i="21"/>
  <c r="AF44" i="21" s="1"/>
  <c r="AA45" i="21"/>
  <c r="E9" i="21"/>
  <c r="E13" i="20"/>
  <c r="E14" i="20"/>
  <c r="E8" i="21"/>
  <c r="E7" i="21"/>
  <c r="N56" i="21"/>
  <c r="N55" i="21"/>
  <c r="N54" i="21"/>
  <c r="N53" i="21"/>
  <c r="N52" i="21"/>
  <c r="N51" i="21"/>
  <c r="N50" i="21"/>
  <c r="N49" i="21"/>
  <c r="N48" i="21"/>
  <c r="N47" i="21"/>
  <c r="N46" i="21"/>
  <c r="N45" i="21"/>
  <c r="N44" i="21"/>
  <c r="N43" i="21"/>
  <c r="N42" i="21"/>
  <c r="N41" i="21"/>
  <c r="N40" i="21"/>
  <c r="N39" i="21"/>
  <c r="N38" i="21"/>
  <c r="N37" i="21"/>
  <c r="N36" i="21"/>
  <c r="N35" i="21"/>
  <c r="N20" i="21"/>
  <c r="N18" i="21"/>
  <c r="N21" i="21"/>
  <c r="N33" i="21"/>
  <c r="N19" i="21"/>
  <c r="Z15" i="21"/>
  <c r="N22" i="21"/>
  <c r="T15" i="21"/>
  <c r="N17" i="21"/>
  <c r="N34" i="21"/>
  <c r="N30" i="21"/>
  <c r="N27" i="21"/>
  <c r="N25" i="21"/>
  <c r="N23" i="21"/>
  <c r="N29" i="21"/>
  <c r="N31" i="21"/>
  <c r="E15" i="21"/>
  <c r="N32" i="21"/>
  <c r="N28" i="21"/>
  <c r="N26" i="21"/>
  <c r="N24" i="21"/>
  <c r="N16" i="21"/>
  <c r="V43" i="21"/>
  <c r="Y43" i="21" s="1"/>
  <c r="W43" i="21"/>
  <c r="T44" i="21"/>
  <c r="B18" i="20"/>
  <c r="B50" i="20"/>
  <c r="B32" i="20"/>
  <c r="B33" i="20"/>
  <c r="B31" i="20"/>
  <c r="B17" i="20"/>
  <c r="B22" i="20"/>
  <c r="B54" i="20"/>
  <c r="B36" i="20"/>
  <c r="B41" i="20"/>
  <c r="B35" i="20"/>
  <c r="B48" i="20"/>
  <c r="B47" i="20"/>
  <c r="B46" i="20"/>
  <c r="B53" i="20"/>
  <c r="B26" i="20"/>
  <c r="B21" i="20"/>
  <c r="B40" i="20"/>
  <c r="B39" i="20"/>
  <c r="B34" i="20"/>
  <c r="B49" i="20"/>
  <c r="B29" i="20"/>
  <c r="B27" i="20"/>
  <c r="B30" i="20"/>
  <c r="B37" i="20"/>
  <c r="B44" i="20"/>
  <c r="B43" i="20"/>
  <c r="B16" i="20"/>
  <c r="B25" i="20"/>
  <c r="B38" i="20"/>
  <c r="B20" i="20"/>
  <c r="B52" i="20"/>
  <c r="B19" i="20"/>
  <c r="B51" i="20"/>
  <c r="B42" i="20"/>
  <c r="B45" i="20"/>
  <c r="B24" i="20"/>
  <c r="B56" i="20"/>
  <c r="B23" i="20"/>
  <c r="B55" i="20"/>
  <c r="B28" i="20"/>
  <c r="E10" i="20"/>
  <c r="E11" i="20"/>
  <c r="E12" i="21"/>
  <c r="X45" i="21"/>
  <c r="U46" i="21"/>
  <c r="B56" i="21"/>
  <c r="B55" i="21"/>
  <c r="B54" i="21"/>
  <c r="B53" i="21"/>
  <c r="B52" i="21"/>
  <c r="B51" i="21"/>
  <c r="B50" i="21"/>
  <c r="B49" i="21"/>
  <c r="B48" i="21"/>
  <c r="B47" i="21"/>
  <c r="B46" i="21"/>
  <c r="B45" i="21"/>
  <c r="B44" i="21"/>
  <c r="B43" i="21"/>
  <c r="B42" i="21"/>
  <c r="B41" i="21"/>
  <c r="B40" i="21"/>
  <c r="B39" i="21"/>
  <c r="B38" i="21"/>
  <c r="B37" i="21"/>
  <c r="B36" i="21"/>
  <c r="B35" i="21"/>
  <c r="B34" i="21"/>
  <c r="B33" i="21"/>
  <c r="B32" i="21"/>
  <c r="B31" i="21"/>
  <c r="B29" i="21"/>
  <c r="B28" i="21"/>
  <c r="B27" i="21"/>
  <c r="B26" i="21"/>
  <c r="B25" i="21"/>
  <c r="B24" i="21"/>
  <c r="B23" i="21"/>
  <c r="B22" i="21"/>
  <c r="B19" i="21"/>
  <c r="B30" i="21"/>
  <c r="B21" i="21"/>
  <c r="B20" i="21"/>
  <c r="B16" i="21"/>
  <c r="B18" i="21"/>
  <c r="B17" i="21"/>
  <c r="E10" i="21"/>
  <c r="E11" i="21"/>
  <c r="D11" i="21"/>
  <c r="G11" i="21" s="1"/>
  <c r="U44" i="20"/>
  <c r="X43" i="20"/>
  <c r="AC42" i="20"/>
  <c r="Z43" i="20"/>
  <c r="AB42" i="20"/>
  <c r="AE42" i="20" s="1"/>
  <c r="AM42" i="20" s="1"/>
  <c r="AA54" i="20"/>
  <c r="AD53" i="20"/>
  <c r="AL53" i="20" s="1"/>
  <c r="V43" i="20"/>
  <c r="Y43" i="20" s="1"/>
  <c r="T44" i="20"/>
  <c r="W44" i="20" s="1"/>
  <c r="CO7" i="18"/>
  <c r="BD8" i="18"/>
  <c r="BA14" i="18"/>
  <c r="BA15" i="18" s="1"/>
  <c r="CL8" i="18"/>
  <c r="BD14" i="18"/>
  <c r="BD15" i="18" s="1"/>
  <c r="CO8" i="18"/>
  <c r="CN7" i="18"/>
  <c r="BC8" i="18"/>
  <c r="CQ7" i="18"/>
  <c r="BF8" i="18"/>
  <c r="BG8" i="18"/>
  <c r="CR7" i="18"/>
  <c r="BI8" i="18"/>
  <c r="CT7" i="18"/>
  <c r="BB8" i="18"/>
  <c r="CM7" i="18"/>
  <c r="BG14" i="18"/>
  <c r="BG15" i="18" s="1"/>
  <c r="CR8" i="18"/>
  <c r="CT8" i="18"/>
  <c r="BI14" i="18"/>
  <c r="BI15" i="18" s="1"/>
  <c r="BA8" i="18"/>
  <c r="CL7" i="18"/>
  <c r="BH8" i="18"/>
  <c r="CS7" i="18"/>
  <c r="CK7" i="18"/>
  <c r="AZ8" i="18"/>
  <c r="CN8" i="18"/>
  <c r="BC14" i="18"/>
  <c r="BC15" i="18" s="1"/>
  <c r="G11" i="20" l="1"/>
  <c r="H11" i="20"/>
  <c r="AI45" i="20"/>
  <c r="AF46" i="20"/>
  <c r="BB9" i="18"/>
  <c r="C8" i="21"/>
  <c r="C8" i="20"/>
  <c r="E40" i="21"/>
  <c r="E17" i="21"/>
  <c r="E19" i="21"/>
  <c r="E29" i="21"/>
  <c r="E38" i="21"/>
  <c r="E46" i="21"/>
  <c r="E54" i="21"/>
  <c r="E55" i="20"/>
  <c r="E52" i="20"/>
  <c r="E30" i="20"/>
  <c r="BC9" i="18"/>
  <c r="C9" i="21"/>
  <c r="C9" i="20"/>
  <c r="E18" i="21"/>
  <c r="E22" i="21"/>
  <c r="E31" i="21"/>
  <c r="E39" i="21"/>
  <c r="E47" i="21"/>
  <c r="E55" i="21"/>
  <c r="E23" i="20"/>
  <c r="E20" i="20"/>
  <c r="E27" i="20"/>
  <c r="E26" i="20"/>
  <c r="E54" i="20"/>
  <c r="V44" i="21"/>
  <c r="Y44" i="21" s="1"/>
  <c r="W44" i="21"/>
  <c r="T45" i="21"/>
  <c r="Q32" i="21"/>
  <c r="Q34" i="21"/>
  <c r="Q21" i="21"/>
  <c r="Q40" i="21"/>
  <c r="Q48" i="21"/>
  <c r="Q56" i="21"/>
  <c r="AD45" i="21"/>
  <c r="AF45" i="21" s="1"/>
  <c r="AA46" i="21"/>
  <c r="Q30" i="20"/>
  <c r="Q20" i="20"/>
  <c r="Q19" i="20"/>
  <c r="Q53" i="20"/>
  <c r="Q51" i="20"/>
  <c r="E22" i="20"/>
  <c r="Q17" i="21"/>
  <c r="Q18" i="21"/>
  <c r="Q41" i="21"/>
  <c r="Q49" i="21"/>
  <c r="Q36" i="20"/>
  <c r="Q16" i="20"/>
  <c r="Q49" i="20"/>
  <c r="Q50" i="20"/>
  <c r="Q42" i="20"/>
  <c r="E17" i="20"/>
  <c r="Q31" i="21"/>
  <c r="Q20" i="21"/>
  <c r="Q42" i="21"/>
  <c r="Q50" i="21"/>
  <c r="Q18" i="20"/>
  <c r="Q40" i="20"/>
  <c r="Q32" i="20"/>
  <c r="Q41" i="20"/>
  <c r="Q33" i="20"/>
  <c r="E31" i="20"/>
  <c r="Q16" i="21"/>
  <c r="Q29" i="21"/>
  <c r="W15" i="21"/>
  <c r="Q35" i="21"/>
  <c r="Q43" i="21"/>
  <c r="Q51" i="21"/>
  <c r="Q55" i="20"/>
  <c r="Q56" i="20"/>
  <c r="Q23" i="20"/>
  <c r="W15" i="20"/>
  <c r="Q24" i="20"/>
  <c r="Q43" i="20"/>
  <c r="BH9" i="18"/>
  <c r="C14" i="21"/>
  <c r="C14" i="20"/>
  <c r="E23" i="21"/>
  <c r="E56" i="21"/>
  <c r="E38" i="20"/>
  <c r="E41" i="21"/>
  <c r="X46" i="21"/>
  <c r="U47" i="21"/>
  <c r="E49" i="20"/>
  <c r="BI9" i="18"/>
  <c r="C15" i="21"/>
  <c r="C15" i="20"/>
  <c r="E25" i="21"/>
  <c r="E50" i="21"/>
  <c r="E34" i="20"/>
  <c r="E47" i="20"/>
  <c r="E26" i="21"/>
  <c r="E35" i="21"/>
  <c r="E43" i="21"/>
  <c r="E51" i="21"/>
  <c r="E42" i="20"/>
  <c r="E43" i="20"/>
  <c r="E39" i="20"/>
  <c r="E48" i="20"/>
  <c r="E33" i="20"/>
  <c r="Q23" i="21"/>
  <c r="Q22" i="21"/>
  <c r="Q36" i="21"/>
  <c r="Q44" i="21"/>
  <c r="Q52" i="21"/>
  <c r="Q44" i="20"/>
  <c r="Q39" i="20"/>
  <c r="Q45" i="20"/>
  <c r="Q37" i="20"/>
  <c r="Q54" i="20"/>
  <c r="Q46" i="20"/>
  <c r="AC42" i="21"/>
  <c r="AB42" i="21"/>
  <c r="AE42" i="21" s="1"/>
  <c r="AG42" i="21" s="1"/>
  <c r="Z43" i="21"/>
  <c r="E16" i="21"/>
  <c r="E48" i="21"/>
  <c r="E53" i="20"/>
  <c r="E33" i="21"/>
  <c r="E24" i="20"/>
  <c r="E46" i="20"/>
  <c r="E20" i="21"/>
  <c r="E42" i="21"/>
  <c r="E16" i="20"/>
  <c r="BG9" i="18"/>
  <c r="C13" i="21"/>
  <c r="C13" i="20"/>
  <c r="E21" i="21"/>
  <c r="E27" i="21"/>
  <c r="E36" i="21"/>
  <c r="E44" i="21"/>
  <c r="E52" i="21"/>
  <c r="E51" i="20"/>
  <c r="E44" i="20"/>
  <c r="E40" i="20"/>
  <c r="E35" i="20"/>
  <c r="E32" i="20"/>
  <c r="Q24" i="21"/>
  <c r="Q25" i="21"/>
  <c r="AC15" i="21"/>
  <c r="Q37" i="21"/>
  <c r="Q45" i="21"/>
  <c r="Q53" i="21"/>
  <c r="Q26" i="20"/>
  <c r="Q22" i="20"/>
  <c r="Q34" i="20"/>
  <c r="Q17" i="20"/>
  <c r="Q29" i="20"/>
  <c r="Q21" i="20"/>
  <c r="F11" i="20"/>
  <c r="I11" i="20"/>
  <c r="E32" i="21"/>
  <c r="E56" i="20"/>
  <c r="E29" i="20"/>
  <c r="E24" i="21"/>
  <c r="E49" i="21"/>
  <c r="E25" i="20"/>
  <c r="BA9" i="18"/>
  <c r="C7" i="21"/>
  <c r="C7" i="20"/>
  <c r="H11" i="21"/>
  <c r="E34" i="21"/>
  <c r="E45" i="20"/>
  <c r="AZ9" i="18"/>
  <c r="C6" i="21"/>
  <c r="C6" i="20"/>
  <c r="BF9" i="18"/>
  <c r="C12" i="21"/>
  <c r="C12" i="20"/>
  <c r="BD9" i="18"/>
  <c r="C10" i="21"/>
  <c r="C10" i="20"/>
  <c r="E30" i="21"/>
  <c r="E28" i="21"/>
  <c r="E37" i="21"/>
  <c r="E45" i="21"/>
  <c r="E53" i="21"/>
  <c r="E28" i="20"/>
  <c r="E19" i="20"/>
  <c r="E37" i="20"/>
  <c r="E21" i="20"/>
  <c r="E41" i="20"/>
  <c r="E50" i="20"/>
  <c r="Q26" i="21"/>
  <c r="Q27" i="21"/>
  <c r="Q19" i="21"/>
  <c r="Q38" i="21"/>
  <c r="Q46" i="21"/>
  <c r="Q54" i="21"/>
  <c r="Q35" i="20"/>
  <c r="Q28" i="20"/>
  <c r="Q38" i="20"/>
  <c r="Q52" i="20"/>
  <c r="Q25" i="20"/>
  <c r="I11" i="21"/>
  <c r="F11" i="21"/>
  <c r="E36" i="20"/>
  <c r="E18" i="20"/>
  <c r="Q28" i="21"/>
  <c r="Q30" i="21"/>
  <c r="Q33" i="21"/>
  <c r="Q39" i="21"/>
  <c r="Q47" i="21"/>
  <c r="Q55" i="21"/>
  <c r="Q47" i="20"/>
  <c r="Q31" i="20"/>
  <c r="Q48" i="20"/>
  <c r="Q27" i="20"/>
  <c r="AC15" i="20"/>
  <c r="U45" i="20"/>
  <c r="X44" i="20"/>
  <c r="AC43" i="20"/>
  <c r="AB43" i="20"/>
  <c r="AE43" i="20" s="1"/>
  <c r="AM43" i="20" s="1"/>
  <c r="Z44" i="20"/>
  <c r="AA55" i="20"/>
  <c r="AD55" i="20" s="1"/>
  <c r="AL55" i="20" s="1"/>
  <c r="AD54" i="20"/>
  <c r="AL54" i="20" s="1"/>
  <c r="V44" i="20"/>
  <c r="Y44" i="20" s="1"/>
  <c r="T45" i="20"/>
  <c r="AI46" i="20" l="1"/>
  <c r="AH46" i="20"/>
  <c r="AK46" i="20" s="1"/>
  <c r="AF47" i="20"/>
  <c r="F14" i="20"/>
  <c r="D14" i="20"/>
  <c r="F12" i="20"/>
  <c r="D12" i="20"/>
  <c r="I12" i="20" s="1"/>
  <c r="F15" i="20"/>
  <c r="U15" i="20"/>
  <c r="AA15" i="20"/>
  <c r="D15" i="20"/>
  <c r="F14" i="21"/>
  <c r="D14" i="21"/>
  <c r="I12" i="21"/>
  <c r="F12" i="21"/>
  <c r="D12" i="21"/>
  <c r="F13" i="21"/>
  <c r="D13" i="21"/>
  <c r="U15" i="21"/>
  <c r="I15" i="21"/>
  <c r="L15" i="21" s="1"/>
  <c r="F15" i="21"/>
  <c r="AA15" i="21"/>
  <c r="D15" i="21"/>
  <c r="F13" i="20"/>
  <c r="D13" i="20"/>
  <c r="C34" i="20"/>
  <c r="C17" i="20"/>
  <c r="C49" i="20"/>
  <c r="C44" i="20"/>
  <c r="C19" i="20"/>
  <c r="C38" i="20"/>
  <c r="C21" i="20"/>
  <c r="C53" i="20"/>
  <c r="C48" i="20"/>
  <c r="C23" i="20"/>
  <c r="C50" i="20"/>
  <c r="C40" i="20"/>
  <c r="C42" i="20"/>
  <c r="C25" i="20"/>
  <c r="C20" i="20"/>
  <c r="C52" i="20"/>
  <c r="C27" i="20"/>
  <c r="C30" i="20"/>
  <c r="C46" i="20"/>
  <c r="C29" i="20"/>
  <c r="C24" i="20"/>
  <c r="C56" i="20"/>
  <c r="C31" i="20"/>
  <c r="C18" i="20"/>
  <c r="C33" i="20"/>
  <c r="C28" i="20"/>
  <c r="C35" i="20"/>
  <c r="C45" i="20"/>
  <c r="C16" i="20"/>
  <c r="C55" i="20"/>
  <c r="C22" i="20"/>
  <c r="C54" i="20"/>
  <c r="C37" i="20"/>
  <c r="C32" i="20"/>
  <c r="C39" i="20"/>
  <c r="C43" i="20"/>
  <c r="C26" i="20"/>
  <c r="C41" i="20"/>
  <c r="C36" i="20"/>
  <c r="C47" i="20"/>
  <c r="C51" i="20"/>
  <c r="D6" i="20"/>
  <c r="H6" i="20" s="1"/>
  <c r="F7" i="20"/>
  <c r="D7" i="20"/>
  <c r="C35" i="21"/>
  <c r="C34" i="21"/>
  <c r="C33" i="21"/>
  <c r="C32" i="21"/>
  <c r="C31" i="21"/>
  <c r="C30" i="21"/>
  <c r="C49" i="21"/>
  <c r="C56" i="21"/>
  <c r="C48" i="21"/>
  <c r="C55" i="21"/>
  <c r="C47" i="21"/>
  <c r="C41" i="21"/>
  <c r="C39" i="21"/>
  <c r="C37" i="21"/>
  <c r="C54" i="21"/>
  <c r="C46" i="21"/>
  <c r="C20" i="21"/>
  <c r="C18" i="21"/>
  <c r="C52" i="21"/>
  <c r="C44" i="21"/>
  <c r="C51" i="21"/>
  <c r="C38" i="21"/>
  <c r="C53" i="21"/>
  <c r="C36" i="21"/>
  <c r="C19" i="21"/>
  <c r="C50" i="21"/>
  <c r="C45" i="21"/>
  <c r="C16" i="21"/>
  <c r="C43" i="21"/>
  <c r="C28" i="21"/>
  <c r="C26" i="21"/>
  <c r="C24" i="21"/>
  <c r="C17" i="21"/>
  <c r="C42" i="21"/>
  <c r="C40" i="21"/>
  <c r="C29" i="21"/>
  <c r="C23" i="21"/>
  <c r="C22" i="21"/>
  <c r="C27" i="21"/>
  <c r="C21" i="21"/>
  <c r="C25" i="21"/>
  <c r="D6" i="21"/>
  <c r="H6" i="21" s="1"/>
  <c r="I7" i="21"/>
  <c r="F7" i="21"/>
  <c r="D7" i="21"/>
  <c r="V45" i="21"/>
  <c r="Y45" i="21" s="1"/>
  <c r="W45" i="21"/>
  <c r="T46" i="21"/>
  <c r="F8" i="20"/>
  <c r="D8" i="20"/>
  <c r="I8" i="20" s="1"/>
  <c r="F10" i="20"/>
  <c r="O33" i="20"/>
  <c r="O55" i="20"/>
  <c r="O30" i="20"/>
  <c r="O44" i="20"/>
  <c r="O23" i="20"/>
  <c r="O52" i="20"/>
  <c r="O50" i="20"/>
  <c r="O25" i="20"/>
  <c r="O47" i="20"/>
  <c r="O22" i="20"/>
  <c r="O36" i="20"/>
  <c r="O42" i="20"/>
  <c r="O24" i="20"/>
  <c r="O19" i="20"/>
  <c r="O17" i="20"/>
  <c r="O39" i="20"/>
  <c r="O53" i="20"/>
  <c r="O28" i="20"/>
  <c r="O34" i="20"/>
  <c r="O56" i="20"/>
  <c r="O31" i="20"/>
  <c r="O45" i="20"/>
  <c r="O20" i="20"/>
  <c r="O26" i="20"/>
  <c r="O48" i="20"/>
  <c r="O37" i="20"/>
  <c r="O51" i="20"/>
  <c r="O18" i="20"/>
  <c r="O27" i="20"/>
  <c r="O40" i="20"/>
  <c r="O54" i="20"/>
  <c r="O29" i="20"/>
  <c r="O43" i="20"/>
  <c r="O16" i="20"/>
  <c r="O49" i="20"/>
  <c r="O32" i="20"/>
  <c r="O46" i="20"/>
  <c r="O21" i="20"/>
  <c r="O35" i="20"/>
  <c r="O41" i="20"/>
  <c r="O38" i="20"/>
  <c r="D10" i="20"/>
  <c r="AC43" i="21"/>
  <c r="AB43" i="21"/>
  <c r="AE43" i="21" s="1"/>
  <c r="AG43" i="21" s="1"/>
  <c r="Z44" i="21"/>
  <c r="X47" i="21"/>
  <c r="U48" i="21"/>
  <c r="F9" i="20"/>
  <c r="D9" i="20"/>
  <c r="F8" i="21"/>
  <c r="D8" i="21"/>
  <c r="O56" i="21"/>
  <c r="O54" i="21"/>
  <c r="O46" i="21"/>
  <c r="O53" i="21"/>
  <c r="O45" i="21"/>
  <c r="O52" i="21"/>
  <c r="O44" i="21"/>
  <c r="O40" i="21"/>
  <c r="O38" i="21"/>
  <c r="O36" i="21"/>
  <c r="O51" i="21"/>
  <c r="O43" i="21"/>
  <c r="O28" i="21"/>
  <c r="O27" i="21"/>
  <c r="O26" i="21"/>
  <c r="O25" i="21"/>
  <c r="O24" i="21"/>
  <c r="O23" i="21"/>
  <c r="O22" i="21"/>
  <c r="O19" i="21"/>
  <c r="O17" i="21"/>
  <c r="O49" i="21"/>
  <c r="O34" i="21"/>
  <c r="O33" i="21"/>
  <c r="O32" i="21"/>
  <c r="O31" i="21"/>
  <c r="O30" i="21"/>
  <c r="O29" i="21"/>
  <c r="I10" i="21"/>
  <c r="F10" i="21"/>
  <c r="O48" i="21"/>
  <c r="O41" i="21"/>
  <c r="O21" i="21"/>
  <c r="O55" i="21"/>
  <c r="O50" i="21"/>
  <c r="O39" i="21"/>
  <c r="O37" i="21"/>
  <c r="O35" i="21"/>
  <c r="O20" i="21"/>
  <c r="O18" i="21"/>
  <c r="O16" i="21"/>
  <c r="O47" i="21"/>
  <c r="O42" i="21"/>
  <c r="D10" i="21"/>
  <c r="AD46" i="21"/>
  <c r="AF46" i="21" s="1"/>
  <c r="AA47" i="21"/>
  <c r="F9" i="21"/>
  <c r="D9" i="21"/>
  <c r="I9" i="21" s="1"/>
  <c r="U46" i="20"/>
  <c r="X45" i="20"/>
  <c r="T46" i="20"/>
  <c r="V46" i="20" s="1"/>
  <c r="W45" i="20"/>
  <c r="AC44" i="20"/>
  <c r="AB44" i="20"/>
  <c r="AE44" i="20" s="1"/>
  <c r="AM44" i="20" s="1"/>
  <c r="Z45" i="20"/>
  <c r="V45" i="20"/>
  <c r="Y45" i="20" s="1"/>
  <c r="AI47" i="20" l="1"/>
  <c r="AF48" i="20"/>
  <c r="R54" i="21"/>
  <c r="P54" i="21"/>
  <c r="S54" i="21" s="1"/>
  <c r="R26" i="20"/>
  <c r="P26" i="20"/>
  <c r="S26" i="20" s="1"/>
  <c r="F31" i="21"/>
  <c r="D31" i="21"/>
  <c r="G31" i="21" s="1"/>
  <c r="F46" i="20"/>
  <c r="D46" i="20"/>
  <c r="G46" i="20" s="1"/>
  <c r="R21" i="21"/>
  <c r="P21" i="21"/>
  <c r="S21" i="21" s="1"/>
  <c r="R35" i="20"/>
  <c r="P35" i="20"/>
  <c r="S35" i="20" s="1"/>
  <c r="R37" i="21"/>
  <c r="P37" i="21"/>
  <c r="S37" i="21" s="1"/>
  <c r="R28" i="21"/>
  <c r="P28" i="21"/>
  <c r="S28" i="21" s="1"/>
  <c r="G9" i="20"/>
  <c r="H9" i="20"/>
  <c r="G10" i="20"/>
  <c r="H10" i="20"/>
  <c r="R51" i="20"/>
  <c r="P51" i="20"/>
  <c r="S51" i="20" s="1"/>
  <c r="R36" i="20"/>
  <c r="P36" i="20"/>
  <c r="S36" i="20" s="1"/>
  <c r="F27" i="21"/>
  <c r="D27" i="21"/>
  <c r="G27" i="21" s="1"/>
  <c r="R42" i="21"/>
  <c r="P42" i="21"/>
  <c r="S42" i="21" s="1"/>
  <c r="R50" i="21"/>
  <c r="P50" i="21"/>
  <c r="S50" i="21" s="1"/>
  <c r="R30" i="21"/>
  <c r="P30" i="21"/>
  <c r="S30" i="21" s="1"/>
  <c r="R22" i="21"/>
  <c r="P22" i="21"/>
  <c r="S22" i="21" s="1"/>
  <c r="R51" i="21"/>
  <c r="P51" i="21"/>
  <c r="S51" i="21" s="1"/>
  <c r="R46" i="21"/>
  <c r="P46" i="21"/>
  <c r="S46" i="21" s="1"/>
  <c r="R38" i="20"/>
  <c r="P38" i="20"/>
  <c r="S38" i="20" s="1"/>
  <c r="R43" i="20"/>
  <c r="P43" i="20"/>
  <c r="S43" i="20" s="1"/>
  <c r="R48" i="20"/>
  <c r="P48" i="20"/>
  <c r="S48" i="20" s="1"/>
  <c r="R53" i="20"/>
  <c r="P53" i="20"/>
  <c r="S53" i="20" s="1"/>
  <c r="R47" i="20"/>
  <c r="P47" i="20"/>
  <c r="S47" i="20" s="1"/>
  <c r="R33" i="20"/>
  <c r="P33" i="20"/>
  <c r="S33" i="20" s="1"/>
  <c r="G7" i="21"/>
  <c r="H7" i="21"/>
  <c r="F23" i="21"/>
  <c r="D23" i="21"/>
  <c r="G23" i="21" s="1"/>
  <c r="F43" i="21"/>
  <c r="D43" i="21"/>
  <c r="G43" i="21" s="1"/>
  <c r="F38" i="21"/>
  <c r="D38" i="21"/>
  <c r="G38" i="21" s="1"/>
  <c r="F37" i="21"/>
  <c r="D37" i="21"/>
  <c r="G37" i="21" s="1"/>
  <c r="F30" i="21"/>
  <c r="D30" i="21"/>
  <c r="G30" i="21" s="1"/>
  <c r="F43" i="20"/>
  <c r="D43" i="20"/>
  <c r="G43" i="20" s="1"/>
  <c r="F45" i="20"/>
  <c r="D45" i="20"/>
  <c r="G45" i="20" s="1"/>
  <c r="F29" i="20"/>
  <c r="D29" i="20"/>
  <c r="G29" i="20" s="1"/>
  <c r="F40" i="20"/>
  <c r="D40" i="20"/>
  <c r="G40" i="20" s="1"/>
  <c r="F44" i="20"/>
  <c r="D44" i="20"/>
  <c r="G44" i="20" s="1"/>
  <c r="AD15" i="21"/>
  <c r="AF15" i="21" s="1"/>
  <c r="AB15" i="21"/>
  <c r="AE15" i="21" s="1"/>
  <c r="AG15" i="21" s="1"/>
  <c r="X15" i="20"/>
  <c r="V15" i="20"/>
  <c r="Y15" i="20" s="1"/>
  <c r="R23" i="21"/>
  <c r="P23" i="21"/>
  <c r="S23" i="21" s="1"/>
  <c r="R29" i="20"/>
  <c r="P29" i="20"/>
  <c r="S29" i="20" s="1"/>
  <c r="F16" i="21"/>
  <c r="D16" i="21"/>
  <c r="G16" i="21" s="1"/>
  <c r="F50" i="20"/>
  <c r="D50" i="20"/>
  <c r="G50" i="20" s="1"/>
  <c r="R16" i="21"/>
  <c r="P16" i="21"/>
  <c r="S16" i="21" s="1"/>
  <c r="R38" i="21"/>
  <c r="P38" i="21"/>
  <c r="S38" i="21" s="1"/>
  <c r="R20" i="20"/>
  <c r="P20" i="20"/>
  <c r="S20" i="20" s="1"/>
  <c r="F40" i="21"/>
  <c r="D40" i="21"/>
  <c r="G40" i="21" s="1"/>
  <c r="F44" i="21"/>
  <c r="D44" i="21"/>
  <c r="G44" i="21" s="1"/>
  <c r="F32" i="20"/>
  <c r="D32" i="20"/>
  <c r="G32" i="20" s="1"/>
  <c r="F23" i="20"/>
  <c r="D23" i="20"/>
  <c r="G23" i="20" s="1"/>
  <c r="G14" i="21"/>
  <c r="H14" i="21"/>
  <c r="R41" i="21"/>
  <c r="P41" i="21"/>
  <c r="S41" i="21" s="1"/>
  <c r="R33" i="21"/>
  <c r="P33" i="21"/>
  <c r="S33" i="21" s="1"/>
  <c r="R25" i="21"/>
  <c r="P25" i="21"/>
  <c r="S25" i="21" s="1"/>
  <c r="R40" i="21"/>
  <c r="P40" i="21"/>
  <c r="S40" i="21" s="1"/>
  <c r="G8" i="21"/>
  <c r="H8" i="21"/>
  <c r="H31" i="21" s="1"/>
  <c r="AC44" i="21"/>
  <c r="AB44" i="21"/>
  <c r="AE44" i="21" s="1"/>
  <c r="AG44" i="21" s="1"/>
  <c r="Z45" i="21"/>
  <c r="R21" i="20"/>
  <c r="P21" i="20"/>
  <c r="S21" i="20" s="1"/>
  <c r="R40" i="20"/>
  <c r="P40" i="20"/>
  <c r="S40" i="20" s="1"/>
  <c r="R45" i="20"/>
  <c r="P45" i="20"/>
  <c r="S45" i="20" s="1"/>
  <c r="R19" i="20"/>
  <c r="P19" i="20"/>
  <c r="S19" i="20" s="1"/>
  <c r="R52" i="20"/>
  <c r="P52" i="20"/>
  <c r="S52" i="20" s="1"/>
  <c r="F42" i="21"/>
  <c r="D42" i="21"/>
  <c r="G42" i="21" s="1"/>
  <c r="F50" i="21"/>
  <c r="D50" i="21"/>
  <c r="G50" i="21" s="1"/>
  <c r="F52" i="21"/>
  <c r="D52" i="21"/>
  <c r="G52" i="21" s="1"/>
  <c r="F47" i="21"/>
  <c r="D47" i="21"/>
  <c r="G47" i="21" s="1"/>
  <c r="F33" i="21"/>
  <c r="D33" i="21"/>
  <c r="G33" i="21" s="1"/>
  <c r="F51" i="20"/>
  <c r="D51" i="20"/>
  <c r="G51" i="20" s="1"/>
  <c r="F37" i="20"/>
  <c r="D37" i="20"/>
  <c r="G37" i="20" s="1"/>
  <c r="F33" i="20"/>
  <c r="D33" i="20"/>
  <c r="G33" i="20" s="1"/>
  <c r="F27" i="20"/>
  <c r="D27" i="20"/>
  <c r="G27" i="20" s="1"/>
  <c r="F48" i="20"/>
  <c r="D48" i="20"/>
  <c r="G48" i="20" s="1"/>
  <c r="F34" i="20"/>
  <c r="D34" i="20"/>
  <c r="G34" i="20" s="1"/>
  <c r="X15" i="21"/>
  <c r="V15" i="21"/>
  <c r="Y15" i="21" s="1"/>
  <c r="R47" i="21"/>
  <c r="P47" i="21"/>
  <c r="S47" i="21" s="1"/>
  <c r="R31" i="21"/>
  <c r="P31" i="21"/>
  <c r="S31" i="21" s="1"/>
  <c r="X48" i="21"/>
  <c r="U49" i="21"/>
  <c r="R39" i="20"/>
  <c r="P39" i="20"/>
  <c r="S39" i="20" s="1"/>
  <c r="F29" i="21"/>
  <c r="D29" i="21"/>
  <c r="G29" i="21" s="1"/>
  <c r="F49" i="20"/>
  <c r="D49" i="20"/>
  <c r="G49" i="20" s="1"/>
  <c r="R56" i="21"/>
  <c r="P56" i="21"/>
  <c r="S56" i="21" s="1"/>
  <c r="R50" i="20"/>
  <c r="P50" i="20"/>
  <c r="S50" i="20" s="1"/>
  <c r="G8" i="20"/>
  <c r="H8" i="20"/>
  <c r="F41" i="21"/>
  <c r="D41" i="21"/>
  <c r="G41" i="21" s="1"/>
  <c r="F28" i="20"/>
  <c r="D28" i="20"/>
  <c r="G28" i="20" s="1"/>
  <c r="R18" i="21"/>
  <c r="P18" i="21"/>
  <c r="S18" i="21" s="1"/>
  <c r="R20" i="21"/>
  <c r="P20" i="21"/>
  <c r="S20" i="21" s="1"/>
  <c r="R48" i="21"/>
  <c r="P48" i="21"/>
  <c r="S48" i="21" s="1"/>
  <c r="R34" i="21"/>
  <c r="P34" i="21"/>
  <c r="S34" i="21" s="1"/>
  <c r="R26" i="21"/>
  <c r="P26" i="21"/>
  <c r="S26" i="21" s="1"/>
  <c r="R44" i="21"/>
  <c r="P44" i="21"/>
  <c r="S44" i="21" s="1"/>
  <c r="R46" i="20"/>
  <c r="P46" i="20"/>
  <c r="S46" i="20" s="1"/>
  <c r="R27" i="20"/>
  <c r="P27" i="20"/>
  <c r="S27" i="20" s="1"/>
  <c r="R31" i="20"/>
  <c r="P31" i="20"/>
  <c r="S31" i="20" s="1"/>
  <c r="R24" i="20"/>
  <c r="P24" i="20"/>
  <c r="S24" i="20" s="1"/>
  <c r="R23" i="20"/>
  <c r="P23" i="20"/>
  <c r="S23" i="20" s="1"/>
  <c r="F25" i="21"/>
  <c r="D25" i="21"/>
  <c r="G25" i="21" s="1"/>
  <c r="F17" i="21"/>
  <c r="D17" i="21"/>
  <c r="G17" i="21" s="1"/>
  <c r="F19" i="21"/>
  <c r="D19" i="21"/>
  <c r="G19" i="21" s="1"/>
  <c r="F18" i="21"/>
  <c r="D18" i="21"/>
  <c r="G18" i="21" s="1"/>
  <c r="F55" i="21"/>
  <c r="D55" i="21"/>
  <c r="G55" i="21" s="1"/>
  <c r="F34" i="21"/>
  <c r="D34" i="21"/>
  <c r="G34" i="21" s="1"/>
  <c r="F47" i="20"/>
  <c r="D47" i="20"/>
  <c r="G47" i="20" s="1"/>
  <c r="F54" i="20"/>
  <c r="D54" i="20"/>
  <c r="G54" i="20" s="1"/>
  <c r="F18" i="20"/>
  <c r="D18" i="20"/>
  <c r="G18" i="20" s="1"/>
  <c r="F52" i="20"/>
  <c r="D52" i="20"/>
  <c r="G52" i="20" s="1"/>
  <c r="F53" i="20"/>
  <c r="D53" i="20"/>
  <c r="G53" i="20" s="1"/>
  <c r="G13" i="20"/>
  <c r="H13" i="20"/>
  <c r="G13" i="21"/>
  <c r="H13" i="21"/>
  <c r="I14" i="21"/>
  <c r="R55" i="21"/>
  <c r="P55" i="21"/>
  <c r="S55" i="21" s="1"/>
  <c r="R41" i="20"/>
  <c r="P41" i="20"/>
  <c r="S41" i="20" s="1"/>
  <c r="F51" i="21"/>
  <c r="D51" i="21"/>
  <c r="G51" i="21" s="1"/>
  <c r="F35" i="20"/>
  <c r="D35" i="20"/>
  <c r="G35" i="20" s="1"/>
  <c r="G9" i="21"/>
  <c r="H9" i="21"/>
  <c r="H39" i="21" s="1"/>
  <c r="R24" i="21"/>
  <c r="P24" i="21"/>
  <c r="S24" i="21" s="1"/>
  <c r="R17" i="20"/>
  <c r="P17" i="20"/>
  <c r="S17" i="20" s="1"/>
  <c r="F45" i="21"/>
  <c r="D45" i="21"/>
  <c r="G45" i="21" s="1"/>
  <c r="F32" i="21"/>
  <c r="D32" i="21"/>
  <c r="G32" i="21" s="1"/>
  <c r="I6" i="20"/>
  <c r="F30" i="20"/>
  <c r="D30" i="20"/>
  <c r="G30" i="20" s="1"/>
  <c r="F17" i="20"/>
  <c r="D17" i="20"/>
  <c r="G17" i="20" s="1"/>
  <c r="G12" i="20"/>
  <c r="H12" i="20"/>
  <c r="AD47" i="21"/>
  <c r="AF47" i="21" s="1"/>
  <c r="AA48" i="21"/>
  <c r="R35" i="21"/>
  <c r="P35" i="21"/>
  <c r="S35" i="21" s="1"/>
  <c r="R49" i="21"/>
  <c r="P49" i="21"/>
  <c r="S49" i="21" s="1"/>
  <c r="R27" i="21"/>
  <c r="P27" i="21"/>
  <c r="S27" i="21" s="1"/>
  <c r="R52" i="21"/>
  <c r="P52" i="21"/>
  <c r="S52" i="21" s="1"/>
  <c r="I8" i="21"/>
  <c r="R32" i="20"/>
  <c r="P32" i="20"/>
  <c r="S32" i="20" s="1"/>
  <c r="R18" i="20"/>
  <c r="P18" i="20"/>
  <c r="S18" i="20" s="1"/>
  <c r="R56" i="20"/>
  <c r="P56" i="20"/>
  <c r="S56" i="20" s="1"/>
  <c r="R42" i="20"/>
  <c r="P42" i="20"/>
  <c r="S42" i="20" s="1"/>
  <c r="R44" i="20"/>
  <c r="P44" i="20"/>
  <c r="S44" i="20" s="1"/>
  <c r="V46" i="21"/>
  <c r="Y46" i="21" s="1"/>
  <c r="W46" i="21"/>
  <c r="T47" i="21"/>
  <c r="F21" i="21"/>
  <c r="D21" i="21"/>
  <c r="G21" i="21" s="1"/>
  <c r="F24" i="21"/>
  <c r="D24" i="21"/>
  <c r="G24" i="21" s="1"/>
  <c r="F36" i="21"/>
  <c r="D36" i="21"/>
  <c r="G36" i="21" s="1"/>
  <c r="F20" i="21"/>
  <c r="D20" i="21"/>
  <c r="G20" i="21" s="1"/>
  <c r="F48" i="21"/>
  <c r="D48" i="21"/>
  <c r="G48" i="21" s="1"/>
  <c r="F35" i="21"/>
  <c r="D35" i="21"/>
  <c r="G35" i="21" s="1"/>
  <c r="F36" i="20"/>
  <c r="D36" i="20"/>
  <c r="G36" i="20" s="1"/>
  <c r="F22" i="20"/>
  <c r="D22" i="20"/>
  <c r="G22" i="20" s="1"/>
  <c r="F31" i="20"/>
  <c r="D31" i="20"/>
  <c r="G31" i="20" s="1"/>
  <c r="F20" i="20"/>
  <c r="D20" i="20"/>
  <c r="G20" i="20" s="1"/>
  <c r="F21" i="20"/>
  <c r="D21" i="20"/>
  <c r="G21" i="20" s="1"/>
  <c r="I13" i="20"/>
  <c r="G15" i="20"/>
  <c r="H15" i="20"/>
  <c r="G14" i="20"/>
  <c r="H14" i="20"/>
  <c r="F46" i="21"/>
  <c r="D46" i="21"/>
  <c r="G46" i="21" s="1"/>
  <c r="F56" i="21"/>
  <c r="D56" i="21"/>
  <c r="G56" i="21" s="1"/>
  <c r="G7" i="20"/>
  <c r="H7" i="20"/>
  <c r="F41" i="20"/>
  <c r="D41" i="20"/>
  <c r="G41" i="20" s="1"/>
  <c r="F55" i="20"/>
  <c r="D55" i="20"/>
  <c r="G55" i="20" s="1"/>
  <c r="F56" i="20"/>
  <c r="D56" i="20"/>
  <c r="G56" i="20" s="1"/>
  <c r="F25" i="20"/>
  <c r="D25" i="20"/>
  <c r="G25" i="20" s="1"/>
  <c r="F38" i="20"/>
  <c r="D38" i="20"/>
  <c r="G38" i="20" s="1"/>
  <c r="I13" i="21"/>
  <c r="I15" i="20"/>
  <c r="I14" i="20"/>
  <c r="R36" i="21"/>
  <c r="P36" i="21"/>
  <c r="S36" i="21" s="1"/>
  <c r="R25" i="20"/>
  <c r="P25" i="20"/>
  <c r="S25" i="20" s="1"/>
  <c r="F39" i="21"/>
  <c r="D39" i="21"/>
  <c r="G39" i="21" s="1"/>
  <c r="F39" i="20"/>
  <c r="D39" i="20"/>
  <c r="G39" i="20" s="1"/>
  <c r="R32" i="21"/>
  <c r="P32" i="21"/>
  <c r="S32" i="21" s="1"/>
  <c r="R54" i="20"/>
  <c r="P54" i="20"/>
  <c r="S54" i="20" s="1"/>
  <c r="R17" i="21"/>
  <c r="P17" i="21"/>
  <c r="S17" i="21" s="1"/>
  <c r="R45" i="21"/>
  <c r="P45" i="21"/>
  <c r="S45" i="21" s="1"/>
  <c r="R49" i="20"/>
  <c r="P49" i="20"/>
  <c r="S49" i="20" s="1"/>
  <c r="R34" i="20"/>
  <c r="P34" i="20"/>
  <c r="S34" i="20" s="1"/>
  <c r="R30" i="20"/>
  <c r="P30" i="20"/>
  <c r="S30" i="20" s="1"/>
  <c r="F26" i="21"/>
  <c r="D26" i="21"/>
  <c r="G26" i="21" s="1"/>
  <c r="F53" i="21"/>
  <c r="D53" i="21"/>
  <c r="G53" i="21" s="1"/>
  <c r="G10" i="21"/>
  <c r="H10" i="21"/>
  <c r="H49" i="21" s="1"/>
  <c r="R39" i="21"/>
  <c r="P39" i="21"/>
  <c r="S39" i="21" s="1"/>
  <c r="R29" i="21"/>
  <c r="P29" i="21"/>
  <c r="S29" i="21" s="1"/>
  <c r="R19" i="21"/>
  <c r="P19" i="21"/>
  <c r="S19" i="21" s="1"/>
  <c r="R43" i="21"/>
  <c r="P43" i="21"/>
  <c r="S43" i="21" s="1"/>
  <c r="R53" i="21"/>
  <c r="P53" i="21"/>
  <c r="S53" i="21" s="1"/>
  <c r="I9" i="20"/>
  <c r="I10" i="20"/>
  <c r="R16" i="20"/>
  <c r="P16" i="20"/>
  <c r="S16" i="20" s="1"/>
  <c r="R37" i="20"/>
  <c r="P37" i="20"/>
  <c r="S37" i="20" s="1"/>
  <c r="R28" i="20"/>
  <c r="P28" i="20"/>
  <c r="S28" i="20" s="1"/>
  <c r="R22" i="20"/>
  <c r="P22" i="20"/>
  <c r="S22" i="20" s="1"/>
  <c r="R55" i="20"/>
  <c r="P55" i="20"/>
  <c r="S55" i="20" s="1"/>
  <c r="F22" i="21"/>
  <c r="D22" i="21"/>
  <c r="G22" i="21" s="1"/>
  <c r="F28" i="21"/>
  <c r="D28" i="21"/>
  <c r="G28" i="21" s="1"/>
  <c r="I6" i="21"/>
  <c r="F54" i="21"/>
  <c r="D54" i="21"/>
  <c r="G54" i="21" s="1"/>
  <c r="F49" i="21"/>
  <c r="D49" i="21"/>
  <c r="G49" i="21" s="1"/>
  <c r="I7" i="20"/>
  <c r="F26" i="20"/>
  <c r="D26" i="20"/>
  <c r="G26" i="20" s="1"/>
  <c r="F16" i="20"/>
  <c r="D16" i="20"/>
  <c r="G16" i="20" s="1"/>
  <c r="F24" i="20"/>
  <c r="D24" i="20"/>
  <c r="G24" i="20" s="1"/>
  <c r="F42" i="20"/>
  <c r="D42" i="20"/>
  <c r="G42" i="20" s="1"/>
  <c r="F19" i="20"/>
  <c r="D19" i="20"/>
  <c r="G19" i="20" s="1"/>
  <c r="G15" i="21"/>
  <c r="H15" i="21"/>
  <c r="K15" i="21" s="1"/>
  <c r="G12" i="21"/>
  <c r="H12" i="21"/>
  <c r="AD15" i="20"/>
  <c r="AL15" i="20" s="1"/>
  <c r="AB15" i="20"/>
  <c r="AE15" i="20" s="1"/>
  <c r="AM15" i="20" s="1"/>
  <c r="X46" i="20"/>
  <c r="U47" i="20"/>
  <c r="Y46" i="20"/>
  <c r="W46" i="20"/>
  <c r="Z46" i="20"/>
  <c r="AB46" i="20" s="1"/>
  <c r="AC45" i="20"/>
  <c r="AB45" i="20"/>
  <c r="AE45" i="20" s="1"/>
  <c r="AM45" i="20" s="1"/>
  <c r="T47" i="20"/>
  <c r="W47" i="20" s="1"/>
  <c r="AI48" i="20" l="1"/>
  <c r="AF49" i="20"/>
  <c r="H25" i="20"/>
  <c r="L15" i="20"/>
  <c r="AJ15" i="20"/>
  <c r="H54" i="20"/>
  <c r="J54" i="20" s="1"/>
  <c r="M54" i="20" s="1"/>
  <c r="K15" i="20"/>
  <c r="K31" i="21"/>
  <c r="K25" i="20"/>
  <c r="J39" i="21"/>
  <c r="M39" i="21" s="1"/>
  <c r="K39" i="21"/>
  <c r="K49" i="21"/>
  <c r="H53" i="20"/>
  <c r="H42" i="21"/>
  <c r="H35" i="20"/>
  <c r="H50" i="21"/>
  <c r="H28" i="20"/>
  <c r="H51" i="20"/>
  <c r="H21" i="20"/>
  <c r="H20" i="20"/>
  <c r="H50" i="20"/>
  <c r="H40" i="21"/>
  <c r="H36" i="21"/>
  <c r="H25" i="21"/>
  <c r="H54" i="21"/>
  <c r="H32" i="21"/>
  <c r="H33" i="20"/>
  <c r="H27" i="20"/>
  <c r="V47" i="21"/>
  <c r="Y47" i="21" s="1"/>
  <c r="W47" i="21"/>
  <c r="T48" i="21"/>
  <c r="H43" i="20"/>
  <c r="H26" i="20"/>
  <c r="H18" i="20"/>
  <c r="H56" i="20"/>
  <c r="H49" i="20"/>
  <c r="H17" i="21"/>
  <c r="H29" i="21"/>
  <c r="H28" i="21"/>
  <c r="H41" i="21"/>
  <c r="H35" i="21"/>
  <c r="H31" i="20"/>
  <c r="H26" i="21"/>
  <c r="H37" i="20"/>
  <c r="H18" i="21"/>
  <c r="H17" i="20"/>
  <c r="H41" i="20"/>
  <c r="H23" i="20"/>
  <c r="H38" i="20"/>
  <c r="H48" i="20"/>
  <c r="H38" i="21"/>
  <c r="H43" i="21"/>
  <c r="H44" i="21"/>
  <c r="H45" i="21"/>
  <c r="H47" i="21"/>
  <c r="H56" i="21"/>
  <c r="AD48" i="21"/>
  <c r="AF48" i="21" s="1"/>
  <c r="AA49" i="21"/>
  <c r="H36" i="20"/>
  <c r="H37" i="21"/>
  <c r="H44" i="20"/>
  <c r="H27" i="21"/>
  <c r="H32" i="20"/>
  <c r="H55" i="20"/>
  <c r="H29" i="20"/>
  <c r="H40" i="20"/>
  <c r="H16" i="20"/>
  <c r="H16" i="21"/>
  <c r="H48" i="21"/>
  <c r="H52" i="21"/>
  <c r="H53" i="21"/>
  <c r="H55" i="21"/>
  <c r="H24" i="20"/>
  <c r="H33" i="21"/>
  <c r="H47" i="20"/>
  <c r="H34" i="21"/>
  <c r="I56" i="21"/>
  <c r="L56" i="21" s="1"/>
  <c r="I55" i="21"/>
  <c r="L55" i="21" s="1"/>
  <c r="I54" i="21"/>
  <c r="L54" i="21" s="1"/>
  <c r="I53" i="21"/>
  <c r="L53" i="21" s="1"/>
  <c r="I52" i="21"/>
  <c r="L52" i="21" s="1"/>
  <c r="I51" i="21"/>
  <c r="L51" i="21" s="1"/>
  <c r="I50" i="21"/>
  <c r="L50" i="21" s="1"/>
  <c r="I49" i="21"/>
  <c r="L49" i="21" s="1"/>
  <c r="I48" i="21"/>
  <c r="L48" i="21" s="1"/>
  <c r="I47" i="21"/>
  <c r="L47" i="21" s="1"/>
  <c r="I46" i="21"/>
  <c r="L46" i="21" s="1"/>
  <c r="I45" i="21"/>
  <c r="L45" i="21" s="1"/>
  <c r="I44" i="21"/>
  <c r="L44" i="21" s="1"/>
  <c r="I43" i="21"/>
  <c r="L43" i="21" s="1"/>
  <c r="I42" i="21"/>
  <c r="L42" i="21" s="1"/>
  <c r="I41" i="21"/>
  <c r="L41" i="21" s="1"/>
  <c r="I40" i="21"/>
  <c r="L40" i="21" s="1"/>
  <c r="I39" i="21"/>
  <c r="L39" i="21" s="1"/>
  <c r="I38" i="21"/>
  <c r="L38" i="21" s="1"/>
  <c r="I37" i="21"/>
  <c r="L37" i="21" s="1"/>
  <c r="I36" i="21"/>
  <c r="L36" i="21" s="1"/>
  <c r="I35" i="21"/>
  <c r="L35" i="21" s="1"/>
  <c r="I34" i="21"/>
  <c r="L34" i="21" s="1"/>
  <c r="I33" i="21"/>
  <c r="L33" i="21" s="1"/>
  <c r="I32" i="21"/>
  <c r="L32" i="21" s="1"/>
  <c r="I31" i="21"/>
  <c r="L31" i="21" s="1"/>
  <c r="I21" i="21"/>
  <c r="L21" i="21" s="1"/>
  <c r="I30" i="21"/>
  <c r="L30" i="21" s="1"/>
  <c r="I28" i="21"/>
  <c r="L28" i="21" s="1"/>
  <c r="I27" i="21"/>
  <c r="L27" i="21" s="1"/>
  <c r="I26" i="21"/>
  <c r="L26" i="21" s="1"/>
  <c r="I25" i="21"/>
  <c r="L25" i="21" s="1"/>
  <c r="I24" i="21"/>
  <c r="L24" i="21" s="1"/>
  <c r="I23" i="21"/>
  <c r="L23" i="21" s="1"/>
  <c r="I22" i="21"/>
  <c r="L22" i="21" s="1"/>
  <c r="I29" i="21"/>
  <c r="L29" i="21" s="1"/>
  <c r="I20" i="21"/>
  <c r="L20" i="21" s="1"/>
  <c r="I17" i="21"/>
  <c r="L17" i="21" s="1"/>
  <c r="I19" i="21"/>
  <c r="L19" i="21" s="1"/>
  <c r="I18" i="21"/>
  <c r="L18" i="21" s="1"/>
  <c r="I16" i="21"/>
  <c r="L16" i="21" s="1"/>
  <c r="H46" i="20"/>
  <c r="H52" i="20"/>
  <c r="H22" i="20"/>
  <c r="H30" i="20"/>
  <c r="H39" i="20"/>
  <c r="X49" i="21"/>
  <c r="U50" i="21"/>
  <c r="H19" i="21"/>
  <c r="H22" i="21"/>
  <c r="H23" i="21"/>
  <c r="H21" i="21"/>
  <c r="H30" i="21"/>
  <c r="I33" i="20"/>
  <c r="L33" i="20" s="1"/>
  <c r="I16" i="20"/>
  <c r="L16" i="20" s="1"/>
  <c r="I39" i="20"/>
  <c r="L39" i="20" s="1"/>
  <c r="I23" i="20"/>
  <c r="L23" i="20" s="1"/>
  <c r="I28" i="20"/>
  <c r="L28" i="20" s="1"/>
  <c r="I41" i="20"/>
  <c r="L41" i="20" s="1"/>
  <c r="I48" i="20"/>
  <c r="L48" i="20" s="1"/>
  <c r="I36" i="20"/>
  <c r="L36" i="20" s="1"/>
  <c r="I44" i="20"/>
  <c r="L44" i="20" s="1"/>
  <c r="I42" i="20"/>
  <c r="L42" i="20" s="1"/>
  <c r="I24" i="20"/>
  <c r="L24" i="20" s="1"/>
  <c r="I19" i="20"/>
  <c r="L19" i="20" s="1"/>
  <c r="I35" i="20"/>
  <c r="L35" i="20" s="1"/>
  <c r="I37" i="20"/>
  <c r="L37" i="20" s="1"/>
  <c r="I30" i="20"/>
  <c r="L30" i="20" s="1"/>
  <c r="I27" i="20"/>
  <c r="L27" i="20" s="1"/>
  <c r="I25" i="20"/>
  <c r="L25" i="20" s="1"/>
  <c r="I56" i="20"/>
  <c r="L56" i="20" s="1"/>
  <c r="I22" i="20"/>
  <c r="L22" i="20" s="1"/>
  <c r="I54" i="20"/>
  <c r="L54" i="20" s="1"/>
  <c r="I51" i="20"/>
  <c r="L51" i="20" s="1"/>
  <c r="I34" i="20"/>
  <c r="L34" i="20" s="1"/>
  <c r="I17" i="20"/>
  <c r="L17" i="20" s="1"/>
  <c r="I38" i="20"/>
  <c r="L38" i="20" s="1"/>
  <c r="I20" i="20"/>
  <c r="L20" i="20" s="1"/>
  <c r="I18" i="20"/>
  <c r="L18" i="20" s="1"/>
  <c r="I47" i="20"/>
  <c r="L47" i="20" s="1"/>
  <c r="I32" i="20"/>
  <c r="L32" i="20" s="1"/>
  <c r="I21" i="20"/>
  <c r="L21" i="20" s="1"/>
  <c r="I52" i="20"/>
  <c r="L52" i="20" s="1"/>
  <c r="I50" i="20"/>
  <c r="L50" i="20" s="1"/>
  <c r="I53" i="20"/>
  <c r="L53" i="20" s="1"/>
  <c r="I40" i="20"/>
  <c r="L40" i="20" s="1"/>
  <c r="I31" i="20"/>
  <c r="L31" i="20" s="1"/>
  <c r="I55" i="20"/>
  <c r="L55" i="20" s="1"/>
  <c r="I43" i="20"/>
  <c r="L43" i="20" s="1"/>
  <c r="I49" i="20"/>
  <c r="L49" i="20" s="1"/>
  <c r="I29" i="20"/>
  <c r="L29" i="20" s="1"/>
  <c r="I26" i="20"/>
  <c r="L26" i="20" s="1"/>
  <c r="I46" i="20"/>
  <c r="L46" i="20" s="1"/>
  <c r="I45" i="20"/>
  <c r="L45" i="20" s="1"/>
  <c r="H19" i="20"/>
  <c r="H42" i="20"/>
  <c r="H34" i="20"/>
  <c r="H45" i="20"/>
  <c r="H51" i="21"/>
  <c r="H20" i="21"/>
  <c r="H24" i="21"/>
  <c r="H46" i="21"/>
  <c r="AC45" i="21"/>
  <c r="AB45" i="21"/>
  <c r="AE45" i="21" s="1"/>
  <c r="AG45" i="21" s="1"/>
  <c r="Z46" i="21"/>
  <c r="U48" i="20"/>
  <c r="X47" i="20"/>
  <c r="AE46" i="20"/>
  <c r="AM46" i="20" s="1"/>
  <c r="AC46" i="20"/>
  <c r="Z47" i="20"/>
  <c r="V47" i="20"/>
  <c r="Y47" i="20" s="1"/>
  <c r="T48" i="20"/>
  <c r="W48" i="20" s="1"/>
  <c r="K54" i="20" l="1"/>
  <c r="AI49" i="20"/>
  <c r="AF50" i="20"/>
  <c r="AI15" i="20"/>
  <c r="AH15" i="20"/>
  <c r="AK15" i="20" s="1"/>
  <c r="J39" i="20"/>
  <c r="M39" i="20" s="1"/>
  <c r="K39" i="20"/>
  <c r="K33" i="21"/>
  <c r="J33" i="21"/>
  <c r="M33" i="21" s="1"/>
  <c r="K31" i="20"/>
  <c r="J31" i="20"/>
  <c r="M31" i="20" s="1"/>
  <c r="K38" i="20"/>
  <c r="J38" i="20"/>
  <c r="M38" i="20" s="1"/>
  <c r="K35" i="21"/>
  <c r="J35" i="21"/>
  <c r="M35" i="21" s="1"/>
  <c r="K20" i="21"/>
  <c r="J20" i="21"/>
  <c r="M20" i="21" s="1"/>
  <c r="K22" i="20"/>
  <c r="J22" i="20"/>
  <c r="M22" i="20" s="1"/>
  <c r="K55" i="21"/>
  <c r="J55" i="21"/>
  <c r="M55" i="21" s="1"/>
  <c r="K23" i="20"/>
  <c r="J23" i="20"/>
  <c r="M23" i="20" s="1"/>
  <c r="J41" i="21"/>
  <c r="M41" i="21" s="1"/>
  <c r="K41" i="21"/>
  <c r="K51" i="21"/>
  <c r="J51" i="21"/>
  <c r="M51" i="21" s="1"/>
  <c r="J52" i="20"/>
  <c r="M52" i="20" s="1"/>
  <c r="K52" i="20"/>
  <c r="K53" i="21"/>
  <c r="J53" i="21"/>
  <c r="M53" i="21" s="1"/>
  <c r="K47" i="21"/>
  <c r="J47" i="21"/>
  <c r="M47" i="21" s="1"/>
  <c r="J36" i="21"/>
  <c r="M36" i="21" s="1"/>
  <c r="K36" i="21"/>
  <c r="K35" i="20"/>
  <c r="J35" i="20"/>
  <c r="M35" i="20" s="1"/>
  <c r="K45" i="20"/>
  <c r="J45" i="20"/>
  <c r="M45" i="20" s="1"/>
  <c r="J22" i="21"/>
  <c r="M22" i="21" s="1"/>
  <c r="K22" i="21"/>
  <c r="K46" i="20"/>
  <c r="J46" i="20"/>
  <c r="M46" i="20" s="1"/>
  <c r="K52" i="21"/>
  <c r="J52" i="21"/>
  <c r="M52" i="21" s="1"/>
  <c r="J27" i="21"/>
  <c r="M27" i="21" s="1"/>
  <c r="K27" i="21"/>
  <c r="K45" i="21"/>
  <c r="J45" i="21"/>
  <c r="M45" i="21" s="1"/>
  <c r="K17" i="20"/>
  <c r="J17" i="20"/>
  <c r="M17" i="20" s="1"/>
  <c r="K29" i="21"/>
  <c r="J29" i="21"/>
  <c r="M29" i="21" s="1"/>
  <c r="J40" i="21"/>
  <c r="M40" i="21" s="1"/>
  <c r="K40" i="21"/>
  <c r="K42" i="21"/>
  <c r="J42" i="21"/>
  <c r="M42" i="21" s="1"/>
  <c r="J25" i="20"/>
  <c r="M25" i="20" s="1"/>
  <c r="K46" i="21"/>
  <c r="J46" i="21"/>
  <c r="M46" i="21" s="1"/>
  <c r="K48" i="20"/>
  <c r="J48" i="20"/>
  <c r="M48" i="20" s="1"/>
  <c r="K32" i="21"/>
  <c r="J32" i="21"/>
  <c r="M32" i="21" s="1"/>
  <c r="K30" i="20"/>
  <c r="J30" i="20"/>
  <c r="M30" i="20" s="1"/>
  <c r="K26" i="20"/>
  <c r="J26" i="20"/>
  <c r="M26" i="20" s="1"/>
  <c r="K50" i="21"/>
  <c r="J50" i="21"/>
  <c r="M50" i="21" s="1"/>
  <c r="J23" i="21"/>
  <c r="M23" i="21" s="1"/>
  <c r="K23" i="21"/>
  <c r="K41" i="20"/>
  <c r="J41" i="20"/>
  <c r="M41" i="20" s="1"/>
  <c r="J19" i="21"/>
  <c r="M19" i="21" s="1"/>
  <c r="K19" i="21"/>
  <c r="K48" i="21"/>
  <c r="J48" i="21"/>
  <c r="M48" i="21" s="1"/>
  <c r="K44" i="20"/>
  <c r="J44" i="20"/>
  <c r="M44" i="20" s="1"/>
  <c r="K44" i="21"/>
  <c r="J44" i="21"/>
  <c r="M44" i="21" s="1"/>
  <c r="K18" i="21"/>
  <c r="J18" i="21"/>
  <c r="M18" i="21" s="1"/>
  <c r="J17" i="21"/>
  <c r="M17" i="21" s="1"/>
  <c r="K17" i="21"/>
  <c r="K50" i="20"/>
  <c r="J50" i="20"/>
  <c r="M50" i="20" s="1"/>
  <c r="K53" i="20"/>
  <c r="J53" i="20"/>
  <c r="M53" i="20" s="1"/>
  <c r="K40" i="20"/>
  <c r="J40" i="20"/>
  <c r="M40" i="20" s="1"/>
  <c r="J18" i="20"/>
  <c r="M18" i="20" s="1"/>
  <c r="K18" i="20"/>
  <c r="J24" i="21"/>
  <c r="M24" i="21" s="1"/>
  <c r="K24" i="21"/>
  <c r="K24" i="20"/>
  <c r="J24" i="20"/>
  <c r="M24" i="20" s="1"/>
  <c r="K28" i="20"/>
  <c r="J28" i="20"/>
  <c r="M28" i="20" s="1"/>
  <c r="K21" i="21"/>
  <c r="J21" i="21"/>
  <c r="M21" i="21" s="1"/>
  <c r="K55" i="20"/>
  <c r="J55" i="20"/>
  <c r="M55" i="20" s="1"/>
  <c r="K43" i="20"/>
  <c r="J43" i="20"/>
  <c r="M43" i="20" s="1"/>
  <c r="J32" i="20"/>
  <c r="M32" i="20" s="1"/>
  <c r="K32" i="20"/>
  <c r="V48" i="21"/>
  <c r="Y48" i="21" s="1"/>
  <c r="W48" i="21"/>
  <c r="T49" i="21"/>
  <c r="K34" i="20"/>
  <c r="J34" i="20"/>
  <c r="M34" i="20" s="1"/>
  <c r="K42" i="20"/>
  <c r="J42" i="20"/>
  <c r="M42" i="20" s="1"/>
  <c r="X50" i="21"/>
  <c r="U51" i="21"/>
  <c r="K34" i="21"/>
  <c r="J34" i="21"/>
  <c r="M34" i="21" s="1"/>
  <c r="J16" i="21"/>
  <c r="M16" i="21" s="1"/>
  <c r="K16" i="21"/>
  <c r="J37" i="21"/>
  <c r="M37" i="21" s="1"/>
  <c r="K37" i="21"/>
  <c r="K43" i="21"/>
  <c r="J43" i="21"/>
  <c r="M43" i="21" s="1"/>
  <c r="K37" i="20"/>
  <c r="J37" i="20"/>
  <c r="M37" i="20" s="1"/>
  <c r="K49" i="20"/>
  <c r="J49" i="20"/>
  <c r="M49" i="20" s="1"/>
  <c r="J27" i="20"/>
  <c r="M27" i="20" s="1"/>
  <c r="K27" i="20"/>
  <c r="K20" i="20"/>
  <c r="J20" i="20"/>
  <c r="M20" i="20" s="1"/>
  <c r="J49" i="21"/>
  <c r="M49" i="21" s="1"/>
  <c r="J31" i="21"/>
  <c r="M31" i="21" s="1"/>
  <c r="AD49" i="21"/>
  <c r="AF49" i="21" s="1"/>
  <c r="AA50" i="21"/>
  <c r="K51" i="20"/>
  <c r="J51" i="20"/>
  <c r="M51" i="20" s="1"/>
  <c r="K30" i="21"/>
  <c r="J30" i="21"/>
  <c r="M30" i="21" s="1"/>
  <c r="K29" i="20"/>
  <c r="J29" i="20"/>
  <c r="M29" i="20" s="1"/>
  <c r="K54" i="21"/>
  <c r="J54" i="21"/>
  <c r="M54" i="21" s="1"/>
  <c r="K56" i="21"/>
  <c r="J56" i="21"/>
  <c r="M56" i="21" s="1"/>
  <c r="J25" i="21"/>
  <c r="M25" i="21" s="1"/>
  <c r="K25" i="21"/>
  <c r="J28" i="21"/>
  <c r="M28" i="21" s="1"/>
  <c r="K28" i="21"/>
  <c r="AC46" i="21"/>
  <c r="AB46" i="21"/>
  <c r="AE46" i="21" s="1"/>
  <c r="AG46" i="21" s="1"/>
  <c r="Z47" i="21"/>
  <c r="K19" i="20"/>
  <c r="J19" i="20"/>
  <c r="M19" i="20" s="1"/>
  <c r="K47" i="20"/>
  <c r="J47" i="20"/>
  <c r="M47" i="20" s="1"/>
  <c r="J16" i="20"/>
  <c r="M16" i="20" s="1"/>
  <c r="K16" i="20"/>
  <c r="K36" i="20"/>
  <c r="J36" i="20"/>
  <c r="M36" i="20" s="1"/>
  <c r="J38" i="21"/>
  <c r="M38" i="21" s="1"/>
  <c r="K38" i="21"/>
  <c r="J26" i="21"/>
  <c r="M26" i="21" s="1"/>
  <c r="K26" i="21"/>
  <c r="K56" i="20"/>
  <c r="J56" i="20"/>
  <c r="M56" i="20" s="1"/>
  <c r="J33" i="20"/>
  <c r="M33" i="20" s="1"/>
  <c r="K33" i="20"/>
  <c r="K21" i="20"/>
  <c r="J21" i="20"/>
  <c r="M21" i="20" s="1"/>
  <c r="U49" i="20"/>
  <c r="X48" i="20"/>
  <c r="AC47" i="20"/>
  <c r="Z48" i="20"/>
  <c r="AB47" i="20"/>
  <c r="AE47" i="20" s="1"/>
  <c r="AM47" i="20" s="1"/>
  <c r="V48" i="20"/>
  <c r="Y48" i="20" s="1"/>
  <c r="T49" i="20"/>
  <c r="W49" i="20" s="1"/>
  <c r="AI50" i="20" l="1"/>
  <c r="AF51" i="20"/>
  <c r="AD50" i="21"/>
  <c r="AF50" i="21" s="1"/>
  <c r="AA51" i="21"/>
  <c r="X51" i="21"/>
  <c r="U52" i="21"/>
  <c r="AC47" i="21"/>
  <c r="AB47" i="21"/>
  <c r="AE47" i="21" s="1"/>
  <c r="AG47" i="21" s="1"/>
  <c r="Z48" i="21"/>
  <c r="V49" i="21"/>
  <c r="Y49" i="21" s="1"/>
  <c r="W49" i="21"/>
  <c r="T50" i="21"/>
  <c r="U50" i="20"/>
  <c r="X49" i="20"/>
  <c r="AC48" i="20"/>
  <c r="AB48" i="20"/>
  <c r="AE48" i="20" s="1"/>
  <c r="AM48" i="20" s="1"/>
  <c r="Z49" i="20"/>
  <c r="V49" i="20"/>
  <c r="Y49" i="20" s="1"/>
  <c r="T50" i="20"/>
  <c r="W50" i="20" s="1"/>
  <c r="AI51" i="20" l="1"/>
  <c r="AF52" i="20"/>
  <c r="X52" i="21"/>
  <c r="U53" i="21"/>
  <c r="AC48" i="21"/>
  <c r="AB48" i="21"/>
  <c r="AE48" i="21" s="1"/>
  <c r="AG48" i="21" s="1"/>
  <c r="Z49" i="21"/>
  <c r="V50" i="21"/>
  <c r="Y50" i="21" s="1"/>
  <c r="W50" i="21"/>
  <c r="T51" i="21"/>
  <c r="AD51" i="21"/>
  <c r="AF51" i="21" s="1"/>
  <c r="AA52" i="21"/>
  <c r="U51" i="20"/>
  <c r="X50" i="20"/>
  <c r="AC49" i="20"/>
  <c r="AB49" i="20"/>
  <c r="AE49" i="20" s="1"/>
  <c r="AM49" i="20" s="1"/>
  <c r="Z50" i="20"/>
  <c r="V50" i="20"/>
  <c r="Y50" i="20" s="1"/>
  <c r="T51" i="20"/>
  <c r="W51" i="20" s="1"/>
  <c r="AI52" i="20" l="1"/>
  <c r="AF53" i="20"/>
  <c r="V51" i="21"/>
  <c r="Y51" i="21" s="1"/>
  <c r="W51" i="21"/>
  <c r="T52" i="21"/>
  <c r="AC49" i="21"/>
  <c r="AB49" i="21"/>
  <c r="AE49" i="21" s="1"/>
  <c r="AG49" i="21" s="1"/>
  <c r="Z50" i="21"/>
  <c r="AD52" i="21"/>
  <c r="AF52" i="21" s="1"/>
  <c r="AA53" i="21"/>
  <c r="X53" i="21"/>
  <c r="U54" i="21"/>
  <c r="U52" i="20"/>
  <c r="X51" i="20"/>
  <c r="AC50" i="20"/>
  <c r="AB50" i="20"/>
  <c r="AE50" i="20" s="1"/>
  <c r="AM50" i="20" s="1"/>
  <c r="Z51" i="20"/>
  <c r="V51" i="20"/>
  <c r="Y51" i="20" s="1"/>
  <c r="T52" i="20"/>
  <c r="W52" i="20" s="1"/>
  <c r="AI53" i="20" l="1"/>
  <c r="AF54" i="20"/>
  <c r="AD53" i="21"/>
  <c r="AF53" i="21" s="1"/>
  <c r="AA54" i="21"/>
  <c r="AC50" i="21"/>
  <c r="AB50" i="21"/>
  <c r="AE50" i="21" s="1"/>
  <c r="AG50" i="21" s="1"/>
  <c r="Z51" i="21"/>
  <c r="V52" i="21"/>
  <c r="Y52" i="21" s="1"/>
  <c r="W52" i="21"/>
  <c r="T53" i="21"/>
  <c r="X54" i="21"/>
  <c r="U55" i="21"/>
  <c r="X55" i="21" s="1"/>
  <c r="U53" i="20"/>
  <c r="X52" i="20"/>
  <c r="AC51" i="20"/>
  <c r="AB51" i="20"/>
  <c r="AE51" i="20" s="1"/>
  <c r="AM51" i="20" s="1"/>
  <c r="Z52" i="20"/>
  <c r="V52" i="20"/>
  <c r="Y52" i="20" s="1"/>
  <c r="T53" i="20"/>
  <c r="W53" i="20" s="1"/>
  <c r="AI54" i="20" l="1"/>
  <c r="AF55" i="20"/>
  <c r="V53" i="21"/>
  <c r="Y53" i="21" s="1"/>
  <c r="W53" i="21"/>
  <c r="T54" i="21"/>
  <c r="AC51" i="21"/>
  <c r="AB51" i="21"/>
  <c r="AE51" i="21" s="1"/>
  <c r="AG51" i="21" s="1"/>
  <c r="Z52" i="21"/>
  <c r="AD54" i="21"/>
  <c r="AF54" i="21" s="1"/>
  <c r="AA55" i="21"/>
  <c r="AD55" i="21" s="1"/>
  <c r="AF55" i="21" s="1"/>
  <c r="U54" i="20"/>
  <c r="X53" i="20"/>
  <c r="AC52" i="20"/>
  <c r="AB52" i="20"/>
  <c r="AE52" i="20" s="1"/>
  <c r="AM52" i="20" s="1"/>
  <c r="Z53" i="20"/>
  <c r="V53" i="20"/>
  <c r="Y53" i="20" s="1"/>
  <c r="T54" i="20"/>
  <c r="W54" i="20" s="1"/>
  <c r="AI55" i="20" l="1"/>
  <c r="AC52" i="21"/>
  <c r="AB52" i="21"/>
  <c r="AE52" i="21" s="1"/>
  <c r="AG52" i="21" s="1"/>
  <c r="Z53" i="21"/>
  <c r="V54" i="21"/>
  <c r="Y54" i="21" s="1"/>
  <c r="W54" i="21"/>
  <c r="T55" i="21"/>
  <c r="U55" i="20"/>
  <c r="X55" i="20" s="1"/>
  <c r="X54" i="20"/>
  <c r="AC53" i="20"/>
  <c r="AB53" i="20"/>
  <c r="AE53" i="20" s="1"/>
  <c r="AM53" i="20" s="1"/>
  <c r="Z54" i="20"/>
  <c r="V54" i="20"/>
  <c r="Y54" i="20" s="1"/>
  <c r="T55" i="20"/>
  <c r="W55" i="20" s="1"/>
  <c r="V55" i="21" l="1"/>
  <c r="Y55" i="21" s="1"/>
  <c r="W55" i="21"/>
  <c r="AC53" i="21"/>
  <c r="AB53" i="21"/>
  <c r="AE53" i="21" s="1"/>
  <c r="AG53" i="21" s="1"/>
  <c r="Z54" i="21"/>
  <c r="AC54" i="20"/>
  <c r="AB54" i="20"/>
  <c r="AE54" i="20" s="1"/>
  <c r="AM54" i="20" s="1"/>
  <c r="Z55" i="20"/>
  <c r="V55" i="20"/>
  <c r="Y55" i="20" s="1"/>
  <c r="AC54" i="21" l="1"/>
  <c r="AB54" i="21"/>
  <c r="AE54" i="21" s="1"/>
  <c r="AG54" i="21" s="1"/>
  <c r="Z55" i="21"/>
  <c r="AB55" i="20"/>
  <c r="AE55" i="20" s="1"/>
  <c r="AM55" i="20" s="1"/>
  <c r="AC55" i="20"/>
  <c r="AC55" i="21" l="1"/>
  <c r="AB55" i="21"/>
  <c r="AE55" i="21" s="1"/>
  <c r="AG55" i="21" s="1"/>
  <c r="AJ40" i="20"/>
  <c r="AH38" i="20"/>
  <c r="AK38" i="20" s="1"/>
  <c r="AJ38" i="20"/>
  <c r="AH40" i="20" l="1"/>
  <c r="AK40" i="20" s="1"/>
  <c r="AH41" i="20"/>
  <c r="AK41" i="20" s="1"/>
  <c r="AJ48" i="20"/>
  <c r="AH48" i="20"/>
  <c r="AK48" i="20" s="1"/>
  <c r="AJ41" i="20"/>
  <c r="AJ47" i="20"/>
  <c r="AH47" i="20"/>
  <c r="AK47" i="20" s="1"/>
  <c r="AH42" i="20" l="1"/>
  <c r="AK42" i="20" s="1"/>
  <c r="AJ42" i="20"/>
  <c r="AH49" i="20"/>
  <c r="AK49" i="20" s="1"/>
  <c r="AJ49" i="20"/>
  <c r="AJ50" i="20" l="1"/>
  <c r="AH50" i="20"/>
  <c r="AK50" i="20" s="1"/>
  <c r="AJ43" i="20"/>
  <c r="AH43" i="20"/>
  <c r="AK43" i="20" s="1"/>
  <c r="AH44" i="20" l="1"/>
  <c r="AK44" i="20" s="1"/>
  <c r="AJ44" i="20"/>
  <c r="AH51" i="20"/>
  <c r="AK51" i="20" s="1"/>
  <c r="AJ51" i="20"/>
  <c r="AJ52" i="20" l="1"/>
  <c r="AH52" i="20"/>
  <c r="AK52" i="20" s="1"/>
  <c r="AJ45" i="20"/>
  <c r="AH45" i="20"/>
  <c r="AK45" i="20" s="1"/>
  <c r="AH53" i="20" l="1"/>
  <c r="AK53" i="20" s="1"/>
  <c r="AJ53" i="20"/>
  <c r="AJ54" i="20" l="1"/>
  <c r="AH54" i="20"/>
  <c r="AK54" i="20" s="1"/>
  <c r="AH55" i="20" l="1"/>
  <c r="AK55" i="20" s="1"/>
  <c r="AJ55" i="20"/>
</calcChain>
</file>

<file path=xl/sharedStrings.xml><?xml version="1.0" encoding="utf-8"?>
<sst xmlns="http://schemas.openxmlformats.org/spreadsheetml/2006/main" count="4020" uniqueCount="638">
  <si>
    <t>GEO_ID</t>
  </si>
  <si>
    <t>NAME</t>
  </si>
  <si>
    <t>B08128_001E</t>
  </si>
  <si>
    <t>B08128_001M</t>
  </si>
  <si>
    <t>B08128_002E</t>
  </si>
  <si>
    <t>B08128_002M</t>
  </si>
  <si>
    <t>B08128_003E</t>
  </si>
  <si>
    <t>B08128_003M</t>
  </si>
  <si>
    <t>B08128_004E</t>
  </si>
  <si>
    <t>B08128_004M</t>
  </si>
  <si>
    <t>B08128_005E</t>
  </si>
  <si>
    <t>B08128_005M</t>
  </si>
  <si>
    <t>B08128_006E</t>
  </si>
  <si>
    <t>B08128_006M</t>
  </si>
  <si>
    <t>B08128_007E</t>
  </si>
  <si>
    <t>B08128_007M</t>
  </si>
  <si>
    <t>B08128_008E</t>
  </si>
  <si>
    <t>B08128_008M</t>
  </si>
  <si>
    <t>B08128_009E</t>
  </si>
  <si>
    <t>B08128_009M</t>
  </si>
  <si>
    <t>B08128_010E</t>
  </si>
  <si>
    <t>B08128_010M</t>
  </si>
  <si>
    <t>B08128_011E</t>
  </si>
  <si>
    <t>B08128_011M</t>
  </si>
  <si>
    <t>B08128_012E</t>
  </si>
  <si>
    <t>B08128_012M</t>
  </si>
  <si>
    <t>B08128_013E</t>
  </si>
  <si>
    <t>B08128_013M</t>
  </si>
  <si>
    <t>B08128_014E</t>
  </si>
  <si>
    <t>B08128_014M</t>
  </si>
  <si>
    <t>B08128_015E</t>
  </si>
  <si>
    <t>B08128_015M</t>
  </si>
  <si>
    <t>B08128_016E</t>
  </si>
  <si>
    <t>B08128_016M</t>
  </si>
  <si>
    <t>B08128_017E</t>
  </si>
  <si>
    <t>B08128_017M</t>
  </si>
  <si>
    <t>B08128_018E</t>
  </si>
  <si>
    <t>B08128_018M</t>
  </si>
  <si>
    <t>B08128_019E</t>
  </si>
  <si>
    <t>B08128_019M</t>
  </si>
  <si>
    <t>B08128_020E</t>
  </si>
  <si>
    <t>B08128_020M</t>
  </si>
  <si>
    <t>B08128_021E</t>
  </si>
  <si>
    <t>B08128_021M</t>
  </si>
  <si>
    <t>B08128_022E</t>
  </si>
  <si>
    <t>B08128_022M</t>
  </si>
  <si>
    <t>B08128_023E</t>
  </si>
  <si>
    <t>B08128_023M</t>
  </si>
  <si>
    <t>B08128_024E</t>
  </si>
  <si>
    <t>B08128_024M</t>
  </si>
  <si>
    <t>B08128_025E</t>
  </si>
  <si>
    <t>B08128_025M</t>
  </si>
  <si>
    <t>B08128_026E</t>
  </si>
  <si>
    <t>B08128_026M</t>
  </si>
  <si>
    <t>B08128_027E</t>
  </si>
  <si>
    <t>B08128_027M</t>
  </si>
  <si>
    <t>B08128_028E</t>
  </si>
  <si>
    <t>B08128_028M</t>
  </si>
  <si>
    <t>B08128_029E</t>
  </si>
  <si>
    <t>B08128_029M</t>
  </si>
  <si>
    <t>B08128_030E</t>
  </si>
  <si>
    <t>B08128_030M</t>
  </si>
  <si>
    <t>B08128_031E</t>
  </si>
  <si>
    <t>B08128_031M</t>
  </si>
  <si>
    <t>B08128_032E</t>
  </si>
  <si>
    <t>B08128_032M</t>
  </si>
  <si>
    <t>B08128_033E</t>
  </si>
  <si>
    <t>B08128_033M</t>
  </si>
  <si>
    <t>B08128_034E</t>
  </si>
  <si>
    <t>B08128_034M</t>
  </si>
  <si>
    <t>B08128_035E</t>
  </si>
  <si>
    <t>B08128_035M</t>
  </si>
  <si>
    <t>B08128_036E</t>
  </si>
  <si>
    <t>B08128_036M</t>
  </si>
  <si>
    <t>B08128_037E</t>
  </si>
  <si>
    <t>B08128_037M</t>
  </si>
  <si>
    <t>B08128_038E</t>
  </si>
  <si>
    <t>B08128_038M</t>
  </si>
  <si>
    <t>B08128_039E</t>
  </si>
  <si>
    <t>B08128_039M</t>
  </si>
  <si>
    <t>B08128_040E</t>
  </si>
  <si>
    <t>B08128_040M</t>
  </si>
  <si>
    <t>B08128_041E</t>
  </si>
  <si>
    <t>B08128_041M</t>
  </si>
  <si>
    <t>B08128_042E</t>
  </si>
  <si>
    <t>B08128_042M</t>
  </si>
  <si>
    <t>B08128_043E</t>
  </si>
  <si>
    <t>B08128_043M</t>
  </si>
  <si>
    <t>B08128_044E</t>
  </si>
  <si>
    <t>B08128_044M</t>
  </si>
  <si>
    <t>B08128_045E</t>
  </si>
  <si>
    <t>B08128_045M</t>
  </si>
  <si>
    <t>B08128_046E</t>
  </si>
  <si>
    <t>B08128_046M</t>
  </si>
  <si>
    <t>B08128_047E</t>
  </si>
  <si>
    <t>B08128_047M</t>
  </si>
  <si>
    <t>B08128_048E</t>
  </si>
  <si>
    <t>B08128_048M</t>
  </si>
  <si>
    <t>B08128_049E</t>
  </si>
  <si>
    <t>B08128_049M</t>
  </si>
  <si>
    <t>B08128_050E</t>
  </si>
  <si>
    <t>B08128_050M</t>
  </si>
  <si>
    <t>B08128_051E</t>
  </si>
  <si>
    <t>B08128_051M</t>
  </si>
  <si>
    <t>B08128_052E</t>
  </si>
  <si>
    <t>B08128_052M</t>
  </si>
  <si>
    <t>B08128_053E</t>
  </si>
  <si>
    <t>B08128_053M</t>
  </si>
  <si>
    <t>B08128_054E</t>
  </si>
  <si>
    <t>B08128_054M</t>
  </si>
  <si>
    <t>B08128_055E</t>
  </si>
  <si>
    <t>B08128_055M</t>
  </si>
  <si>
    <t>B08128_056E</t>
  </si>
  <si>
    <t>B08128_056M</t>
  </si>
  <si>
    <t>B08128_057E</t>
  </si>
  <si>
    <t>B08128_057M</t>
  </si>
  <si>
    <t>B08128_058E</t>
  </si>
  <si>
    <t>B08128_058M</t>
  </si>
  <si>
    <t>B08128_059E</t>
  </si>
  <si>
    <t>B08128_059M</t>
  </si>
  <si>
    <t>B08128_060E</t>
  </si>
  <si>
    <t>B08128_060M</t>
  </si>
  <si>
    <t>B08128_061E</t>
  </si>
  <si>
    <t>B08128_061M</t>
  </si>
  <si>
    <t>B08128_062E</t>
  </si>
  <si>
    <t>B08128_062M</t>
  </si>
  <si>
    <t>B08128_063E</t>
  </si>
  <si>
    <t>B08128_063M</t>
  </si>
  <si>
    <t>B08128_064E</t>
  </si>
  <si>
    <t>B08128_064M</t>
  </si>
  <si>
    <t>B08128_065E</t>
  </si>
  <si>
    <t>B08128_065M</t>
  </si>
  <si>
    <t>B08128_066E</t>
  </si>
  <si>
    <t>B08128_066M</t>
  </si>
  <si>
    <t>B08128_067E</t>
  </si>
  <si>
    <t>B08128_067M</t>
  </si>
  <si>
    <t>B08128_068E</t>
  </si>
  <si>
    <t>B08128_068M</t>
  </si>
  <si>
    <t>B08128_069E</t>
  </si>
  <si>
    <t>B08128_069M</t>
  </si>
  <si>
    <t>B08128_070E</t>
  </si>
  <si>
    <t>B08128_070M</t>
  </si>
  <si>
    <t>id</t>
  </si>
  <si>
    <t>Geographic Area Name</t>
  </si>
  <si>
    <t>Estimate!!Total</t>
  </si>
  <si>
    <t>Margin of Error!!Total</t>
  </si>
  <si>
    <t>Estimate!!Total!!Private for-profit wage and salary workers</t>
  </si>
  <si>
    <t>Margin of Error!!Total!!Private for-profit wage and salary workers</t>
  </si>
  <si>
    <t>Estimate!!Total!!Private for-profit wage and salary workers!!Employee of private company workers</t>
  </si>
  <si>
    <t>Margin of Error!!Total!!Private for-profit wage and salary workers!!Employee of private company workers</t>
  </si>
  <si>
    <t>Estimate!!Total!!Private for-profit wage and salary workers!!Self-employed in own incorporated business workers</t>
  </si>
  <si>
    <t>Margin of Error!!Total!!Private for-profit wage and salary workers!!Self-employed in own incorporated business workers</t>
  </si>
  <si>
    <t>Estimate!!Total!!Private not-for-profit wage and salary workers</t>
  </si>
  <si>
    <t>Margin of Error!!Total!!Private not-for-profit wage and salary workers</t>
  </si>
  <si>
    <t>Estimate!!Total!!Local government workers</t>
  </si>
  <si>
    <t>Margin of Error!!Total!!Local government workers</t>
  </si>
  <si>
    <t>Estimate!!Total!!State government workers</t>
  </si>
  <si>
    <t>Margin of Error!!Total!!State government workers</t>
  </si>
  <si>
    <t>Estimate!!Total!!Federal government workers</t>
  </si>
  <si>
    <t>Margin of Error!!Total!!Federal government workers</t>
  </si>
  <si>
    <t>Estimate!!Total!!Self-employed in own not incorporated business workers</t>
  </si>
  <si>
    <t>Margin of Error!!Total!!Self-employed in own not incorporated business workers</t>
  </si>
  <si>
    <t>Estimate!!Total!!Unpaid family workers</t>
  </si>
  <si>
    <t>Margin of Error!!Total!!Unpaid family workers</t>
  </si>
  <si>
    <t>Estimate!!Total!!Car, truck, or van - drove alone</t>
  </si>
  <si>
    <t>Margin of Error!!Total!!Car, truck, or van - drove alone</t>
  </si>
  <si>
    <t>Estimate!!Total!!Car, truck, or van - drove alone!!Private for-profit wage and salary workers</t>
  </si>
  <si>
    <t>Margin of Error!!Total!!Car, truck, or van - drove alone!!Private for-profit wage and salary workers</t>
  </si>
  <si>
    <t>Estimate!!Total!!Car, truck, or van - drove alone!!Private for-profit wage and salary workers!!Employee of private company workers</t>
  </si>
  <si>
    <t>Margin of Error!!Total!!Car, truck, or van - drove alone!!Private for-profit wage and salary workers!!Employee of private company workers</t>
  </si>
  <si>
    <t>Estimate!!Total!!Car, truck, or van - drove alone!!Private for-profit wage and salary workers!!Self-employed in own incorporated business workers</t>
  </si>
  <si>
    <t>Margin of Error!!Total!!Car, truck, or van - drove alone!!Private for-profit wage and salary workers!!Self-employed in own incorporated business workers</t>
  </si>
  <si>
    <t>Estimate!!Total!!Car, truck, or van - drove alone!!Private not-for-profit wage and salary workers</t>
  </si>
  <si>
    <t>Margin of Error!!Total!!Car, truck, or van - drove alone!!Private not-for-profit wage and salary workers</t>
  </si>
  <si>
    <t>Estimate!!Total!!Car, truck, or van - drove alone!!Local government workers</t>
  </si>
  <si>
    <t>Margin of Error!!Total!!Car, truck, or van - drove alone!!Local government workers</t>
  </si>
  <si>
    <t>Estimate!!Total!!Car, truck, or van - drove alone!!State government workers</t>
  </si>
  <si>
    <t>Margin of Error!!Total!!Car, truck, or van - drove alone!!State government workers</t>
  </si>
  <si>
    <t>Estimate!!Total!!Car, truck, or van - drove alone!!Federal government workers</t>
  </si>
  <si>
    <t>Margin of Error!!Total!!Car, truck, or van - drove alone!!Federal government workers</t>
  </si>
  <si>
    <t>Estimate!!Total!!Car, truck, or van - drove alone!!Self-employed in own not incorporated business workers</t>
  </si>
  <si>
    <t>Margin of Error!!Total!!Car, truck, or van - drove alone!!Self-employed in own not incorporated business workers</t>
  </si>
  <si>
    <t>Estimate!!Total!!Car, truck, or van - drove alone!!Unpaid family workers</t>
  </si>
  <si>
    <t>Margin of Error!!Total!!Car, truck, or van - drove alone!!Unpaid family workers</t>
  </si>
  <si>
    <t>Estimate!!Total!!Car, truck, or van - carpooled</t>
  </si>
  <si>
    <t>Margin of Error!!Total!!Car, truck, or van - carpooled</t>
  </si>
  <si>
    <t>Estimate!!Total!!Car, truck, or van - carpooled!!Private for-profit wage and salary workers</t>
  </si>
  <si>
    <t>Margin of Error!!Total!!Car, truck, or van - carpooled!!Private for-profit wage and salary workers</t>
  </si>
  <si>
    <t>Estimate!!Total!!Car, truck, or van - carpooled!!Private for-profit wage and salary workers!!Employee of private company workers</t>
  </si>
  <si>
    <t>Margin of Error!!Total!!Car, truck, or van - carpooled!!Private for-profit wage and salary workers!!Employee of private company workers</t>
  </si>
  <si>
    <t>Estimate!!Total!!Car, truck, or van - carpooled!!Private for-profit wage and salary workers!!Self-employed in own incorporated business workers</t>
  </si>
  <si>
    <t>Margin of Error!!Total!!Car, truck, or van - carpooled!!Private for-profit wage and salary workers!!Self-employed in own incorporated business workers</t>
  </si>
  <si>
    <t>Estimate!!Total!!Car, truck, or van - carpooled!!Private not-for-profit wage and salary workers</t>
  </si>
  <si>
    <t>Margin of Error!!Total!!Car, truck, or van - carpooled!!Private not-for-profit wage and salary workers</t>
  </si>
  <si>
    <t>Estimate!!Total!!Car, truck, or van - carpooled!!Local government workers</t>
  </si>
  <si>
    <t>Margin of Error!!Total!!Car, truck, or van - carpooled!!Local government workers</t>
  </si>
  <si>
    <t>Estimate!!Total!!Car, truck, or van - carpooled!!State government workers</t>
  </si>
  <si>
    <t>Margin of Error!!Total!!Car, truck, or van - carpooled!!State government workers</t>
  </si>
  <si>
    <t>Estimate!!Total!!Car, truck, or van - carpooled!!Federal government workers</t>
  </si>
  <si>
    <t>Margin of Error!!Total!!Car, truck, or van - carpooled!!Federal government workers</t>
  </si>
  <si>
    <t>Estimate!!Total!!Car, truck, or van - carpooled!!Self-employed in own not incorporated business workers</t>
  </si>
  <si>
    <t>Margin of Error!!Total!!Car, truck, or van - carpooled!!Self-employed in own not incorporated business workers</t>
  </si>
  <si>
    <t>Estimate!!Total!!Car, truck, or van - carpooled!!Unpaid family workers</t>
  </si>
  <si>
    <t>Margin of Error!!Total!!Car, truck, or van - carpooled!!Unpaid family workers</t>
  </si>
  <si>
    <t>Estimate!!Total!!Public transportation (excluding taxicab)</t>
  </si>
  <si>
    <t>Margin of Error!!Total!!Public transportation (excluding taxicab)</t>
  </si>
  <si>
    <t>Estimate!!Total!!Public transportation (excluding taxicab)!!Private for-profit wage and salary workers</t>
  </si>
  <si>
    <t>Margin of Error!!Total!!Public transportation (excluding taxicab)!!Private for-profit wage and salary workers</t>
  </si>
  <si>
    <t>Estimate!!Total!!Public transportation (excluding taxicab)!!Private for-profit wage and salary workers!!Employee of private company workers</t>
  </si>
  <si>
    <t>Margin of Error!!Total!!Public transportation (excluding taxicab)!!Private for-profit wage and salary workers!!Employee of private company workers</t>
  </si>
  <si>
    <t>Estimate!!Total!!Public transportation (excluding taxicab)!!Private for-profit wage and salary workers!!Self-employed in own incorporated business workers</t>
  </si>
  <si>
    <t>Margin of Error!!Total!!Public transportation (excluding taxicab)!!Private for-profit wage and salary workers!!Self-employed in own incorporated business workers</t>
  </si>
  <si>
    <t>Estimate!!Total!!Public transportation (excluding taxicab)!!Private not-for-profit wage and salary workers</t>
  </si>
  <si>
    <t>Margin of Error!!Total!!Public transportation (excluding taxicab)!!Private not-for-profit wage and salary workers</t>
  </si>
  <si>
    <t>Estimate!!Total!!Public transportation (excluding taxicab)!!Local government workers</t>
  </si>
  <si>
    <t>Margin of Error!!Total!!Public transportation (excluding taxicab)!!Local government workers</t>
  </si>
  <si>
    <t>Estimate!!Total!!Public transportation (excluding taxicab)!!State government workers</t>
  </si>
  <si>
    <t>Margin of Error!!Total!!Public transportation (excluding taxicab)!!State government workers</t>
  </si>
  <si>
    <t>Estimate!!Total!!Public transportation (excluding taxicab)!!Federal government workers</t>
  </si>
  <si>
    <t>Margin of Error!!Total!!Public transportation (excluding taxicab)!!Federal government workers</t>
  </si>
  <si>
    <t>Estimate!!Total!!Public transportation (excluding taxicab)!!Self-employed in own not incorporated business workers</t>
  </si>
  <si>
    <t>Margin of Error!!Total!!Public transportation (excluding taxicab)!!Self-employed in own not incorporated business workers</t>
  </si>
  <si>
    <t>Estimate!!Total!!Public transportation (excluding taxicab)!!Unpaid family workers</t>
  </si>
  <si>
    <t>Margin of Error!!Total!!Public transportation (excluding taxicab)!!Unpaid family workers</t>
  </si>
  <si>
    <t>Estimate!!Total!!Walked</t>
  </si>
  <si>
    <t>Margin of Error!!Total!!Walked</t>
  </si>
  <si>
    <t>Estimate!!Total!!Walked!!Private for-profit wage and salary workers</t>
  </si>
  <si>
    <t>Margin of Error!!Total!!Walked!!Private for-profit wage and salary workers</t>
  </si>
  <si>
    <t>Estimate!!Total!!Walked!!Private for-profit wage and salary workers!!Employee of private company workers</t>
  </si>
  <si>
    <t>Margin of Error!!Total!!Walked!!Private for-profit wage and salary workers!!Employee of private company workers</t>
  </si>
  <si>
    <t>Estimate!!Total!!Walked!!Private for-profit wage and salary workers!!Self-employed in own incorporated business workers</t>
  </si>
  <si>
    <t>Margin of Error!!Total!!Walked!!Private for-profit wage and salary workers!!Self-employed in own incorporated business workers</t>
  </si>
  <si>
    <t>Estimate!!Total!!Walked!!Private not-for-profit wage and salary workers</t>
  </si>
  <si>
    <t>Margin of Error!!Total!!Walked!!Private not-for-profit wage and salary workers</t>
  </si>
  <si>
    <t>Estimate!!Total!!Walked!!Local government workers</t>
  </si>
  <si>
    <t>Margin of Error!!Total!!Walked!!Local government workers</t>
  </si>
  <si>
    <t>Estimate!!Total!!Walked!!State government workers</t>
  </si>
  <si>
    <t>Margin of Error!!Total!!Walked!!State government workers</t>
  </si>
  <si>
    <t>Estimate!!Total!!Walked!!Federal government workers</t>
  </si>
  <si>
    <t>Margin of Error!!Total!!Walked!!Federal government workers</t>
  </si>
  <si>
    <t>Estimate!!Total!!Walked!!Self-employed in own not incorporated business workers</t>
  </si>
  <si>
    <t>Margin of Error!!Total!!Walked!!Self-employed in own not incorporated business workers</t>
  </si>
  <si>
    <t>Estimate!!Total!!Walked!!Unpaid family workers</t>
  </si>
  <si>
    <t>Margin of Error!!Total!!Walked!!Unpaid family workers</t>
  </si>
  <si>
    <t>Estimate!!Total!!Taxicab, motorcycle, bicycle, or other means</t>
  </si>
  <si>
    <t>Margin of Error!!Total!!Taxicab, motorcycle, bicycle, or other means</t>
  </si>
  <si>
    <t>Estimate!!Total!!Taxicab, motorcycle, bicycle, or other means!!Private for-profit wage and salary workers</t>
  </si>
  <si>
    <t>Margin of Error!!Total!!Taxicab, motorcycle, bicycle, or other means!!Private for-profit wage and salary workers</t>
  </si>
  <si>
    <t>Estimate!!Total!!Taxicab, motorcycle, bicycle, or other means!!Private for-profit wage and salary workers!!Employee of private company workers</t>
  </si>
  <si>
    <t>Margin of Error!!Total!!Taxicab, motorcycle, bicycle, or other means!!Private for-profit wage and salary workers!!Employee of private company workers</t>
  </si>
  <si>
    <t>Estimate!!Total!!Taxicab, motorcycle, bicycle, or other means!!Private for-profit wage and salary workers!!Self-employed in own incorporated business workers</t>
  </si>
  <si>
    <t>Margin of Error!!Total!!Taxicab, motorcycle, bicycle, or other means!!Private for-profit wage and salary workers!!Self-employed in own incorporated business workers</t>
  </si>
  <si>
    <t>Estimate!!Total!!Taxicab, motorcycle, bicycle, or other means!!Private not-for-profit wage and salary workers</t>
  </si>
  <si>
    <t>Margin of Error!!Total!!Taxicab, motorcycle, bicycle, or other means!!Private not-for-profit wage and salary workers</t>
  </si>
  <si>
    <t>Estimate!!Total!!Taxicab, motorcycle, bicycle, or other means!!Local government workers</t>
  </si>
  <si>
    <t>Margin of Error!!Total!!Taxicab, motorcycle, bicycle, or other means!!Local government workers</t>
  </si>
  <si>
    <t>Estimate!!Total!!Taxicab, motorcycle, bicycle, or other means!!State government workers</t>
  </si>
  <si>
    <t>Margin of Error!!Total!!Taxicab, motorcycle, bicycle, or other means!!State government workers</t>
  </si>
  <si>
    <t>Estimate!!Total!!Taxicab, motorcycle, bicycle, or other means!!Federal government workers</t>
  </si>
  <si>
    <t>Margin of Error!!Total!!Taxicab, motorcycle, bicycle, or other means!!Federal government workers</t>
  </si>
  <si>
    <t>Estimate!!Total!!Taxicab, motorcycle, bicycle, or other means!!Self-employed in own not incorporated business workers</t>
  </si>
  <si>
    <t>Margin of Error!!Total!!Taxicab, motorcycle, bicycle, or other means!!Self-employed in own not incorporated business workers</t>
  </si>
  <si>
    <t>Estimate!!Total!!Taxicab, motorcycle, bicycle, or other means!!Unpaid family workers</t>
  </si>
  <si>
    <t>Margin of Error!!Total!!Taxicab, motorcycle, bicycle, or other means!!Unpaid family workers</t>
  </si>
  <si>
    <t>Estimate!!Total!!Worked at home</t>
  </si>
  <si>
    <t>Margin of Error!!Total!!Worked at home</t>
  </si>
  <si>
    <t>Estimate!!Total!!Worked at home!!Private for-profit wage and salary workers</t>
  </si>
  <si>
    <t>Margin of Error!!Total!!Worked at home!!Private for-profit wage and salary workers</t>
  </si>
  <si>
    <t>Estimate!!Total!!Worked at home!!Private for-profit wage and salary workers!!Employee of private company workers</t>
  </si>
  <si>
    <t>Margin of Error!!Total!!Worked at home!!Private for-profit wage and salary workers!!Employee of private company workers</t>
  </si>
  <si>
    <t>Estimate!!Total!!Worked at home!!Private for-profit wage and salary workers!!Self-employed in own incorporated business workers</t>
  </si>
  <si>
    <t>Margin of Error!!Total!!Worked at home!!Private for-profit wage and salary workers!!Self-employed in own incorporated business workers</t>
  </si>
  <si>
    <t>Estimate!!Total!!Worked at home!!Private not-for-profit wage and salary workers</t>
  </si>
  <si>
    <t>Margin of Error!!Total!!Worked at home!!Private not-for-profit wage and salary workers</t>
  </si>
  <si>
    <t>Estimate!!Total!!Worked at home!!Local government workers</t>
  </si>
  <si>
    <t>Margin of Error!!Total!!Worked at home!!Local government workers</t>
  </si>
  <si>
    <t>Estimate!!Total!!Worked at home!!State government workers</t>
  </si>
  <si>
    <t>Margin of Error!!Total!!Worked at home!!State government workers</t>
  </si>
  <si>
    <t>Estimate!!Total!!Worked at home!!Federal government workers</t>
  </si>
  <si>
    <t>Margin of Error!!Total!!Worked at home!!Federal government workers</t>
  </si>
  <si>
    <t>Estimate!!Total!!Worked at home!!Self-employed in own not incorporated business workers</t>
  </si>
  <si>
    <t>Margin of Error!!Total!!Worked at home!!Self-employed in own not incorporated business workers</t>
  </si>
  <si>
    <t>Estimate!!Total!!Worked at home!!Unpaid family workers</t>
  </si>
  <si>
    <t>Margin of Error!!Total!!Worked at home!!Unpaid family workers</t>
  </si>
  <si>
    <t>0100000US</t>
  </si>
  <si>
    <t>United States</t>
  </si>
  <si>
    <t>0400000US49</t>
  </si>
  <si>
    <t>Utah</t>
  </si>
  <si>
    <t>0500000US49001</t>
  </si>
  <si>
    <t>Beaver County, Utah</t>
  </si>
  <si>
    <t>0500000US49003</t>
  </si>
  <si>
    <t>Box Elder County, Utah</t>
  </si>
  <si>
    <t>0500000US49005</t>
  </si>
  <si>
    <t>Cache County, Utah</t>
  </si>
  <si>
    <t>0500000US49007</t>
  </si>
  <si>
    <t>Carbon County, Utah</t>
  </si>
  <si>
    <t>0500000US49009</t>
  </si>
  <si>
    <t>Daggett County, Utah</t>
  </si>
  <si>
    <t>0500000US49011</t>
  </si>
  <si>
    <t>Davis County, Utah</t>
  </si>
  <si>
    <t>0500000US49013</t>
  </si>
  <si>
    <t>Duchesne County, Utah</t>
  </si>
  <si>
    <t>0500000US49015</t>
  </si>
  <si>
    <t>Emery County, Utah</t>
  </si>
  <si>
    <t>0500000US49017</t>
  </si>
  <si>
    <t>Garfield County, Utah</t>
  </si>
  <si>
    <t>0500000US49019</t>
  </si>
  <si>
    <t>Grand County, Utah</t>
  </si>
  <si>
    <t>0500000US49021</t>
  </si>
  <si>
    <t>Iron County, Utah</t>
  </si>
  <si>
    <t>0500000US49023</t>
  </si>
  <si>
    <t>Juab County, Utah</t>
  </si>
  <si>
    <t>0500000US49025</t>
  </si>
  <si>
    <t>Kane County, Utah</t>
  </si>
  <si>
    <t>0500000US49027</t>
  </si>
  <si>
    <t>Millard County, Utah</t>
  </si>
  <si>
    <t>0500000US49029</t>
  </si>
  <si>
    <t>Morgan County, Utah</t>
  </si>
  <si>
    <t>0500000US49031</t>
  </si>
  <si>
    <t>Piute County, Utah</t>
  </si>
  <si>
    <t>0500000US49033</t>
  </si>
  <si>
    <t>Rich County, Utah</t>
  </si>
  <si>
    <t>0500000US49035</t>
  </si>
  <si>
    <t>Salt Lake County, Utah</t>
  </si>
  <si>
    <t>0500000US49037</t>
  </si>
  <si>
    <t>San Juan County, Utah</t>
  </si>
  <si>
    <t>0500000US49039</t>
  </si>
  <si>
    <t>Sanpete County, Utah</t>
  </si>
  <si>
    <t>0500000US49041</t>
  </si>
  <si>
    <t>Sevier County, Utah</t>
  </si>
  <si>
    <t>0500000US49043</t>
  </si>
  <si>
    <t>Summit County, Utah</t>
  </si>
  <si>
    <t>0500000US49045</t>
  </si>
  <si>
    <t>Tooele County, Utah</t>
  </si>
  <si>
    <t>0500000US49047</t>
  </si>
  <si>
    <t>Uintah County, Utah</t>
  </si>
  <si>
    <t>0500000US49049</t>
  </si>
  <si>
    <t>Utah County, Utah</t>
  </si>
  <si>
    <t>0500000US49051</t>
  </si>
  <si>
    <t>Wasatch County, Utah</t>
  </si>
  <si>
    <t>0500000US49053</t>
  </si>
  <si>
    <t>Washington County, Utah</t>
  </si>
  <si>
    <t>0500000US49055</t>
  </si>
  <si>
    <t>Wayne County, Utah</t>
  </si>
  <si>
    <t>0500000US49057</t>
  </si>
  <si>
    <t>Weber County, Utah</t>
  </si>
  <si>
    <t>Total Workers</t>
  </si>
  <si>
    <t>Employee of private company workers</t>
  </si>
  <si>
    <t>Self-employed in own incorporated business workers</t>
  </si>
  <si>
    <t>Private not-for-profit wage and salary workers</t>
  </si>
  <si>
    <t>Local government workers</t>
  </si>
  <si>
    <t>State government workers</t>
  </si>
  <si>
    <t>Federal government workers</t>
  </si>
  <si>
    <t>Self-employed in own not incorporated business workers</t>
  </si>
  <si>
    <t>Unpaid family workers</t>
  </si>
  <si>
    <t>Lookup Key</t>
  </si>
  <si>
    <t>Idx_FIPS</t>
  </si>
  <si>
    <t>Name</t>
  </si>
  <si>
    <t>Idx_WrkType</t>
  </si>
  <si>
    <t>Beaver</t>
  </si>
  <si>
    <t>Box Elder</t>
  </si>
  <si>
    <t>Private for-profit wage and salary workers</t>
  </si>
  <si>
    <t>Cache</t>
  </si>
  <si>
    <t>Carbon</t>
  </si>
  <si>
    <t>Daggett</t>
  </si>
  <si>
    <t>Davis</t>
  </si>
  <si>
    <t>Duchesne</t>
  </si>
  <si>
    <t>Emery</t>
  </si>
  <si>
    <t>Garfield</t>
  </si>
  <si>
    <t>Grand</t>
  </si>
  <si>
    <t>Iron</t>
  </si>
  <si>
    <t>Car, truck, or van - drove alone</t>
  </si>
  <si>
    <t>Juab</t>
  </si>
  <si>
    <t>Kane</t>
  </si>
  <si>
    <t>Millard</t>
  </si>
  <si>
    <t>Morgan</t>
  </si>
  <si>
    <t>Piute</t>
  </si>
  <si>
    <t>Rich</t>
  </si>
  <si>
    <t>Salt Lake</t>
  </si>
  <si>
    <t>San Juan</t>
  </si>
  <si>
    <t>Sanpete</t>
  </si>
  <si>
    <t>Sevier</t>
  </si>
  <si>
    <t>Car, truck, or van - carpooled</t>
  </si>
  <si>
    <t>Summit</t>
  </si>
  <si>
    <t>Tooele</t>
  </si>
  <si>
    <t>Uintah</t>
  </si>
  <si>
    <t>Wasatch</t>
  </si>
  <si>
    <t>Washington</t>
  </si>
  <si>
    <t>Wayne</t>
  </si>
  <si>
    <t>Weber</t>
  </si>
  <si>
    <t>Wasatch Front</t>
  </si>
  <si>
    <t>State of Utah</t>
  </si>
  <si>
    <t>Public transportation (excluding taxicab)</t>
  </si>
  <si>
    <t>Walked</t>
  </si>
  <si>
    <t>Taxicab, motorcycle, bicycle, or other means</t>
  </si>
  <si>
    <t>Worked at home</t>
  </si>
  <si>
    <t>ID_MOE</t>
  </si>
  <si>
    <t>lu_key_MOE</t>
  </si>
  <si>
    <t>lu_key_Est</t>
  </si>
  <si>
    <t>ID_Est</t>
  </si>
  <si>
    <t>Estimate or MOE</t>
  </si>
  <si>
    <t>0500000US49101</t>
  </si>
  <si>
    <t>Co_NAME</t>
  </si>
  <si>
    <t>Co_FIPS</t>
  </si>
  <si>
    <t>MEANS OF TRANSPORTATION TO WORK BY CLASS OF WORKER</t>
  </si>
  <si>
    <t>MEANS OF TRANSPORTATION TO WORK BY CLASS OF WORKER (B08128)</t>
  </si>
  <si>
    <t>Estimate!!Total:</t>
  </si>
  <si>
    <t>Margin of Error!!Total:</t>
  </si>
  <si>
    <t>Estimate!!Total:!!Private for-profit wage and salary workers:</t>
  </si>
  <si>
    <t>Margin of Error!!Total:!!Private for-profit wage and salary workers:</t>
  </si>
  <si>
    <t>Estimate!!Total:!!Private for-profit wage and salary workers:!!Employee of private company workers</t>
  </si>
  <si>
    <t>Margin of Error!!Total:!!Private for-profit wage and salary workers:!!Employee of private company workers</t>
  </si>
  <si>
    <t>Estimate!!Total:!!Private for-profit wage and salary workers:!!Self-employed in own incorporated business workers</t>
  </si>
  <si>
    <t>Margin of Error!!Total:!!Private for-profit wage and salary workers:!!Self-employed in own incorporated business workers</t>
  </si>
  <si>
    <t>Estimate!!Total:!!Private not-for-profit wage and salary workers</t>
  </si>
  <si>
    <t>Margin of Error!!Total:!!Private not-for-profit wage and salary workers</t>
  </si>
  <si>
    <t>Estimate!!Total:!!Local government workers</t>
  </si>
  <si>
    <t>Margin of Error!!Total:!!Local government workers</t>
  </si>
  <si>
    <t>Estimate!!Total:!!State government workers</t>
  </si>
  <si>
    <t>Margin of Error!!Total:!!State government workers</t>
  </si>
  <si>
    <t>Estimate!!Total:!!Federal government workers</t>
  </si>
  <si>
    <t>Margin of Error!!Total:!!Federal government workers</t>
  </si>
  <si>
    <t>Estimate!!Total:!!Self-employed in own not incorporated business workers</t>
  </si>
  <si>
    <t>Margin of Error!!Total:!!Self-employed in own not incorporated business workers</t>
  </si>
  <si>
    <t>Estimate!!Total:!!Unpaid family workers</t>
  </si>
  <si>
    <t>Margin of Error!!Total:!!Unpaid family workers</t>
  </si>
  <si>
    <t>Estimate!!Total:!!Car, truck, or van - drove alone:</t>
  </si>
  <si>
    <t>Margin of Error!!Total:!!Car, truck, or van - drove alone:</t>
  </si>
  <si>
    <t>Estimate!!Total:!!Car, truck, or van - drove alone:!!Private for-profit wage and salary workers:</t>
  </si>
  <si>
    <t>Margin of Error!!Total:!!Car, truck, or van - drove alone:!!Private for-profit wage and salary workers:</t>
  </si>
  <si>
    <t>Estimate!!Total:!!Car, truck, or van - drove alone:!!Private for-profit wage and salary workers:!!Employee of private company workers</t>
  </si>
  <si>
    <t>Margin of Error!!Total:!!Car, truck, or van - drove alone:!!Private for-profit wage and salary workers:!!Employee of private company workers</t>
  </si>
  <si>
    <t>Estimate!!Total:!!Car, truck, or van - drove alone:!!Private for-profit wage and salary workers:!!Self-employed in own incorporated business workers</t>
  </si>
  <si>
    <t>Margin of Error!!Total:!!Car, truck, or van - drove alone:!!Private for-profit wage and salary workers:!!Self-employed in own incorporated business workers</t>
  </si>
  <si>
    <t>Estimate!!Total:!!Car, truck, or van - drove alone:!!Private not-for-profit wage and salary workers</t>
  </si>
  <si>
    <t>Margin of Error!!Total:!!Car, truck, or van - drove alone:!!Private not-for-profit wage and salary workers</t>
  </si>
  <si>
    <t>Estimate!!Total:!!Car, truck, or van - drove alone:!!Local government workers</t>
  </si>
  <si>
    <t>Margin of Error!!Total:!!Car, truck, or van - drove alone:!!Local government workers</t>
  </si>
  <si>
    <t>Estimate!!Total:!!Car, truck, or van - drove alone:!!State government workers</t>
  </si>
  <si>
    <t>Margin of Error!!Total:!!Car, truck, or van - drove alone:!!State government workers</t>
  </si>
  <si>
    <t>Estimate!!Total:!!Car, truck, or van - drove alone:!!Federal government workers</t>
  </si>
  <si>
    <t>Margin of Error!!Total:!!Car, truck, or van - drove alone:!!Federal government workers</t>
  </si>
  <si>
    <t>Estimate!!Total:!!Car, truck, or van - drove alone:!!Self-employed in own not incorporated business workers</t>
  </si>
  <si>
    <t>Margin of Error!!Total:!!Car, truck, or van - drove alone:!!Self-employed in own not incorporated business workers</t>
  </si>
  <si>
    <t>Estimate!!Total:!!Car, truck, or van - drove alone:!!Unpaid family workers</t>
  </si>
  <si>
    <t>Margin of Error!!Total:!!Car, truck, or van - drove alone:!!Unpaid family workers</t>
  </si>
  <si>
    <t>Estimate!!Total:!!Car, truck, or van - carpooled:</t>
  </si>
  <si>
    <t>Margin of Error!!Total:!!Car, truck, or van - carpooled:</t>
  </si>
  <si>
    <t>Estimate!!Total:!!Car, truck, or van - carpooled:!!Private for-profit wage and salary workers:</t>
  </si>
  <si>
    <t>Margin of Error!!Total:!!Car, truck, or van - carpooled:!!Private for-profit wage and salary workers:</t>
  </si>
  <si>
    <t>Estimate!!Total:!!Car, truck, or van - carpooled:!!Private for-profit wage and salary workers:!!Employee of private company workers</t>
  </si>
  <si>
    <t>Margin of Error!!Total:!!Car, truck, or van - carpooled:!!Private for-profit wage and salary workers:!!Employee of private company workers</t>
  </si>
  <si>
    <t>Estimate!!Total:!!Car, truck, or van - carpooled:!!Private for-profit wage and salary workers:!!Self-employed in own incorporated business workers</t>
  </si>
  <si>
    <t>Margin of Error!!Total:!!Car, truck, or van - carpooled:!!Private for-profit wage and salary workers:!!Self-employed in own incorporated business workers</t>
  </si>
  <si>
    <t>Estimate!!Total:!!Car, truck, or van - carpooled:!!Private not-for-profit wage and salary workers</t>
  </si>
  <si>
    <t>Margin of Error!!Total:!!Car, truck, or van - carpooled:!!Private not-for-profit wage and salary workers</t>
  </si>
  <si>
    <t>Estimate!!Total:!!Car, truck, or van - carpooled:!!Local government workers</t>
  </si>
  <si>
    <t>Margin of Error!!Total:!!Car, truck, or van - carpooled:!!Local government workers</t>
  </si>
  <si>
    <t>Estimate!!Total:!!Car, truck, or van - carpooled:!!State government workers</t>
  </si>
  <si>
    <t>Margin of Error!!Total:!!Car, truck, or van - carpooled:!!State government workers</t>
  </si>
  <si>
    <t>Estimate!!Total:!!Car, truck, or van - carpooled:!!Federal government workers</t>
  </si>
  <si>
    <t>Margin of Error!!Total:!!Car, truck, or van - carpooled:!!Federal government workers</t>
  </si>
  <si>
    <t>Estimate!!Total:!!Car, truck, or van - carpooled:!!Self-employed in own not incorporated business workers</t>
  </si>
  <si>
    <t>Margin of Error!!Total:!!Car, truck, or van - carpooled:!!Self-employed in own not incorporated business workers</t>
  </si>
  <si>
    <t>Estimate!!Total:!!Car, truck, or van - carpooled:!!Unpaid family workers</t>
  </si>
  <si>
    <t>Margin of Error!!Total:!!Car, truck, or van - carpooled:!!Unpaid family workers</t>
  </si>
  <si>
    <t>Estimate!!Total:!!Public transportation (excluding taxicab):</t>
  </si>
  <si>
    <t>Margin of Error!!Total:!!Public transportation (excluding taxicab):</t>
  </si>
  <si>
    <t>Estimate!!Total:!!Public transportation (excluding taxicab):!!Private for-profit wage and salary workers:</t>
  </si>
  <si>
    <t>Margin of Error!!Total:!!Public transportation (excluding taxicab):!!Private for-profit wage and salary workers:</t>
  </si>
  <si>
    <t>Estimate!!Total:!!Public transportation (excluding taxicab):!!Private for-profit wage and salary workers:!!Employee of private company workers</t>
  </si>
  <si>
    <t>Margin of Error!!Total:!!Public transportation (excluding taxicab):!!Private for-profit wage and salary workers:!!Employee of private company workers</t>
  </si>
  <si>
    <t>Estimate!!Total:!!Public transportation (excluding taxicab):!!Private for-profit wage and salary workers:!!Self-employed in own incorporated business workers</t>
  </si>
  <si>
    <t>Margin of Error!!Total:!!Public transportation (excluding taxicab):!!Private for-profit wage and salary workers:!!Self-employed in own incorporated business workers</t>
  </si>
  <si>
    <t>Estimate!!Total:!!Public transportation (excluding taxicab):!!Private not-for-profit wage and salary workers</t>
  </si>
  <si>
    <t>Margin of Error!!Total:!!Public transportation (excluding taxicab):!!Private not-for-profit wage and salary workers</t>
  </si>
  <si>
    <t>Estimate!!Total:!!Public transportation (excluding taxicab):!!Local government workers</t>
  </si>
  <si>
    <t>Margin of Error!!Total:!!Public transportation (excluding taxicab):!!Local government workers</t>
  </si>
  <si>
    <t>Estimate!!Total:!!Public transportation (excluding taxicab):!!State government workers</t>
  </si>
  <si>
    <t>Margin of Error!!Total:!!Public transportation (excluding taxicab):!!State government workers</t>
  </si>
  <si>
    <t>Estimate!!Total:!!Public transportation (excluding taxicab):!!Federal government workers</t>
  </si>
  <si>
    <t>Margin of Error!!Total:!!Public transportation (excluding taxicab):!!Federal government workers</t>
  </si>
  <si>
    <t>Estimate!!Total:!!Public transportation (excluding taxicab):!!Self-employed in own not incorporated business workers</t>
  </si>
  <si>
    <t>Margin of Error!!Total:!!Public transportation (excluding taxicab):!!Self-employed in own not incorporated business workers</t>
  </si>
  <si>
    <t>Estimate!!Total:!!Public transportation (excluding taxicab):!!Unpaid family workers</t>
  </si>
  <si>
    <t>Margin of Error!!Total:!!Public transportation (excluding taxicab):!!Unpaid family workers</t>
  </si>
  <si>
    <t>Estimate!!Total:!!Walked:</t>
  </si>
  <si>
    <t>Margin of Error!!Total:!!Walked:</t>
  </si>
  <si>
    <t>Estimate!!Total:!!Walked:!!Private for-profit wage and salary workers:</t>
  </si>
  <si>
    <t>Margin of Error!!Total:!!Walked:!!Private for-profit wage and salary workers:</t>
  </si>
  <si>
    <t>Estimate!!Total:!!Walked:!!Private for-profit wage and salary workers:!!Employee of private company workers</t>
  </si>
  <si>
    <t>Margin of Error!!Total:!!Walked:!!Private for-profit wage and salary workers:!!Employee of private company workers</t>
  </si>
  <si>
    <t>Estimate!!Total:!!Walked:!!Private for-profit wage and salary workers:!!Self-employed in own incorporated business workers</t>
  </si>
  <si>
    <t>Margin of Error!!Total:!!Walked:!!Private for-profit wage and salary workers:!!Self-employed in own incorporated business workers</t>
  </si>
  <si>
    <t>Estimate!!Total:!!Walked:!!Private not-for-profit wage and salary workers</t>
  </si>
  <si>
    <t>Margin of Error!!Total:!!Walked:!!Private not-for-profit wage and salary workers</t>
  </si>
  <si>
    <t>Estimate!!Total:!!Walked:!!Local government workers</t>
  </si>
  <si>
    <t>Margin of Error!!Total:!!Walked:!!Local government workers</t>
  </si>
  <si>
    <t>Estimate!!Total:!!Walked:!!State government workers</t>
  </si>
  <si>
    <t>Margin of Error!!Total:!!Walked:!!State government workers</t>
  </si>
  <si>
    <t>Estimate!!Total:!!Walked:!!Federal government workers</t>
  </si>
  <si>
    <t>Margin of Error!!Total:!!Walked:!!Federal government workers</t>
  </si>
  <si>
    <t>Estimate!!Total:!!Walked:!!Self-employed in own not incorporated business workers</t>
  </si>
  <si>
    <t>Margin of Error!!Total:!!Walked:!!Self-employed in own not incorporated business workers</t>
  </si>
  <si>
    <t>Estimate!!Total:!!Walked:!!Unpaid family workers</t>
  </si>
  <si>
    <t>Margin of Error!!Total:!!Walked:!!Unpaid family workers</t>
  </si>
  <si>
    <t>Estimate!!Total:!!Taxicab, motorcycle, bicycle, or other means:</t>
  </si>
  <si>
    <t>Margin of Error!!Total:!!Taxicab, motorcycle, bicycle, or other means:</t>
  </si>
  <si>
    <t>Estimate!!Total:!!Taxicab, motorcycle, bicycle, or other means:!!Private for-profit wage and salary workers:</t>
  </si>
  <si>
    <t>Margin of Error!!Total:!!Taxicab, motorcycle, bicycle, or other means:!!Private for-profit wage and salary workers:</t>
  </si>
  <si>
    <t>Estimate!!Total:!!Taxicab, motorcycle, bicycle, or other means:!!Private for-profit wage and salary workers:!!Employee of private company workers</t>
  </si>
  <si>
    <t>Margin of Error!!Total:!!Taxicab, motorcycle, bicycle, or other means:!!Private for-profit wage and salary workers:!!Employee of private company workers</t>
  </si>
  <si>
    <t>Estimate!!Total:!!Taxicab, motorcycle, bicycle, or other means:!!Private for-profit wage and salary workers:!!Self-employed in own incorporated business workers</t>
  </si>
  <si>
    <t>Margin of Error!!Total:!!Taxicab, motorcycle, bicycle, or other means:!!Private for-profit wage and salary workers:!!Self-employed in own incorporated business workers</t>
  </si>
  <si>
    <t>Estimate!!Total:!!Taxicab, motorcycle, bicycle, or other means:!!Private not-for-profit wage and salary workers</t>
  </si>
  <si>
    <t>Margin of Error!!Total:!!Taxicab, motorcycle, bicycle, or other means:!!Private not-for-profit wage and salary workers</t>
  </si>
  <si>
    <t>Estimate!!Total:!!Taxicab, motorcycle, bicycle, or other means:!!Local government workers</t>
  </si>
  <si>
    <t>Margin of Error!!Total:!!Taxicab, motorcycle, bicycle, or other means:!!Local government workers</t>
  </si>
  <si>
    <t>Estimate!!Total:!!Taxicab, motorcycle, bicycle, or other means:!!State government workers</t>
  </si>
  <si>
    <t>Margin of Error!!Total:!!Taxicab, motorcycle, bicycle, or other means:!!State government workers</t>
  </si>
  <si>
    <t>Estimate!!Total:!!Taxicab, motorcycle, bicycle, or other means:!!Federal government workers</t>
  </si>
  <si>
    <t>Margin of Error!!Total:!!Taxicab, motorcycle, bicycle, or other means:!!Federal government workers</t>
  </si>
  <si>
    <t>Estimate!!Total:!!Taxicab, motorcycle, bicycle, or other means:!!Self-employed in own not incorporated business workers</t>
  </si>
  <si>
    <t>Margin of Error!!Total:!!Taxicab, motorcycle, bicycle, or other means:!!Self-employed in own not incorporated business workers</t>
  </si>
  <si>
    <t>Estimate!!Total:!!Taxicab, motorcycle, bicycle, or other means:!!Unpaid family workers</t>
  </si>
  <si>
    <t>Margin of Error!!Total:!!Taxicab, motorcycle, bicycle, or other means:!!Unpaid family workers</t>
  </si>
  <si>
    <t>Estimate!!Total:!!Worked from home:</t>
  </si>
  <si>
    <t>Margin of Error!!Total:!!Worked from home:</t>
  </si>
  <si>
    <t>Estimate!!Total:!!Worked from home:!!Private for-profit wage and salary workers:</t>
  </si>
  <si>
    <t>Margin of Error!!Total:!!Worked from home:!!Private for-profit wage and salary workers:</t>
  </si>
  <si>
    <t>Estimate!!Total:!!Worked from home:!!Private for-profit wage and salary workers:!!Employee of private company workers</t>
  </si>
  <si>
    <t>Margin of Error!!Total:!!Worked from home:!!Private for-profit wage and salary workers:!!Employee of private company workers</t>
  </si>
  <si>
    <t>Estimate!!Total:!!Worked from home:!!Private for-profit wage and salary workers:!!Self-employed in own incorporated business workers</t>
  </si>
  <si>
    <t>Margin of Error!!Total:!!Worked from home:!!Private for-profit wage and salary workers:!!Self-employed in own incorporated business workers</t>
  </si>
  <si>
    <t>Estimate!!Total:!!Worked from home:!!Private not-for-profit wage and salary workers</t>
  </si>
  <si>
    <t>Margin of Error!!Total:!!Worked from home:!!Private not-for-profit wage and salary workers</t>
  </si>
  <si>
    <t>Estimate!!Total:!!Worked from home:!!Local government workers</t>
  </si>
  <si>
    <t>Margin of Error!!Total:!!Worked from home:!!Local government workers</t>
  </si>
  <si>
    <t>Estimate!!Total:!!Worked from home:!!State government workers</t>
  </si>
  <si>
    <t>Margin of Error!!Total:!!Worked from home:!!State government workers</t>
  </si>
  <si>
    <t>Estimate!!Total:!!Worked from home:!!Federal government workers</t>
  </si>
  <si>
    <t>Margin of Error!!Total:!!Worked from home:!!Federal government workers</t>
  </si>
  <si>
    <t>Estimate!!Total:!!Worked from home:!!Self-employed in own not incorporated business workers</t>
  </si>
  <si>
    <t>Margin of Error!!Total:!!Worked from home:!!Self-employed in own not incorporated business workers</t>
  </si>
  <si>
    <t>Estimate!!Total:!!Worked from home:!!Unpaid family workers</t>
  </si>
  <si>
    <t>Margin of Error!!Total:!!Worked from home:!!Unpaid family workers</t>
  </si>
  <si>
    <t>Additional Notes:</t>
  </si>
  <si>
    <t>Year</t>
  </si>
  <si>
    <t>5-Year ACS</t>
  </si>
  <si>
    <t>Note: The table shown may have been modified by user selections. Some information may be missing.</t>
  </si>
  <si>
    <t>2015-2019</t>
  </si>
  <si>
    <t>2014-2018</t>
  </si>
  <si>
    <t>DATA NOTES</t>
  </si>
  <si>
    <t/>
  </si>
  <si>
    <t>2013-2017</t>
  </si>
  <si>
    <t>TABLE ID:</t>
  </si>
  <si>
    <t>B08128</t>
  </si>
  <si>
    <t>2012-2016</t>
  </si>
  <si>
    <t>SURVEY/PROGRAM:</t>
  </si>
  <si>
    <t>American Community Survey</t>
  </si>
  <si>
    <t>2011-2015</t>
  </si>
  <si>
    <t>VINTAGE:</t>
  </si>
  <si>
    <t>2019</t>
  </si>
  <si>
    <t>2010-2014</t>
  </si>
  <si>
    <t>DATASET:</t>
  </si>
  <si>
    <t>ACSDT5Y2019</t>
  </si>
  <si>
    <t>2009-2013</t>
  </si>
  <si>
    <t>PRODUCT:</t>
  </si>
  <si>
    <t>ACS 5-Year Estimates Detailed Tables</t>
  </si>
  <si>
    <t>2008-2012</t>
  </si>
  <si>
    <t>UNIVERSE:</t>
  </si>
  <si>
    <t>Workers 16 years and over</t>
  </si>
  <si>
    <t>2007-2011</t>
  </si>
  <si>
    <t>FTP URL:</t>
  </si>
  <si>
    <t>None</t>
  </si>
  <si>
    <t>2006-2010</t>
  </si>
  <si>
    <t>API URL:</t>
  </si>
  <si>
    <t>https://api.census.gov/data/2019/acs/acs5</t>
  </si>
  <si>
    <t>USER SELECTIONS</t>
  </si>
  <si>
    <t>TOPICS</t>
  </si>
  <si>
    <t>Class of Worker</t>
  </si>
  <si>
    <t>GEOS</t>
  </si>
  <si>
    <t>All Counties within Utah; Utah; United States</t>
  </si>
  <si>
    <t>DATASETS</t>
  </si>
  <si>
    <t>EXCLUDED COLUMNS</t>
  </si>
  <si>
    <t>APPLIED FILTERS</t>
  </si>
  <si>
    <t>APPLIED SORTS</t>
  </si>
  <si>
    <t>WEB ADDRESS</t>
  </si>
  <si>
    <t>https://data.census.gov/cedsci/table?q=United%20States&amp;t=Class%20of%20Worker&amp;g=0400000US49,49.0500000&amp;d=ACS%205-Year%20Estimates%20Detailed%20Tables&amp;tid=ACSDT5Y2019.B08128&amp;hidePreview=true&amp;tp=false</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</si>
  <si>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</si>
  <si>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</si>
  <si>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</si>
  <si>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2015-2019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</si>
  <si>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</si>
  <si>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Workers include members of the Armed Forces and civilians who were at work last week.</t>
  </si>
  <si>
    <t>2019 ACS data products include updates to several categories of the existing means of transportation question. For more information, see: Change to Means of Transportation.</t>
  </si>
  <si>
    <t>In 2019, methodological changes were made to the class of worker question. These changes involved modifications to the question wording, the category wording, and the visual format of the categories on the questionnaire. The format for the class of worker categories are now listed under the headings "Private Sector Employee," "Government Employee," and "Self-Employed or Other." Additionally, the category of Active Duty was added as one of the response categories under the "Government Employee" section for the mail questionnaire. For more detailed information about the 2019 changes, see the 2016 American Community Survey Content Test Report for Class of Worker located at  http://www.census.gov/library/working-papers/2017/acs/2017_Martinez_01.html.</t>
  </si>
  <si>
    <t>The 2015-2019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</si>
  <si>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</si>
  <si>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</si>
  <si>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</si>
  <si>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Share of Work At Home Charts by County</t>
  </si>
  <si>
    <t>Share of Work At Home Charts</t>
  </si>
  <si>
    <r>
      <t xml:space="preserve">Calculate Share: </t>
    </r>
    <r>
      <rPr>
        <b/>
        <u/>
        <sz val="18"/>
        <color rgb="FFFF0000"/>
        <rFont val="Calibri"/>
        <family val="2"/>
        <scheme val="minor"/>
      </rPr>
      <t>Work At Home</t>
    </r>
  </si>
  <si>
    <r>
      <t xml:space="preserve">Calculate Share: </t>
    </r>
    <r>
      <rPr>
        <b/>
        <u/>
        <sz val="18"/>
        <color rgb="FFFF0000"/>
        <rFont val="Calibri"/>
        <family val="2"/>
        <scheme val="minor"/>
      </rPr>
      <t>Telecommute</t>
    </r>
  </si>
  <si>
    <r>
      <t xml:space="preserve">Calculate Share: </t>
    </r>
    <r>
      <rPr>
        <b/>
        <u/>
        <sz val="18"/>
        <color rgb="FFFF0000"/>
        <rFont val="Calibri"/>
        <family val="2"/>
        <scheme val="minor"/>
      </rPr>
      <t>Home-Based-Job</t>
    </r>
  </si>
  <si>
    <t>Calculate Telecommute Workers</t>
  </si>
  <si>
    <t>Calculate Home-Based-Job Workers</t>
  </si>
  <si>
    <t>Extract Worker Tables:  Total Workers, Worked at Home, Self-employed in own incorporated &amp; not incorporated business</t>
  </si>
  <si>
    <t>Work-At-Home Share of Total Workers</t>
  </si>
  <si>
    <t>Telecommute Worker Share of Total Workers</t>
  </si>
  <si>
    <t>Home-Based-Job Worker Share of Total Workers</t>
  </si>
  <si>
    <t>Telecommute Job Workers</t>
  </si>
  <si>
    <t>Workers</t>
  </si>
  <si>
    <t>Home-Based Job Workers</t>
  </si>
  <si>
    <t>(Non-Self-Employed Workers Who Work At Home)</t>
  </si>
  <si>
    <t>(Self-Employed Workers Who Work At Home)</t>
  </si>
  <si>
    <t>Home-Based-Job</t>
  </si>
  <si>
    <t>Telecommute</t>
  </si>
  <si>
    <t>Total Work At Home</t>
  </si>
  <si>
    <t>County</t>
  </si>
  <si>
    <t>Margin of Errof</t>
  </si>
  <si>
    <t>% Margin of Errof</t>
  </si>
  <si>
    <t>Home-Based</t>
  </si>
  <si>
    <t>Work At Home</t>
  </si>
  <si>
    <r>
      <t xml:space="preserve">• </t>
    </r>
    <r>
      <rPr>
        <sz val="11"/>
        <color rgb="FFC00000"/>
        <rFont val="Calibri"/>
        <family val="2"/>
        <scheme val="minor"/>
      </rPr>
      <t>69% of U.S. employees worked from home at the peak of the pandemic</t>
    </r>
    <r>
      <rPr>
        <sz val="11"/>
        <color theme="1"/>
        <rFont val="Calibri"/>
        <family val="2"/>
        <scheme val="minor"/>
      </rPr>
      <t xml:space="preserve"> [State of the Remote Workforce, Global Workplace Analytics and OwlLabs, 2020 – based on 2,500 survey responses from full-time workers]</t>
    </r>
  </si>
  <si>
    <r>
      <t>• </t>
    </r>
    <r>
      <rPr>
        <sz val="11"/>
        <color rgb="FFC00000"/>
        <rFont val="Calibri"/>
        <family val="2"/>
        <scheme val="minor"/>
      </rPr>
      <t>56% of employees have a job where at least some of what they do could be done remotely</t>
    </r>
    <r>
      <rPr>
        <sz val="11"/>
        <color theme="1"/>
        <rFont val="Calibri"/>
        <family val="2"/>
        <scheme val="minor"/>
      </rPr>
      <t> [Global Workplace Analytics]</t>
    </r>
  </si>
  <si>
    <t>share of employment eligible to telecommute</t>
  </si>
  <si>
    <t>Post Covid - Upper</t>
  </si>
  <si>
    <t>Post Covid - Lower</t>
  </si>
  <si>
    <t>Notes</t>
  </si>
  <si>
    <t>https://globalworkplaceanalytics.com/telecommuting-statistics</t>
  </si>
  <si>
    <t>Forecast Share of Work At Home, Telecommute &amp; Home-Based Workers</t>
  </si>
  <si>
    <t>5-Year ACS (2010-2019 Trend)</t>
  </si>
  <si>
    <t>1-Year ACS (2010-2019 Trend)</t>
  </si>
  <si>
    <t>5-Year ACS (2010-2014 Trend)</t>
  </si>
  <si>
    <t>% of Workers Who Can Work At Home</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</si>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</sst>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3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B050"/>
      <name val="Calibri"/>
      <family val="2"/>
      <scheme val="minor"/>
    </font>
    <font>
      <sz val="11"/>
      <name val="Calibri"/>
      <family val="2"/>
      <scheme val="minor"/>
    </font>
    <font>
      <sz val="11"/>
      <color rgb="FF0000FF"/>
      <name val="Calibri"/>
      <family val="2"/>
      <scheme val="minor"/>
    </font>
    <font>
      <sz val="11"/>
      <color rgb="FFFF0000"/>
      <name val="Calibri"/>
      <family val="2"/>
    </font>
    <font>
      <sz val="8"/>
      <name val="Calibri"/>
      <family val="2"/>
      <scheme val="minor"/>
    </font>
    <font>
      <b/>
      <u/>
      <sz val="18"/>
      <color theme="1"/>
      <name val="Calibri"/>
      <family val="2"/>
      <scheme val="minor"/>
    </font>
    <font>
      <b/>
      <sz val="16"/>
      <name val="Calibri"/>
      <family val="2"/>
    </font>
    <font>
      <i/>
      <sz val="11"/>
      <color theme="1"/>
      <name val="Calibri"/>
      <family val="2"/>
      <scheme val="minor"/>
    </font>
    <font>
      <b/>
      <sz val="11"/>
      <name val="Calibri"/>
      <family val="2"/>
    </font>
    <font>
      <b/>
      <u/>
      <sz val="18"/>
      <color rgb="FFFF0000"/>
      <name val="Calibri"/>
      <family val="2"/>
      <scheme val="minor"/>
    </font>
    <font>
      <b/>
      <u/>
      <sz val="11"/>
      <color theme="1"/>
      <name val="Calibri"/>
      <family val="2"/>
      <scheme val="minor"/>
    </font>
    <font>
      <b/>
      <sz val="11"/>
      <name val="Calibri"/>
      <family val="2"/>
      <scheme val="minor"/>
    </font>
    <font>
      <u/>
      <sz val="11"/>
      <color theme="1"/>
      <name val="Calibri"/>
      <family val="2"/>
      <scheme val="minor"/>
    </font>
    <font>
      <b/>
      <u/>
      <sz val="11"/>
      <name val="Calibri"/>
      <family val="2"/>
      <scheme val="minor"/>
    </font>
    <font>
      <sz val="11"/>
      <color rgb="FFC00000"/>
      <name val="Calibri"/>
      <family val="2"/>
      <scheme val="minor"/>
    </font>
    <font>
      <i/>
      <sz val="11"/>
      <color rgb="FFFF0000"/>
      <name val="Calibri"/>
      <family val="2"/>
      <scheme val="minor"/>
    </font>
    <font>
      <i/>
      <sz val="11"/>
      <color rgb="FF00B050"/>
      <name val="Calibri"/>
      <family val="2"/>
      <scheme val="minor"/>
    </font>
    <font>
      <sz val="11"/>
      <color theme="0" tint="-0.499984740745262"/>
      <name val="Calibri"/>
      <family val="2"/>
      <scheme val="minor"/>
    </font>
    <font>
      <sz val="11"/>
      <color theme="0" tint="-0.34998626667073579"/>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FFCC"/>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auto="1"/>
      </top>
      <bottom style="medium">
        <color auto="1"/>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s>
  <cellStyleXfs count="4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46">
    <xf numFmtId="0" fontId="0" fillId="0" borderId="0" xfId="0"/>
    <xf numFmtId="0" fontId="0" fillId="33" borderId="0" xfId="0" applyFill="1"/>
    <xf numFmtId="0" fontId="16" fillId="34" borderId="0" xfId="0" applyFont="1" applyFill="1" applyAlignment="1">
      <alignment horizontal="center"/>
    </xf>
    <xf numFmtId="0" fontId="0" fillId="34" borderId="0" xfId="0" applyFill="1" applyAlignment="1">
      <alignment horizontal="center"/>
    </xf>
    <xf numFmtId="0" fontId="14" fillId="34" borderId="0" xfId="1" applyNumberFormat="1" applyFont="1" applyFill="1" applyBorder="1" applyAlignment="1">
      <alignment horizontal="center"/>
    </xf>
    <xf numFmtId="164" fontId="20" fillId="34" borderId="0" xfId="1" applyNumberFormat="1" applyFont="1" applyFill="1" applyBorder="1" applyAlignment="1"/>
    <xf numFmtId="0" fontId="19" fillId="35" borderId="0" xfId="1" applyNumberFormat="1" applyFont="1" applyFill="1" applyBorder="1" applyAlignment="1">
      <alignment horizontal="center"/>
    </xf>
    <xf numFmtId="164" fontId="20" fillId="35" borderId="0" xfId="1" applyNumberFormat="1" applyFont="1" applyFill="1" applyBorder="1" applyAlignment="1">
      <alignment horizontal="left"/>
    </xf>
    <xf numFmtId="0" fontId="19" fillId="34" borderId="0" xfId="1" applyNumberFormat="1" applyFont="1" applyFill="1" applyBorder="1" applyAlignment="1">
      <alignment horizontal="center"/>
    </xf>
    <xf numFmtId="0" fontId="19" fillId="34" borderId="0" xfId="0" applyFont="1" applyFill="1" applyAlignment="1">
      <alignment horizontal="center"/>
    </xf>
    <xf numFmtId="0" fontId="0" fillId="34" borderId="0" xfId="0" applyFill="1"/>
    <xf numFmtId="165" fontId="19" fillId="34" borderId="0" xfId="1" applyNumberFormat="1" applyFont="1" applyFill="1" applyBorder="1" applyAlignment="1">
      <alignment horizontal="center"/>
    </xf>
    <xf numFmtId="165" fontId="19" fillId="35" borderId="0" xfId="1" applyNumberFormat="1" applyFont="1" applyFill="1" applyBorder="1" applyAlignment="1">
      <alignment horizontal="center"/>
    </xf>
    <xf numFmtId="0" fontId="0" fillId="34" borderId="0" xfId="0" applyFont="1" applyFill="1" applyAlignment="1">
      <alignment horizontal="right"/>
    </xf>
    <xf numFmtId="0" fontId="14" fillId="35" borderId="0" xfId="0" applyFont="1" applyFill="1" applyAlignment="1">
      <alignment horizontal="center"/>
    </xf>
    <xf numFmtId="0" fontId="14" fillId="34" borderId="0" xfId="0" applyFont="1" applyFill="1" applyAlignment="1">
      <alignment horizontal="center"/>
    </xf>
    <xf numFmtId="0" fontId="22" fillId="35" borderId="0" xfId="0" applyFont="1" applyFill="1" applyAlignment="1">
      <alignment vertical="center"/>
    </xf>
    <xf numFmtId="0" fontId="14" fillId="34" borderId="0" xfId="0" applyFont="1" applyFill="1"/>
    <xf numFmtId="0" fontId="22" fillId="34" borderId="0" xfId="0" applyFont="1" applyFill="1" applyAlignment="1">
      <alignment vertical="center"/>
    </xf>
    <xf numFmtId="0" fontId="21" fillId="34" borderId="0" xfId="0" applyFont="1" applyFill="1" applyAlignment="1">
      <alignment horizontal="center"/>
    </xf>
    <xf numFmtId="0" fontId="21" fillId="34" borderId="0" xfId="0" applyFont="1" applyFill="1" applyAlignment="1"/>
    <xf numFmtId="0" fontId="19" fillId="34" borderId="0" xfId="0" applyFont="1" applyFill="1"/>
    <xf numFmtId="164" fontId="19" fillId="34" borderId="0" xfId="0" applyNumberFormat="1" applyFont="1" applyFill="1"/>
    <xf numFmtId="0" fontId="24" fillId="33" borderId="0" xfId="0" applyFont="1" applyFill="1"/>
    <xf numFmtId="0" fontId="14" fillId="0" borderId="0" xfId="0" applyFont="1" applyFill="1"/>
    <xf numFmtId="164" fontId="14" fillId="0" borderId="0" xfId="1" applyNumberFormat="1" applyFont="1" applyFill="1"/>
    <xf numFmtId="0" fontId="0" fillId="35" borderId="10" xfId="0" applyFill="1" applyBorder="1"/>
    <xf numFmtId="0" fontId="27" fillId="35" borderId="0" xfId="0" applyFont="1" applyFill="1" applyAlignment="1">
      <alignment vertical="top" wrapText="1"/>
    </xf>
    <xf numFmtId="0" fontId="0" fillId="35" borderId="0" xfId="0" applyFill="1" applyAlignment="1">
      <alignment vertical="top" wrapText="1"/>
    </xf>
    <xf numFmtId="0" fontId="0" fillId="33" borderId="0" xfId="0" applyFill="1" applyAlignment="1">
      <alignment vertical="top" wrapText="1"/>
    </xf>
    <xf numFmtId="0" fontId="0" fillId="36" borderId="0" xfId="0" applyFill="1" applyAlignment="1">
      <alignment vertical="top" wrapText="1"/>
    </xf>
    <xf numFmtId="0" fontId="27" fillId="36" borderId="0" xfId="0" applyFont="1" applyFill="1" applyAlignment="1">
      <alignment vertical="top" wrapText="1"/>
    </xf>
    <xf numFmtId="0" fontId="26" fillId="34" borderId="0" xfId="0" applyFont="1" applyFill="1"/>
    <xf numFmtId="0" fontId="24" fillId="37" borderId="0" xfId="0" applyFont="1" applyFill="1"/>
    <xf numFmtId="0" fontId="24" fillId="38" borderId="0" xfId="0" applyFont="1" applyFill="1"/>
    <xf numFmtId="0" fontId="24" fillId="39" borderId="0" xfId="0" applyFont="1" applyFill="1"/>
    <xf numFmtId="0" fontId="29" fillId="34" borderId="0" xfId="0" applyFont="1" applyFill="1" applyAlignment="1">
      <alignment horizontal="center"/>
    </xf>
    <xf numFmtId="0" fontId="21" fillId="34" borderId="0" xfId="0" applyFont="1" applyFill="1"/>
    <xf numFmtId="0" fontId="16" fillId="34" borderId="0" xfId="0" applyFont="1" applyFill="1"/>
    <xf numFmtId="0" fontId="20" fillId="34" borderId="0" xfId="0" applyFont="1" applyFill="1"/>
    <xf numFmtId="166" fontId="19" fillId="35" borderId="0" xfId="2" applyNumberFormat="1" applyFont="1" applyFill="1" applyAlignment="1">
      <alignment horizontal="center"/>
    </xf>
    <xf numFmtId="166" fontId="20" fillId="34" borderId="0" xfId="2" applyNumberFormat="1" applyFont="1" applyFill="1" applyAlignment="1">
      <alignment horizontal="center"/>
    </xf>
    <xf numFmtId="166" fontId="19" fillId="34" borderId="0" xfId="2" applyNumberFormat="1" applyFont="1" applyFill="1" applyAlignment="1">
      <alignment horizontal="center"/>
    </xf>
    <xf numFmtId="164" fontId="20" fillId="34" borderId="0" xfId="1" applyNumberFormat="1" applyFont="1" applyFill="1"/>
    <xf numFmtId="166" fontId="20" fillId="35" borderId="0" xfId="2" applyNumberFormat="1" applyFont="1" applyFill="1" applyAlignment="1">
      <alignment horizontal="center"/>
    </xf>
    <xf numFmtId="164" fontId="19" fillId="35" borderId="0" xfId="1" applyNumberFormat="1" applyFont="1" applyFill="1"/>
    <xf numFmtId="164" fontId="19" fillId="34" borderId="0" xfId="1" applyNumberFormat="1" applyFont="1" applyFill="1"/>
    <xf numFmtId="164" fontId="21" fillId="34" borderId="0" xfId="1" applyNumberFormat="1" applyFont="1" applyFill="1"/>
    <xf numFmtId="164" fontId="21" fillId="35" borderId="0" xfId="1" applyNumberFormat="1" applyFont="1" applyFill="1"/>
    <xf numFmtId="0" fontId="19" fillId="36" borderId="0" xfId="0" applyFont="1" applyFill="1" applyAlignment="1">
      <alignment horizontal="center"/>
    </xf>
    <xf numFmtId="9" fontId="14" fillId="35" borderId="0" xfId="2" applyFont="1" applyFill="1" applyAlignment="1">
      <alignment horizontal="center"/>
    </xf>
    <xf numFmtId="0" fontId="0" fillId="34" borderId="0" xfId="0" applyFont="1" applyFill="1" applyAlignment="1">
      <alignment horizontal="center"/>
    </xf>
    <xf numFmtId="166" fontId="20" fillId="34" borderId="11" xfId="2" applyNumberFormat="1" applyFont="1" applyFill="1" applyBorder="1" applyAlignment="1">
      <alignment horizontal="center"/>
    </xf>
    <xf numFmtId="166" fontId="19" fillId="35" borderId="0" xfId="2" applyNumberFormat="1" applyFont="1" applyFill="1" applyBorder="1" applyAlignment="1">
      <alignment horizontal="center"/>
    </xf>
    <xf numFmtId="0" fontId="0" fillId="34" borderId="13" xfId="0" applyFont="1" applyFill="1" applyBorder="1" applyAlignment="1">
      <alignment horizontal="center"/>
    </xf>
    <xf numFmtId="166" fontId="20" fillId="34" borderId="14" xfId="2" applyNumberFormat="1" applyFont="1" applyFill="1" applyBorder="1" applyAlignment="1">
      <alignment horizontal="center"/>
    </xf>
    <xf numFmtId="166" fontId="20" fillId="34" borderId="0" xfId="2" applyNumberFormat="1" applyFont="1" applyFill="1" applyBorder="1" applyAlignment="1">
      <alignment horizontal="center"/>
    </xf>
    <xf numFmtId="166" fontId="20" fillId="34" borderId="13" xfId="2" applyNumberFormat="1" applyFont="1" applyFill="1" applyBorder="1" applyAlignment="1">
      <alignment horizontal="center"/>
    </xf>
    <xf numFmtId="166" fontId="19" fillId="35" borderId="11" xfId="2" applyNumberFormat="1" applyFont="1" applyFill="1" applyBorder="1" applyAlignment="1">
      <alignment horizontal="center"/>
    </xf>
    <xf numFmtId="166" fontId="14" fillId="34" borderId="0" xfId="2" applyNumberFormat="1" applyFont="1" applyFill="1" applyBorder="1" applyAlignment="1">
      <alignment horizontal="center"/>
    </xf>
    <xf numFmtId="166" fontId="14" fillId="34" borderId="13" xfId="2" applyNumberFormat="1" applyFont="1" applyFill="1" applyBorder="1" applyAlignment="1">
      <alignment horizontal="center"/>
    </xf>
    <xf numFmtId="166" fontId="32" fillId="34" borderId="13" xfId="2" applyNumberFormat="1" applyFont="1" applyFill="1" applyBorder="1" applyAlignment="1">
      <alignment horizontal="center"/>
    </xf>
    <xf numFmtId="166" fontId="20" fillId="35" borderId="11" xfId="2" applyNumberFormat="1" applyFont="1" applyFill="1" applyBorder="1" applyAlignment="1">
      <alignment horizontal="center"/>
    </xf>
    <xf numFmtId="166" fontId="20" fillId="38" borderId="0" xfId="2" applyNumberFormat="1" applyFont="1" applyFill="1" applyBorder="1" applyAlignment="1">
      <alignment horizontal="center"/>
    </xf>
    <xf numFmtId="166" fontId="34" fillId="38" borderId="11" xfId="2" applyNumberFormat="1" applyFont="1" applyFill="1" applyBorder="1" applyAlignment="1">
      <alignment horizontal="center"/>
    </xf>
    <xf numFmtId="166" fontId="34" fillId="38" borderId="0" xfId="2" applyNumberFormat="1" applyFont="1" applyFill="1" applyBorder="1" applyAlignment="1">
      <alignment horizontal="center"/>
    </xf>
    <xf numFmtId="166" fontId="35" fillId="34" borderId="14" xfId="2" applyNumberFormat="1" applyFont="1" applyFill="1" applyBorder="1" applyAlignment="1">
      <alignment horizontal="center"/>
    </xf>
    <xf numFmtId="166" fontId="35" fillId="34" borderId="13" xfId="2" applyNumberFormat="1" applyFont="1" applyFill="1" applyBorder="1" applyAlignment="1">
      <alignment horizontal="center"/>
    </xf>
    <xf numFmtId="166" fontId="20" fillId="40" borderId="0" xfId="2" applyNumberFormat="1" applyFont="1" applyFill="1" applyBorder="1" applyAlignment="1">
      <alignment horizontal="center"/>
    </xf>
    <xf numFmtId="10" fontId="19" fillId="40" borderId="11" xfId="2" applyNumberFormat="1" applyFont="1" applyFill="1" applyBorder="1" applyAlignment="1">
      <alignment horizontal="center"/>
    </xf>
    <xf numFmtId="166" fontId="14" fillId="40" borderId="0" xfId="2" applyNumberFormat="1" applyFont="1" applyFill="1" applyBorder="1" applyAlignment="1">
      <alignment horizontal="center"/>
    </xf>
    <xf numFmtId="10" fontId="19" fillId="40" borderId="0" xfId="2" applyNumberFormat="1" applyFont="1" applyFill="1" applyBorder="1" applyAlignment="1">
      <alignment horizontal="center"/>
    </xf>
    <xf numFmtId="166" fontId="0" fillId="34" borderId="0" xfId="2" applyNumberFormat="1" applyFont="1" applyFill="1" applyAlignment="1">
      <alignment horizontal="center"/>
    </xf>
    <xf numFmtId="0" fontId="30" fillId="34" borderId="11" xfId="0" applyFont="1" applyFill="1" applyBorder="1" applyAlignment="1">
      <alignment horizontal="center" wrapText="1"/>
    </xf>
    <xf numFmtId="0" fontId="30" fillId="34" borderId="0" xfId="0" applyFont="1" applyFill="1" applyBorder="1" applyAlignment="1">
      <alignment horizontal="center" wrapText="1"/>
    </xf>
    <xf numFmtId="166" fontId="0" fillId="34" borderId="13" xfId="2" applyNumberFormat="1" applyFont="1" applyFill="1" applyBorder="1" applyAlignment="1">
      <alignment horizontal="center"/>
    </xf>
    <xf numFmtId="0" fontId="34" fillId="35" borderId="0" xfId="0" applyFont="1" applyFill="1"/>
    <xf numFmtId="0" fontId="0" fillId="35" borderId="0" xfId="0" applyFill="1"/>
    <xf numFmtId="0" fontId="31" fillId="34" borderId="0" xfId="0" applyFont="1" applyFill="1"/>
    <xf numFmtId="0" fontId="0" fillId="34" borderId="0" xfId="0" applyFill="1" applyAlignment="1"/>
    <xf numFmtId="0" fontId="18" fillId="34" borderId="0" xfId="44" applyFill="1"/>
    <xf numFmtId="10" fontId="14" fillId="40" borderId="11" xfId="2" applyNumberFormat="1" applyFont="1" applyFill="1" applyBorder="1" applyAlignment="1">
      <alignment horizontal="center"/>
    </xf>
    <xf numFmtId="166" fontId="20" fillId="35" borderId="0" xfId="2" applyNumberFormat="1" applyFont="1" applyFill="1" applyBorder="1" applyAlignment="1">
      <alignment horizontal="center"/>
    </xf>
    <xf numFmtId="166" fontId="20" fillId="35" borderId="14" xfId="2" applyNumberFormat="1" applyFont="1" applyFill="1" applyBorder="1" applyAlignment="1">
      <alignment horizontal="center"/>
    </xf>
    <xf numFmtId="166" fontId="20" fillId="35" borderId="13" xfId="2" applyNumberFormat="1" applyFont="1" applyFill="1" applyBorder="1" applyAlignment="1">
      <alignment horizontal="center"/>
    </xf>
    <xf numFmtId="166" fontId="21" fillId="35" borderId="11" xfId="2" applyNumberFormat="1" applyFont="1" applyFill="1" applyBorder="1" applyAlignment="1">
      <alignment horizontal="center"/>
    </xf>
    <xf numFmtId="166" fontId="21" fillId="35" borderId="0" xfId="2" applyNumberFormat="1" applyFont="1" applyFill="1" applyBorder="1" applyAlignment="1">
      <alignment horizontal="center"/>
    </xf>
    <xf numFmtId="166" fontId="21" fillId="35" borderId="14" xfId="2" applyNumberFormat="1" applyFont="1" applyFill="1" applyBorder="1" applyAlignment="1">
      <alignment horizontal="center"/>
    </xf>
    <xf numFmtId="166" fontId="21" fillId="35" borderId="13" xfId="2" applyNumberFormat="1" applyFont="1" applyFill="1" applyBorder="1" applyAlignment="1">
      <alignment horizontal="center"/>
    </xf>
    <xf numFmtId="0" fontId="36" fillId="34" borderId="15" xfId="0" applyFont="1" applyFill="1" applyBorder="1" applyAlignment="1">
      <alignment horizontal="center"/>
    </xf>
    <xf numFmtId="166" fontId="36" fillId="35" borderId="16" xfId="2" applyNumberFormat="1" applyFont="1" applyFill="1" applyBorder="1" applyAlignment="1">
      <alignment horizontal="center"/>
    </xf>
    <xf numFmtId="166" fontId="36" fillId="35" borderId="15" xfId="2" applyNumberFormat="1" applyFont="1" applyFill="1" applyBorder="1" applyAlignment="1">
      <alignment horizontal="center"/>
    </xf>
    <xf numFmtId="166" fontId="36" fillId="34" borderId="15" xfId="2" applyNumberFormat="1" applyFont="1" applyFill="1" applyBorder="1" applyAlignment="1">
      <alignment horizontal="center"/>
    </xf>
    <xf numFmtId="10" fontId="36" fillId="40" borderId="16" xfId="2" applyNumberFormat="1" applyFont="1" applyFill="1" applyBorder="1" applyAlignment="1">
      <alignment horizontal="center"/>
    </xf>
    <xf numFmtId="10" fontId="36" fillId="40" borderId="15" xfId="2" applyNumberFormat="1" applyFont="1" applyFill="1" applyBorder="1" applyAlignment="1">
      <alignment horizontal="center"/>
    </xf>
    <xf numFmtId="166" fontId="36" fillId="40" borderId="15" xfId="2" applyNumberFormat="1" applyFont="1" applyFill="1" applyBorder="1" applyAlignment="1">
      <alignment horizontal="center"/>
    </xf>
    <xf numFmtId="0" fontId="36" fillId="34" borderId="0" xfId="0" applyFont="1" applyFill="1" applyBorder="1" applyAlignment="1">
      <alignment horizontal="center"/>
    </xf>
    <xf numFmtId="166" fontId="36" fillId="35" borderId="11" xfId="2" applyNumberFormat="1" applyFont="1" applyFill="1" applyBorder="1" applyAlignment="1">
      <alignment horizontal="center"/>
    </xf>
    <xf numFmtId="166" fontId="36" fillId="35" borderId="0" xfId="2" applyNumberFormat="1" applyFont="1" applyFill="1" applyBorder="1" applyAlignment="1">
      <alignment horizontal="center"/>
    </xf>
    <xf numFmtId="166" fontId="36" fillId="34" borderId="0" xfId="2" applyNumberFormat="1" applyFont="1" applyFill="1" applyBorder="1" applyAlignment="1">
      <alignment horizontal="center"/>
    </xf>
    <xf numFmtId="10" fontId="36" fillId="40" borderId="11" xfId="2" applyNumberFormat="1" applyFont="1" applyFill="1" applyBorder="1" applyAlignment="1">
      <alignment horizontal="center"/>
    </xf>
    <xf numFmtId="10" fontId="36" fillId="40" borderId="0" xfId="2" applyNumberFormat="1" applyFont="1" applyFill="1" applyBorder="1" applyAlignment="1">
      <alignment horizontal="center"/>
    </xf>
    <xf numFmtId="166" fontId="36" fillId="40" borderId="0" xfId="2" applyNumberFormat="1" applyFont="1" applyFill="1" applyBorder="1" applyAlignment="1">
      <alignment horizontal="center"/>
    </xf>
    <xf numFmtId="10" fontId="34" fillId="38" borderId="0" xfId="2" applyNumberFormat="1" applyFont="1" applyFill="1" applyBorder="1" applyAlignment="1">
      <alignment horizontal="center"/>
    </xf>
    <xf numFmtId="10" fontId="34" fillId="38" borderId="11" xfId="2" applyNumberFormat="1" applyFont="1" applyFill="1" applyBorder="1" applyAlignment="1">
      <alignment horizontal="center"/>
    </xf>
    <xf numFmtId="0" fontId="30" fillId="34" borderId="0" xfId="0" applyFont="1" applyFill="1" applyBorder="1" applyAlignment="1">
      <alignment horizontal="center" wrapText="1"/>
    </xf>
    <xf numFmtId="165" fontId="0" fillId="33" borderId="0" xfId="0" applyNumberFormat="1" applyFill="1" applyAlignment="1">
      <alignment horizontal="center"/>
    </xf>
    <xf numFmtId="165" fontId="37" fillId="33" borderId="0" xfId="0" applyNumberFormat="1" applyFont="1" applyFill="1" applyAlignment="1">
      <alignment horizontal="center"/>
    </xf>
    <xf numFmtId="10" fontId="19" fillId="41" borderId="11" xfId="2" applyNumberFormat="1" applyFont="1" applyFill="1" applyBorder="1" applyAlignment="1">
      <alignment horizontal="center"/>
    </xf>
    <xf numFmtId="10" fontId="19" fillId="41" borderId="0" xfId="2" applyNumberFormat="1" applyFont="1" applyFill="1" applyBorder="1" applyAlignment="1">
      <alignment horizontal="center"/>
    </xf>
    <xf numFmtId="166" fontId="20" fillId="41" borderId="0" xfId="2" applyNumberFormat="1" applyFont="1" applyFill="1" applyBorder="1" applyAlignment="1">
      <alignment horizontal="center"/>
    </xf>
    <xf numFmtId="10" fontId="36" fillId="41" borderId="16" xfId="2" applyNumberFormat="1" applyFont="1" applyFill="1" applyBorder="1" applyAlignment="1">
      <alignment horizontal="center"/>
    </xf>
    <xf numFmtId="10" fontId="36" fillId="41" borderId="15" xfId="2" applyNumberFormat="1" applyFont="1" applyFill="1" applyBorder="1" applyAlignment="1">
      <alignment horizontal="center"/>
    </xf>
    <xf numFmtId="166" fontId="36" fillId="41" borderId="15" xfId="2" applyNumberFormat="1" applyFont="1" applyFill="1" applyBorder="1" applyAlignment="1">
      <alignment horizontal="center"/>
    </xf>
    <xf numFmtId="10" fontId="36" fillId="41" borderId="11" xfId="2" applyNumberFormat="1" applyFont="1" applyFill="1" applyBorder="1" applyAlignment="1">
      <alignment horizontal="center"/>
    </xf>
    <xf numFmtId="10" fontId="36" fillId="41" borderId="0" xfId="2" applyNumberFormat="1" applyFont="1" applyFill="1" applyBorder="1" applyAlignment="1">
      <alignment horizontal="center"/>
    </xf>
    <xf numFmtId="166" fontId="36" fillId="41" borderId="0" xfId="2" applyNumberFormat="1" applyFont="1" applyFill="1" applyBorder="1" applyAlignment="1">
      <alignment horizontal="center"/>
    </xf>
    <xf numFmtId="10" fontId="14" fillId="41" borderId="11" xfId="2" applyNumberFormat="1" applyFont="1" applyFill="1" applyBorder="1" applyAlignment="1">
      <alignment horizontal="center"/>
    </xf>
    <xf numFmtId="166" fontId="14" fillId="41" borderId="0" xfId="2" applyNumberFormat="1" applyFont="1" applyFill="1" applyBorder="1" applyAlignment="1">
      <alignment horizontal="center"/>
    </xf>
    <xf numFmtId="10" fontId="36" fillId="34" borderId="16" xfId="2" applyNumberFormat="1" applyFont="1" applyFill="1" applyBorder="1" applyAlignment="1">
      <alignment horizontal="center"/>
    </xf>
    <xf numFmtId="10" fontId="36" fillId="34" borderId="15" xfId="2" applyNumberFormat="1" applyFont="1" applyFill="1" applyBorder="1" applyAlignment="1">
      <alignment horizontal="center"/>
    </xf>
    <xf numFmtId="10" fontId="36" fillId="34" borderId="11" xfId="2" applyNumberFormat="1" applyFont="1" applyFill="1" applyBorder="1" applyAlignment="1">
      <alignment horizontal="center"/>
    </xf>
    <xf numFmtId="10" fontId="36" fillId="34" borderId="0" xfId="2" applyNumberFormat="1" applyFont="1" applyFill="1" applyBorder="1" applyAlignment="1">
      <alignment horizontal="center"/>
    </xf>
    <xf numFmtId="10" fontId="14" fillId="34" borderId="11" xfId="2" applyNumberFormat="1" applyFont="1" applyFill="1" applyBorder="1" applyAlignment="1">
      <alignment horizontal="center"/>
    </xf>
    <xf numFmtId="166" fontId="19" fillId="34" borderId="11" xfId="2" applyNumberFormat="1" applyFont="1" applyFill="1" applyBorder="1" applyAlignment="1">
      <alignment horizontal="center"/>
    </xf>
    <xf numFmtId="166" fontId="19" fillId="34" borderId="0" xfId="2" applyNumberFormat="1" applyFont="1" applyFill="1" applyBorder="1" applyAlignment="1">
      <alignment horizontal="center"/>
    </xf>
    <xf numFmtId="10" fontId="14" fillId="40" borderId="0" xfId="2" applyNumberFormat="1" applyFont="1" applyFill="1" applyBorder="1" applyAlignment="1">
      <alignment horizontal="center"/>
    </xf>
    <xf numFmtId="166" fontId="19" fillId="34" borderId="14" xfId="2" applyNumberFormat="1" applyFont="1" applyFill="1" applyBorder="1" applyAlignment="1">
      <alignment horizontal="center"/>
    </xf>
    <xf numFmtId="166" fontId="19" fillId="34" borderId="13" xfId="2" applyNumberFormat="1" applyFont="1" applyFill="1" applyBorder="1" applyAlignment="1">
      <alignment horizontal="center"/>
    </xf>
    <xf numFmtId="166" fontId="14" fillId="35" borderId="0" xfId="2" applyNumberFormat="1" applyFont="1" applyFill="1" applyBorder="1" applyAlignment="1">
      <alignment horizontal="center"/>
    </xf>
    <xf numFmtId="10" fontId="14" fillId="35" borderId="0" xfId="2" applyNumberFormat="1" applyFont="1" applyFill="1" applyBorder="1" applyAlignment="1">
      <alignment horizontal="center"/>
    </xf>
    <xf numFmtId="10" fontId="14" fillId="34" borderId="0" xfId="2" applyNumberFormat="1" applyFont="1" applyFill="1" applyBorder="1" applyAlignment="1">
      <alignment horizontal="center"/>
    </xf>
    <xf numFmtId="166" fontId="34" fillId="35" borderId="11" xfId="2" applyNumberFormat="1" applyFont="1" applyFill="1" applyBorder="1" applyAlignment="1">
      <alignment horizontal="center"/>
    </xf>
    <xf numFmtId="166" fontId="34" fillId="35" borderId="0" xfId="2" applyNumberFormat="1" applyFont="1" applyFill="1" applyBorder="1" applyAlignment="1">
      <alignment horizontal="center"/>
    </xf>
    <xf numFmtId="10" fontId="34" fillId="35" borderId="11" xfId="2" applyNumberFormat="1" applyFont="1" applyFill="1" applyBorder="1" applyAlignment="1">
      <alignment horizontal="center"/>
    </xf>
    <xf numFmtId="0" fontId="29" fillId="36" borderId="11" xfId="0" applyFont="1" applyFill="1" applyBorder="1" applyAlignment="1">
      <alignment horizontal="center"/>
    </xf>
    <xf numFmtId="0" fontId="29" fillId="36" borderId="0" xfId="0" applyFont="1" applyFill="1" applyBorder="1" applyAlignment="1">
      <alignment horizontal="center"/>
    </xf>
    <xf numFmtId="0" fontId="30" fillId="34" borderId="0" xfId="0" applyFont="1" applyFill="1" applyBorder="1" applyAlignment="1">
      <alignment horizontal="center" wrapText="1"/>
    </xf>
    <xf numFmtId="0" fontId="29" fillId="34" borderId="11" xfId="0" applyFont="1" applyFill="1" applyBorder="1" applyAlignment="1">
      <alignment horizontal="center"/>
    </xf>
    <xf numFmtId="0" fontId="29" fillId="34" borderId="0" xfId="0" applyFont="1" applyFill="1" applyBorder="1" applyAlignment="1">
      <alignment horizontal="center"/>
    </xf>
    <xf numFmtId="0" fontId="29" fillId="34" borderId="12" xfId="0" applyFont="1" applyFill="1" applyBorder="1" applyAlignment="1">
      <alignment horizontal="center"/>
    </xf>
    <xf numFmtId="0" fontId="0" fillId="35" borderId="0" xfId="0" applyFill="1" applyAlignment="1">
      <alignment vertical="top" wrapText="1"/>
    </xf>
    <xf numFmtId="0" fontId="18" fillId="36" borderId="0" xfId="44" applyFill="1" applyAlignment="1">
      <alignment vertical="top" wrapText="1"/>
    </xf>
    <xf numFmtId="0" fontId="0" fillId="36" borderId="0" xfId="0" applyFill="1" applyAlignment="1">
      <alignment vertical="top" wrapText="1"/>
    </xf>
    <xf numFmtId="0" fontId="25" fillId="35" borderId="10" xfId="0" applyFont="1" applyFill="1" applyBorder="1" applyAlignment="1">
      <alignment horizontal="center" vertical="center" wrapText="1"/>
    </xf>
    <xf numFmtId="0" fontId="27" fillId="35" borderId="0" xfId="0" applyFont="1" applyFill="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Forecast!$B$4</c:f>
          <c:strCache>
            <c:ptCount val="1"/>
            <c:pt idx="0">
              <c:v>5-Year ACS (2010-2019 Trend)</c:v>
            </c:pt>
          </c:strCache>
        </c:strRef>
      </c:tx>
      <c:layout>
        <c:manualLayout>
          <c:xMode val="edge"/>
          <c:yMode val="edge"/>
          <c:x val="0.53105103528725572"/>
          <c:y val="2.77776928369390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Forecast!$B$4:$B$5</c:f>
              <c:strCache>
                <c:ptCount val="2"/>
                <c:pt idx="0">
                  <c:v>5-Year ACS (2010-2019 Trend)</c:v>
                </c:pt>
                <c:pt idx="1">
                  <c:v>Home-Based</c:v>
                </c:pt>
              </c:strCache>
            </c:strRef>
          </c:tx>
          <c:spPr>
            <a:solidFill>
              <a:schemeClr val="accent5">
                <a:lumMod val="40000"/>
                <a:lumOff val="6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extLst>
            <c:ext xmlns:c16="http://schemas.microsoft.com/office/drawing/2014/chart" uri="{C3380CC4-5D6E-409C-BE32-E72D297353CC}">
              <c16:uniqueId val="{00000000-0FBF-404B-B83F-6F27971BE524}"/>
            </c:ext>
          </c:extLst>
        </c:ser>
        <c:ser>
          <c:idx val="1"/>
          <c:order val="1"/>
          <c:tx>
            <c:strRef>
              <c:f>Forecast!$C$4:$C$5</c:f>
              <c:strCache>
                <c:ptCount val="2"/>
                <c:pt idx="0">
                  <c:v>5-Year ACS (2010-2019 Trend)</c:v>
                </c:pt>
                <c:pt idx="1">
                  <c:v>Telecommute</c:v>
                </c:pt>
              </c:strCache>
            </c:strRef>
          </c:tx>
          <c:spPr>
            <a:solidFill>
              <a:schemeClr val="accent5">
                <a:lumMod val="5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extLst>
            <c:ext xmlns:c16="http://schemas.microsoft.com/office/drawing/2014/chart" uri="{C3380CC4-5D6E-409C-BE32-E72D297353CC}">
              <c16:uniqueId val="{00000001-0FBF-404B-B83F-6F27971BE524}"/>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2-0FBF-404B-B83F-6F27971BE524}"/>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Forecast!$H$4</c:f>
          <c:strCache>
            <c:ptCount val="1"/>
            <c:pt idx="0">
              <c:v>1-Year ACS (2010-2019 Trend)</c:v>
            </c:pt>
          </c:strCache>
        </c:strRef>
      </c:tx>
      <c:layout>
        <c:manualLayout>
          <c:xMode val="edge"/>
          <c:yMode val="edge"/>
          <c:x val="0.53105103528725572"/>
          <c:y val="2.77776928369390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Forecast!$H$4:$H$5</c:f>
              <c:strCache>
                <c:ptCount val="2"/>
                <c:pt idx="0">
                  <c:v>1-Year ACS (2010-2019 Trend)</c:v>
                </c:pt>
                <c:pt idx="1">
                  <c:v>Home-Based</c:v>
                </c:pt>
              </c:strCache>
            </c:strRef>
          </c:tx>
          <c:spPr>
            <a:solidFill>
              <a:schemeClr val="accent5">
                <a:lumMod val="40000"/>
                <a:lumOff val="6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val>
          <c:extLst>
            <c:ext xmlns:c16="http://schemas.microsoft.com/office/drawing/2014/chart" uri="{C3380CC4-5D6E-409C-BE32-E72D297353CC}">
              <c16:uniqueId val="{00000000-DD93-40FB-A550-CFB80C5998E6}"/>
            </c:ext>
          </c:extLst>
        </c:ser>
        <c:ser>
          <c:idx val="1"/>
          <c:order val="1"/>
          <c:tx>
            <c:strRef>
              <c:f>Forecast!$I$4:$I$5</c:f>
              <c:strCache>
                <c:ptCount val="2"/>
                <c:pt idx="0">
                  <c:v>1-Year ACS (2010-2019 Trend)</c:v>
                </c:pt>
                <c:pt idx="1">
                  <c:v>Telecommute</c:v>
                </c:pt>
              </c:strCache>
            </c:strRef>
          </c:tx>
          <c:spPr>
            <a:solidFill>
              <a:schemeClr val="accent5">
                <a:lumMod val="5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val>
          <c:extLst>
            <c:ext xmlns:c16="http://schemas.microsoft.com/office/drawing/2014/chart" uri="{C3380CC4-5D6E-409C-BE32-E72D297353CC}">
              <c16:uniqueId val="{00000001-DD93-40FB-A550-CFB80C5998E6}"/>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Forecast!$J$4:$J$5</c:f>
              <c:strCache>
                <c:ptCount val="2"/>
                <c:pt idx="0">
                  <c:v>1-Year ACS (2010-2019 Trend)</c:v>
                </c:pt>
                <c:pt idx="1">
                  <c:v>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val>
          <c:smooth val="0"/>
          <c:extLst>
            <c:ext xmlns:c16="http://schemas.microsoft.com/office/drawing/2014/chart" uri="{C3380CC4-5D6E-409C-BE32-E72D297353CC}">
              <c16:uniqueId val="{00000002-DD93-40FB-A550-CFB80C5998E6}"/>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5921-45D2-954E-8C62B3D51BAC}"/>
            </c:ext>
          </c:extLst>
        </c:ser>
        <c:ser>
          <c:idx val="1"/>
          <c:order val="1"/>
          <c:tx>
            <c:strRef>
              <c:f>Forecast!$C$4:$C$5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5921-45D2-954E-8C62B3D51BAC}"/>
            </c:ext>
          </c:extLst>
        </c:ser>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5921-45D2-954E-8C62B3D51BAC}"/>
            </c:ext>
          </c:extLst>
        </c:ser>
        <c:ser>
          <c:idx val="3"/>
          <c:order val="3"/>
          <c:tx>
            <c:strRef>
              <c:f>Forecast!$H$4:$H$5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5921-45D2-954E-8C62B3D51BAC}"/>
            </c:ext>
          </c:extLst>
        </c:ser>
        <c:ser>
          <c:idx val="4"/>
          <c:order val="4"/>
          <c:tx>
            <c:strRef>
              <c:f>Forecast!$I$4:$I$5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5921-45D2-954E-8C62B3D51BAC}"/>
            </c:ext>
          </c:extLst>
        </c:ser>
        <c:ser>
          <c:idx val="5"/>
          <c:order val="5"/>
          <c:tx>
            <c:strRef>
              <c:f>Forecast!$J$4:$J$5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5921-45D2-954E-8C62B3D51BAC}"/>
            </c:ext>
          </c:extLst>
        </c:ser>
        <c:ser>
          <c:idx val="6"/>
          <c:order val="6"/>
          <c:tx>
            <c:v>5-Year ACS Home-Based Forecast 1</c:v>
          </c:tx>
          <c:spPr>
            <a:ln w="25400" cap="rnd">
              <a:solidFill>
                <a:schemeClr val="accent5">
                  <a:lumMod val="60000"/>
                  <a:lumOff val="4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5921-45D2-954E-8C62B3D51BAC}"/>
            </c:ext>
          </c:extLst>
        </c:ser>
        <c:ser>
          <c:idx val="7"/>
          <c:order val="7"/>
          <c:tx>
            <c:v>5-Year ACS Telecommute Forecast 1</c:v>
          </c:tx>
          <c:spPr>
            <a:ln w="25400" cap="rnd">
              <a:solidFill>
                <a:schemeClr val="accent5">
                  <a:lumMod val="50000"/>
                  <a:alpha val="1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5921-45D2-954E-8C62B3D51BAC}"/>
            </c:ext>
          </c:extLst>
        </c:ser>
        <c:ser>
          <c:idx val="8"/>
          <c:order val="8"/>
          <c:tx>
            <c:v>5-Year ACS Work At Home Forecast 1</c:v>
          </c:tx>
          <c:spPr>
            <a:ln w="25400" cap="rnd">
              <a:solidFill>
                <a:srgbClr val="C00000">
                  <a:alpha val="1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5921-45D2-954E-8C62B3D51BAC}"/>
            </c:ext>
          </c:extLst>
        </c:ser>
        <c:ser>
          <c:idx val="9"/>
          <c:order val="9"/>
          <c:tx>
            <c:v>5-Year ACS Home-Based Forecast 2</c:v>
          </c:tx>
          <c:spPr>
            <a:ln w="25400" cap="rnd">
              <a:solidFill>
                <a:schemeClr val="accent5">
                  <a:lumMod val="60000"/>
                  <a:lumOff val="4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Forecast!$N$16:$N$56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5921-45D2-954E-8C62B3D51BAC}"/>
            </c:ext>
          </c:extLst>
        </c:ser>
        <c:ser>
          <c:idx val="10"/>
          <c:order val="10"/>
          <c:tx>
            <c:v>5-Year ACS Telecommute Forecast 2</c:v>
          </c:tx>
          <c:spPr>
            <a:ln w="25400" cap="rnd">
              <a:solidFill>
                <a:schemeClr val="accent5">
                  <a:lumMod val="50000"/>
                  <a:alpha val="1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Forecast!$O$16:$O$56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5921-45D2-954E-8C62B3D51BAC}"/>
            </c:ext>
          </c:extLst>
        </c:ser>
        <c:ser>
          <c:idx val="11"/>
          <c:order val="11"/>
          <c:tx>
            <c:v>5-Year ACS Work At Home Forecast 2</c:v>
          </c:tx>
          <c:spPr>
            <a:ln w="25400" cap="rnd">
              <a:solidFill>
                <a:srgbClr val="C00000">
                  <a:alpha val="1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Forecast!$P$16:$P$56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5921-45D2-954E-8C62B3D51BAC}"/>
            </c:ext>
          </c:extLst>
        </c:ser>
        <c:ser>
          <c:idx val="12"/>
          <c:order val="12"/>
          <c:tx>
            <c:v>1-Year ACS Home-Based Forecas</c:v>
          </c:tx>
          <c:spPr>
            <a:ln w="25400" cap="rnd">
              <a:solidFill>
                <a:schemeClr val="accent5">
                  <a:lumMod val="60000"/>
                  <a:lumOff val="40000"/>
                  <a:alpha val="2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Forecast!$H$16:$H$56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5921-45D2-954E-8C62B3D51BAC}"/>
            </c:ext>
          </c:extLst>
        </c:ser>
        <c:ser>
          <c:idx val="13"/>
          <c:order val="13"/>
          <c:tx>
            <c:v>1-Year ACS Telecommute Forecas</c:v>
          </c:tx>
          <c:spPr>
            <a:ln w="25400" cap="rnd">
              <a:solidFill>
                <a:schemeClr val="accent5">
                  <a:lumMod val="75000"/>
                  <a:alpha val="1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Forecast!$I$16:$I$56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5921-45D2-954E-8C62B3D51BAC}"/>
            </c:ext>
          </c:extLst>
        </c:ser>
        <c:ser>
          <c:idx val="14"/>
          <c:order val="14"/>
          <c:tx>
            <c:v>1-Year ACS Work At Home Forecas</c:v>
          </c:tx>
          <c:spPr>
            <a:ln w="25400" cap="rnd">
              <a:solidFill>
                <a:srgbClr val="C00000">
                  <a:alpha val="10000"/>
                </a:srgb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Forecast!$J$16:$J$56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5921-45D2-954E-8C62B3D51BAC}"/>
            </c:ext>
          </c:extLst>
        </c:ser>
        <c:ser>
          <c:idx val="15"/>
          <c:order val="15"/>
          <c:tx>
            <c:v>Post Covid - Upper - Home-Based</c:v>
          </c:tx>
          <c:spPr>
            <a:ln w="50800" cap="rnd">
              <a:solidFill>
                <a:schemeClr val="accent5">
                  <a:lumMod val="60000"/>
                  <a:lumOff val="40000"/>
                  <a:alpha val="3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Forecast!$T$15:$T$56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5921-45D2-954E-8C62B3D51BAC}"/>
            </c:ext>
          </c:extLst>
        </c:ser>
        <c:ser>
          <c:idx val="16"/>
          <c:order val="16"/>
          <c:tx>
            <c:v>Post Covid - Upper - Telecommute</c:v>
          </c:tx>
          <c:spPr>
            <a:ln w="50800" cap="rnd">
              <a:solidFill>
                <a:schemeClr val="accent5">
                  <a:lumMod val="50000"/>
                  <a:alpha val="1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Forecast!$U$15:$U$56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5921-45D2-954E-8C62B3D51BAC}"/>
            </c:ext>
          </c:extLst>
        </c:ser>
        <c:ser>
          <c:idx val="17"/>
          <c:order val="17"/>
          <c:tx>
            <c:v>Post Covid - Upper - Work At Home</c:v>
          </c:tx>
          <c:spPr>
            <a:ln w="50800" cap="rnd">
              <a:solidFill>
                <a:srgbClr val="C00000">
                  <a:alpha val="10000"/>
                </a:srgbClr>
              </a:solidFill>
              <a:prstDash val="solid"/>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Forecast!$V$15:$V$56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5921-45D2-954E-8C62B3D51BAC}"/>
            </c:ext>
          </c:extLst>
        </c:ser>
        <c:ser>
          <c:idx val="18"/>
          <c:order val="18"/>
          <c:tx>
            <c:v>Post Covid - Home-Based</c:v>
          </c:tx>
          <c:spPr>
            <a:ln w="50800" cap="rnd">
              <a:solidFill>
                <a:schemeClr val="accent5">
                  <a:lumMod val="60000"/>
                  <a:lumOff val="40000"/>
                  <a:alpha val="3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Forecast!$Z$15:$Z$56</c:f>
              <c:numCache>
                <c:formatCode>0.0%</c:formatCode>
                <c:ptCount val="42"/>
                <c:pt idx="0">
                  <c:v>2.6666596808531076E-2</c:v>
                </c:pt>
                <c:pt idx="1">
                  <c:v>0.06</c:v>
                </c:pt>
                <c:pt idx="2">
                  <c:v>0.04</c:v>
                </c:pt>
                <c:pt idx="3" formatCode="0.00%">
                  <c:v>3.2500000000000001E-2</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formatCode="0.00%">
                  <c:v>3.0277777777777778E-2</c:v>
                </c:pt>
                <c:pt idx="25" formatCode="0.00%">
                  <c:v>3.0555555555555558E-2</c:v>
                </c:pt>
                <c:pt idx="26" formatCode="0.00%">
                  <c:v>3.0833333333333338E-2</c:v>
                </c:pt>
                <c:pt idx="27" formatCode="0.00%">
                  <c:v>3.1111111111111117E-2</c:v>
                </c:pt>
                <c:pt idx="28" formatCode="0.00%">
                  <c:v>3.1388888888888897E-2</c:v>
                </c:pt>
                <c:pt idx="29" formatCode="0.00%">
                  <c:v>3.1666666666666676E-2</c:v>
                </c:pt>
                <c:pt idx="30" formatCode="0.00%">
                  <c:v>3.1944444444444456E-2</c:v>
                </c:pt>
                <c:pt idx="31" formatCode="0.00%">
                  <c:v>3.2222222222222235E-2</c:v>
                </c:pt>
                <c:pt idx="32" formatCode="0.00%">
                  <c:v>3.2500000000000015E-2</c:v>
                </c:pt>
                <c:pt idx="33" formatCode="0.00%">
                  <c:v>3.2777777777777795E-2</c:v>
                </c:pt>
                <c:pt idx="34" formatCode="0.00%">
                  <c:v>3.3055555555555574E-2</c:v>
                </c:pt>
                <c:pt idx="35" formatCode="0.00%">
                  <c:v>3.3333333333333354E-2</c:v>
                </c:pt>
                <c:pt idx="36" formatCode="0.00%">
                  <c:v>3.3611111111111133E-2</c:v>
                </c:pt>
                <c:pt idx="37" formatCode="0.00%">
                  <c:v>3.3888888888888913E-2</c:v>
                </c:pt>
                <c:pt idx="38" formatCode="0.00%">
                  <c:v>3.4166666666666692E-2</c:v>
                </c:pt>
                <c:pt idx="39" formatCode="0.00%">
                  <c:v>3.4444444444444472E-2</c:v>
                </c:pt>
                <c:pt idx="40" formatCode="0.00%">
                  <c:v>3.4722222222222252E-2</c:v>
                </c:pt>
                <c:pt idx="41" formatCode="0.00%">
                  <c:v>3.5000000000000003E-2</c:v>
                </c:pt>
              </c:numCache>
            </c:numRef>
          </c:yVal>
          <c:smooth val="1"/>
          <c:extLst>
            <c:ext xmlns:c16="http://schemas.microsoft.com/office/drawing/2014/chart" uri="{C3380CC4-5D6E-409C-BE32-E72D297353CC}">
              <c16:uniqueId val="{00000012-5921-45D2-954E-8C62B3D51BAC}"/>
            </c:ext>
          </c:extLst>
        </c:ser>
        <c:ser>
          <c:idx val="19"/>
          <c:order val="19"/>
          <c:tx>
            <c:v>Post Covid - Telecommute</c:v>
          </c:tx>
          <c:spPr>
            <a:ln w="50800" cap="rnd">
              <a:solidFill>
                <a:schemeClr val="accent5">
                  <a:lumMod val="50000"/>
                  <a:alpha val="1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Forecast!$AA$15:$AA$56</c:f>
              <c:numCache>
                <c:formatCode>0.0%</c:formatCode>
                <c:ptCount val="42"/>
                <c:pt idx="0">
                  <c:v>3.6494763259510746E-2</c:v>
                </c:pt>
                <c:pt idx="1">
                  <c:v>0.35</c:v>
                </c:pt>
                <c:pt idx="2">
                  <c:v>0.15</c:v>
                </c:pt>
                <c:pt idx="3">
                  <c:v>0.1</c:v>
                </c:pt>
                <c:pt idx="4">
                  <c:v>8.3000000000000004E-2</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formatCode="0.00%">
                  <c:v>8.1200000000000008E-2</c:v>
                </c:pt>
                <c:pt idx="25" formatCode="0.00%">
                  <c:v>8.2866666666666672E-2</c:v>
                </c:pt>
                <c:pt idx="26" formatCode="0.00%">
                  <c:v>8.4533333333333335E-2</c:v>
                </c:pt>
                <c:pt idx="27" formatCode="0.00%">
                  <c:v>8.6199999999999999E-2</c:v>
                </c:pt>
                <c:pt idx="28" formatCode="0.00%">
                  <c:v>8.7866666666666662E-2</c:v>
                </c:pt>
                <c:pt idx="29" formatCode="0.00%">
                  <c:v>8.9533333333333326E-2</c:v>
                </c:pt>
                <c:pt idx="30" formatCode="0.00%">
                  <c:v>9.1199999999999989E-2</c:v>
                </c:pt>
                <c:pt idx="31" formatCode="0.00%">
                  <c:v>9.2866666666666653E-2</c:v>
                </c:pt>
                <c:pt idx="32" formatCode="0.00%">
                  <c:v>9.4533333333333316E-2</c:v>
                </c:pt>
                <c:pt idx="33" formatCode="0.00%">
                  <c:v>9.619999999999998E-2</c:v>
                </c:pt>
                <c:pt idx="34" formatCode="0.00%">
                  <c:v>9.7866666666666643E-2</c:v>
                </c:pt>
                <c:pt idx="35" formatCode="0.00%">
                  <c:v>9.9533333333333307E-2</c:v>
                </c:pt>
                <c:pt idx="36" formatCode="0.00%">
                  <c:v>0.10119999999999997</c:v>
                </c:pt>
                <c:pt idx="37" formatCode="0.00%">
                  <c:v>0.10286666666666663</c:v>
                </c:pt>
                <c:pt idx="38" formatCode="0.00%">
                  <c:v>0.1045333333333333</c:v>
                </c:pt>
                <c:pt idx="39" formatCode="0.00%">
                  <c:v>0.10619999999999996</c:v>
                </c:pt>
                <c:pt idx="40" formatCode="0.00%">
                  <c:v>0.10786666666666662</c:v>
                </c:pt>
                <c:pt idx="41">
                  <c:v>0.11</c:v>
                </c:pt>
              </c:numCache>
            </c:numRef>
          </c:yVal>
          <c:smooth val="1"/>
          <c:extLst>
            <c:ext xmlns:c16="http://schemas.microsoft.com/office/drawing/2014/chart" uri="{C3380CC4-5D6E-409C-BE32-E72D297353CC}">
              <c16:uniqueId val="{00000013-5921-45D2-954E-8C62B3D51BAC}"/>
            </c:ext>
          </c:extLst>
        </c:ser>
        <c:ser>
          <c:idx val="20"/>
          <c:order val="20"/>
          <c:tx>
            <c:v>Post Covid - Work At Home</c:v>
          </c:tx>
          <c:spPr>
            <a:ln w="50800" cap="rnd">
              <a:solidFill>
                <a:srgbClr val="C00000">
                  <a:alpha val="10000"/>
                </a:srgb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Forecast!$AB$15:$AB$56</c:f>
              <c:numCache>
                <c:formatCode>0.0%</c:formatCode>
                <c:ptCount val="42"/>
                <c:pt idx="0">
                  <c:v>6.3161360068041822E-2</c:v>
                </c:pt>
                <c:pt idx="1">
                  <c:v>0.41</c:v>
                </c:pt>
                <c:pt idx="2">
                  <c:v>0.19</c:v>
                </c:pt>
                <c:pt idx="3">
                  <c:v>0.13250000000000001</c:v>
                </c:pt>
                <c:pt idx="4">
                  <c:v>0.113</c:v>
                </c:pt>
                <c:pt idx="5">
                  <c:v>0.11</c:v>
                </c:pt>
                <c:pt idx="6">
                  <c:v>0.11</c:v>
                </c:pt>
                <c:pt idx="7">
                  <c:v>0.11</c:v>
                </c:pt>
                <c:pt idx="8">
                  <c:v>0.11</c:v>
                </c:pt>
                <c:pt idx="9">
                  <c:v>0.11</c:v>
                </c:pt>
                <c:pt idx="10">
                  <c:v>0.11</c:v>
                </c:pt>
                <c:pt idx="11">
                  <c:v>0.11</c:v>
                </c:pt>
                <c:pt idx="12">
                  <c:v>0.11</c:v>
                </c:pt>
                <c:pt idx="13">
                  <c:v>0.11</c:v>
                </c:pt>
                <c:pt idx="14">
                  <c:v>0.11</c:v>
                </c:pt>
                <c:pt idx="15">
                  <c:v>0.11</c:v>
                </c:pt>
                <c:pt idx="16">
                  <c:v>0.11</c:v>
                </c:pt>
                <c:pt idx="17">
                  <c:v>0.11</c:v>
                </c:pt>
                <c:pt idx="18">
                  <c:v>0.11</c:v>
                </c:pt>
                <c:pt idx="19">
                  <c:v>0.11</c:v>
                </c:pt>
                <c:pt idx="20">
                  <c:v>0.11</c:v>
                </c:pt>
                <c:pt idx="21">
                  <c:v>0.11</c:v>
                </c:pt>
                <c:pt idx="22">
                  <c:v>0.11</c:v>
                </c:pt>
                <c:pt idx="23">
                  <c:v>0.11</c:v>
                </c:pt>
                <c:pt idx="24">
                  <c:v>0.11147777777777779</c:v>
                </c:pt>
                <c:pt idx="25">
                  <c:v>0.11342222222222223</c:v>
                </c:pt>
                <c:pt idx="26">
                  <c:v>0.11536666666666667</c:v>
                </c:pt>
                <c:pt idx="27">
                  <c:v>0.11731111111111112</c:v>
                </c:pt>
                <c:pt idx="28">
                  <c:v>0.11925555555555556</c:v>
                </c:pt>
                <c:pt idx="29">
                  <c:v>0.1212</c:v>
                </c:pt>
                <c:pt idx="30">
                  <c:v>0.12314444444444445</c:v>
                </c:pt>
                <c:pt idx="31">
                  <c:v>0.12508888888888889</c:v>
                </c:pt>
                <c:pt idx="32">
                  <c:v>0.12703333333333333</c:v>
                </c:pt>
                <c:pt idx="33">
                  <c:v>0.12897777777777777</c:v>
                </c:pt>
                <c:pt idx="34">
                  <c:v>0.13092222222222222</c:v>
                </c:pt>
                <c:pt idx="35">
                  <c:v>0.13286666666666666</c:v>
                </c:pt>
                <c:pt idx="36">
                  <c:v>0.1348111111111111</c:v>
                </c:pt>
                <c:pt idx="37">
                  <c:v>0.13675555555555555</c:v>
                </c:pt>
                <c:pt idx="38">
                  <c:v>0.13869999999999999</c:v>
                </c:pt>
                <c:pt idx="39">
                  <c:v>0.14064444444444443</c:v>
                </c:pt>
                <c:pt idx="40">
                  <c:v>0.14258888888888888</c:v>
                </c:pt>
                <c:pt idx="41">
                  <c:v>0.14500000000000002</c:v>
                </c:pt>
              </c:numCache>
            </c:numRef>
          </c:yVal>
          <c:smooth val="1"/>
          <c:extLst>
            <c:ext xmlns:c16="http://schemas.microsoft.com/office/drawing/2014/chart" uri="{C3380CC4-5D6E-409C-BE32-E72D297353CC}">
              <c16:uniqueId val="{00000014-5921-45D2-954E-8C62B3D51BAC}"/>
            </c:ext>
          </c:extLst>
        </c:ser>
        <c:ser>
          <c:idx val="21"/>
          <c:order val="21"/>
          <c:tx>
            <c:v>Final Home-Based</c:v>
          </c:tx>
          <c:spPr>
            <a:ln w="63500" cap="rnd">
              <a:solidFill>
                <a:schemeClr val="accent5">
                  <a:lumMod val="60000"/>
                  <a:lumOff val="4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Forecast!$AF$15:$AF$56</c:f>
              <c:numCache>
                <c:formatCode>0.0%</c:formatCode>
                <c:ptCount val="42"/>
                <c:pt idx="0">
                  <c:v>2.6666596808531076E-2</c:v>
                </c:pt>
                <c:pt idx="1">
                  <c:v>0.06</c:v>
                </c:pt>
                <c:pt idx="2">
                  <c:v>0.04</c:v>
                </c:pt>
                <c:pt idx="3" formatCode="0.00%">
                  <c:v>3.2500000000000001E-2</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formatCode="0.00%">
                  <c:v>3.0277777777777778E-2</c:v>
                </c:pt>
                <c:pt idx="25" formatCode="0.00%">
                  <c:v>3.0555555555555558E-2</c:v>
                </c:pt>
                <c:pt idx="26" formatCode="0.00%">
                  <c:v>3.0833333333333338E-2</c:v>
                </c:pt>
                <c:pt idx="27" formatCode="0.00%">
                  <c:v>3.1111111111111117E-2</c:v>
                </c:pt>
                <c:pt idx="28" formatCode="0.00%">
                  <c:v>3.1388888888888897E-2</c:v>
                </c:pt>
                <c:pt idx="29" formatCode="0.00%">
                  <c:v>3.1666666666666676E-2</c:v>
                </c:pt>
                <c:pt idx="30" formatCode="0.00%">
                  <c:v>3.1944444444444456E-2</c:v>
                </c:pt>
                <c:pt idx="31" formatCode="0.00%">
                  <c:v>3.2222222222222235E-2</c:v>
                </c:pt>
                <c:pt idx="32" formatCode="0.00%">
                  <c:v>3.2500000000000015E-2</c:v>
                </c:pt>
                <c:pt idx="33" formatCode="0.00%">
                  <c:v>3.2777777777777795E-2</c:v>
                </c:pt>
                <c:pt idx="34" formatCode="0.00%">
                  <c:v>3.3055555555555574E-2</c:v>
                </c:pt>
                <c:pt idx="35" formatCode="0.00%">
                  <c:v>3.3333333333333354E-2</c:v>
                </c:pt>
                <c:pt idx="36" formatCode="0.00%">
                  <c:v>3.3611111111111133E-2</c:v>
                </c:pt>
                <c:pt idx="37" formatCode="0.00%">
                  <c:v>3.3888888888888913E-2</c:v>
                </c:pt>
                <c:pt idx="38" formatCode="0.00%">
                  <c:v>3.4166666666666692E-2</c:v>
                </c:pt>
                <c:pt idx="39" formatCode="0.00%">
                  <c:v>3.4444444444444472E-2</c:v>
                </c:pt>
                <c:pt idx="40" formatCode="0.00%">
                  <c:v>3.4722222222222252E-2</c:v>
                </c:pt>
                <c:pt idx="41" formatCode="0.00%">
                  <c:v>3.5000000000000003E-2</c:v>
                </c:pt>
              </c:numCache>
            </c:numRef>
          </c:yVal>
          <c:smooth val="1"/>
          <c:extLst>
            <c:ext xmlns:c16="http://schemas.microsoft.com/office/drawing/2014/chart" uri="{C3380CC4-5D6E-409C-BE32-E72D297353CC}">
              <c16:uniqueId val="{00000015-5921-45D2-954E-8C62B3D51BAC}"/>
            </c:ext>
          </c:extLst>
        </c:ser>
        <c:ser>
          <c:idx val="22"/>
          <c:order val="22"/>
          <c:tx>
            <c:v>Final Telecommute</c:v>
          </c:tx>
          <c:spPr>
            <a:ln w="63500" cap="rnd">
              <a:solidFill>
                <a:schemeClr val="accent5">
                  <a:lumMod val="5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Forecast!$AG$15:$AG$56</c:f>
              <c:numCache>
                <c:formatCode>0.0%</c:formatCode>
                <c:ptCount val="42"/>
                <c:pt idx="0">
                  <c:v>3.6494763259510746E-2</c:v>
                </c:pt>
                <c:pt idx="1">
                  <c:v>0.35</c:v>
                </c:pt>
                <c:pt idx="2">
                  <c:v>0.17</c:v>
                </c:pt>
                <c:pt idx="3">
                  <c:v>0.115</c:v>
                </c:pt>
                <c:pt idx="4">
                  <c:v>9.1999999999999998E-2</c:v>
                </c:pt>
                <c:pt idx="5">
                  <c:v>0.08</c:v>
                </c:pt>
                <c:pt idx="6">
                  <c:v>7.3999999999999996E-2</c:v>
                </c:pt>
                <c:pt idx="7">
                  <c:v>7.0999999999999994E-2</c:v>
                </c:pt>
                <c:pt idx="8">
                  <c:v>7.0000000000000007E-2</c:v>
                </c:pt>
                <c:pt idx="9">
                  <c:v>7.0000000000000007E-2</c:v>
                </c:pt>
                <c:pt idx="10" formatCode="0.00%">
                  <c:v>7.0499999999999993E-2</c:v>
                </c:pt>
                <c:pt idx="11">
                  <c:v>7.1999999999999995E-2</c:v>
                </c:pt>
                <c:pt idx="12" formatCode="0.00%">
                  <c:v>7.3399999999999993E-2</c:v>
                </c:pt>
                <c:pt idx="13" formatCode="0.00%">
                  <c:v>7.4799999999999991E-2</c:v>
                </c:pt>
                <c:pt idx="14" formatCode="0.00%">
                  <c:v>7.619999999999999E-2</c:v>
                </c:pt>
                <c:pt idx="15" formatCode="0.00%">
                  <c:v>7.7599999999999988E-2</c:v>
                </c:pt>
                <c:pt idx="16" formatCode="0.00%">
                  <c:v>7.8999999999999987E-2</c:v>
                </c:pt>
                <c:pt idx="17" formatCode="0.00%">
                  <c:v>8.0399999999999985E-2</c:v>
                </c:pt>
                <c:pt idx="18" formatCode="0.00%">
                  <c:v>8.1799999999999984E-2</c:v>
                </c:pt>
                <c:pt idx="19" formatCode="0.00%">
                  <c:v>8.3199999999999982E-2</c:v>
                </c:pt>
                <c:pt idx="20" formatCode="0.00%">
                  <c:v>8.4599999999999981E-2</c:v>
                </c:pt>
                <c:pt idx="21" formatCode="0.00%">
                  <c:v>8.5999999999999979E-2</c:v>
                </c:pt>
                <c:pt idx="22" formatCode="0.00%">
                  <c:v>8.7399999999999978E-2</c:v>
                </c:pt>
                <c:pt idx="23" formatCode="0.00%">
                  <c:v>8.8799999999999976E-2</c:v>
                </c:pt>
                <c:pt idx="24" formatCode="0.00%">
                  <c:v>9.0199999999999975E-2</c:v>
                </c:pt>
                <c:pt idx="25" formatCode="0.00%">
                  <c:v>9.1599999999999973E-2</c:v>
                </c:pt>
                <c:pt idx="26" formatCode="0.00%">
                  <c:v>9.2999999999999972E-2</c:v>
                </c:pt>
                <c:pt idx="27" formatCode="0.00%">
                  <c:v>9.439999999999997E-2</c:v>
                </c:pt>
                <c:pt idx="28" formatCode="0.00%">
                  <c:v>9.5799999999999969E-2</c:v>
                </c:pt>
                <c:pt idx="29" formatCode="0.00%">
                  <c:v>9.7199999999999967E-2</c:v>
                </c:pt>
                <c:pt idx="30" formatCode="0.00%">
                  <c:v>9.8599999999999965E-2</c:v>
                </c:pt>
                <c:pt idx="31" formatCode="0.00%">
                  <c:v>0.1</c:v>
                </c:pt>
                <c:pt idx="32" formatCode="0.00%">
                  <c:v>0.10175000000000001</c:v>
                </c:pt>
                <c:pt idx="33" formatCode="0.00%">
                  <c:v>0.10350000000000001</c:v>
                </c:pt>
                <c:pt idx="34" formatCode="0.00%">
                  <c:v>0.10525000000000001</c:v>
                </c:pt>
                <c:pt idx="35" formatCode="0.00%">
                  <c:v>0.10700000000000001</c:v>
                </c:pt>
                <c:pt idx="36" formatCode="0.00%">
                  <c:v>0.10875000000000001</c:v>
                </c:pt>
                <c:pt idx="37" formatCode="0.00%">
                  <c:v>0.11050000000000001</c:v>
                </c:pt>
                <c:pt idx="38" formatCode="0.00%">
                  <c:v>0.11225000000000002</c:v>
                </c:pt>
                <c:pt idx="39" formatCode="0.00%">
                  <c:v>0.11400000000000002</c:v>
                </c:pt>
                <c:pt idx="40" formatCode="0.00%">
                  <c:v>0.11575000000000002</c:v>
                </c:pt>
                <c:pt idx="41" formatCode="0.00%">
                  <c:v>0.11749999999999999</c:v>
                </c:pt>
              </c:numCache>
            </c:numRef>
          </c:yVal>
          <c:smooth val="1"/>
          <c:extLst>
            <c:ext xmlns:c16="http://schemas.microsoft.com/office/drawing/2014/chart" uri="{C3380CC4-5D6E-409C-BE32-E72D297353CC}">
              <c16:uniqueId val="{00000016-5921-45D2-954E-8C62B3D51BAC}"/>
            </c:ext>
          </c:extLst>
        </c:ser>
        <c:ser>
          <c:idx val="23"/>
          <c:order val="23"/>
          <c:tx>
            <c:v>Final Work At Home</c:v>
          </c:tx>
          <c:spPr>
            <a:ln w="63500" cap="rnd">
              <a:solidFill>
                <a:srgbClr val="C00000"/>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Forecast!$AH$15:$AH$56</c:f>
              <c:numCache>
                <c:formatCode>0.0%</c:formatCode>
                <c:ptCount val="42"/>
                <c:pt idx="0">
                  <c:v>6.3161360068041822E-2</c:v>
                </c:pt>
                <c:pt idx="1">
                  <c:v>0.41</c:v>
                </c:pt>
                <c:pt idx="2">
                  <c:v>0.21000000000000002</c:v>
                </c:pt>
                <c:pt idx="3">
                  <c:v>0.14750000000000002</c:v>
                </c:pt>
                <c:pt idx="4">
                  <c:v>0.122</c:v>
                </c:pt>
                <c:pt idx="5">
                  <c:v>0.11</c:v>
                </c:pt>
                <c:pt idx="6">
                  <c:v>0.104</c:v>
                </c:pt>
                <c:pt idx="7">
                  <c:v>0.10099999999999999</c:v>
                </c:pt>
                <c:pt idx="8">
                  <c:v>0.1</c:v>
                </c:pt>
                <c:pt idx="9">
                  <c:v>0.1</c:v>
                </c:pt>
                <c:pt idx="10">
                  <c:v>0.10049999999999999</c:v>
                </c:pt>
                <c:pt idx="11">
                  <c:v>0.10199999999999999</c:v>
                </c:pt>
                <c:pt idx="12">
                  <c:v>0.10339999999999999</c:v>
                </c:pt>
                <c:pt idx="13">
                  <c:v>0.10479999999999999</c:v>
                </c:pt>
                <c:pt idx="14">
                  <c:v>0.10619999999999999</c:v>
                </c:pt>
                <c:pt idx="15">
                  <c:v>0.10759999999999999</c:v>
                </c:pt>
                <c:pt idx="16">
                  <c:v>0.10899999999999999</c:v>
                </c:pt>
                <c:pt idx="17">
                  <c:v>0.11039999999999998</c:v>
                </c:pt>
                <c:pt idx="18">
                  <c:v>0.11179999999999998</c:v>
                </c:pt>
                <c:pt idx="19">
                  <c:v>0.11319999999999998</c:v>
                </c:pt>
                <c:pt idx="20">
                  <c:v>0.11459999999999998</c:v>
                </c:pt>
                <c:pt idx="21">
                  <c:v>0.11599999999999998</c:v>
                </c:pt>
                <c:pt idx="22">
                  <c:v>0.11739999999999998</c:v>
                </c:pt>
                <c:pt idx="23">
                  <c:v>0.11879999999999998</c:v>
                </c:pt>
                <c:pt idx="24">
                  <c:v>0.12047777777777775</c:v>
                </c:pt>
                <c:pt idx="25">
                  <c:v>0.12215555555555553</c:v>
                </c:pt>
                <c:pt idx="26">
                  <c:v>0.12383333333333331</c:v>
                </c:pt>
                <c:pt idx="27">
                  <c:v>0.12551111111111107</c:v>
                </c:pt>
                <c:pt idx="28">
                  <c:v>0.12718888888888885</c:v>
                </c:pt>
                <c:pt idx="29">
                  <c:v>0.12886666666666663</c:v>
                </c:pt>
                <c:pt idx="30">
                  <c:v>0.13054444444444441</c:v>
                </c:pt>
                <c:pt idx="31">
                  <c:v>0.13222222222222224</c:v>
                </c:pt>
                <c:pt idx="32">
                  <c:v>0.13425000000000004</c:v>
                </c:pt>
                <c:pt idx="33">
                  <c:v>0.1362777777777778</c:v>
                </c:pt>
                <c:pt idx="34">
                  <c:v>0.13830555555555557</c:v>
                </c:pt>
                <c:pt idx="35">
                  <c:v>0.14033333333333337</c:v>
                </c:pt>
                <c:pt idx="36">
                  <c:v>0.14236111111111116</c:v>
                </c:pt>
                <c:pt idx="37">
                  <c:v>0.14438888888888893</c:v>
                </c:pt>
                <c:pt idx="38">
                  <c:v>0.14641666666666669</c:v>
                </c:pt>
                <c:pt idx="39">
                  <c:v>0.14844444444444449</c:v>
                </c:pt>
                <c:pt idx="40">
                  <c:v>0.15047222222222228</c:v>
                </c:pt>
                <c:pt idx="41">
                  <c:v>0.1525</c:v>
                </c:pt>
              </c:numCache>
            </c:numRef>
          </c:yVal>
          <c:smooth val="1"/>
          <c:extLst>
            <c:ext xmlns:c16="http://schemas.microsoft.com/office/drawing/2014/chart" uri="{C3380CC4-5D6E-409C-BE32-E72D297353CC}">
              <c16:uniqueId val="{00000017-5921-45D2-954E-8C62B3D51BAC}"/>
            </c:ext>
          </c:extLst>
        </c:ser>
        <c:dLbls>
          <c:showLegendKey val="0"/>
          <c:showVal val="0"/>
          <c:showCatName val="0"/>
          <c:showSerName val="0"/>
          <c:showPercent val="0"/>
          <c:showBubbleSize val="0"/>
        </c:dLbls>
        <c:axId val="358412287"/>
        <c:axId val="358416031"/>
      </c:scatterChart>
      <c:valAx>
        <c:axId val="358412287"/>
        <c:scaling>
          <c:orientation val="minMax"/>
          <c:max val="2051"/>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ax val="0.1800000000000000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1A95-4460-87D8-0906020C5B34}"/>
            </c:ext>
          </c:extLst>
        </c:ser>
        <c:ser>
          <c:idx val="1"/>
          <c:order val="1"/>
          <c:tx>
            <c:strRef>
              <c:f>Forecast!$C$4:$C$5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1A95-4460-87D8-0906020C5B34}"/>
            </c:ext>
          </c:extLst>
        </c:ser>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1A95-4460-87D8-0906020C5B34}"/>
            </c:ext>
          </c:extLst>
        </c:ser>
        <c:ser>
          <c:idx val="3"/>
          <c:order val="3"/>
          <c:tx>
            <c:strRef>
              <c:f>Forecast!$H$4:$H$5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1A95-4460-87D8-0906020C5B34}"/>
            </c:ext>
          </c:extLst>
        </c:ser>
        <c:ser>
          <c:idx val="4"/>
          <c:order val="4"/>
          <c:tx>
            <c:strRef>
              <c:f>Forecast!$I$4:$I$5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1A95-4460-87D8-0906020C5B34}"/>
            </c:ext>
          </c:extLst>
        </c:ser>
        <c:ser>
          <c:idx val="5"/>
          <c:order val="5"/>
          <c:tx>
            <c:strRef>
              <c:f>Forecast!$J$4:$J$5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1A95-4460-87D8-0906020C5B34}"/>
            </c:ext>
          </c:extLst>
        </c:ser>
        <c:ser>
          <c:idx val="6"/>
          <c:order val="6"/>
          <c:tx>
            <c:v>5-Year ACS Home-Based Forecast 1</c:v>
          </c:tx>
          <c:spPr>
            <a:ln w="25400" cap="rnd">
              <a:solidFill>
                <a:schemeClr val="accent5">
                  <a:lumMod val="60000"/>
                  <a:lumOff val="4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1A95-4460-87D8-0906020C5B34}"/>
            </c:ext>
          </c:extLst>
        </c:ser>
        <c:ser>
          <c:idx val="7"/>
          <c:order val="7"/>
          <c:tx>
            <c:v>5-Year ACS Telecommute Forecast 1</c:v>
          </c:tx>
          <c:spPr>
            <a:ln w="25400" cap="rnd">
              <a:solidFill>
                <a:schemeClr val="accent5">
                  <a:lumMod val="50000"/>
                  <a:alpha val="1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1A95-4460-87D8-0906020C5B34}"/>
            </c:ext>
          </c:extLst>
        </c:ser>
        <c:ser>
          <c:idx val="8"/>
          <c:order val="8"/>
          <c:tx>
            <c:v>5-Year ACS Work At Home Forecast 1</c:v>
          </c:tx>
          <c:spPr>
            <a:ln w="25400" cap="rnd">
              <a:solidFill>
                <a:srgbClr val="C00000">
                  <a:alpha val="1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1A95-4460-87D8-0906020C5B34}"/>
            </c:ext>
          </c:extLst>
        </c:ser>
        <c:ser>
          <c:idx val="9"/>
          <c:order val="9"/>
          <c:tx>
            <c:v>5-Year ACS Home-Based Forecast 2</c:v>
          </c:tx>
          <c:spPr>
            <a:ln w="25400" cap="rnd">
              <a:solidFill>
                <a:schemeClr val="accent5">
                  <a:lumMod val="60000"/>
                  <a:lumOff val="4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Forecast!$N$16:$N$56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1A95-4460-87D8-0906020C5B34}"/>
            </c:ext>
          </c:extLst>
        </c:ser>
        <c:ser>
          <c:idx val="10"/>
          <c:order val="10"/>
          <c:tx>
            <c:v>5-Year ACS Telecommute Forecast 2</c:v>
          </c:tx>
          <c:spPr>
            <a:ln w="25400" cap="rnd">
              <a:solidFill>
                <a:schemeClr val="accent5">
                  <a:lumMod val="50000"/>
                  <a:alpha val="1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Forecast!$O$16:$O$56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1A95-4460-87D8-0906020C5B34}"/>
            </c:ext>
          </c:extLst>
        </c:ser>
        <c:ser>
          <c:idx val="11"/>
          <c:order val="11"/>
          <c:tx>
            <c:v>5-Year ACS Work At Home Forecast 2</c:v>
          </c:tx>
          <c:spPr>
            <a:ln w="25400" cap="rnd">
              <a:solidFill>
                <a:srgbClr val="C00000">
                  <a:alpha val="1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Forecast!$P$16:$P$56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1A95-4460-87D8-0906020C5B34}"/>
            </c:ext>
          </c:extLst>
        </c:ser>
        <c:ser>
          <c:idx val="12"/>
          <c:order val="12"/>
          <c:tx>
            <c:v>1-Year ACS Home-Based Forecas</c:v>
          </c:tx>
          <c:spPr>
            <a:ln w="25400" cap="rnd">
              <a:solidFill>
                <a:schemeClr val="accent5">
                  <a:lumMod val="60000"/>
                  <a:lumOff val="40000"/>
                  <a:alpha val="2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Forecast!$H$16:$H$56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1A95-4460-87D8-0906020C5B34}"/>
            </c:ext>
          </c:extLst>
        </c:ser>
        <c:ser>
          <c:idx val="13"/>
          <c:order val="13"/>
          <c:tx>
            <c:v>1-Year ACS Telecommute Forecas</c:v>
          </c:tx>
          <c:spPr>
            <a:ln w="25400" cap="rnd">
              <a:solidFill>
                <a:schemeClr val="accent5">
                  <a:lumMod val="75000"/>
                  <a:alpha val="1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Forecast!$I$16:$I$56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1A95-4460-87D8-0906020C5B34}"/>
            </c:ext>
          </c:extLst>
        </c:ser>
        <c:ser>
          <c:idx val="14"/>
          <c:order val="14"/>
          <c:tx>
            <c:v>1-Year ACS Work At Home Forecas</c:v>
          </c:tx>
          <c:spPr>
            <a:ln w="25400" cap="rnd">
              <a:solidFill>
                <a:srgbClr val="C00000">
                  <a:alpha val="10000"/>
                </a:srgb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Forecast!$J$16:$J$56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1A95-4460-87D8-0906020C5B34}"/>
            </c:ext>
          </c:extLst>
        </c:ser>
        <c:ser>
          <c:idx val="15"/>
          <c:order val="15"/>
          <c:tx>
            <c:v>Post Covid - Upper - Home-Based</c:v>
          </c:tx>
          <c:spPr>
            <a:ln w="50800" cap="rnd">
              <a:solidFill>
                <a:schemeClr val="accent5">
                  <a:lumMod val="60000"/>
                  <a:lumOff val="40000"/>
                  <a:alpha val="3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Forecast!$T$15:$T$56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1A95-4460-87D8-0906020C5B34}"/>
            </c:ext>
          </c:extLst>
        </c:ser>
        <c:ser>
          <c:idx val="16"/>
          <c:order val="16"/>
          <c:tx>
            <c:v>Post Covid - Upper - Telecommute</c:v>
          </c:tx>
          <c:spPr>
            <a:ln w="50800" cap="rnd">
              <a:solidFill>
                <a:schemeClr val="accent5">
                  <a:lumMod val="50000"/>
                  <a:alpha val="1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Forecast!$U$15:$U$56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1A95-4460-87D8-0906020C5B34}"/>
            </c:ext>
          </c:extLst>
        </c:ser>
        <c:ser>
          <c:idx val="17"/>
          <c:order val="17"/>
          <c:tx>
            <c:v>Post Covid - Upper - Work At Home</c:v>
          </c:tx>
          <c:spPr>
            <a:ln w="50800" cap="rnd">
              <a:solidFill>
                <a:srgbClr val="C00000">
                  <a:alpha val="10000"/>
                </a:srgbClr>
              </a:solidFill>
              <a:prstDash val="solid"/>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Forecast!$V$15:$V$56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1A95-4460-87D8-0906020C5B34}"/>
            </c:ext>
          </c:extLst>
        </c:ser>
        <c:ser>
          <c:idx val="18"/>
          <c:order val="18"/>
          <c:tx>
            <c:v>Post Covid - Home-Based</c:v>
          </c:tx>
          <c:spPr>
            <a:ln w="50800" cap="rnd">
              <a:solidFill>
                <a:schemeClr val="accent5">
                  <a:lumMod val="60000"/>
                  <a:lumOff val="40000"/>
                  <a:alpha val="3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Forecast!$Z$15:$Z$56</c:f>
              <c:numCache>
                <c:formatCode>0.0%</c:formatCode>
                <c:ptCount val="42"/>
                <c:pt idx="0">
                  <c:v>2.6666596808531076E-2</c:v>
                </c:pt>
                <c:pt idx="1">
                  <c:v>0.06</c:v>
                </c:pt>
                <c:pt idx="2">
                  <c:v>0.04</c:v>
                </c:pt>
                <c:pt idx="3" formatCode="0.00%">
                  <c:v>3.2500000000000001E-2</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formatCode="0.00%">
                  <c:v>3.0277777777777778E-2</c:v>
                </c:pt>
                <c:pt idx="25" formatCode="0.00%">
                  <c:v>3.0555555555555558E-2</c:v>
                </c:pt>
                <c:pt idx="26" formatCode="0.00%">
                  <c:v>3.0833333333333338E-2</c:v>
                </c:pt>
                <c:pt idx="27" formatCode="0.00%">
                  <c:v>3.1111111111111117E-2</c:v>
                </c:pt>
                <c:pt idx="28" formatCode="0.00%">
                  <c:v>3.1388888888888897E-2</c:v>
                </c:pt>
                <c:pt idx="29" formatCode="0.00%">
                  <c:v>3.1666666666666676E-2</c:v>
                </c:pt>
                <c:pt idx="30" formatCode="0.00%">
                  <c:v>3.1944444444444456E-2</c:v>
                </c:pt>
                <c:pt idx="31" formatCode="0.00%">
                  <c:v>3.2222222222222235E-2</c:v>
                </c:pt>
                <c:pt idx="32" formatCode="0.00%">
                  <c:v>3.2500000000000015E-2</c:v>
                </c:pt>
                <c:pt idx="33" formatCode="0.00%">
                  <c:v>3.2777777777777795E-2</c:v>
                </c:pt>
                <c:pt idx="34" formatCode="0.00%">
                  <c:v>3.3055555555555574E-2</c:v>
                </c:pt>
                <c:pt idx="35" formatCode="0.00%">
                  <c:v>3.3333333333333354E-2</c:v>
                </c:pt>
                <c:pt idx="36" formatCode="0.00%">
                  <c:v>3.3611111111111133E-2</c:v>
                </c:pt>
                <c:pt idx="37" formatCode="0.00%">
                  <c:v>3.3888888888888913E-2</c:v>
                </c:pt>
                <c:pt idx="38" formatCode="0.00%">
                  <c:v>3.4166666666666692E-2</c:v>
                </c:pt>
                <c:pt idx="39" formatCode="0.00%">
                  <c:v>3.4444444444444472E-2</c:v>
                </c:pt>
                <c:pt idx="40" formatCode="0.00%">
                  <c:v>3.4722222222222252E-2</c:v>
                </c:pt>
                <c:pt idx="41" formatCode="0.00%">
                  <c:v>3.5000000000000003E-2</c:v>
                </c:pt>
              </c:numCache>
            </c:numRef>
          </c:yVal>
          <c:smooth val="1"/>
          <c:extLst>
            <c:ext xmlns:c16="http://schemas.microsoft.com/office/drawing/2014/chart" uri="{C3380CC4-5D6E-409C-BE32-E72D297353CC}">
              <c16:uniqueId val="{00000012-1A95-4460-87D8-0906020C5B34}"/>
            </c:ext>
          </c:extLst>
        </c:ser>
        <c:ser>
          <c:idx val="19"/>
          <c:order val="19"/>
          <c:tx>
            <c:v>Post Covid - Telecommute</c:v>
          </c:tx>
          <c:spPr>
            <a:ln w="50800" cap="rnd">
              <a:solidFill>
                <a:schemeClr val="accent5">
                  <a:lumMod val="50000"/>
                  <a:alpha val="1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Forecast!$AA$15:$AA$56</c:f>
              <c:numCache>
                <c:formatCode>0.0%</c:formatCode>
                <c:ptCount val="42"/>
                <c:pt idx="0">
                  <c:v>3.6494763259510746E-2</c:v>
                </c:pt>
                <c:pt idx="1">
                  <c:v>0.35</c:v>
                </c:pt>
                <c:pt idx="2">
                  <c:v>0.15</c:v>
                </c:pt>
                <c:pt idx="3">
                  <c:v>0.1</c:v>
                </c:pt>
                <c:pt idx="4">
                  <c:v>8.3000000000000004E-2</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formatCode="0.00%">
                  <c:v>8.1200000000000008E-2</c:v>
                </c:pt>
                <c:pt idx="25" formatCode="0.00%">
                  <c:v>8.2866666666666672E-2</c:v>
                </c:pt>
                <c:pt idx="26" formatCode="0.00%">
                  <c:v>8.4533333333333335E-2</c:v>
                </c:pt>
                <c:pt idx="27" formatCode="0.00%">
                  <c:v>8.6199999999999999E-2</c:v>
                </c:pt>
                <c:pt idx="28" formatCode="0.00%">
                  <c:v>8.7866666666666662E-2</c:v>
                </c:pt>
                <c:pt idx="29" formatCode="0.00%">
                  <c:v>8.9533333333333326E-2</c:v>
                </c:pt>
                <c:pt idx="30" formatCode="0.00%">
                  <c:v>9.1199999999999989E-2</c:v>
                </c:pt>
                <c:pt idx="31" formatCode="0.00%">
                  <c:v>9.2866666666666653E-2</c:v>
                </c:pt>
                <c:pt idx="32" formatCode="0.00%">
                  <c:v>9.4533333333333316E-2</c:v>
                </c:pt>
                <c:pt idx="33" formatCode="0.00%">
                  <c:v>9.619999999999998E-2</c:v>
                </c:pt>
                <c:pt idx="34" formatCode="0.00%">
                  <c:v>9.7866666666666643E-2</c:v>
                </c:pt>
                <c:pt idx="35" formatCode="0.00%">
                  <c:v>9.9533333333333307E-2</c:v>
                </c:pt>
                <c:pt idx="36" formatCode="0.00%">
                  <c:v>0.10119999999999997</c:v>
                </c:pt>
                <c:pt idx="37" formatCode="0.00%">
                  <c:v>0.10286666666666663</c:v>
                </c:pt>
                <c:pt idx="38" formatCode="0.00%">
                  <c:v>0.1045333333333333</c:v>
                </c:pt>
                <c:pt idx="39" formatCode="0.00%">
                  <c:v>0.10619999999999996</c:v>
                </c:pt>
                <c:pt idx="40" formatCode="0.00%">
                  <c:v>0.10786666666666662</c:v>
                </c:pt>
                <c:pt idx="41">
                  <c:v>0.11</c:v>
                </c:pt>
              </c:numCache>
            </c:numRef>
          </c:yVal>
          <c:smooth val="1"/>
          <c:extLst>
            <c:ext xmlns:c16="http://schemas.microsoft.com/office/drawing/2014/chart" uri="{C3380CC4-5D6E-409C-BE32-E72D297353CC}">
              <c16:uniqueId val="{00000013-1A95-4460-87D8-0906020C5B34}"/>
            </c:ext>
          </c:extLst>
        </c:ser>
        <c:ser>
          <c:idx val="20"/>
          <c:order val="20"/>
          <c:tx>
            <c:v>Post Covid - Work At Home</c:v>
          </c:tx>
          <c:spPr>
            <a:ln w="50800" cap="rnd">
              <a:solidFill>
                <a:srgbClr val="C00000">
                  <a:alpha val="10000"/>
                </a:srgb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Forecast!$AB$15:$AB$56</c:f>
              <c:numCache>
                <c:formatCode>0.0%</c:formatCode>
                <c:ptCount val="42"/>
                <c:pt idx="0">
                  <c:v>6.3161360068041822E-2</c:v>
                </c:pt>
                <c:pt idx="1">
                  <c:v>0.41</c:v>
                </c:pt>
                <c:pt idx="2">
                  <c:v>0.19</c:v>
                </c:pt>
                <c:pt idx="3">
                  <c:v>0.13250000000000001</c:v>
                </c:pt>
                <c:pt idx="4">
                  <c:v>0.113</c:v>
                </c:pt>
                <c:pt idx="5">
                  <c:v>0.11</c:v>
                </c:pt>
                <c:pt idx="6">
                  <c:v>0.11</c:v>
                </c:pt>
                <c:pt idx="7">
                  <c:v>0.11</c:v>
                </c:pt>
                <c:pt idx="8">
                  <c:v>0.11</c:v>
                </c:pt>
                <c:pt idx="9">
                  <c:v>0.11</c:v>
                </c:pt>
                <c:pt idx="10">
                  <c:v>0.11</c:v>
                </c:pt>
                <c:pt idx="11">
                  <c:v>0.11</c:v>
                </c:pt>
                <c:pt idx="12">
                  <c:v>0.11</c:v>
                </c:pt>
                <c:pt idx="13">
                  <c:v>0.11</c:v>
                </c:pt>
                <c:pt idx="14">
                  <c:v>0.11</c:v>
                </c:pt>
                <c:pt idx="15">
                  <c:v>0.11</c:v>
                </c:pt>
                <c:pt idx="16">
                  <c:v>0.11</c:v>
                </c:pt>
                <c:pt idx="17">
                  <c:v>0.11</c:v>
                </c:pt>
                <c:pt idx="18">
                  <c:v>0.11</c:v>
                </c:pt>
                <c:pt idx="19">
                  <c:v>0.11</c:v>
                </c:pt>
                <c:pt idx="20">
                  <c:v>0.11</c:v>
                </c:pt>
                <c:pt idx="21">
                  <c:v>0.11</c:v>
                </c:pt>
                <c:pt idx="22">
                  <c:v>0.11</c:v>
                </c:pt>
                <c:pt idx="23">
                  <c:v>0.11</c:v>
                </c:pt>
                <c:pt idx="24">
                  <c:v>0.11147777777777779</c:v>
                </c:pt>
                <c:pt idx="25">
                  <c:v>0.11342222222222223</c:v>
                </c:pt>
                <c:pt idx="26">
                  <c:v>0.11536666666666667</c:v>
                </c:pt>
                <c:pt idx="27">
                  <c:v>0.11731111111111112</c:v>
                </c:pt>
                <c:pt idx="28">
                  <c:v>0.11925555555555556</c:v>
                </c:pt>
                <c:pt idx="29">
                  <c:v>0.1212</c:v>
                </c:pt>
                <c:pt idx="30">
                  <c:v>0.12314444444444445</c:v>
                </c:pt>
                <c:pt idx="31">
                  <c:v>0.12508888888888889</c:v>
                </c:pt>
                <c:pt idx="32">
                  <c:v>0.12703333333333333</c:v>
                </c:pt>
                <c:pt idx="33">
                  <c:v>0.12897777777777777</c:v>
                </c:pt>
                <c:pt idx="34">
                  <c:v>0.13092222222222222</c:v>
                </c:pt>
                <c:pt idx="35">
                  <c:v>0.13286666666666666</c:v>
                </c:pt>
                <c:pt idx="36">
                  <c:v>0.1348111111111111</c:v>
                </c:pt>
                <c:pt idx="37">
                  <c:v>0.13675555555555555</c:v>
                </c:pt>
                <c:pt idx="38">
                  <c:v>0.13869999999999999</c:v>
                </c:pt>
                <c:pt idx="39">
                  <c:v>0.14064444444444443</c:v>
                </c:pt>
                <c:pt idx="40">
                  <c:v>0.14258888888888888</c:v>
                </c:pt>
                <c:pt idx="41">
                  <c:v>0.14500000000000002</c:v>
                </c:pt>
              </c:numCache>
            </c:numRef>
          </c:yVal>
          <c:smooth val="1"/>
          <c:extLst>
            <c:ext xmlns:c16="http://schemas.microsoft.com/office/drawing/2014/chart" uri="{C3380CC4-5D6E-409C-BE32-E72D297353CC}">
              <c16:uniqueId val="{00000014-1A95-4460-87D8-0906020C5B34}"/>
            </c:ext>
          </c:extLst>
        </c:ser>
        <c:ser>
          <c:idx val="21"/>
          <c:order val="21"/>
          <c:tx>
            <c:v>Final Home-Based</c:v>
          </c:tx>
          <c:spPr>
            <a:ln w="63500" cap="rnd">
              <a:solidFill>
                <a:schemeClr val="accent5">
                  <a:lumMod val="60000"/>
                  <a:lumOff val="4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Forecast!$AF$15:$AF$56</c:f>
              <c:numCache>
                <c:formatCode>0.0%</c:formatCode>
                <c:ptCount val="42"/>
                <c:pt idx="0">
                  <c:v>2.6666596808531076E-2</c:v>
                </c:pt>
                <c:pt idx="1">
                  <c:v>0.06</c:v>
                </c:pt>
                <c:pt idx="2">
                  <c:v>0.04</c:v>
                </c:pt>
                <c:pt idx="3" formatCode="0.00%">
                  <c:v>3.2500000000000001E-2</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formatCode="0.00%">
                  <c:v>3.0277777777777778E-2</c:v>
                </c:pt>
                <c:pt idx="25" formatCode="0.00%">
                  <c:v>3.0555555555555558E-2</c:v>
                </c:pt>
                <c:pt idx="26" formatCode="0.00%">
                  <c:v>3.0833333333333338E-2</c:v>
                </c:pt>
                <c:pt idx="27" formatCode="0.00%">
                  <c:v>3.1111111111111117E-2</c:v>
                </c:pt>
                <c:pt idx="28" formatCode="0.00%">
                  <c:v>3.1388888888888897E-2</c:v>
                </c:pt>
                <c:pt idx="29" formatCode="0.00%">
                  <c:v>3.1666666666666676E-2</c:v>
                </c:pt>
                <c:pt idx="30" formatCode="0.00%">
                  <c:v>3.1944444444444456E-2</c:v>
                </c:pt>
                <c:pt idx="31" formatCode="0.00%">
                  <c:v>3.2222222222222235E-2</c:v>
                </c:pt>
                <c:pt idx="32" formatCode="0.00%">
                  <c:v>3.2500000000000015E-2</c:v>
                </c:pt>
                <c:pt idx="33" formatCode="0.00%">
                  <c:v>3.2777777777777795E-2</c:v>
                </c:pt>
                <c:pt idx="34" formatCode="0.00%">
                  <c:v>3.3055555555555574E-2</c:v>
                </c:pt>
                <c:pt idx="35" formatCode="0.00%">
                  <c:v>3.3333333333333354E-2</c:v>
                </c:pt>
                <c:pt idx="36" formatCode="0.00%">
                  <c:v>3.3611111111111133E-2</c:v>
                </c:pt>
                <c:pt idx="37" formatCode="0.00%">
                  <c:v>3.3888888888888913E-2</c:v>
                </c:pt>
                <c:pt idx="38" formatCode="0.00%">
                  <c:v>3.4166666666666692E-2</c:v>
                </c:pt>
                <c:pt idx="39" formatCode="0.00%">
                  <c:v>3.4444444444444472E-2</c:v>
                </c:pt>
                <c:pt idx="40" formatCode="0.00%">
                  <c:v>3.4722222222222252E-2</c:v>
                </c:pt>
                <c:pt idx="41" formatCode="0.00%">
                  <c:v>3.5000000000000003E-2</c:v>
                </c:pt>
              </c:numCache>
            </c:numRef>
          </c:yVal>
          <c:smooth val="1"/>
          <c:extLst>
            <c:ext xmlns:c16="http://schemas.microsoft.com/office/drawing/2014/chart" uri="{C3380CC4-5D6E-409C-BE32-E72D297353CC}">
              <c16:uniqueId val="{00000015-1A95-4460-87D8-0906020C5B34}"/>
            </c:ext>
          </c:extLst>
        </c:ser>
        <c:ser>
          <c:idx val="22"/>
          <c:order val="22"/>
          <c:tx>
            <c:v>Final Telecommute</c:v>
          </c:tx>
          <c:spPr>
            <a:ln w="63500" cap="rnd">
              <a:solidFill>
                <a:schemeClr val="accent5">
                  <a:lumMod val="5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Forecast!$AG$15:$AG$56</c:f>
              <c:numCache>
                <c:formatCode>0.0%</c:formatCode>
                <c:ptCount val="42"/>
                <c:pt idx="0">
                  <c:v>3.6494763259510746E-2</c:v>
                </c:pt>
                <c:pt idx="1">
                  <c:v>0.35</c:v>
                </c:pt>
                <c:pt idx="2">
                  <c:v>0.17</c:v>
                </c:pt>
                <c:pt idx="3">
                  <c:v>0.115</c:v>
                </c:pt>
                <c:pt idx="4">
                  <c:v>9.1999999999999998E-2</c:v>
                </c:pt>
                <c:pt idx="5">
                  <c:v>0.08</c:v>
                </c:pt>
                <c:pt idx="6">
                  <c:v>7.3999999999999996E-2</c:v>
                </c:pt>
                <c:pt idx="7">
                  <c:v>7.0999999999999994E-2</c:v>
                </c:pt>
                <c:pt idx="8">
                  <c:v>7.0000000000000007E-2</c:v>
                </c:pt>
                <c:pt idx="9">
                  <c:v>7.0000000000000007E-2</c:v>
                </c:pt>
                <c:pt idx="10" formatCode="0.00%">
                  <c:v>7.0499999999999993E-2</c:v>
                </c:pt>
                <c:pt idx="11">
                  <c:v>7.1999999999999995E-2</c:v>
                </c:pt>
                <c:pt idx="12" formatCode="0.00%">
                  <c:v>7.3399999999999993E-2</c:v>
                </c:pt>
                <c:pt idx="13" formatCode="0.00%">
                  <c:v>7.4799999999999991E-2</c:v>
                </c:pt>
                <c:pt idx="14" formatCode="0.00%">
                  <c:v>7.619999999999999E-2</c:v>
                </c:pt>
                <c:pt idx="15" formatCode="0.00%">
                  <c:v>7.7599999999999988E-2</c:v>
                </c:pt>
                <c:pt idx="16" formatCode="0.00%">
                  <c:v>7.8999999999999987E-2</c:v>
                </c:pt>
                <c:pt idx="17" formatCode="0.00%">
                  <c:v>8.0399999999999985E-2</c:v>
                </c:pt>
                <c:pt idx="18" formatCode="0.00%">
                  <c:v>8.1799999999999984E-2</c:v>
                </c:pt>
                <c:pt idx="19" formatCode="0.00%">
                  <c:v>8.3199999999999982E-2</c:v>
                </c:pt>
                <c:pt idx="20" formatCode="0.00%">
                  <c:v>8.4599999999999981E-2</c:v>
                </c:pt>
                <c:pt idx="21" formatCode="0.00%">
                  <c:v>8.5999999999999979E-2</c:v>
                </c:pt>
                <c:pt idx="22" formatCode="0.00%">
                  <c:v>8.7399999999999978E-2</c:v>
                </c:pt>
                <c:pt idx="23" formatCode="0.00%">
                  <c:v>8.8799999999999976E-2</c:v>
                </c:pt>
                <c:pt idx="24" formatCode="0.00%">
                  <c:v>9.0199999999999975E-2</c:v>
                </c:pt>
                <c:pt idx="25" formatCode="0.00%">
                  <c:v>9.1599999999999973E-2</c:v>
                </c:pt>
                <c:pt idx="26" formatCode="0.00%">
                  <c:v>9.2999999999999972E-2</c:v>
                </c:pt>
                <c:pt idx="27" formatCode="0.00%">
                  <c:v>9.439999999999997E-2</c:v>
                </c:pt>
                <c:pt idx="28" formatCode="0.00%">
                  <c:v>9.5799999999999969E-2</c:v>
                </c:pt>
                <c:pt idx="29" formatCode="0.00%">
                  <c:v>9.7199999999999967E-2</c:v>
                </c:pt>
                <c:pt idx="30" formatCode="0.00%">
                  <c:v>9.8599999999999965E-2</c:v>
                </c:pt>
                <c:pt idx="31" formatCode="0.00%">
                  <c:v>0.1</c:v>
                </c:pt>
                <c:pt idx="32" formatCode="0.00%">
                  <c:v>0.10175000000000001</c:v>
                </c:pt>
                <c:pt idx="33" formatCode="0.00%">
                  <c:v>0.10350000000000001</c:v>
                </c:pt>
                <c:pt idx="34" formatCode="0.00%">
                  <c:v>0.10525000000000001</c:v>
                </c:pt>
                <c:pt idx="35" formatCode="0.00%">
                  <c:v>0.10700000000000001</c:v>
                </c:pt>
                <c:pt idx="36" formatCode="0.00%">
                  <c:v>0.10875000000000001</c:v>
                </c:pt>
                <c:pt idx="37" formatCode="0.00%">
                  <c:v>0.11050000000000001</c:v>
                </c:pt>
                <c:pt idx="38" formatCode="0.00%">
                  <c:v>0.11225000000000002</c:v>
                </c:pt>
                <c:pt idx="39" formatCode="0.00%">
                  <c:v>0.11400000000000002</c:v>
                </c:pt>
                <c:pt idx="40" formatCode="0.00%">
                  <c:v>0.11575000000000002</c:v>
                </c:pt>
                <c:pt idx="41" formatCode="0.00%">
                  <c:v>0.11749999999999999</c:v>
                </c:pt>
              </c:numCache>
            </c:numRef>
          </c:yVal>
          <c:smooth val="1"/>
          <c:extLst>
            <c:ext xmlns:c16="http://schemas.microsoft.com/office/drawing/2014/chart" uri="{C3380CC4-5D6E-409C-BE32-E72D297353CC}">
              <c16:uniqueId val="{00000016-1A95-4460-87D8-0906020C5B34}"/>
            </c:ext>
          </c:extLst>
        </c:ser>
        <c:ser>
          <c:idx val="23"/>
          <c:order val="23"/>
          <c:tx>
            <c:v>Final Work At Home</c:v>
          </c:tx>
          <c:spPr>
            <a:ln w="63500" cap="rnd">
              <a:solidFill>
                <a:srgbClr val="C00000"/>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Forecast!$AH$15:$AH$56</c:f>
              <c:numCache>
                <c:formatCode>0.0%</c:formatCode>
                <c:ptCount val="42"/>
                <c:pt idx="0">
                  <c:v>6.3161360068041822E-2</c:v>
                </c:pt>
                <c:pt idx="1">
                  <c:v>0.41</c:v>
                </c:pt>
                <c:pt idx="2">
                  <c:v>0.21000000000000002</c:v>
                </c:pt>
                <c:pt idx="3">
                  <c:v>0.14750000000000002</c:v>
                </c:pt>
                <c:pt idx="4">
                  <c:v>0.122</c:v>
                </c:pt>
                <c:pt idx="5">
                  <c:v>0.11</c:v>
                </c:pt>
                <c:pt idx="6">
                  <c:v>0.104</c:v>
                </c:pt>
                <c:pt idx="7">
                  <c:v>0.10099999999999999</c:v>
                </c:pt>
                <c:pt idx="8">
                  <c:v>0.1</c:v>
                </c:pt>
                <c:pt idx="9">
                  <c:v>0.1</c:v>
                </c:pt>
                <c:pt idx="10">
                  <c:v>0.10049999999999999</c:v>
                </c:pt>
                <c:pt idx="11">
                  <c:v>0.10199999999999999</c:v>
                </c:pt>
                <c:pt idx="12">
                  <c:v>0.10339999999999999</c:v>
                </c:pt>
                <c:pt idx="13">
                  <c:v>0.10479999999999999</c:v>
                </c:pt>
                <c:pt idx="14">
                  <c:v>0.10619999999999999</c:v>
                </c:pt>
                <c:pt idx="15">
                  <c:v>0.10759999999999999</c:v>
                </c:pt>
                <c:pt idx="16">
                  <c:v>0.10899999999999999</c:v>
                </c:pt>
                <c:pt idx="17">
                  <c:v>0.11039999999999998</c:v>
                </c:pt>
                <c:pt idx="18">
                  <c:v>0.11179999999999998</c:v>
                </c:pt>
                <c:pt idx="19">
                  <c:v>0.11319999999999998</c:v>
                </c:pt>
                <c:pt idx="20">
                  <c:v>0.11459999999999998</c:v>
                </c:pt>
                <c:pt idx="21">
                  <c:v>0.11599999999999998</c:v>
                </c:pt>
                <c:pt idx="22">
                  <c:v>0.11739999999999998</c:v>
                </c:pt>
                <c:pt idx="23">
                  <c:v>0.11879999999999998</c:v>
                </c:pt>
                <c:pt idx="24">
                  <c:v>0.12047777777777775</c:v>
                </c:pt>
                <c:pt idx="25">
                  <c:v>0.12215555555555553</c:v>
                </c:pt>
                <c:pt idx="26">
                  <c:v>0.12383333333333331</c:v>
                </c:pt>
                <c:pt idx="27">
                  <c:v>0.12551111111111107</c:v>
                </c:pt>
                <c:pt idx="28">
                  <c:v>0.12718888888888885</c:v>
                </c:pt>
                <c:pt idx="29">
                  <c:v>0.12886666666666663</c:v>
                </c:pt>
                <c:pt idx="30">
                  <c:v>0.13054444444444441</c:v>
                </c:pt>
                <c:pt idx="31">
                  <c:v>0.13222222222222224</c:v>
                </c:pt>
                <c:pt idx="32">
                  <c:v>0.13425000000000004</c:v>
                </c:pt>
                <c:pt idx="33">
                  <c:v>0.1362777777777778</c:v>
                </c:pt>
                <c:pt idx="34">
                  <c:v>0.13830555555555557</c:v>
                </c:pt>
                <c:pt idx="35">
                  <c:v>0.14033333333333337</c:v>
                </c:pt>
                <c:pt idx="36">
                  <c:v>0.14236111111111116</c:v>
                </c:pt>
                <c:pt idx="37">
                  <c:v>0.14438888888888893</c:v>
                </c:pt>
                <c:pt idx="38">
                  <c:v>0.14641666666666669</c:v>
                </c:pt>
                <c:pt idx="39">
                  <c:v>0.14844444444444449</c:v>
                </c:pt>
                <c:pt idx="40">
                  <c:v>0.15047222222222228</c:v>
                </c:pt>
                <c:pt idx="41">
                  <c:v>0.1525</c:v>
                </c:pt>
              </c:numCache>
            </c:numRef>
          </c:yVal>
          <c:smooth val="1"/>
          <c:extLst>
            <c:ext xmlns:c16="http://schemas.microsoft.com/office/drawing/2014/chart" uri="{C3380CC4-5D6E-409C-BE32-E72D297353CC}">
              <c16:uniqueId val="{00000017-1A95-4460-87D8-0906020C5B34}"/>
            </c:ext>
          </c:extLst>
        </c:ser>
        <c:dLbls>
          <c:showLegendKey val="0"/>
          <c:showVal val="0"/>
          <c:showCatName val="0"/>
          <c:showSerName val="0"/>
          <c:showPercent val="0"/>
          <c:showBubbleSize val="0"/>
        </c:dLbls>
        <c:axId val="358412287"/>
        <c:axId val="358416031"/>
      </c:scatterChart>
      <c:valAx>
        <c:axId val="358412287"/>
        <c:scaling>
          <c:orientation val="minMax"/>
          <c:max val="206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0.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 (r1)'!$B$4:$B$5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0B3E-4438-A311-A7B3B2E189AD}"/>
            </c:ext>
          </c:extLst>
        </c:ser>
        <c:ser>
          <c:idx val="1"/>
          <c:order val="1"/>
          <c:tx>
            <c:strRef>
              <c:f>'Forecast (r1)'!$C$4:$C$5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0B3E-4438-A311-A7B3B2E189AD}"/>
            </c:ext>
          </c:extLst>
        </c:ser>
        <c:ser>
          <c:idx val="2"/>
          <c:order val="2"/>
          <c:tx>
            <c:strRef>
              <c:f>'Forecast (r1)'!$D$4:$D$5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0B3E-4438-A311-A7B3B2E189AD}"/>
            </c:ext>
          </c:extLst>
        </c:ser>
        <c:ser>
          <c:idx val="3"/>
          <c:order val="3"/>
          <c:tx>
            <c:strRef>
              <c:f>'Forecast (r1)'!$H$4:$H$5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0B3E-4438-A311-A7B3B2E189AD}"/>
            </c:ext>
          </c:extLst>
        </c:ser>
        <c:ser>
          <c:idx val="4"/>
          <c:order val="4"/>
          <c:tx>
            <c:strRef>
              <c:f>'Forecast (r1)'!$I$4:$I$5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0B3E-4438-A311-A7B3B2E189AD}"/>
            </c:ext>
          </c:extLst>
        </c:ser>
        <c:ser>
          <c:idx val="5"/>
          <c:order val="5"/>
          <c:tx>
            <c:strRef>
              <c:f>'Forecast (r1)'!$J$4:$J$5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0B3E-4438-A311-A7B3B2E189AD}"/>
            </c:ext>
          </c:extLst>
        </c:ser>
        <c:ser>
          <c:idx val="6"/>
          <c:order val="6"/>
          <c:tx>
            <c:v>5-Year ACS Home-Based Forecast 1</c:v>
          </c:tx>
          <c:spPr>
            <a:ln w="25400" cap="rnd">
              <a:solidFill>
                <a:schemeClr val="accent5">
                  <a:lumMod val="60000"/>
                  <a:lumOff val="40000"/>
                  <a:alpha val="6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0B3E-4438-A311-A7B3B2E189AD}"/>
            </c:ext>
          </c:extLst>
        </c:ser>
        <c:ser>
          <c:idx val="7"/>
          <c:order val="7"/>
          <c:tx>
            <c:v>5-Year ACS Telecommute Forecast 1</c:v>
          </c:tx>
          <c:spPr>
            <a:ln w="25400" cap="rnd">
              <a:solidFill>
                <a:schemeClr val="accent5">
                  <a:lumMod val="50000"/>
                  <a:alpha val="5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0B3E-4438-A311-A7B3B2E189AD}"/>
            </c:ext>
          </c:extLst>
        </c:ser>
        <c:ser>
          <c:idx val="8"/>
          <c:order val="8"/>
          <c:tx>
            <c:v>5-Year ACS Work At Home Forecast 1</c:v>
          </c:tx>
          <c:spPr>
            <a:ln w="25400" cap="rnd">
              <a:solidFill>
                <a:srgbClr val="C00000">
                  <a:alpha val="50000"/>
                </a:srgb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0B3E-4438-A311-A7B3B2E189AD}"/>
            </c:ext>
          </c:extLst>
        </c:ser>
        <c:ser>
          <c:idx val="9"/>
          <c:order val="9"/>
          <c:tx>
            <c:v>5-Year ACS Home-Based Forecast 2</c:v>
          </c:tx>
          <c:spPr>
            <a:ln w="25400" cap="rnd">
              <a:solidFill>
                <a:schemeClr val="accent5">
                  <a:lumMod val="60000"/>
                  <a:lumOff val="40000"/>
                  <a:alpha val="6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(r1)'!$N$16:$N$56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0B3E-4438-A311-A7B3B2E189AD}"/>
            </c:ext>
          </c:extLst>
        </c:ser>
        <c:ser>
          <c:idx val="10"/>
          <c:order val="10"/>
          <c:tx>
            <c:v>5-Year ACS Telecommute Forecast 2</c:v>
          </c:tx>
          <c:spPr>
            <a:ln w="25400" cap="rnd">
              <a:solidFill>
                <a:schemeClr val="accent5">
                  <a:lumMod val="50000"/>
                  <a:alpha val="5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(r1)'!$O$16:$O$56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0B3E-4438-A311-A7B3B2E189AD}"/>
            </c:ext>
          </c:extLst>
        </c:ser>
        <c:ser>
          <c:idx val="11"/>
          <c:order val="11"/>
          <c:tx>
            <c:v>5-Year ACS Work At Home Forecast 2</c:v>
          </c:tx>
          <c:spPr>
            <a:ln w="25400" cap="rnd">
              <a:solidFill>
                <a:srgbClr val="C00000">
                  <a:alpha val="50000"/>
                </a:srgb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(r1)'!$P$16:$P$56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0B3E-4438-A311-A7B3B2E189AD}"/>
            </c:ext>
          </c:extLst>
        </c:ser>
        <c:ser>
          <c:idx val="12"/>
          <c:order val="12"/>
          <c:tx>
            <c:v>1-Year ACS Home-Based Forecas</c:v>
          </c:tx>
          <c:spPr>
            <a:ln w="25400" cap="rnd">
              <a:solidFill>
                <a:schemeClr val="accent5">
                  <a:lumMod val="60000"/>
                  <a:lumOff val="40000"/>
                  <a:alpha val="60000"/>
                </a:schemeClr>
              </a:solidFill>
              <a:prstDash val="sys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(r1)'!$H$16:$H$56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0B3E-4438-A311-A7B3B2E189AD}"/>
            </c:ext>
          </c:extLst>
        </c:ser>
        <c:ser>
          <c:idx val="13"/>
          <c:order val="13"/>
          <c:tx>
            <c:v>1-Year ACS Telecommute Forecas</c:v>
          </c:tx>
          <c:spPr>
            <a:ln w="25400" cap="rnd">
              <a:solidFill>
                <a:schemeClr val="accent5">
                  <a:lumMod val="75000"/>
                  <a:alpha val="25000"/>
                </a:schemeClr>
              </a:solidFill>
              <a:prstDash val="sys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(r1)'!$I$16:$I$56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0B3E-4438-A311-A7B3B2E189AD}"/>
            </c:ext>
          </c:extLst>
        </c:ser>
        <c:ser>
          <c:idx val="14"/>
          <c:order val="14"/>
          <c:tx>
            <c:v>1-Year ACS Work At Home Forecas</c:v>
          </c:tx>
          <c:spPr>
            <a:ln w="25400" cap="rnd">
              <a:solidFill>
                <a:srgbClr val="C00000">
                  <a:alpha val="25000"/>
                </a:srgbClr>
              </a:solidFill>
              <a:prstDash val="sys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(r1)'!$J$16:$J$56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0B3E-4438-A311-A7B3B2E189AD}"/>
            </c:ext>
          </c:extLst>
        </c:ser>
        <c:ser>
          <c:idx val="15"/>
          <c:order val="15"/>
          <c:tx>
            <c:v>Covid Home-Based</c:v>
          </c:tx>
          <c:spPr>
            <a:ln w="50800" cap="rnd">
              <a:solidFill>
                <a:schemeClr val="accent5">
                  <a:lumMod val="60000"/>
                  <a:lumOff val="40000"/>
                  <a:alpha val="50000"/>
                </a:scheme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(r1)'!$T$15:$T$56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0B3E-4438-A311-A7B3B2E189AD}"/>
            </c:ext>
          </c:extLst>
        </c:ser>
        <c:ser>
          <c:idx val="16"/>
          <c:order val="16"/>
          <c:tx>
            <c:v>Covid Telecommute</c:v>
          </c:tx>
          <c:spPr>
            <a:ln w="50800" cap="rnd">
              <a:solidFill>
                <a:schemeClr val="accent5">
                  <a:lumMod val="50000"/>
                  <a:alpha val="50000"/>
                </a:scheme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(r1)'!$U$15:$U$56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0B3E-4438-A311-A7B3B2E189AD}"/>
            </c:ext>
          </c:extLst>
        </c:ser>
        <c:ser>
          <c:idx val="17"/>
          <c:order val="17"/>
          <c:tx>
            <c:v>Covid Work At Home</c:v>
          </c:tx>
          <c:spPr>
            <a:ln w="50800" cap="rnd">
              <a:solidFill>
                <a:srgbClr val="C00000">
                  <a:alpha val="50000"/>
                </a:srgbClr>
              </a:solidFill>
              <a:prstDash val="solid"/>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(r1)'!$V$15:$V$56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0B3E-4438-A311-A7B3B2E189AD}"/>
            </c:ext>
          </c:extLst>
        </c:ser>
        <c:dLbls>
          <c:showLegendKey val="0"/>
          <c:showVal val="0"/>
          <c:showCatName val="0"/>
          <c:showSerName val="0"/>
          <c:showPercent val="0"/>
          <c:showBubbleSize val="0"/>
        </c:dLbls>
        <c:axId val="358412287"/>
        <c:axId val="358416031"/>
      </c:scatterChart>
      <c:valAx>
        <c:axId val="358412287"/>
        <c:scaling>
          <c:orientation val="minMax"/>
          <c:max val="206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'Forecast (r1)'!$B$4</c:f>
          <c:strCache>
            <c:ptCount val="1"/>
            <c:pt idx="0">
              <c:v>5-Year ACS (2010-2019 Trend)</c:v>
            </c:pt>
          </c:strCache>
        </c:strRef>
      </c:tx>
      <c:layout>
        <c:manualLayout>
          <c:xMode val="edge"/>
          <c:yMode val="edge"/>
          <c:x val="0.53105103528725572"/>
          <c:y val="2.77776928369390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'Forecast (r1)'!$B$4:$B$5</c:f>
              <c:strCache>
                <c:ptCount val="2"/>
                <c:pt idx="0">
                  <c:v>5-Year ACS (2010-2019 Trend)</c:v>
                </c:pt>
                <c:pt idx="1">
                  <c:v>Home-Based</c:v>
                </c:pt>
              </c:strCache>
            </c:strRef>
          </c:tx>
          <c:spPr>
            <a:solidFill>
              <a:schemeClr val="accent5">
                <a:lumMod val="40000"/>
                <a:lumOff val="60000"/>
                <a:alpha val="60000"/>
              </a:schemeClr>
            </a:solidFill>
            <a:ln>
              <a:noFill/>
            </a:ln>
            <a:effectLst/>
          </c:spPr>
          <c:cat>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 (r1)'!$B$6:$B$15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extLst>
            <c:ext xmlns:c16="http://schemas.microsoft.com/office/drawing/2014/chart" uri="{C3380CC4-5D6E-409C-BE32-E72D297353CC}">
              <c16:uniqueId val="{00000000-3718-4879-B94F-102EA5E2CE1D}"/>
            </c:ext>
          </c:extLst>
        </c:ser>
        <c:ser>
          <c:idx val="1"/>
          <c:order val="1"/>
          <c:tx>
            <c:strRef>
              <c:f>'Forecast (r1)'!$C$4:$C$5</c:f>
              <c:strCache>
                <c:ptCount val="2"/>
                <c:pt idx="0">
                  <c:v>5-Year ACS (2010-2019 Trend)</c:v>
                </c:pt>
                <c:pt idx="1">
                  <c:v>Telecommute</c:v>
                </c:pt>
              </c:strCache>
            </c:strRef>
          </c:tx>
          <c:spPr>
            <a:solidFill>
              <a:schemeClr val="accent5">
                <a:lumMod val="50000"/>
                <a:alpha val="60000"/>
              </a:schemeClr>
            </a:solidFill>
            <a:ln>
              <a:noFill/>
            </a:ln>
            <a:effectLst/>
          </c:spPr>
          <c:cat>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 (r1)'!$C$6:$C$15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extLst>
            <c:ext xmlns:c16="http://schemas.microsoft.com/office/drawing/2014/chart" uri="{C3380CC4-5D6E-409C-BE32-E72D297353CC}">
              <c16:uniqueId val="{00000001-3718-4879-B94F-102EA5E2CE1D}"/>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'Forecast (r1)'!$D$4:$D$5</c:f>
              <c:strCache>
                <c:ptCount val="2"/>
                <c:pt idx="0">
                  <c:v>5-Year ACS (2010-2019 Trend)</c:v>
                </c:pt>
                <c:pt idx="1">
                  <c:v>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 (r1)'!$D$6:$D$15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2-3718-4879-B94F-102EA5E2CE1D}"/>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'Forecast (r1)'!$H$4</c:f>
          <c:strCache>
            <c:ptCount val="1"/>
            <c:pt idx="0">
              <c:v>1-Year ACS (2010-2019 Trend)</c:v>
            </c:pt>
          </c:strCache>
        </c:strRef>
      </c:tx>
      <c:layout>
        <c:manualLayout>
          <c:xMode val="edge"/>
          <c:yMode val="edge"/>
          <c:x val="0.53105103528725572"/>
          <c:y val="2.77776928369390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'Forecast (r1)'!$H$4:$H$5</c:f>
              <c:strCache>
                <c:ptCount val="2"/>
                <c:pt idx="0">
                  <c:v>1-Year ACS (2010-2019 Trend)</c:v>
                </c:pt>
                <c:pt idx="1">
                  <c:v>Home-Based</c:v>
                </c:pt>
              </c:strCache>
            </c:strRef>
          </c:tx>
          <c:spPr>
            <a:solidFill>
              <a:schemeClr val="accent5">
                <a:lumMod val="40000"/>
                <a:lumOff val="60000"/>
                <a:alpha val="60000"/>
              </a:schemeClr>
            </a:solidFill>
            <a:ln>
              <a:noFill/>
            </a:ln>
            <a:effectLst/>
          </c:spPr>
          <c:cat>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 (r1)'!$H$6:$H$15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val>
          <c:extLst>
            <c:ext xmlns:c16="http://schemas.microsoft.com/office/drawing/2014/chart" uri="{C3380CC4-5D6E-409C-BE32-E72D297353CC}">
              <c16:uniqueId val="{00000000-720F-4F91-A4C4-5F57A6E8C53E}"/>
            </c:ext>
          </c:extLst>
        </c:ser>
        <c:ser>
          <c:idx val="1"/>
          <c:order val="1"/>
          <c:tx>
            <c:strRef>
              <c:f>'Forecast (r1)'!$I$4:$I$5</c:f>
              <c:strCache>
                <c:ptCount val="2"/>
                <c:pt idx="0">
                  <c:v>1-Year ACS (2010-2019 Trend)</c:v>
                </c:pt>
                <c:pt idx="1">
                  <c:v>Telecommute</c:v>
                </c:pt>
              </c:strCache>
            </c:strRef>
          </c:tx>
          <c:spPr>
            <a:solidFill>
              <a:schemeClr val="accent5">
                <a:lumMod val="50000"/>
                <a:alpha val="60000"/>
              </a:schemeClr>
            </a:solidFill>
            <a:ln>
              <a:noFill/>
            </a:ln>
            <a:effectLst/>
          </c:spPr>
          <c:cat>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 (r1)'!$I$6:$I$15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val>
          <c:extLst>
            <c:ext xmlns:c16="http://schemas.microsoft.com/office/drawing/2014/chart" uri="{C3380CC4-5D6E-409C-BE32-E72D297353CC}">
              <c16:uniqueId val="{00000001-720F-4F91-A4C4-5F57A6E8C53E}"/>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'Forecast (r1)'!$J$4:$J$5</c:f>
              <c:strCache>
                <c:ptCount val="2"/>
                <c:pt idx="0">
                  <c:v>1-Year ACS (2010-2019 Trend)</c:v>
                </c:pt>
                <c:pt idx="1">
                  <c:v>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 (r1)'!$J$6:$J$15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val>
          <c:smooth val="0"/>
          <c:extLst>
            <c:ext xmlns:c16="http://schemas.microsoft.com/office/drawing/2014/chart" uri="{C3380CC4-5D6E-409C-BE32-E72D297353CC}">
              <c16:uniqueId val="{00000002-720F-4F91-A4C4-5F57A6E8C53E}"/>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 (r1)'!$B$4:$B$5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F8AA-4F56-A5AD-61AB71E26A08}"/>
            </c:ext>
          </c:extLst>
        </c:ser>
        <c:ser>
          <c:idx val="1"/>
          <c:order val="1"/>
          <c:tx>
            <c:strRef>
              <c:f>'Forecast (r1)'!$C$4:$C$5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F8AA-4F56-A5AD-61AB71E26A08}"/>
            </c:ext>
          </c:extLst>
        </c:ser>
        <c:ser>
          <c:idx val="2"/>
          <c:order val="2"/>
          <c:tx>
            <c:strRef>
              <c:f>'Forecast (r1)'!$D$4:$D$5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F8AA-4F56-A5AD-61AB71E26A08}"/>
            </c:ext>
          </c:extLst>
        </c:ser>
        <c:ser>
          <c:idx val="3"/>
          <c:order val="3"/>
          <c:tx>
            <c:strRef>
              <c:f>'Forecast (r1)'!$H$4:$H$5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F8AA-4F56-A5AD-61AB71E26A08}"/>
            </c:ext>
          </c:extLst>
        </c:ser>
        <c:ser>
          <c:idx val="4"/>
          <c:order val="4"/>
          <c:tx>
            <c:strRef>
              <c:f>'Forecast (r1)'!$I$4:$I$5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F8AA-4F56-A5AD-61AB71E26A08}"/>
            </c:ext>
          </c:extLst>
        </c:ser>
        <c:ser>
          <c:idx val="5"/>
          <c:order val="5"/>
          <c:tx>
            <c:strRef>
              <c:f>'Forecast (r1)'!$J$4:$J$5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F8AA-4F56-A5AD-61AB71E26A08}"/>
            </c:ext>
          </c:extLst>
        </c:ser>
        <c:ser>
          <c:idx val="6"/>
          <c:order val="6"/>
          <c:tx>
            <c:v>5-Year ACS Home-Based Forecast 1</c:v>
          </c:tx>
          <c:spPr>
            <a:ln w="25400" cap="rnd">
              <a:solidFill>
                <a:schemeClr val="accent5">
                  <a:lumMod val="60000"/>
                  <a:lumOff val="40000"/>
                  <a:alpha val="4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F8AA-4F56-A5AD-61AB71E26A08}"/>
            </c:ext>
          </c:extLst>
        </c:ser>
        <c:ser>
          <c:idx val="7"/>
          <c:order val="7"/>
          <c:tx>
            <c:v>5-Year ACS Telecommute Forecast 1</c:v>
          </c:tx>
          <c:spPr>
            <a:ln w="25400" cap="rnd">
              <a:solidFill>
                <a:schemeClr val="accent5">
                  <a:lumMod val="50000"/>
                  <a:alpha val="2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F8AA-4F56-A5AD-61AB71E26A08}"/>
            </c:ext>
          </c:extLst>
        </c:ser>
        <c:ser>
          <c:idx val="8"/>
          <c:order val="8"/>
          <c:tx>
            <c:v>5-Year ACS Work At Home Forecast 1</c:v>
          </c:tx>
          <c:spPr>
            <a:ln w="25400" cap="rnd">
              <a:solidFill>
                <a:srgbClr val="C00000">
                  <a:alpha val="20000"/>
                </a:srgb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F8AA-4F56-A5AD-61AB71E26A08}"/>
            </c:ext>
          </c:extLst>
        </c:ser>
        <c:ser>
          <c:idx val="9"/>
          <c:order val="9"/>
          <c:tx>
            <c:v>5-Year ACS Home-Based Forecast 2</c:v>
          </c:tx>
          <c:spPr>
            <a:ln w="25400" cap="rnd">
              <a:solidFill>
                <a:schemeClr val="accent5">
                  <a:lumMod val="60000"/>
                  <a:lumOff val="40000"/>
                  <a:alpha val="4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(r1)'!$N$16:$N$56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F8AA-4F56-A5AD-61AB71E26A08}"/>
            </c:ext>
          </c:extLst>
        </c:ser>
        <c:ser>
          <c:idx val="10"/>
          <c:order val="10"/>
          <c:tx>
            <c:v>5-Year ACS Telecommute Forecast 2</c:v>
          </c:tx>
          <c:spPr>
            <a:ln w="25400" cap="rnd">
              <a:solidFill>
                <a:schemeClr val="accent5">
                  <a:lumMod val="50000"/>
                  <a:alpha val="2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(r1)'!$O$16:$O$56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F8AA-4F56-A5AD-61AB71E26A08}"/>
            </c:ext>
          </c:extLst>
        </c:ser>
        <c:ser>
          <c:idx val="11"/>
          <c:order val="11"/>
          <c:tx>
            <c:v>5-Year ACS Work At Home Forecast 2</c:v>
          </c:tx>
          <c:spPr>
            <a:ln w="25400" cap="rnd">
              <a:solidFill>
                <a:srgbClr val="C00000">
                  <a:alpha val="20000"/>
                </a:srgb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(r1)'!$P$16:$P$56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F8AA-4F56-A5AD-61AB71E26A08}"/>
            </c:ext>
          </c:extLst>
        </c:ser>
        <c:ser>
          <c:idx val="12"/>
          <c:order val="12"/>
          <c:tx>
            <c:v>1-Year ACS Home-Based Forecas</c:v>
          </c:tx>
          <c:spPr>
            <a:ln w="25400" cap="rnd">
              <a:solidFill>
                <a:schemeClr val="accent5">
                  <a:lumMod val="60000"/>
                  <a:lumOff val="40000"/>
                  <a:alpha val="40000"/>
                </a:schemeClr>
              </a:solidFill>
              <a:prstDash val="sys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(r1)'!$H$16:$H$56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F8AA-4F56-A5AD-61AB71E26A08}"/>
            </c:ext>
          </c:extLst>
        </c:ser>
        <c:ser>
          <c:idx val="13"/>
          <c:order val="13"/>
          <c:tx>
            <c:v>1-Year ACS Telecommute Forecas</c:v>
          </c:tx>
          <c:spPr>
            <a:ln w="25400" cap="rnd">
              <a:solidFill>
                <a:schemeClr val="accent5">
                  <a:lumMod val="75000"/>
                  <a:alpha val="20000"/>
                </a:schemeClr>
              </a:solidFill>
              <a:prstDash val="sys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(r1)'!$I$16:$I$56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F8AA-4F56-A5AD-61AB71E26A08}"/>
            </c:ext>
          </c:extLst>
        </c:ser>
        <c:ser>
          <c:idx val="14"/>
          <c:order val="14"/>
          <c:tx>
            <c:v>1-Year ACS Work At Home Forecas</c:v>
          </c:tx>
          <c:spPr>
            <a:ln w="25400" cap="rnd">
              <a:solidFill>
                <a:srgbClr val="C00000">
                  <a:alpha val="20000"/>
                </a:srgbClr>
              </a:solidFill>
              <a:prstDash val="sys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(r1)'!$J$16:$J$56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F8AA-4F56-A5AD-61AB71E26A08}"/>
            </c:ext>
          </c:extLst>
        </c:ser>
        <c:ser>
          <c:idx val="15"/>
          <c:order val="15"/>
          <c:tx>
            <c:v>Post Covid - Upper - Home-Based</c:v>
          </c:tx>
          <c:spPr>
            <a:ln w="50800" cap="rnd">
              <a:solidFill>
                <a:schemeClr val="accent5">
                  <a:lumMod val="60000"/>
                  <a:lumOff val="40000"/>
                  <a:alpha val="60000"/>
                </a:scheme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(r1)'!$T$15:$T$56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F8AA-4F56-A5AD-61AB71E26A08}"/>
            </c:ext>
          </c:extLst>
        </c:ser>
        <c:ser>
          <c:idx val="16"/>
          <c:order val="16"/>
          <c:tx>
            <c:v>Post Covid - Upper - Telecommute</c:v>
          </c:tx>
          <c:spPr>
            <a:ln w="50800" cap="rnd">
              <a:solidFill>
                <a:schemeClr val="accent5">
                  <a:lumMod val="50000"/>
                  <a:alpha val="60000"/>
                </a:scheme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(r1)'!$U$15:$U$56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F8AA-4F56-A5AD-61AB71E26A08}"/>
            </c:ext>
          </c:extLst>
        </c:ser>
        <c:ser>
          <c:idx val="17"/>
          <c:order val="17"/>
          <c:tx>
            <c:v>Post Covid - Upper - Work At Home</c:v>
          </c:tx>
          <c:spPr>
            <a:ln w="50800" cap="rnd">
              <a:solidFill>
                <a:srgbClr val="C00000">
                  <a:alpha val="60000"/>
                </a:srgbClr>
              </a:solidFill>
              <a:prstDash val="solid"/>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(r1)'!$V$15:$V$56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F8AA-4F56-A5AD-61AB71E26A08}"/>
            </c:ext>
          </c:extLst>
        </c:ser>
        <c:ser>
          <c:idx val="18"/>
          <c:order val="18"/>
          <c:tx>
            <c:v>Post Covid - Home-Based</c:v>
          </c:tx>
          <c:spPr>
            <a:ln w="50800" cap="rnd">
              <a:solidFill>
                <a:schemeClr val="accent5">
                  <a:lumMod val="60000"/>
                  <a:lumOff val="40000"/>
                  <a:alpha val="60000"/>
                </a:scheme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(r1)'!$Z$15:$Z$56</c:f>
              <c:numCache>
                <c:formatCode>0.0%</c:formatCode>
                <c:ptCount val="42"/>
                <c:pt idx="0">
                  <c:v>2.6666596808531076E-2</c:v>
                </c:pt>
                <c:pt idx="1">
                  <c:v>0.06</c:v>
                </c:pt>
                <c:pt idx="2">
                  <c:v>0.04</c:v>
                </c:pt>
                <c:pt idx="3" formatCode="0.00%">
                  <c:v>3.2500000000000001E-2</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formatCode="0.00%">
                  <c:v>3.0277777777777778E-2</c:v>
                </c:pt>
                <c:pt idx="25" formatCode="0.00%">
                  <c:v>3.0555555555555558E-2</c:v>
                </c:pt>
                <c:pt idx="26" formatCode="0.00%">
                  <c:v>3.0833333333333338E-2</c:v>
                </c:pt>
                <c:pt idx="27" formatCode="0.00%">
                  <c:v>3.1111111111111117E-2</c:v>
                </c:pt>
                <c:pt idx="28" formatCode="0.00%">
                  <c:v>3.1388888888888897E-2</c:v>
                </c:pt>
                <c:pt idx="29" formatCode="0.00%">
                  <c:v>3.1666666666666676E-2</c:v>
                </c:pt>
                <c:pt idx="30" formatCode="0.00%">
                  <c:v>3.1944444444444456E-2</c:v>
                </c:pt>
                <c:pt idx="31" formatCode="0.00%">
                  <c:v>3.2222222222222235E-2</c:v>
                </c:pt>
                <c:pt idx="32" formatCode="0.00%">
                  <c:v>3.2500000000000015E-2</c:v>
                </c:pt>
                <c:pt idx="33" formatCode="0.00%">
                  <c:v>3.2777777777777795E-2</c:v>
                </c:pt>
                <c:pt idx="34" formatCode="0.00%">
                  <c:v>3.3055555555555574E-2</c:v>
                </c:pt>
                <c:pt idx="35" formatCode="0.00%">
                  <c:v>3.3333333333333354E-2</c:v>
                </c:pt>
                <c:pt idx="36" formatCode="0.00%">
                  <c:v>3.3611111111111133E-2</c:v>
                </c:pt>
                <c:pt idx="37" formatCode="0.00%">
                  <c:v>3.3888888888888913E-2</c:v>
                </c:pt>
                <c:pt idx="38" formatCode="0.00%">
                  <c:v>3.4166666666666692E-2</c:v>
                </c:pt>
                <c:pt idx="39" formatCode="0.00%">
                  <c:v>3.4444444444444472E-2</c:v>
                </c:pt>
                <c:pt idx="40" formatCode="0.00%">
                  <c:v>3.4722222222222252E-2</c:v>
                </c:pt>
                <c:pt idx="41" formatCode="0.00%">
                  <c:v>3.5000000000000003E-2</c:v>
                </c:pt>
              </c:numCache>
            </c:numRef>
          </c:yVal>
          <c:smooth val="1"/>
          <c:extLst>
            <c:ext xmlns:c16="http://schemas.microsoft.com/office/drawing/2014/chart" uri="{C3380CC4-5D6E-409C-BE32-E72D297353CC}">
              <c16:uniqueId val="{00000012-F8AA-4F56-A5AD-61AB71E26A08}"/>
            </c:ext>
          </c:extLst>
        </c:ser>
        <c:ser>
          <c:idx val="19"/>
          <c:order val="19"/>
          <c:tx>
            <c:v>Post Covid - Telecommute</c:v>
          </c:tx>
          <c:spPr>
            <a:ln w="50800" cap="rnd">
              <a:solidFill>
                <a:schemeClr val="accent5">
                  <a:lumMod val="50000"/>
                  <a:alpha val="60000"/>
                </a:scheme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(r1)'!$AA$15:$AA$56</c:f>
              <c:numCache>
                <c:formatCode>0.0%</c:formatCode>
                <c:ptCount val="42"/>
                <c:pt idx="0">
                  <c:v>3.6494763259510746E-2</c:v>
                </c:pt>
                <c:pt idx="1">
                  <c:v>0.35</c:v>
                </c:pt>
                <c:pt idx="2">
                  <c:v>0.15</c:v>
                </c:pt>
                <c:pt idx="3">
                  <c:v>0.1</c:v>
                </c:pt>
                <c:pt idx="4">
                  <c:v>8.3000000000000004E-2</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formatCode="0.00%">
                  <c:v>8.1200000000000008E-2</c:v>
                </c:pt>
                <c:pt idx="25" formatCode="0.00%">
                  <c:v>8.2866666666666672E-2</c:v>
                </c:pt>
                <c:pt idx="26" formatCode="0.00%">
                  <c:v>8.4533333333333335E-2</c:v>
                </c:pt>
                <c:pt idx="27" formatCode="0.00%">
                  <c:v>8.6199999999999999E-2</c:v>
                </c:pt>
                <c:pt idx="28" formatCode="0.00%">
                  <c:v>8.7866666666666662E-2</c:v>
                </c:pt>
                <c:pt idx="29" formatCode="0.00%">
                  <c:v>8.9533333333333326E-2</c:v>
                </c:pt>
                <c:pt idx="30" formatCode="0.00%">
                  <c:v>9.1199999999999989E-2</c:v>
                </c:pt>
                <c:pt idx="31" formatCode="0.00%">
                  <c:v>9.2866666666666653E-2</c:v>
                </c:pt>
                <c:pt idx="32" formatCode="0.00%">
                  <c:v>9.4533333333333316E-2</c:v>
                </c:pt>
                <c:pt idx="33" formatCode="0.00%">
                  <c:v>9.619999999999998E-2</c:v>
                </c:pt>
                <c:pt idx="34" formatCode="0.00%">
                  <c:v>9.7866666666666643E-2</c:v>
                </c:pt>
                <c:pt idx="35" formatCode="0.00%">
                  <c:v>9.9533333333333307E-2</c:v>
                </c:pt>
                <c:pt idx="36" formatCode="0.00%">
                  <c:v>0.10119999999999997</c:v>
                </c:pt>
                <c:pt idx="37" formatCode="0.00%">
                  <c:v>0.10286666666666663</c:v>
                </c:pt>
                <c:pt idx="38" formatCode="0.00%">
                  <c:v>0.1045333333333333</c:v>
                </c:pt>
                <c:pt idx="39" formatCode="0.00%">
                  <c:v>0.10619999999999996</c:v>
                </c:pt>
                <c:pt idx="40" formatCode="0.00%">
                  <c:v>0.10786666666666662</c:v>
                </c:pt>
                <c:pt idx="41">
                  <c:v>0.11</c:v>
                </c:pt>
              </c:numCache>
            </c:numRef>
          </c:yVal>
          <c:smooth val="1"/>
          <c:extLst>
            <c:ext xmlns:c16="http://schemas.microsoft.com/office/drawing/2014/chart" uri="{C3380CC4-5D6E-409C-BE32-E72D297353CC}">
              <c16:uniqueId val="{00000013-F8AA-4F56-A5AD-61AB71E26A08}"/>
            </c:ext>
          </c:extLst>
        </c:ser>
        <c:ser>
          <c:idx val="20"/>
          <c:order val="20"/>
          <c:tx>
            <c:v>Post Covid - Work At Home</c:v>
          </c:tx>
          <c:spPr>
            <a:ln w="50800" cap="rnd">
              <a:solidFill>
                <a:srgbClr val="C00000">
                  <a:alpha val="60000"/>
                </a:srgb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(r1)'!$AB$15:$AB$56</c:f>
              <c:numCache>
                <c:formatCode>0.0%</c:formatCode>
                <c:ptCount val="42"/>
                <c:pt idx="0">
                  <c:v>6.3161360068041822E-2</c:v>
                </c:pt>
                <c:pt idx="1">
                  <c:v>0.41</c:v>
                </c:pt>
                <c:pt idx="2">
                  <c:v>0.19</c:v>
                </c:pt>
                <c:pt idx="3">
                  <c:v>0.13250000000000001</c:v>
                </c:pt>
                <c:pt idx="4">
                  <c:v>0.113</c:v>
                </c:pt>
                <c:pt idx="5">
                  <c:v>0.11</c:v>
                </c:pt>
                <c:pt idx="6">
                  <c:v>0.11</c:v>
                </c:pt>
                <c:pt idx="7">
                  <c:v>0.11</c:v>
                </c:pt>
                <c:pt idx="8">
                  <c:v>0.11</c:v>
                </c:pt>
                <c:pt idx="9">
                  <c:v>0.11</c:v>
                </c:pt>
                <c:pt idx="10">
                  <c:v>0.11</c:v>
                </c:pt>
                <c:pt idx="11">
                  <c:v>0.11</c:v>
                </c:pt>
                <c:pt idx="12">
                  <c:v>0.11</c:v>
                </c:pt>
                <c:pt idx="13">
                  <c:v>0.11</c:v>
                </c:pt>
                <c:pt idx="14">
                  <c:v>0.11</c:v>
                </c:pt>
                <c:pt idx="15">
                  <c:v>0.11</c:v>
                </c:pt>
                <c:pt idx="16">
                  <c:v>0.11</c:v>
                </c:pt>
                <c:pt idx="17">
                  <c:v>0.11</c:v>
                </c:pt>
                <c:pt idx="18">
                  <c:v>0.11</c:v>
                </c:pt>
                <c:pt idx="19">
                  <c:v>0.11</c:v>
                </c:pt>
                <c:pt idx="20">
                  <c:v>0.11</c:v>
                </c:pt>
                <c:pt idx="21">
                  <c:v>0.11</c:v>
                </c:pt>
                <c:pt idx="22">
                  <c:v>0.11</c:v>
                </c:pt>
                <c:pt idx="23">
                  <c:v>0.11</c:v>
                </c:pt>
                <c:pt idx="24">
                  <c:v>0.11147777777777779</c:v>
                </c:pt>
                <c:pt idx="25">
                  <c:v>0.11342222222222223</c:v>
                </c:pt>
                <c:pt idx="26">
                  <c:v>0.11536666666666667</c:v>
                </c:pt>
                <c:pt idx="27">
                  <c:v>0.11731111111111112</c:v>
                </c:pt>
                <c:pt idx="28">
                  <c:v>0.11925555555555556</c:v>
                </c:pt>
                <c:pt idx="29">
                  <c:v>0.1212</c:v>
                </c:pt>
                <c:pt idx="30">
                  <c:v>0.12314444444444445</c:v>
                </c:pt>
                <c:pt idx="31">
                  <c:v>0.12508888888888889</c:v>
                </c:pt>
                <c:pt idx="32">
                  <c:v>0.12703333333333333</c:v>
                </c:pt>
                <c:pt idx="33">
                  <c:v>0.12897777777777777</c:v>
                </c:pt>
                <c:pt idx="34">
                  <c:v>0.13092222222222222</c:v>
                </c:pt>
                <c:pt idx="35">
                  <c:v>0.13286666666666666</c:v>
                </c:pt>
                <c:pt idx="36">
                  <c:v>0.1348111111111111</c:v>
                </c:pt>
                <c:pt idx="37">
                  <c:v>0.13675555555555555</c:v>
                </c:pt>
                <c:pt idx="38">
                  <c:v>0.13869999999999999</c:v>
                </c:pt>
                <c:pt idx="39">
                  <c:v>0.14064444444444443</c:v>
                </c:pt>
                <c:pt idx="40">
                  <c:v>0.14258888888888888</c:v>
                </c:pt>
                <c:pt idx="41">
                  <c:v>0.14500000000000002</c:v>
                </c:pt>
              </c:numCache>
            </c:numRef>
          </c:yVal>
          <c:smooth val="1"/>
          <c:extLst>
            <c:ext xmlns:c16="http://schemas.microsoft.com/office/drawing/2014/chart" uri="{C3380CC4-5D6E-409C-BE32-E72D297353CC}">
              <c16:uniqueId val="{00000014-F8AA-4F56-A5AD-61AB71E26A08}"/>
            </c:ext>
          </c:extLst>
        </c:ser>
        <c:dLbls>
          <c:showLegendKey val="0"/>
          <c:showVal val="0"/>
          <c:showCatName val="0"/>
          <c:showSerName val="0"/>
          <c:showPercent val="0"/>
          <c:showBubbleSize val="0"/>
        </c:dLbls>
        <c:axId val="358412287"/>
        <c:axId val="358416031"/>
      </c:scatterChart>
      <c:valAx>
        <c:axId val="358412287"/>
        <c:scaling>
          <c:orientation val="minMax"/>
          <c:max val="206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0.1"/>
        <c:minorUnit val="2.0000000000000004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 (r1)'!$B$4:$B$5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200F-4517-B89B-9EC686105671}"/>
            </c:ext>
          </c:extLst>
        </c:ser>
        <c:ser>
          <c:idx val="1"/>
          <c:order val="1"/>
          <c:tx>
            <c:strRef>
              <c:f>'Forecast (r1)'!$C$4:$C$5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200F-4517-B89B-9EC686105671}"/>
            </c:ext>
          </c:extLst>
        </c:ser>
        <c:ser>
          <c:idx val="2"/>
          <c:order val="2"/>
          <c:tx>
            <c:strRef>
              <c:f>'Forecast (r1)'!$D$4:$D$5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200F-4517-B89B-9EC686105671}"/>
            </c:ext>
          </c:extLst>
        </c:ser>
        <c:ser>
          <c:idx val="3"/>
          <c:order val="3"/>
          <c:tx>
            <c:strRef>
              <c:f>'Forecast (r1)'!$H$4:$H$5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200F-4517-B89B-9EC686105671}"/>
            </c:ext>
          </c:extLst>
        </c:ser>
        <c:ser>
          <c:idx val="4"/>
          <c:order val="4"/>
          <c:tx>
            <c:strRef>
              <c:f>'Forecast (r1)'!$I$4:$I$5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200F-4517-B89B-9EC686105671}"/>
            </c:ext>
          </c:extLst>
        </c:ser>
        <c:ser>
          <c:idx val="5"/>
          <c:order val="5"/>
          <c:tx>
            <c:strRef>
              <c:f>'Forecast (r1)'!$J$4:$J$5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 (r1)'!$A$6:$A$15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 (r1)'!$J$6:$J$15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200F-4517-B89B-9EC686105671}"/>
            </c:ext>
          </c:extLst>
        </c:ser>
        <c:ser>
          <c:idx val="6"/>
          <c:order val="6"/>
          <c:tx>
            <c:v>5-Year ACS Home-Based Forecast 1</c:v>
          </c:tx>
          <c:spPr>
            <a:ln w="25400" cap="rnd">
              <a:solidFill>
                <a:schemeClr val="accent5">
                  <a:lumMod val="60000"/>
                  <a:lumOff val="40000"/>
                  <a:alpha val="4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200F-4517-B89B-9EC686105671}"/>
            </c:ext>
          </c:extLst>
        </c:ser>
        <c:ser>
          <c:idx val="7"/>
          <c:order val="7"/>
          <c:tx>
            <c:v>5-Year ACS Telecommute Forecast 1</c:v>
          </c:tx>
          <c:spPr>
            <a:ln w="25400" cap="rnd">
              <a:solidFill>
                <a:schemeClr val="accent5">
                  <a:lumMod val="50000"/>
                  <a:alpha val="2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200F-4517-B89B-9EC686105671}"/>
            </c:ext>
          </c:extLst>
        </c:ser>
        <c:ser>
          <c:idx val="8"/>
          <c:order val="8"/>
          <c:tx>
            <c:v>5-Year ACS Work At Home Forecast 1</c:v>
          </c:tx>
          <c:spPr>
            <a:ln w="25400" cap="rnd">
              <a:solidFill>
                <a:srgbClr val="C00000">
                  <a:alpha val="20000"/>
                </a:srgb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200F-4517-B89B-9EC686105671}"/>
            </c:ext>
          </c:extLst>
        </c:ser>
        <c:ser>
          <c:idx val="9"/>
          <c:order val="9"/>
          <c:tx>
            <c:v>5-Year ACS Home-Based Forecast 2</c:v>
          </c:tx>
          <c:spPr>
            <a:ln w="25400" cap="rnd">
              <a:solidFill>
                <a:schemeClr val="accent5">
                  <a:lumMod val="60000"/>
                  <a:lumOff val="40000"/>
                  <a:alpha val="4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(r1)'!$N$16:$N$56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200F-4517-B89B-9EC686105671}"/>
            </c:ext>
          </c:extLst>
        </c:ser>
        <c:ser>
          <c:idx val="10"/>
          <c:order val="10"/>
          <c:tx>
            <c:v>5-Year ACS Telecommute Forecast 2</c:v>
          </c:tx>
          <c:spPr>
            <a:ln w="25400" cap="rnd">
              <a:solidFill>
                <a:schemeClr val="accent5">
                  <a:lumMod val="50000"/>
                  <a:alpha val="20000"/>
                </a:scheme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(r1)'!$O$16:$O$56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200F-4517-B89B-9EC686105671}"/>
            </c:ext>
          </c:extLst>
        </c:ser>
        <c:ser>
          <c:idx val="11"/>
          <c:order val="11"/>
          <c:tx>
            <c:v>5-Year ACS Work At Home Forecast 2</c:v>
          </c:tx>
          <c:spPr>
            <a:ln w="25400" cap="rnd">
              <a:solidFill>
                <a:srgbClr val="C00000">
                  <a:alpha val="20000"/>
                </a:srgbClr>
              </a:solidFill>
              <a:prstDash val="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(r1)'!$P$16:$P$56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200F-4517-B89B-9EC686105671}"/>
            </c:ext>
          </c:extLst>
        </c:ser>
        <c:ser>
          <c:idx val="12"/>
          <c:order val="12"/>
          <c:tx>
            <c:v>1-Year ACS Home-Based Forecas</c:v>
          </c:tx>
          <c:spPr>
            <a:ln w="25400" cap="rnd">
              <a:solidFill>
                <a:schemeClr val="accent5">
                  <a:lumMod val="60000"/>
                  <a:lumOff val="40000"/>
                  <a:alpha val="40000"/>
                </a:schemeClr>
              </a:solidFill>
              <a:prstDash val="sys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(r1)'!$H$16:$H$56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200F-4517-B89B-9EC686105671}"/>
            </c:ext>
          </c:extLst>
        </c:ser>
        <c:ser>
          <c:idx val="13"/>
          <c:order val="13"/>
          <c:tx>
            <c:v>1-Year ACS Telecommute Forecas</c:v>
          </c:tx>
          <c:spPr>
            <a:ln w="25400" cap="rnd">
              <a:solidFill>
                <a:schemeClr val="accent5">
                  <a:lumMod val="75000"/>
                  <a:alpha val="20000"/>
                </a:schemeClr>
              </a:solidFill>
              <a:prstDash val="sys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(r1)'!$I$16:$I$56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200F-4517-B89B-9EC686105671}"/>
            </c:ext>
          </c:extLst>
        </c:ser>
        <c:ser>
          <c:idx val="14"/>
          <c:order val="14"/>
          <c:tx>
            <c:v>1-Year ACS Work At Home Forecas</c:v>
          </c:tx>
          <c:spPr>
            <a:ln w="25400" cap="rnd">
              <a:solidFill>
                <a:srgbClr val="C00000">
                  <a:alpha val="20000"/>
                </a:srgbClr>
              </a:solidFill>
              <a:prstDash val="sysDash"/>
              <a:round/>
            </a:ln>
            <a:effectLst/>
          </c:spPr>
          <c:marker>
            <c:symbol val="none"/>
          </c:marker>
          <c:xVal>
            <c:numRef>
              <c:f>'Forecast (r1)'!$A$16:$A$56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 (r1)'!$J$16:$J$56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200F-4517-B89B-9EC686105671}"/>
            </c:ext>
          </c:extLst>
        </c:ser>
        <c:ser>
          <c:idx val="15"/>
          <c:order val="15"/>
          <c:tx>
            <c:v>Post Covid - Upper - Home-Based</c:v>
          </c:tx>
          <c:spPr>
            <a:ln w="50800" cap="rnd">
              <a:solidFill>
                <a:schemeClr val="accent5">
                  <a:lumMod val="60000"/>
                  <a:lumOff val="40000"/>
                  <a:alpha val="60000"/>
                </a:scheme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(r1)'!$T$15:$T$56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200F-4517-B89B-9EC686105671}"/>
            </c:ext>
          </c:extLst>
        </c:ser>
        <c:ser>
          <c:idx val="16"/>
          <c:order val="16"/>
          <c:tx>
            <c:v>Post Covid - Upper - Telecommute</c:v>
          </c:tx>
          <c:spPr>
            <a:ln w="50800" cap="rnd">
              <a:solidFill>
                <a:schemeClr val="accent5">
                  <a:lumMod val="50000"/>
                  <a:alpha val="60000"/>
                </a:scheme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(r1)'!$U$15:$U$56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200F-4517-B89B-9EC686105671}"/>
            </c:ext>
          </c:extLst>
        </c:ser>
        <c:ser>
          <c:idx val="17"/>
          <c:order val="17"/>
          <c:tx>
            <c:v>Post Covid - Upper - Work At Home</c:v>
          </c:tx>
          <c:spPr>
            <a:ln w="50800" cap="rnd">
              <a:solidFill>
                <a:srgbClr val="C00000">
                  <a:alpha val="60000"/>
                </a:srgbClr>
              </a:solidFill>
              <a:prstDash val="solid"/>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(r1)'!$V$15:$V$56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200F-4517-B89B-9EC686105671}"/>
            </c:ext>
          </c:extLst>
        </c:ser>
        <c:ser>
          <c:idx val="18"/>
          <c:order val="18"/>
          <c:tx>
            <c:v>Post Covid - Home-Based</c:v>
          </c:tx>
          <c:spPr>
            <a:ln w="50800" cap="rnd">
              <a:solidFill>
                <a:schemeClr val="accent5">
                  <a:lumMod val="60000"/>
                  <a:lumOff val="40000"/>
                  <a:alpha val="60000"/>
                </a:scheme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(r1)'!$Z$15:$Z$56</c:f>
              <c:numCache>
                <c:formatCode>0.0%</c:formatCode>
                <c:ptCount val="42"/>
                <c:pt idx="0">
                  <c:v>2.6666596808531076E-2</c:v>
                </c:pt>
                <c:pt idx="1">
                  <c:v>0.06</c:v>
                </c:pt>
                <c:pt idx="2">
                  <c:v>0.04</c:v>
                </c:pt>
                <c:pt idx="3" formatCode="0.00%">
                  <c:v>3.2500000000000001E-2</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formatCode="0.00%">
                  <c:v>3.0277777777777778E-2</c:v>
                </c:pt>
                <c:pt idx="25" formatCode="0.00%">
                  <c:v>3.0555555555555558E-2</c:v>
                </c:pt>
                <c:pt idx="26" formatCode="0.00%">
                  <c:v>3.0833333333333338E-2</c:v>
                </c:pt>
                <c:pt idx="27" formatCode="0.00%">
                  <c:v>3.1111111111111117E-2</c:v>
                </c:pt>
                <c:pt idx="28" formatCode="0.00%">
                  <c:v>3.1388888888888897E-2</c:v>
                </c:pt>
                <c:pt idx="29" formatCode="0.00%">
                  <c:v>3.1666666666666676E-2</c:v>
                </c:pt>
                <c:pt idx="30" formatCode="0.00%">
                  <c:v>3.1944444444444456E-2</c:v>
                </c:pt>
                <c:pt idx="31" formatCode="0.00%">
                  <c:v>3.2222222222222235E-2</c:v>
                </c:pt>
                <c:pt idx="32" formatCode="0.00%">
                  <c:v>3.2500000000000015E-2</c:v>
                </c:pt>
                <c:pt idx="33" formatCode="0.00%">
                  <c:v>3.2777777777777795E-2</c:v>
                </c:pt>
                <c:pt idx="34" formatCode="0.00%">
                  <c:v>3.3055555555555574E-2</c:v>
                </c:pt>
                <c:pt idx="35" formatCode="0.00%">
                  <c:v>3.3333333333333354E-2</c:v>
                </c:pt>
                <c:pt idx="36" formatCode="0.00%">
                  <c:v>3.3611111111111133E-2</c:v>
                </c:pt>
                <c:pt idx="37" formatCode="0.00%">
                  <c:v>3.3888888888888913E-2</c:v>
                </c:pt>
                <c:pt idx="38" formatCode="0.00%">
                  <c:v>3.4166666666666692E-2</c:v>
                </c:pt>
                <c:pt idx="39" formatCode="0.00%">
                  <c:v>3.4444444444444472E-2</c:v>
                </c:pt>
                <c:pt idx="40" formatCode="0.00%">
                  <c:v>3.4722222222222252E-2</c:v>
                </c:pt>
                <c:pt idx="41" formatCode="0.00%">
                  <c:v>3.5000000000000003E-2</c:v>
                </c:pt>
              </c:numCache>
            </c:numRef>
          </c:yVal>
          <c:smooth val="1"/>
          <c:extLst>
            <c:ext xmlns:c16="http://schemas.microsoft.com/office/drawing/2014/chart" uri="{C3380CC4-5D6E-409C-BE32-E72D297353CC}">
              <c16:uniqueId val="{00000012-200F-4517-B89B-9EC686105671}"/>
            </c:ext>
          </c:extLst>
        </c:ser>
        <c:ser>
          <c:idx val="19"/>
          <c:order val="19"/>
          <c:tx>
            <c:v>Post Covid - Telecommute</c:v>
          </c:tx>
          <c:spPr>
            <a:ln w="50800" cap="rnd">
              <a:solidFill>
                <a:schemeClr val="accent5">
                  <a:lumMod val="50000"/>
                  <a:alpha val="60000"/>
                </a:scheme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(r1)'!$AA$15:$AA$56</c:f>
              <c:numCache>
                <c:formatCode>0.0%</c:formatCode>
                <c:ptCount val="42"/>
                <c:pt idx="0">
                  <c:v>3.6494763259510746E-2</c:v>
                </c:pt>
                <c:pt idx="1">
                  <c:v>0.35</c:v>
                </c:pt>
                <c:pt idx="2">
                  <c:v>0.15</c:v>
                </c:pt>
                <c:pt idx="3">
                  <c:v>0.1</c:v>
                </c:pt>
                <c:pt idx="4">
                  <c:v>8.3000000000000004E-2</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formatCode="0.00%">
                  <c:v>8.1200000000000008E-2</c:v>
                </c:pt>
                <c:pt idx="25" formatCode="0.00%">
                  <c:v>8.2866666666666672E-2</c:v>
                </c:pt>
                <c:pt idx="26" formatCode="0.00%">
                  <c:v>8.4533333333333335E-2</c:v>
                </c:pt>
                <c:pt idx="27" formatCode="0.00%">
                  <c:v>8.6199999999999999E-2</c:v>
                </c:pt>
                <c:pt idx="28" formatCode="0.00%">
                  <c:v>8.7866666666666662E-2</c:v>
                </c:pt>
                <c:pt idx="29" formatCode="0.00%">
                  <c:v>8.9533333333333326E-2</c:v>
                </c:pt>
                <c:pt idx="30" formatCode="0.00%">
                  <c:v>9.1199999999999989E-2</c:v>
                </c:pt>
                <c:pt idx="31" formatCode="0.00%">
                  <c:v>9.2866666666666653E-2</c:v>
                </c:pt>
                <c:pt idx="32" formatCode="0.00%">
                  <c:v>9.4533333333333316E-2</c:v>
                </c:pt>
                <c:pt idx="33" formatCode="0.00%">
                  <c:v>9.619999999999998E-2</c:v>
                </c:pt>
                <c:pt idx="34" formatCode="0.00%">
                  <c:v>9.7866666666666643E-2</c:v>
                </c:pt>
                <c:pt idx="35" formatCode="0.00%">
                  <c:v>9.9533333333333307E-2</c:v>
                </c:pt>
                <c:pt idx="36" formatCode="0.00%">
                  <c:v>0.10119999999999997</c:v>
                </c:pt>
                <c:pt idx="37" formatCode="0.00%">
                  <c:v>0.10286666666666663</c:v>
                </c:pt>
                <c:pt idx="38" formatCode="0.00%">
                  <c:v>0.1045333333333333</c:v>
                </c:pt>
                <c:pt idx="39" formatCode="0.00%">
                  <c:v>0.10619999999999996</c:v>
                </c:pt>
                <c:pt idx="40" formatCode="0.00%">
                  <c:v>0.10786666666666662</c:v>
                </c:pt>
                <c:pt idx="41">
                  <c:v>0.11</c:v>
                </c:pt>
              </c:numCache>
            </c:numRef>
          </c:yVal>
          <c:smooth val="1"/>
          <c:extLst>
            <c:ext xmlns:c16="http://schemas.microsoft.com/office/drawing/2014/chart" uri="{C3380CC4-5D6E-409C-BE32-E72D297353CC}">
              <c16:uniqueId val="{00000013-200F-4517-B89B-9EC686105671}"/>
            </c:ext>
          </c:extLst>
        </c:ser>
        <c:ser>
          <c:idx val="20"/>
          <c:order val="20"/>
          <c:tx>
            <c:v>Post Covid - Work At Home</c:v>
          </c:tx>
          <c:spPr>
            <a:ln w="50800" cap="rnd">
              <a:solidFill>
                <a:srgbClr val="C00000">
                  <a:alpha val="60000"/>
                </a:srgbClr>
              </a:solidFill>
              <a:round/>
            </a:ln>
            <a:effectLst/>
          </c:spPr>
          <c:marker>
            <c:symbol val="none"/>
          </c:marker>
          <c:xVal>
            <c:numRef>
              <c:f>'Forecast (r1)'!$A$15:$A$56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 (r1)'!$AB$15:$AB$56</c:f>
              <c:numCache>
                <c:formatCode>0.0%</c:formatCode>
                <c:ptCount val="42"/>
                <c:pt idx="0">
                  <c:v>6.3161360068041822E-2</c:v>
                </c:pt>
                <c:pt idx="1">
                  <c:v>0.41</c:v>
                </c:pt>
                <c:pt idx="2">
                  <c:v>0.19</c:v>
                </c:pt>
                <c:pt idx="3">
                  <c:v>0.13250000000000001</c:v>
                </c:pt>
                <c:pt idx="4">
                  <c:v>0.113</c:v>
                </c:pt>
                <c:pt idx="5">
                  <c:v>0.11</c:v>
                </c:pt>
                <c:pt idx="6">
                  <c:v>0.11</c:v>
                </c:pt>
                <c:pt idx="7">
                  <c:v>0.11</c:v>
                </c:pt>
                <c:pt idx="8">
                  <c:v>0.11</c:v>
                </c:pt>
                <c:pt idx="9">
                  <c:v>0.11</c:v>
                </c:pt>
                <c:pt idx="10">
                  <c:v>0.11</c:v>
                </c:pt>
                <c:pt idx="11">
                  <c:v>0.11</c:v>
                </c:pt>
                <c:pt idx="12">
                  <c:v>0.11</c:v>
                </c:pt>
                <c:pt idx="13">
                  <c:v>0.11</c:v>
                </c:pt>
                <c:pt idx="14">
                  <c:v>0.11</c:v>
                </c:pt>
                <c:pt idx="15">
                  <c:v>0.11</c:v>
                </c:pt>
                <c:pt idx="16">
                  <c:v>0.11</c:v>
                </c:pt>
                <c:pt idx="17">
                  <c:v>0.11</c:v>
                </c:pt>
                <c:pt idx="18">
                  <c:v>0.11</c:v>
                </c:pt>
                <c:pt idx="19">
                  <c:v>0.11</c:v>
                </c:pt>
                <c:pt idx="20">
                  <c:v>0.11</c:v>
                </c:pt>
                <c:pt idx="21">
                  <c:v>0.11</c:v>
                </c:pt>
                <c:pt idx="22">
                  <c:v>0.11</c:v>
                </c:pt>
                <c:pt idx="23">
                  <c:v>0.11</c:v>
                </c:pt>
                <c:pt idx="24">
                  <c:v>0.11147777777777779</c:v>
                </c:pt>
                <c:pt idx="25">
                  <c:v>0.11342222222222223</c:v>
                </c:pt>
                <c:pt idx="26">
                  <c:v>0.11536666666666667</c:v>
                </c:pt>
                <c:pt idx="27">
                  <c:v>0.11731111111111112</c:v>
                </c:pt>
                <c:pt idx="28">
                  <c:v>0.11925555555555556</c:v>
                </c:pt>
                <c:pt idx="29">
                  <c:v>0.1212</c:v>
                </c:pt>
                <c:pt idx="30">
                  <c:v>0.12314444444444445</c:v>
                </c:pt>
                <c:pt idx="31">
                  <c:v>0.12508888888888889</c:v>
                </c:pt>
                <c:pt idx="32">
                  <c:v>0.12703333333333333</c:v>
                </c:pt>
                <c:pt idx="33">
                  <c:v>0.12897777777777777</c:v>
                </c:pt>
                <c:pt idx="34">
                  <c:v>0.13092222222222222</c:v>
                </c:pt>
                <c:pt idx="35">
                  <c:v>0.13286666666666666</c:v>
                </c:pt>
                <c:pt idx="36">
                  <c:v>0.1348111111111111</c:v>
                </c:pt>
                <c:pt idx="37">
                  <c:v>0.13675555555555555</c:v>
                </c:pt>
                <c:pt idx="38">
                  <c:v>0.13869999999999999</c:v>
                </c:pt>
                <c:pt idx="39">
                  <c:v>0.14064444444444443</c:v>
                </c:pt>
                <c:pt idx="40">
                  <c:v>0.14258888888888888</c:v>
                </c:pt>
                <c:pt idx="41">
                  <c:v>0.14500000000000002</c:v>
                </c:pt>
              </c:numCache>
            </c:numRef>
          </c:yVal>
          <c:smooth val="1"/>
          <c:extLst>
            <c:ext xmlns:c16="http://schemas.microsoft.com/office/drawing/2014/chart" uri="{C3380CC4-5D6E-409C-BE32-E72D297353CC}">
              <c16:uniqueId val="{00000014-200F-4517-B89B-9EC686105671}"/>
            </c:ext>
          </c:extLst>
        </c:ser>
        <c:dLbls>
          <c:showLegendKey val="0"/>
          <c:showVal val="0"/>
          <c:showCatName val="0"/>
          <c:showSerName val="0"/>
          <c:showPercent val="0"/>
          <c:showBubbleSize val="0"/>
        </c:dLbls>
        <c:axId val="358412287"/>
        <c:axId val="358416031"/>
      </c:scatterChart>
      <c:valAx>
        <c:axId val="358412287"/>
        <c:scaling>
          <c:orientation val="minMax"/>
          <c:max val="205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ax val="0.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WAH_byCounty!$CP$4</c:f>
          <c:strCache>
            <c:ptCount val="1"/>
            <c:pt idx="0">
              <c:v>Work-At-Home Share of Total Workers</c:v>
            </c:pt>
          </c:strCache>
        </c:strRef>
      </c:tx>
      <c:layout>
        <c:manualLayout>
          <c:xMode val="edge"/>
          <c:yMode val="edge"/>
          <c:x val="0.3807823883373595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WAH_byCounty!$CJ$7</c:f>
              <c:strCache>
                <c:ptCount val="1"/>
                <c:pt idx="0">
                  <c:v>Wasatch Front</c:v>
                </c:pt>
              </c:strCache>
            </c:strRef>
          </c:tx>
          <c:spPr>
            <a:ln w="38100" cap="rnd">
              <a:solidFill>
                <a:srgbClr val="C00000">
                  <a:alpha val="80000"/>
                </a:srgbClr>
              </a:solidFill>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WAH_byCounty!$CK$7:$CS$7</c:f>
              <c:numCache>
                <c:formatCode>0.0%</c:formatCode>
                <c:ptCount val="9"/>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numCache>
            </c:numRef>
          </c:val>
          <c:smooth val="0"/>
          <c:extLst>
            <c:ext xmlns:c16="http://schemas.microsoft.com/office/drawing/2014/chart" uri="{C3380CC4-5D6E-409C-BE32-E72D297353CC}">
              <c16:uniqueId val="{00000000-A8E7-409A-9E8B-9E6ECB6553E6}"/>
            </c:ext>
          </c:extLst>
        </c:ser>
        <c:ser>
          <c:idx val="1"/>
          <c:order val="1"/>
          <c:tx>
            <c:strRef>
              <c:f>WAH_byCounty!$CJ$8</c:f>
              <c:strCache>
                <c:ptCount val="1"/>
                <c:pt idx="0">
                  <c:v>Weber</c:v>
                </c:pt>
              </c:strCache>
            </c:strRef>
          </c:tx>
          <c:spPr>
            <a:ln w="12700" cap="rnd">
              <a:solidFill>
                <a:srgbClr val="92D050">
                  <a:alpha val="80000"/>
                </a:srgbClr>
              </a:solidFill>
              <a:prstDash val="solid"/>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WAH_byCounty!$CK$8:$CS$8</c:f>
              <c:numCache>
                <c:formatCode>0.0%</c:formatCode>
                <c:ptCount val="9"/>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numCache>
            </c:numRef>
          </c:val>
          <c:smooth val="0"/>
          <c:extLst>
            <c:ext xmlns:c16="http://schemas.microsoft.com/office/drawing/2014/chart" uri="{C3380CC4-5D6E-409C-BE32-E72D297353CC}">
              <c16:uniqueId val="{00000001-A8E7-409A-9E8B-9E6ECB6553E6}"/>
            </c:ext>
          </c:extLst>
        </c:ser>
        <c:ser>
          <c:idx val="2"/>
          <c:order val="2"/>
          <c:tx>
            <c:strRef>
              <c:f>WAH_byCounty!$CJ$9</c:f>
              <c:strCache>
                <c:ptCount val="1"/>
                <c:pt idx="0">
                  <c:v>Davis</c:v>
                </c:pt>
              </c:strCache>
            </c:strRef>
          </c:tx>
          <c:spPr>
            <a:ln w="12700" cap="rnd">
              <a:solidFill>
                <a:srgbClr val="FFC000">
                  <a:alpha val="80000"/>
                </a:srgbClr>
              </a:solidFill>
              <a:prstDash val="solid"/>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WAH_byCounty!$CK$9:$CS$9</c:f>
              <c:numCache>
                <c:formatCode>0.0%</c:formatCode>
                <c:ptCount val="9"/>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numCache>
            </c:numRef>
          </c:val>
          <c:smooth val="0"/>
          <c:extLst>
            <c:ext xmlns:c16="http://schemas.microsoft.com/office/drawing/2014/chart" uri="{C3380CC4-5D6E-409C-BE32-E72D297353CC}">
              <c16:uniqueId val="{00000002-A8E7-409A-9E8B-9E6ECB6553E6}"/>
            </c:ext>
          </c:extLst>
        </c:ser>
        <c:ser>
          <c:idx val="3"/>
          <c:order val="3"/>
          <c:tx>
            <c:strRef>
              <c:f>WAH_byCounty!$CJ$10</c:f>
              <c:strCache>
                <c:ptCount val="1"/>
                <c:pt idx="0">
                  <c:v>Salt Lake</c:v>
                </c:pt>
              </c:strCache>
            </c:strRef>
          </c:tx>
          <c:spPr>
            <a:ln w="12700" cap="rnd">
              <a:solidFill>
                <a:srgbClr val="FF0000">
                  <a:alpha val="80000"/>
                </a:srgbClr>
              </a:solidFill>
              <a:prstDash val="solid"/>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WAH_byCounty!$CK$10:$CS$10</c:f>
              <c:numCache>
                <c:formatCode>0.0%</c:formatCode>
                <c:ptCount val="9"/>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numCache>
            </c:numRef>
          </c:val>
          <c:smooth val="0"/>
          <c:extLst>
            <c:ext xmlns:c16="http://schemas.microsoft.com/office/drawing/2014/chart" uri="{C3380CC4-5D6E-409C-BE32-E72D297353CC}">
              <c16:uniqueId val="{00000003-A8E7-409A-9E8B-9E6ECB6553E6}"/>
            </c:ext>
          </c:extLst>
        </c:ser>
        <c:ser>
          <c:idx val="4"/>
          <c:order val="4"/>
          <c:tx>
            <c:strRef>
              <c:f>WAH_byCounty!$CJ$11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WAH_byCounty!$CK$11:$CS$11</c:f>
              <c:numCache>
                <c:formatCode>0.0%</c:formatCode>
                <c:ptCount val="9"/>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numCache>
            </c:numRef>
          </c:val>
          <c:smooth val="0"/>
          <c:extLst>
            <c:ext xmlns:c16="http://schemas.microsoft.com/office/drawing/2014/chart" uri="{C3380CC4-5D6E-409C-BE32-E72D297353CC}">
              <c16:uniqueId val="{00000004-A8E7-409A-9E8B-9E6ECB6553E6}"/>
            </c:ext>
          </c:extLst>
        </c:ser>
        <c:ser>
          <c:idx val="5"/>
          <c:order val="5"/>
          <c:tx>
            <c:strRef>
              <c:f>WAH_byCounty!$CJ$12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WAH_byCounty!$CK$12:$CS$12</c:f>
              <c:numCache>
                <c:formatCode>0.0%</c:formatCode>
                <c:ptCount val="9"/>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numCache>
            </c:numRef>
          </c:val>
          <c:smooth val="0"/>
          <c:extLst>
            <c:ext xmlns:c16="http://schemas.microsoft.com/office/drawing/2014/chart" uri="{C3380CC4-5D6E-409C-BE32-E72D297353CC}">
              <c16:uniqueId val="{00000005-A8E7-409A-9E8B-9E6ECB6553E6}"/>
            </c:ext>
          </c:extLst>
        </c:ser>
        <c:ser>
          <c:idx val="6"/>
          <c:order val="6"/>
          <c:tx>
            <c:strRef>
              <c:f>WAH_byCounty!$CJ$13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WAH_byCounty!$CK$13:$CS$13</c:f>
              <c:numCache>
                <c:formatCode>0.0%</c:formatCode>
                <c:ptCount val="9"/>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numCache>
            </c:numRef>
          </c:val>
          <c:smooth val="0"/>
          <c:extLst>
            <c:ext xmlns:c16="http://schemas.microsoft.com/office/drawing/2014/chart" uri="{C3380CC4-5D6E-409C-BE32-E72D297353CC}">
              <c16:uniqueId val="{00000006-A8E7-409A-9E8B-9E6ECB6553E6}"/>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8.0000000000000016E-2"/>
          <c:min val="2.0000000000000004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WAH_byCounty!$DC$4</c:f>
          <c:strCache>
            <c:ptCount val="1"/>
            <c:pt idx="0">
              <c:v>Telecommute Worker Share of Total Workers</c:v>
            </c:pt>
          </c:strCache>
        </c:strRef>
      </c:tx>
      <c:layout>
        <c:manualLayout>
          <c:xMode val="edge"/>
          <c:yMode val="edge"/>
          <c:x val="0.356708317773648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WAH_byCounty!$CW$7</c:f>
              <c:strCache>
                <c:ptCount val="1"/>
                <c:pt idx="0">
                  <c:v>Wasatch Front</c:v>
                </c:pt>
              </c:strCache>
            </c:strRef>
          </c:tx>
          <c:spPr>
            <a:ln w="38100" cap="rnd">
              <a:solidFill>
                <a:srgbClr val="C00000">
                  <a:alpha val="80000"/>
                </a:srgbClr>
              </a:solidFill>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WAH_byCounty!$CX$7:$DG$7</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smooth val="0"/>
          <c:extLst>
            <c:ext xmlns:c16="http://schemas.microsoft.com/office/drawing/2014/chart" uri="{C3380CC4-5D6E-409C-BE32-E72D297353CC}">
              <c16:uniqueId val="{00000000-F61D-4160-8E69-E59E85E13FA3}"/>
            </c:ext>
          </c:extLst>
        </c:ser>
        <c:ser>
          <c:idx val="1"/>
          <c:order val="1"/>
          <c:tx>
            <c:strRef>
              <c:f>WAH_byCounty!$CW$8</c:f>
              <c:strCache>
                <c:ptCount val="1"/>
                <c:pt idx="0">
                  <c:v>Weber</c:v>
                </c:pt>
              </c:strCache>
            </c:strRef>
          </c:tx>
          <c:spPr>
            <a:ln w="12700" cap="rnd">
              <a:solidFill>
                <a:srgbClr val="92D05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WAH_byCounty!$CX$8:$DG$8</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smooth val="0"/>
          <c:extLst>
            <c:ext xmlns:c16="http://schemas.microsoft.com/office/drawing/2014/chart" uri="{C3380CC4-5D6E-409C-BE32-E72D297353CC}">
              <c16:uniqueId val="{00000001-F61D-4160-8E69-E59E85E13FA3}"/>
            </c:ext>
          </c:extLst>
        </c:ser>
        <c:ser>
          <c:idx val="2"/>
          <c:order val="2"/>
          <c:tx>
            <c:strRef>
              <c:f>WAH_byCounty!$CW$9</c:f>
              <c:strCache>
                <c:ptCount val="1"/>
                <c:pt idx="0">
                  <c:v>Davis</c:v>
                </c:pt>
              </c:strCache>
            </c:strRef>
          </c:tx>
          <c:spPr>
            <a:ln w="12700" cap="rnd">
              <a:solidFill>
                <a:srgbClr val="FFC00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WAH_byCounty!$CX$9:$DG$9</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smooth val="0"/>
          <c:extLst>
            <c:ext xmlns:c16="http://schemas.microsoft.com/office/drawing/2014/chart" uri="{C3380CC4-5D6E-409C-BE32-E72D297353CC}">
              <c16:uniqueId val="{00000002-F61D-4160-8E69-E59E85E13FA3}"/>
            </c:ext>
          </c:extLst>
        </c:ser>
        <c:ser>
          <c:idx val="3"/>
          <c:order val="3"/>
          <c:tx>
            <c:strRef>
              <c:f>WAH_byCounty!$CW$10</c:f>
              <c:strCache>
                <c:ptCount val="1"/>
                <c:pt idx="0">
                  <c:v>Salt Lake</c:v>
                </c:pt>
              </c:strCache>
            </c:strRef>
          </c:tx>
          <c:spPr>
            <a:ln w="12700" cap="rnd">
              <a:solidFill>
                <a:srgbClr val="FF000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WAH_byCounty!$CX$10:$DG$10</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smooth val="0"/>
          <c:extLst>
            <c:ext xmlns:c16="http://schemas.microsoft.com/office/drawing/2014/chart" uri="{C3380CC4-5D6E-409C-BE32-E72D297353CC}">
              <c16:uniqueId val="{00000003-F61D-4160-8E69-E59E85E13FA3}"/>
            </c:ext>
          </c:extLst>
        </c:ser>
        <c:ser>
          <c:idx val="4"/>
          <c:order val="4"/>
          <c:tx>
            <c:strRef>
              <c:f>WAH_byCounty!$CW$11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WAH_byCounty!$CX$11:$DG$11</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smooth val="0"/>
          <c:extLst>
            <c:ext xmlns:c16="http://schemas.microsoft.com/office/drawing/2014/chart" uri="{C3380CC4-5D6E-409C-BE32-E72D297353CC}">
              <c16:uniqueId val="{00000004-F61D-4160-8E69-E59E85E13FA3}"/>
            </c:ext>
          </c:extLst>
        </c:ser>
        <c:ser>
          <c:idx val="5"/>
          <c:order val="5"/>
          <c:tx>
            <c:strRef>
              <c:f>WAH_byCounty!$CW$12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WAH_byCounty!$CX$12:$DG$12</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smooth val="0"/>
          <c:extLst>
            <c:ext xmlns:c16="http://schemas.microsoft.com/office/drawing/2014/chart" uri="{C3380CC4-5D6E-409C-BE32-E72D297353CC}">
              <c16:uniqueId val="{00000005-F61D-4160-8E69-E59E85E13FA3}"/>
            </c:ext>
          </c:extLst>
        </c:ser>
        <c:ser>
          <c:idx val="6"/>
          <c:order val="6"/>
          <c:tx>
            <c:strRef>
              <c:f>WAH_byCounty!$CW$13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WAH_byCounty!$CX$13:$DG$13</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smooth val="0"/>
          <c:extLst>
            <c:ext xmlns:c16="http://schemas.microsoft.com/office/drawing/2014/chart" uri="{C3380CC4-5D6E-409C-BE32-E72D297353CC}">
              <c16:uniqueId val="{00000006-F61D-4160-8E69-E59E85E13FA3}"/>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4.5000000000000012E-2"/>
          <c:min val="1.0000000000000002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WAH_byCounty!$DP$4</c:f>
          <c:strCache>
            <c:ptCount val="1"/>
            <c:pt idx="0">
              <c:v>Home-Based-Job Worker Share of Total Workers</c:v>
            </c:pt>
          </c:strCache>
        </c:strRef>
      </c:tx>
      <c:layout>
        <c:manualLayout>
          <c:xMode val="edge"/>
          <c:yMode val="edge"/>
          <c:x val="0.3381898019554095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WAH_byCounty!$DJ$7</c:f>
              <c:strCache>
                <c:ptCount val="1"/>
                <c:pt idx="0">
                  <c:v>Wasatch Front</c:v>
                </c:pt>
              </c:strCache>
            </c:strRef>
          </c:tx>
          <c:spPr>
            <a:ln w="38100" cap="rnd">
              <a:solidFill>
                <a:srgbClr val="C00000">
                  <a:alpha val="80000"/>
                </a:srgbClr>
              </a:solidFill>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WAH_byCounty!$DK$7:$DT$7</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smooth val="0"/>
          <c:extLst>
            <c:ext xmlns:c16="http://schemas.microsoft.com/office/drawing/2014/chart" uri="{C3380CC4-5D6E-409C-BE32-E72D297353CC}">
              <c16:uniqueId val="{00000000-6DD6-4975-8E4B-5CC04A4C2E16}"/>
            </c:ext>
          </c:extLst>
        </c:ser>
        <c:ser>
          <c:idx val="1"/>
          <c:order val="1"/>
          <c:tx>
            <c:strRef>
              <c:f>WAH_byCounty!$DJ$8</c:f>
              <c:strCache>
                <c:ptCount val="1"/>
                <c:pt idx="0">
                  <c:v>Weber</c:v>
                </c:pt>
              </c:strCache>
            </c:strRef>
          </c:tx>
          <c:spPr>
            <a:ln w="12700" cap="rnd">
              <a:solidFill>
                <a:srgbClr val="92D05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WAH_byCounty!$DK$8:$DT$8</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smooth val="0"/>
          <c:extLst>
            <c:ext xmlns:c16="http://schemas.microsoft.com/office/drawing/2014/chart" uri="{C3380CC4-5D6E-409C-BE32-E72D297353CC}">
              <c16:uniqueId val="{00000001-6DD6-4975-8E4B-5CC04A4C2E16}"/>
            </c:ext>
          </c:extLst>
        </c:ser>
        <c:ser>
          <c:idx val="2"/>
          <c:order val="2"/>
          <c:tx>
            <c:strRef>
              <c:f>WAH_byCounty!$DJ$9</c:f>
              <c:strCache>
                <c:ptCount val="1"/>
                <c:pt idx="0">
                  <c:v>Davis</c:v>
                </c:pt>
              </c:strCache>
            </c:strRef>
          </c:tx>
          <c:spPr>
            <a:ln w="12700" cap="rnd">
              <a:solidFill>
                <a:srgbClr val="FFC00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WAH_byCounty!$DK$9:$DT$9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smooth val="0"/>
          <c:extLst>
            <c:ext xmlns:c16="http://schemas.microsoft.com/office/drawing/2014/chart" uri="{C3380CC4-5D6E-409C-BE32-E72D297353CC}">
              <c16:uniqueId val="{00000002-6DD6-4975-8E4B-5CC04A4C2E16}"/>
            </c:ext>
          </c:extLst>
        </c:ser>
        <c:ser>
          <c:idx val="3"/>
          <c:order val="3"/>
          <c:tx>
            <c:strRef>
              <c:f>WAH_byCounty!$DJ$10</c:f>
              <c:strCache>
                <c:ptCount val="1"/>
                <c:pt idx="0">
                  <c:v>Salt Lake</c:v>
                </c:pt>
              </c:strCache>
            </c:strRef>
          </c:tx>
          <c:spPr>
            <a:ln w="12700" cap="rnd">
              <a:solidFill>
                <a:srgbClr val="FF000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WAH_byCounty!$DK$10:$DT$10</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smooth val="0"/>
          <c:extLst>
            <c:ext xmlns:c16="http://schemas.microsoft.com/office/drawing/2014/chart" uri="{C3380CC4-5D6E-409C-BE32-E72D297353CC}">
              <c16:uniqueId val="{00000003-6DD6-4975-8E4B-5CC04A4C2E16}"/>
            </c:ext>
          </c:extLst>
        </c:ser>
        <c:ser>
          <c:idx val="4"/>
          <c:order val="4"/>
          <c:tx>
            <c:strRef>
              <c:f>WAH_byCounty!$DJ$11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WAH_byCounty!$DK$11:$DT$11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smooth val="0"/>
          <c:extLst>
            <c:ext xmlns:c16="http://schemas.microsoft.com/office/drawing/2014/chart" uri="{C3380CC4-5D6E-409C-BE32-E72D297353CC}">
              <c16:uniqueId val="{00000004-6DD6-4975-8E4B-5CC04A4C2E16}"/>
            </c:ext>
          </c:extLst>
        </c:ser>
        <c:ser>
          <c:idx val="5"/>
          <c:order val="5"/>
          <c:tx>
            <c:strRef>
              <c:f>WAH_byCounty!$DJ$12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WAH_byCounty!$DK$12:$DT$12</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smooth val="0"/>
          <c:extLst>
            <c:ext xmlns:c16="http://schemas.microsoft.com/office/drawing/2014/chart" uri="{C3380CC4-5D6E-409C-BE32-E72D297353CC}">
              <c16:uniqueId val="{00000005-6DD6-4975-8E4B-5CC04A4C2E16}"/>
            </c:ext>
          </c:extLst>
        </c:ser>
        <c:ser>
          <c:idx val="6"/>
          <c:order val="6"/>
          <c:tx>
            <c:strRef>
              <c:f>WAH_byCounty!$DJ$13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WAH_byCounty!$DK$13:$DT$13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smooth val="0"/>
          <c:extLst>
            <c:ext xmlns:c16="http://schemas.microsoft.com/office/drawing/2014/chart" uri="{C3380CC4-5D6E-409C-BE32-E72D297353CC}">
              <c16:uniqueId val="{00000006-6DD6-4975-8E4B-5CC04A4C2E16}"/>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4.5000000000000012E-2"/>
          <c:min val="1.0000000000000002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WAH_byCounty!$AY$5</c:f>
          <c:strCache>
            <c:ptCount val="1"/>
            <c:pt idx="0">
              <c:v>Wasatch Front</c:v>
            </c:pt>
          </c:strCache>
        </c:strRef>
      </c:tx>
      <c:layout>
        <c:manualLayout>
          <c:xMode val="edge"/>
          <c:yMode val="edge"/>
          <c:x val="0.533263779527559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WAH_byCounty!$AY$7</c:f>
              <c:strCache>
                <c:ptCount val="1"/>
                <c:pt idx="0">
                  <c:v>Home-Based-Job</c:v>
                </c:pt>
              </c:strCache>
            </c:strRef>
          </c:tx>
          <c:spPr>
            <a:solidFill>
              <a:schemeClr val="accent5">
                <a:lumMod val="40000"/>
                <a:lumOff val="60000"/>
                <a:alpha val="60000"/>
              </a:schemeClr>
            </a:solidFill>
            <a:ln>
              <a:noFill/>
            </a:ln>
            <a:effectLst/>
          </c:spP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WAH_byCounty!$AZ$7:$BI$7</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extLst>
            <c:ext xmlns:c16="http://schemas.microsoft.com/office/drawing/2014/chart" uri="{C3380CC4-5D6E-409C-BE32-E72D297353CC}">
              <c16:uniqueId val="{00000000-9672-48E7-9A83-A3857CDA2FF9}"/>
            </c:ext>
          </c:extLst>
        </c:ser>
        <c:ser>
          <c:idx val="1"/>
          <c:order val="1"/>
          <c:tx>
            <c:strRef>
              <c:f>WAH_byCounty!$AY$8</c:f>
              <c:strCache>
                <c:ptCount val="1"/>
                <c:pt idx="0">
                  <c:v>Telecommute</c:v>
                </c:pt>
              </c:strCache>
            </c:strRef>
          </c:tx>
          <c:spPr>
            <a:solidFill>
              <a:schemeClr val="accent5">
                <a:lumMod val="50000"/>
                <a:alpha val="60000"/>
              </a:schemeClr>
            </a:solidFill>
            <a:ln>
              <a:noFill/>
            </a:ln>
            <a:effectLst/>
          </c:spP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WAH_byCounty!$AZ$8:$BI$8</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extLst>
            <c:ext xmlns:c16="http://schemas.microsoft.com/office/drawing/2014/chart" uri="{C3380CC4-5D6E-409C-BE32-E72D297353CC}">
              <c16:uniqueId val="{00000001-9672-48E7-9A83-A3857CDA2FF9}"/>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WAH_byCounty!$AZ$9:$BI$9</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2-9672-48E7-9A83-A3857CDA2FF9}"/>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64EF-45B6-B9EE-D6CC55216BE7}"/>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64EF-45B6-B9EE-D6CC55216BE7}"/>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64EF-45B6-B9EE-D6CC55216BE7}"/>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375F-420F-A0A6-E88E71F82EC1}"/>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375F-420F-A0A6-E88E71F82EC1}"/>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375F-420F-A0A6-E88E71F82EC1}"/>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WAH_byCounty!$AY$11</c:f>
          <c:strCache>
            <c:ptCount val="1"/>
            <c:pt idx="0">
              <c:v>Weber</c:v>
            </c:pt>
          </c:strCache>
        </c:strRef>
      </c:tx>
      <c:layout>
        <c:manualLayout>
          <c:xMode val="edge"/>
          <c:yMode val="edge"/>
          <c:x val="0.5740045202682998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WAH_byCounty!$AY$13</c:f>
              <c:strCache>
                <c:ptCount val="1"/>
                <c:pt idx="0">
                  <c:v>Home-Based-Job</c:v>
                </c:pt>
              </c:strCache>
            </c:strRef>
          </c:tx>
          <c:spPr>
            <a:solidFill>
              <a:schemeClr val="accent5">
                <a:lumMod val="40000"/>
                <a:lumOff val="6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WAH_byCounty!$AZ$13:$BI$13</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extLst>
            <c:ext xmlns:c16="http://schemas.microsoft.com/office/drawing/2014/chart" uri="{C3380CC4-5D6E-409C-BE32-E72D297353CC}">
              <c16:uniqueId val="{00000000-9470-492D-BD04-627F4B0AC985}"/>
            </c:ext>
          </c:extLst>
        </c:ser>
        <c:ser>
          <c:idx val="1"/>
          <c:order val="1"/>
          <c:tx>
            <c:strRef>
              <c:f>WAH_byCounty!$AY$14</c:f>
              <c:strCache>
                <c:ptCount val="1"/>
                <c:pt idx="0">
                  <c:v>Telecommute</c:v>
                </c:pt>
              </c:strCache>
            </c:strRef>
          </c:tx>
          <c:spPr>
            <a:solidFill>
              <a:schemeClr val="accent5">
                <a:lumMod val="5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WAH_byCounty!$AZ$14:$BI$14</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extLst>
            <c:ext xmlns:c16="http://schemas.microsoft.com/office/drawing/2014/chart" uri="{C3380CC4-5D6E-409C-BE32-E72D297353CC}">
              <c16:uniqueId val="{00000001-9470-492D-BD04-627F4B0AC985}"/>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WAH_byCounty!$AY$15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WAH_byCounty!$AZ$15:$BI$15</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2-9470-492D-BD04-627F4B0AC985}"/>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WAH_byCounty!$AY$17</c:f>
          <c:strCache>
            <c:ptCount val="1"/>
            <c:pt idx="0">
              <c:v>Davis</c:v>
            </c:pt>
          </c:strCache>
        </c:strRef>
      </c:tx>
      <c:layout>
        <c:manualLayout>
          <c:xMode val="edge"/>
          <c:yMode val="edge"/>
          <c:x val="0.583263779527559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WAH_byCounty!$AY$19</c:f>
              <c:strCache>
                <c:ptCount val="1"/>
                <c:pt idx="0">
                  <c:v>Home-Based-Job</c:v>
                </c:pt>
              </c:strCache>
            </c:strRef>
          </c:tx>
          <c:spPr>
            <a:solidFill>
              <a:schemeClr val="accent5">
                <a:lumMod val="40000"/>
                <a:lumOff val="6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WAH_byCounty!$AZ$19:$BI$19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extLst>
            <c:ext xmlns:c16="http://schemas.microsoft.com/office/drawing/2014/chart" uri="{C3380CC4-5D6E-409C-BE32-E72D297353CC}">
              <c16:uniqueId val="{00000000-43FD-47B7-A23F-1F0FBD62080D}"/>
            </c:ext>
          </c:extLst>
        </c:ser>
        <c:ser>
          <c:idx val="1"/>
          <c:order val="1"/>
          <c:tx>
            <c:strRef>
              <c:f>WAH_byCounty!$AY$20</c:f>
              <c:strCache>
                <c:ptCount val="1"/>
                <c:pt idx="0">
                  <c:v>Telecommute</c:v>
                </c:pt>
              </c:strCache>
            </c:strRef>
          </c:tx>
          <c:spPr>
            <a:solidFill>
              <a:schemeClr val="accent5">
                <a:lumMod val="5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WAH_byCounty!$AZ$20:$BI$20</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extLst>
            <c:ext xmlns:c16="http://schemas.microsoft.com/office/drawing/2014/chart" uri="{C3380CC4-5D6E-409C-BE32-E72D297353CC}">
              <c16:uniqueId val="{00000001-43FD-47B7-A23F-1F0FBD62080D}"/>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WAH_byCounty!$AY$21</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WAH_byCounty!$AZ$21:$BI$21</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43FD-47B7-A23F-1F0FBD62080D}"/>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C049-466D-A83D-2E80EED27917}"/>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C049-466D-A83D-2E80EED27917}"/>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C049-466D-A83D-2E80EED27917}"/>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BBF4-4487-8894-20ECEEF8EA4C}"/>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BBF4-4487-8894-20ECEEF8EA4C}"/>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BBF4-4487-8894-20ECEEF8EA4C}"/>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72FD-468F-B370-E38CD16E8A90}"/>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72FD-468F-B370-E38CD16E8A90}"/>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72FD-468F-B370-E38CD16E8A90}"/>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0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6ABF-48F6-8695-BF135E10E7E8}"/>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6ABF-48F6-8695-BF135E10E7E8}"/>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6ABF-48F6-8695-BF135E10E7E8}"/>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0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WAH_byCounty!$AY$35</c:f>
          <c:strCache>
            <c:ptCount val="1"/>
            <c:pt idx="0">
              <c:v>State of Utah</c:v>
            </c:pt>
          </c:strCache>
        </c:strRef>
      </c:tx>
      <c:layout>
        <c:manualLayout>
          <c:xMode val="edge"/>
          <c:yMode val="edge"/>
          <c:x val="0.5462267424905220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WAH_byCounty!$AY$37</c:f>
              <c:strCache>
                <c:ptCount val="1"/>
                <c:pt idx="0">
                  <c:v>Home-Based-Job</c:v>
                </c:pt>
              </c:strCache>
            </c:strRef>
          </c:tx>
          <c:spPr>
            <a:solidFill>
              <a:schemeClr val="accent5">
                <a:lumMod val="40000"/>
                <a:lumOff val="6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WAH_byCounty!$AZ$37:$BI$37</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extLst>
            <c:ext xmlns:c16="http://schemas.microsoft.com/office/drawing/2014/chart" uri="{C3380CC4-5D6E-409C-BE32-E72D297353CC}">
              <c16:uniqueId val="{00000000-AC1F-4CBC-B081-B906F0514146}"/>
            </c:ext>
          </c:extLst>
        </c:ser>
        <c:ser>
          <c:idx val="1"/>
          <c:order val="1"/>
          <c:tx>
            <c:strRef>
              <c:f>WAH_byCounty!$AY$38</c:f>
              <c:strCache>
                <c:ptCount val="1"/>
                <c:pt idx="0">
                  <c:v>Telecommute</c:v>
                </c:pt>
              </c:strCache>
            </c:strRef>
          </c:tx>
          <c:spPr>
            <a:solidFill>
              <a:schemeClr val="accent5">
                <a:lumMod val="5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WAH_byCounty!$AZ$38:$BI$38</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extLst>
            <c:ext xmlns:c16="http://schemas.microsoft.com/office/drawing/2014/chart" uri="{C3380CC4-5D6E-409C-BE32-E72D297353CC}">
              <c16:uniqueId val="{00000001-AC1F-4CBC-B081-B906F0514146}"/>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WAH_byCounty!$AZ$39:$BI$39</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2-AC1F-4CBC-B081-B906F0514146}"/>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WAH_byCounty!$AY$41</c:f>
          <c:strCache>
            <c:ptCount val="1"/>
            <c:pt idx="0">
              <c:v>United States</c:v>
            </c:pt>
          </c:strCache>
        </c:strRef>
      </c:tx>
      <c:layout>
        <c:manualLayout>
          <c:xMode val="edge"/>
          <c:yMode val="edge"/>
          <c:x val="0.5388193350831146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WAH_byCounty!$AY$43</c:f>
              <c:strCache>
                <c:ptCount val="1"/>
                <c:pt idx="0">
                  <c:v>Home-Based-Job</c:v>
                </c:pt>
              </c:strCache>
            </c:strRef>
          </c:tx>
          <c:spPr>
            <a:solidFill>
              <a:schemeClr val="accent5">
                <a:lumMod val="40000"/>
                <a:lumOff val="6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WAH_byCounty!$AZ$43:$BI$43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extLst>
            <c:ext xmlns:c16="http://schemas.microsoft.com/office/drawing/2014/chart" uri="{C3380CC4-5D6E-409C-BE32-E72D297353CC}">
              <c16:uniqueId val="{00000000-23BD-4AF8-81FA-91C049E9F622}"/>
            </c:ext>
          </c:extLst>
        </c:ser>
        <c:ser>
          <c:idx val="1"/>
          <c:order val="1"/>
          <c:tx>
            <c:strRef>
              <c:f>WAH_byCounty!$AY$44</c:f>
              <c:strCache>
                <c:ptCount val="1"/>
                <c:pt idx="0">
                  <c:v>Telecommute</c:v>
                </c:pt>
              </c:strCache>
            </c:strRef>
          </c:tx>
          <c:spPr>
            <a:solidFill>
              <a:schemeClr val="accent5">
                <a:lumMod val="5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WAH_byCounty!$AZ$44:$BI$44</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extLst>
            <c:ext xmlns:c16="http://schemas.microsoft.com/office/drawing/2014/chart" uri="{C3380CC4-5D6E-409C-BE32-E72D297353CC}">
              <c16:uniqueId val="{00000001-23BD-4AF8-81FA-91C049E9F62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WAH_byCounty!$AY$45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WAH_byCounty!$AZ$45:$BI$45</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2-23BD-4AF8-81FA-91C049E9F62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WAH_byCounty!$AY$11</c:f>
          <c:strCache>
            <c:ptCount val="1"/>
            <c:pt idx="0">
              <c:v>Weber</c:v>
            </c:pt>
          </c:strCache>
        </c:strRef>
      </c:tx>
      <c:layout>
        <c:manualLayout>
          <c:xMode val="edge"/>
          <c:yMode val="edge"/>
          <c:x val="0.5773474030716807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WAH_byCounty!$AY$13</c:f>
              <c:strCache>
                <c:ptCount val="1"/>
                <c:pt idx="0">
                  <c:v>Home-Based-Job</c:v>
                </c:pt>
              </c:strCache>
            </c:strRef>
          </c:tx>
          <c:spPr>
            <a:solidFill>
              <a:schemeClr val="accent5">
                <a:lumMod val="40000"/>
                <a:lumOff val="6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WAH_byCounty!$AZ$13:$BI$13</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extLst>
            <c:ext xmlns:c16="http://schemas.microsoft.com/office/drawing/2014/chart" uri="{C3380CC4-5D6E-409C-BE32-E72D297353CC}">
              <c16:uniqueId val="{00000000-47A5-40A5-AC9E-986E6588F915}"/>
            </c:ext>
          </c:extLst>
        </c:ser>
        <c:ser>
          <c:idx val="1"/>
          <c:order val="1"/>
          <c:tx>
            <c:strRef>
              <c:f>WAH_byCounty!$AY$14</c:f>
              <c:strCache>
                <c:ptCount val="1"/>
                <c:pt idx="0">
                  <c:v>Telecommute</c:v>
                </c:pt>
              </c:strCache>
            </c:strRef>
          </c:tx>
          <c:spPr>
            <a:solidFill>
              <a:schemeClr val="accent5">
                <a:lumMod val="5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WAH_byCounty!$AZ$14:$BI$14</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extLst>
            <c:ext xmlns:c16="http://schemas.microsoft.com/office/drawing/2014/chart" uri="{C3380CC4-5D6E-409C-BE32-E72D297353CC}">
              <c16:uniqueId val="{00000001-47A5-40A5-AC9E-986E6588F915}"/>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WAH_byCounty!$AY$15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WAH_byCounty!$AZ$15:$BI$15</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2-47A5-40A5-AC9E-986E6588F915}"/>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WAH_byCounty!$AY$17</c:f>
          <c:strCache>
            <c:ptCount val="1"/>
            <c:pt idx="0">
              <c:v>Davis</c:v>
            </c:pt>
          </c:strCache>
        </c:strRef>
      </c:tx>
      <c:layout>
        <c:manualLayout>
          <c:xMode val="edge"/>
          <c:yMode val="edge"/>
          <c:x val="0.57734740307168075"/>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WAH_byCounty!$AY$19</c:f>
              <c:strCache>
                <c:ptCount val="1"/>
                <c:pt idx="0">
                  <c:v>Home-Based-Job</c:v>
                </c:pt>
              </c:strCache>
            </c:strRef>
          </c:tx>
          <c:spPr>
            <a:solidFill>
              <a:schemeClr val="accent5">
                <a:lumMod val="40000"/>
                <a:lumOff val="6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WAH_byCounty!$AZ$19:$BI$19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extLst>
            <c:ext xmlns:c16="http://schemas.microsoft.com/office/drawing/2014/chart" uri="{C3380CC4-5D6E-409C-BE32-E72D297353CC}">
              <c16:uniqueId val="{00000000-45FB-48E7-8ED7-EFDE705C4C82}"/>
            </c:ext>
          </c:extLst>
        </c:ser>
        <c:ser>
          <c:idx val="1"/>
          <c:order val="1"/>
          <c:tx>
            <c:strRef>
              <c:f>WAH_byCounty!$AY$20</c:f>
              <c:strCache>
                <c:ptCount val="1"/>
                <c:pt idx="0">
                  <c:v>Telecommute</c:v>
                </c:pt>
              </c:strCache>
            </c:strRef>
          </c:tx>
          <c:spPr>
            <a:solidFill>
              <a:schemeClr val="accent5">
                <a:lumMod val="5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WAH_byCounty!$AZ$20:$BI$20</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extLst>
            <c:ext xmlns:c16="http://schemas.microsoft.com/office/drawing/2014/chart" uri="{C3380CC4-5D6E-409C-BE32-E72D297353CC}">
              <c16:uniqueId val="{00000001-45FB-48E7-8ED7-EFDE705C4C8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WAH_byCounty!$AY$21</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WAH_byCounty!$AZ$21:$BI$21</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45FB-48E7-8ED7-EFDE705C4C8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WAH_byCounty!$AY$35</c:f>
          <c:strCache>
            <c:ptCount val="1"/>
            <c:pt idx="0">
              <c:v>State of Utah</c:v>
            </c:pt>
          </c:strCache>
        </c:strRef>
      </c:tx>
      <c:layout>
        <c:manualLayout>
          <c:xMode val="edge"/>
          <c:yMode val="edge"/>
          <c:x val="0.54285383699756884"/>
          <c:y val="3.39506172839506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WAH_byCounty!$AY$37</c:f>
              <c:strCache>
                <c:ptCount val="1"/>
                <c:pt idx="0">
                  <c:v>Home-Based-Job</c:v>
                </c:pt>
              </c:strCache>
            </c:strRef>
          </c:tx>
          <c:spPr>
            <a:solidFill>
              <a:schemeClr val="accent5">
                <a:lumMod val="40000"/>
                <a:lumOff val="6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WAH_byCounty!$AZ$37:$BI$37</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extLst>
            <c:ext xmlns:c16="http://schemas.microsoft.com/office/drawing/2014/chart" uri="{C3380CC4-5D6E-409C-BE32-E72D297353CC}">
              <c16:uniqueId val="{00000000-4955-4C97-9766-99DDF91B74AD}"/>
            </c:ext>
          </c:extLst>
        </c:ser>
        <c:ser>
          <c:idx val="1"/>
          <c:order val="1"/>
          <c:tx>
            <c:strRef>
              <c:f>WAH_byCounty!$AY$38</c:f>
              <c:strCache>
                <c:ptCount val="1"/>
                <c:pt idx="0">
                  <c:v>Telecommute</c:v>
                </c:pt>
              </c:strCache>
            </c:strRef>
          </c:tx>
          <c:spPr>
            <a:solidFill>
              <a:schemeClr val="accent5">
                <a:lumMod val="5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WAH_byCounty!$AZ$38:$BI$38</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extLst>
            <c:ext xmlns:c16="http://schemas.microsoft.com/office/drawing/2014/chart" uri="{C3380CC4-5D6E-409C-BE32-E72D297353CC}">
              <c16:uniqueId val="{00000001-4955-4C97-9766-99DDF91B74AD}"/>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WAH_byCounty!$AZ$39:$BI$39</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2-4955-4C97-9766-99DDF91B74AD}"/>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WAH_byCounty!$AY$41</c:f>
          <c:strCache>
            <c:ptCount val="1"/>
            <c:pt idx="0">
              <c:v>United States</c:v>
            </c:pt>
          </c:strCache>
        </c:strRef>
      </c:tx>
      <c:layout>
        <c:manualLayout>
          <c:xMode val="edge"/>
          <c:yMode val="edge"/>
          <c:x val="0.5079542907061336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WAH_byCounty!$AY$43</c:f>
              <c:strCache>
                <c:ptCount val="1"/>
                <c:pt idx="0">
                  <c:v>Home-Based-Job</c:v>
                </c:pt>
              </c:strCache>
            </c:strRef>
          </c:tx>
          <c:spPr>
            <a:solidFill>
              <a:schemeClr val="accent5">
                <a:lumMod val="40000"/>
                <a:lumOff val="6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WAH_byCounty!$AZ$43:$BI$43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extLst>
            <c:ext xmlns:c16="http://schemas.microsoft.com/office/drawing/2014/chart" uri="{C3380CC4-5D6E-409C-BE32-E72D297353CC}">
              <c16:uniqueId val="{00000000-DA52-47C7-B10E-FDD0A03A63DA}"/>
            </c:ext>
          </c:extLst>
        </c:ser>
        <c:ser>
          <c:idx val="1"/>
          <c:order val="1"/>
          <c:tx>
            <c:strRef>
              <c:f>WAH_byCounty!$AY$44</c:f>
              <c:strCache>
                <c:ptCount val="1"/>
                <c:pt idx="0">
                  <c:v>Telecommute</c:v>
                </c:pt>
              </c:strCache>
            </c:strRef>
          </c:tx>
          <c:spPr>
            <a:solidFill>
              <a:schemeClr val="accent5">
                <a:lumMod val="5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WAH_byCounty!$AZ$44:$BI$44</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extLst>
            <c:ext xmlns:c16="http://schemas.microsoft.com/office/drawing/2014/chart" uri="{C3380CC4-5D6E-409C-BE32-E72D297353CC}">
              <c16:uniqueId val="{00000001-DA52-47C7-B10E-FDD0A03A63DA}"/>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WAH_byCounty!$AY$45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WAH_byCounty!$AZ$45:$BI$45</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2-DA52-47C7-B10E-FDD0A03A63DA}"/>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18" Type="http://schemas.openxmlformats.org/officeDocument/2006/relationships/chart" Target="../charts/chart27.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17" Type="http://schemas.openxmlformats.org/officeDocument/2006/relationships/chart" Target="../charts/chart26.xml"/><Relationship Id="rId2" Type="http://schemas.openxmlformats.org/officeDocument/2006/relationships/chart" Target="../charts/chart11.xml"/><Relationship Id="rId16" Type="http://schemas.openxmlformats.org/officeDocument/2006/relationships/chart" Target="../charts/chart25.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data.census.gov/cedsci" TargetMode="External"/></Relationships>
</file>

<file path=xl/drawings/drawing1.xml><?xml version="1.0" encoding="utf-8"?>
<xdr:wsDr xmlns:xdr="http://schemas.openxmlformats.org/drawingml/2006/spreadsheetDrawing" xmlns:a="http://schemas.openxmlformats.org/drawingml/2006/main">
  <xdr:twoCellAnchor>
    <xdr:from>
      <xdr:col>39</xdr:col>
      <xdr:colOff>0</xdr:colOff>
      <xdr:row>48</xdr:row>
      <xdr:rowOff>0</xdr:rowOff>
    </xdr:from>
    <xdr:to>
      <xdr:col>49</xdr:col>
      <xdr:colOff>277586</xdr:colOff>
      <xdr:row>66</xdr:row>
      <xdr:rowOff>114300</xdr:rowOff>
    </xdr:to>
    <xdr:graphicFrame macro="">
      <xdr:nvGraphicFramePr>
        <xdr:cNvPr id="16" name="Chart 15">
          <a:extLst>
            <a:ext uri="{FF2B5EF4-FFF2-40B4-BE49-F238E27FC236}">
              <a16:creationId xmlns:a16="http://schemas.microsoft.com/office/drawing/2014/main" id="{79F11EFB-B26E-41DE-82BC-FDD7F8016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50</xdr:col>
      <xdr:colOff>0</xdr:colOff>
      <xdr:row>48</xdr:row>
      <xdr:rowOff>0</xdr:rowOff>
    </xdr:from>
    <xdr:to>
      <xdr:col>60</xdr:col>
      <xdr:colOff>277586</xdr:colOff>
      <xdr:row>66</xdr:row>
      <xdr:rowOff>114300</xdr:rowOff>
    </xdr:to>
    <xdr:graphicFrame macro="">
      <xdr:nvGraphicFramePr>
        <xdr:cNvPr id="17" name="Chart 16">
          <a:extLst>
            <a:ext uri="{FF2B5EF4-FFF2-40B4-BE49-F238E27FC236}">
              <a16:creationId xmlns:a16="http://schemas.microsoft.com/office/drawing/2014/main" id="{F0CC7D4D-EF2E-4522-A87F-C73F7F7BB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0</xdr:colOff>
      <xdr:row>3</xdr:row>
      <xdr:rowOff>0</xdr:rowOff>
    </xdr:from>
    <xdr:to>
      <xdr:col>59</xdr:col>
      <xdr:colOff>555173</xdr:colOff>
      <xdr:row>46</xdr:row>
      <xdr:rowOff>38100</xdr:rowOff>
    </xdr:to>
    <xdr:graphicFrame macro="">
      <xdr:nvGraphicFramePr>
        <xdr:cNvPr id="18" name="Chart 17">
          <a:extLst>
            <a:ext uri="{FF2B5EF4-FFF2-40B4-BE49-F238E27FC236}">
              <a16:creationId xmlns:a16="http://schemas.microsoft.com/office/drawing/2014/main" id="{067521BF-8B1A-4EAB-805A-92E7AE381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61</xdr:col>
      <xdr:colOff>0</xdr:colOff>
      <xdr:row>3</xdr:row>
      <xdr:rowOff>0</xdr:rowOff>
    </xdr:from>
    <xdr:to>
      <xdr:col>81</xdr:col>
      <xdr:colOff>555172</xdr:colOff>
      <xdr:row>46</xdr:row>
      <xdr:rowOff>38100</xdr:rowOff>
    </xdr:to>
    <xdr:graphicFrame macro="">
      <xdr:nvGraphicFramePr>
        <xdr:cNvPr id="20" name="Chart 19">
          <a:extLst>
            <a:ext uri="{FF2B5EF4-FFF2-40B4-BE49-F238E27FC236}">
              <a16:creationId xmlns:a16="http://schemas.microsoft.com/office/drawing/2014/main" id="{10C67459-245E-485D-A652-43D7CA8BE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61</xdr:col>
      <xdr:colOff>0</xdr:colOff>
      <xdr:row>47</xdr:row>
      <xdr:rowOff>0</xdr:rowOff>
    </xdr:from>
    <xdr:to>
      <xdr:col>85</xdr:col>
      <xdr:colOff>179434</xdr:colOff>
      <xdr:row>90</xdr:row>
      <xdr:rowOff>176893</xdr:rowOff>
    </xdr:to>
    <xdr:pic>
      <xdr:nvPicPr>
        <xdr:cNvPr id="7" name="Picture 6">
          <a:extLst>
            <a:ext uri="{FF2B5EF4-FFF2-40B4-BE49-F238E27FC236}">
              <a16:creationId xmlns:a16="http://schemas.microsoft.com/office/drawing/2014/main" id="{64722469-C562-4CD8-9111-36BD366EE1D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1067607" y="9062357"/>
          <a:ext cx="14875148" cy="8368393"/>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0.78766</cdr:x>
      <cdr:y>0.17086</cdr:y>
    </cdr:from>
    <cdr:to>
      <cdr:x>0.97257</cdr:x>
      <cdr:y>0.94329</cdr:y>
    </cdr:to>
    <cdr:sp macro="" textlink="">
      <cdr:nvSpPr>
        <cdr:cNvPr id="2" name="Rectangle 1">
          <a:extLst xmlns:a="http://schemas.openxmlformats.org/drawingml/2006/main">
            <a:ext uri="{FF2B5EF4-FFF2-40B4-BE49-F238E27FC236}">
              <a16:creationId xmlns:a16="http://schemas.microsoft.com/office/drawing/2014/main" id="{45F402A4-57DC-4843-8A9B-22C7F7781B50}"/>
            </a:ext>
          </a:extLst>
        </cdr:cNvPr>
        <cdr:cNvSpPr/>
      </cdr:nvSpPr>
      <cdr:spPr>
        <a:xfrm xmlns:a="http://schemas.openxmlformats.org/drawingml/2006/main">
          <a:off x="10040435" y="1406071"/>
          <a:ext cx="2357079" cy="6356804"/>
        </a:xfrm>
        <a:prstGeom xmlns:a="http://schemas.openxmlformats.org/drawingml/2006/main" prst="rect">
          <a:avLst/>
        </a:prstGeom>
        <a:solidFill xmlns:a="http://schemas.openxmlformats.org/drawingml/2006/main">
          <a:schemeClr val="bg1">
            <a:lumMod val="75000"/>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xdr:wsDr xmlns:xdr="http://schemas.openxmlformats.org/drawingml/2006/spreadsheetDrawing" xmlns:a="http://schemas.openxmlformats.org/drawingml/2006/main">
  <xdr:twoCellAnchor>
    <xdr:from>
      <xdr:col>34</xdr:col>
      <xdr:colOff>0</xdr:colOff>
      <xdr:row>68</xdr:row>
      <xdr:rowOff>0</xdr:rowOff>
    </xdr:from>
    <xdr:to>
      <xdr:col>53</xdr:col>
      <xdr:colOff>310243</xdr:colOff>
      <xdr:row>111</xdr:row>
      <xdr:rowOff>38100</xdr:rowOff>
    </xdr:to>
    <xdr:graphicFrame macro="">
      <xdr:nvGraphicFramePr>
        <xdr:cNvPr id="2" name="Chart 1">
          <a:extLst>
            <a:ext uri="{FF2B5EF4-FFF2-40B4-BE49-F238E27FC236}">
              <a16:creationId xmlns:a16="http://schemas.microsoft.com/office/drawing/2014/main" id="{39062F58-F09E-45D1-8087-EA54FC098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0</xdr:colOff>
      <xdr:row>7</xdr:row>
      <xdr:rowOff>0</xdr:rowOff>
    </xdr:from>
    <xdr:to>
      <xdr:col>43</xdr:col>
      <xdr:colOff>277586</xdr:colOff>
      <xdr:row>25</xdr:row>
      <xdr:rowOff>114300</xdr:rowOff>
    </xdr:to>
    <xdr:graphicFrame macro="">
      <xdr:nvGraphicFramePr>
        <xdr:cNvPr id="3" name="Chart 2">
          <a:extLst>
            <a:ext uri="{FF2B5EF4-FFF2-40B4-BE49-F238E27FC236}">
              <a16:creationId xmlns:a16="http://schemas.microsoft.com/office/drawing/2014/main" id="{C9282B78-DC7C-4931-9575-04B05C4D2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0</xdr:colOff>
      <xdr:row>26</xdr:row>
      <xdr:rowOff>0</xdr:rowOff>
    </xdr:from>
    <xdr:to>
      <xdr:col>43</xdr:col>
      <xdr:colOff>277586</xdr:colOff>
      <xdr:row>44</xdr:row>
      <xdr:rowOff>114300</xdr:rowOff>
    </xdr:to>
    <xdr:graphicFrame macro="">
      <xdr:nvGraphicFramePr>
        <xdr:cNvPr id="4" name="Chart 3">
          <a:extLst>
            <a:ext uri="{FF2B5EF4-FFF2-40B4-BE49-F238E27FC236}">
              <a16:creationId xmlns:a16="http://schemas.microsoft.com/office/drawing/2014/main" id="{EDCF1989-0A53-46CB-A402-1FF268F21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65</xdr:col>
      <xdr:colOff>0</xdr:colOff>
      <xdr:row>7</xdr:row>
      <xdr:rowOff>0</xdr:rowOff>
    </xdr:from>
    <xdr:to>
      <xdr:col>85</xdr:col>
      <xdr:colOff>555173</xdr:colOff>
      <xdr:row>50</xdr:row>
      <xdr:rowOff>38100</xdr:rowOff>
    </xdr:to>
    <xdr:graphicFrame macro="">
      <xdr:nvGraphicFramePr>
        <xdr:cNvPr id="5" name="Chart 4">
          <a:extLst>
            <a:ext uri="{FF2B5EF4-FFF2-40B4-BE49-F238E27FC236}">
              <a16:creationId xmlns:a16="http://schemas.microsoft.com/office/drawing/2014/main" id="{14032BB5-42BB-44C8-B52A-4BEF95619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0</xdr:colOff>
      <xdr:row>7</xdr:row>
      <xdr:rowOff>0</xdr:rowOff>
    </xdr:from>
    <xdr:to>
      <xdr:col>64</xdr:col>
      <xdr:colOff>555173</xdr:colOff>
      <xdr:row>50</xdr:row>
      <xdr:rowOff>38100</xdr:rowOff>
    </xdr:to>
    <xdr:graphicFrame macro="">
      <xdr:nvGraphicFramePr>
        <xdr:cNvPr id="6" name="Chart 5">
          <a:extLst>
            <a:ext uri="{FF2B5EF4-FFF2-40B4-BE49-F238E27FC236}">
              <a16:creationId xmlns:a16="http://schemas.microsoft.com/office/drawing/2014/main" id="{B76D8A40-1778-4CFD-B35A-9CF5808DE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0.78871</cdr:x>
      <cdr:y>0.13696</cdr:y>
    </cdr:from>
    <cdr:to>
      <cdr:x>0.97362</cdr:x>
      <cdr:y>0.94136</cdr:y>
    </cdr:to>
    <cdr:sp macro="" textlink="">
      <cdr:nvSpPr>
        <cdr:cNvPr id="2" name="Rectangle 1">
          <a:extLst xmlns:a="http://schemas.openxmlformats.org/drawingml/2006/main">
            <a:ext uri="{FF2B5EF4-FFF2-40B4-BE49-F238E27FC236}">
              <a16:creationId xmlns:a16="http://schemas.microsoft.com/office/drawing/2014/main" id="{E9BCE83F-DDEE-46B1-9C70-B7067260446C}"/>
            </a:ext>
          </a:extLst>
        </cdr:cNvPr>
        <cdr:cNvSpPr/>
      </cdr:nvSpPr>
      <cdr:spPr>
        <a:xfrm xmlns:a="http://schemas.openxmlformats.org/drawingml/2006/main">
          <a:off x="9953625" y="1127125"/>
          <a:ext cx="2333625" cy="6619875"/>
        </a:xfrm>
        <a:prstGeom xmlns:a="http://schemas.openxmlformats.org/drawingml/2006/main" prst="rect">
          <a:avLst/>
        </a:prstGeom>
        <a:solidFill xmlns:a="http://schemas.openxmlformats.org/drawingml/2006/main">
          <a:schemeClr val="bg1">
            <a:lumMod val="75000"/>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5.xml><?xml version="1.0" encoding="utf-8"?>
<xdr:wsDr xmlns:xdr="http://schemas.openxmlformats.org/drawingml/2006/spreadsheetDrawing" xmlns:a="http://schemas.openxmlformats.org/drawingml/2006/main">
  <xdr:twoCellAnchor>
    <xdr:from>
      <xdr:col>62</xdr:col>
      <xdr:colOff>0</xdr:colOff>
      <xdr:row>4</xdr:row>
      <xdr:rowOff>0</xdr:rowOff>
    </xdr:from>
    <xdr:to>
      <xdr:col>73</xdr:col>
      <xdr:colOff>178594</xdr:colOff>
      <xdr:row>25</xdr:row>
      <xdr:rowOff>114300</xdr:rowOff>
    </xdr:to>
    <xdr:graphicFrame macro="">
      <xdr:nvGraphicFramePr>
        <xdr:cNvPr id="2" name="Chart 1">
          <a:extLst>
            <a:ext uri="{FF2B5EF4-FFF2-40B4-BE49-F238E27FC236}">
              <a16:creationId xmlns:a16="http://schemas.microsoft.com/office/drawing/2014/main" id="{CD858FB7-DA8C-4FC4-BF02-30B524077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74</xdr:col>
      <xdr:colOff>0</xdr:colOff>
      <xdr:row>4</xdr:row>
      <xdr:rowOff>0</xdr:rowOff>
    </xdr:from>
    <xdr:to>
      <xdr:col>85</xdr:col>
      <xdr:colOff>178594</xdr:colOff>
      <xdr:row>25</xdr:row>
      <xdr:rowOff>114300</xdr:rowOff>
    </xdr:to>
    <xdr:graphicFrame macro="">
      <xdr:nvGraphicFramePr>
        <xdr:cNvPr id="3" name="Chart 2">
          <a:extLst>
            <a:ext uri="{FF2B5EF4-FFF2-40B4-BE49-F238E27FC236}">
              <a16:creationId xmlns:a16="http://schemas.microsoft.com/office/drawing/2014/main" id="{75EAFD66-5698-4645-8A9A-21590CBB8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74</xdr:col>
      <xdr:colOff>0</xdr:colOff>
      <xdr:row>26</xdr:row>
      <xdr:rowOff>0</xdr:rowOff>
    </xdr:from>
    <xdr:to>
      <xdr:col>85</xdr:col>
      <xdr:colOff>178594</xdr:colOff>
      <xdr:row>47</xdr:row>
      <xdr:rowOff>114300</xdr:rowOff>
    </xdr:to>
    <xdr:graphicFrame macro="">
      <xdr:nvGraphicFramePr>
        <xdr:cNvPr id="4" name="Chart 3">
          <a:extLst>
            <a:ext uri="{FF2B5EF4-FFF2-40B4-BE49-F238E27FC236}">
              <a16:creationId xmlns:a16="http://schemas.microsoft.com/office/drawing/2014/main" id="{B130E86D-D59D-4A8F-B007-21888DCBA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xdr:row>
      <xdr:rowOff>0</xdr:rowOff>
    </xdr:from>
    <xdr:to>
      <xdr:col>12</xdr:col>
      <xdr:colOff>178594</xdr:colOff>
      <xdr:row>25</xdr:row>
      <xdr:rowOff>114300</xdr:rowOff>
    </xdr:to>
    <xdr:graphicFrame macro="">
      <xdr:nvGraphicFramePr>
        <xdr:cNvPr id="5" name="Chart 4">
          <a:extLst>
            <a:ext uri="{FF2B5EF4-FFF2-40B4-BE49-F238E27FC236}">
              <a16:creationId xmlns:a16="http://schemas.microsoft.com/office/drawing/2014/main" id="{B3D176BB-6457-4C73-BA73-D29D7C590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70</xdr:row>
      <xdr:rowOff>0</xdr:rowOff>
    </xdr:from>
    <xdr:to>
      <xdr:col>12</xdr:col>
      <xdr:colOff>178594</xdr:colOff>
      <xdr:row>91</xdr:row>
      <xdr:rowOff>114300</xdr:rowOff>
    </xdr:to>
    <xdr:graphicFrame macro="">
      <xdr:nvGraphicFramePr>
        <xdr:cNvPr id="6" name="Chart 5">
          <a:extLst>
            <a:ext uri="{FF2B5EF4-FFF2-40B4-BE49-F238E27FC236}">
              <a16:creationId xmlns:a16="http://schemas.microsoft.com/office/drawing/2014/main" id="{A6B37312-1208-4D88-ADCB-0F1633FB1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92</xdr:row>
      <xdr:rowOff>0</xdr:rowOff>
    </xdr:from>
    <xdr:to>
      <xdr:col>12</xdr:col>
      <xdr:colOff>178594</xdr:colOff>
      <xdr:row>113</xdr:row>
      <xdr:rowOff>114300</xdr:rowOff>
    </xdr:to>
    <xdr:graphicFrame macro="">
      <xdr:nvGraphicFramePr>
        <xdr:cNvPr id="7" name="Chart 6">
          <a:extLst>
            <a:ext uri="{FF2B5EF4-FFF2-40B4-BE49-F238E27FC236}">
              <a16:creationId xmlns:a16="http://schemas.microsoft.com/office/drawing/2014/main" id="{2FE6FADD-9A06-439A-A435-F7CD5E434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4</xdr:row>
      <xdr:rowOff>0</xdr:rowOff>
    </xdr:from>
    <xdr:to>
      <xdr:col>24</xdr:col>
      <xdr:colOff>178594</xdr:colOff>
      <xdr:row>25</xdr:row>
      <xdr:rowOff>114300</xdr:rowOff>
    </xdr:to>
    <xdr:graphicFrame macro="">
      <xdr:nvGraphicFramePr>
        <xdr:cNvPr id="8" name="Chart 7">
          <a:extLst>
            <a:ext uri="{FF2B5EF4-FFF2-40B4-BE49-F238E27FC236}">
              <a16:creationId xmlns:a16="http://schemas.microsoft.com/office/drawing/2014/main" id="{14954111-A210-4005-B142-641B5DE19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4</xdr:row>
      <xdr:rowOff>0</xdr:rowOff>
    </xdr:from>
    <xdr:to>
      <xdr:col>36</xdr:col>
      <xdr:colOff>178595</xdr:colOff>
      <xdr:row>25</xdr:row>
      <xdr:rowOff>114300</xdr:rowOff>
    </xdr:to>
    <xdr:graphicFrame macro="">
      <xdr:nvGraphicFramePr>
        <xdr:cNvPr id="9" name="Chart 8">
          <a:extLst>
            <a:ext uri="{FF2B5EF4-FFF2-40B4-BE49-F238E27FC236}">
              <a16:creationId xmlns:a16="http://schemas.microsoft.com/office/drawing/2014/main" id="{8AC1265E-692E-4B8C-A239-04D247341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26</xdr:row>
      <xdr:rowOff>0</xdr:rowOff>
    </xdr:from>
    <xdr:to>
      <xdr:col>24</xdr:col>
      <xdr:colOff>178594</xdr:colOff>
      <xdr:row>47</xdr:row>
      <xdr:rowOff>114300</xdr:rowOff>
    </xdr:to>
    <xdr:graphicFrame macro="">
      <xdr:nvGraphicFramePr>
        <xdr:cNvPr id="10" name="Chart 9">
          <a:extLst>
            <a:ext uri="{FF2B5EF4-FFF2-40B4-BE49-F238E27FC236}">
              <a16:creationId xmlns:a16="http://schemas.microsoft.com/office/drawing/2014/main" id="{9D6350C8-490D-4680-9560-33D23890E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26</xdr:row>
      <xdr:rowOff>0</xdr:rowOff>
    </xdr:from>
    <xdr:to>
      <xdr:col>36</xdr:col>
      <xdr:colOff>178595</xdr:colOff>
      <xdr:row>47</xdr:row>
      <xdr:rowOff>114300</xdr:rowOff>
    </xdr:to>
    <xdr:graphicFrame macro="">
      <xdr:nvGraphicFramePr>
        <xdr:cNvPr id="11" name="Chart 10">
          <a:extLst>
            <a:ext uri="{FF2B5EF4-FFF2-40B4-BE49-F238E27FC236}">
              <a16:creationId xmlns:a16="http://schemas.microsoft.com/office/drawing/2014/main" id="{D9712A7B-8A9D-4250-8677-BF78345EF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0</xdr:colOff>
      <xdr:row>70</xdr:row>
      <xdr:rowOff>0</xdr:rowOff>
    </xdr:from>
    <xdr:to>
      <xdr:col>48</xdr:col>
      <xdr:colOff>178594</xdr:colOff>
      <xdr:row>91</xdr:row>
      <xdr:rowOff>114300</xdr:rowOff>
    </xdr:to>
    <xdr:graphicFrame macro="">
      <xdr:nvGraphicFramePr>
        <xdr:cNvPr id="12" name="Chart 11">
          <a:extLst>
            <a:ext uri="{FF2B5EF4-FFF2-40B4-BE49-F238E27FC236}">
              <a16:creationId xmlns:a16="http://schemas.microsoft.com/office/drawing/2014/main" id="{898AD5E0-6567-43C9-9BD7-640EF7C40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0</xdr:colOff>
      <xdr:row>92</xdr:row>
      <xdr:rowOff>0</xdr:rowOff>
    </xdr:from>
    <xdr:to>
      <xdr:col>48</xdr:col>
      <xdr:colOff>178594</xdr:colOff>
      <xdr:row>113</xdr:row>
      <xdr:rowOff>114300</xdr:rowOff>
    </xdr:to>
    <xdr:graphicFrame macro="">
      <xdr:nvGraphicFramePr>
        <xdr:cNvPr id="13" name="Chart 12">
          <a:extLst>
            <a:ext uri="{FF2B5EF4-FFF2-40B4-BE49-F238E27FC236}">
              <a16:creationId xmlns:a16="http://schemas.microsoft.com/office/drawing/2014/main" id="{45133AF1-F6E9-48BC-BEC0-9D4DD90CF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0</xdr:colOff>
      <xdr:row>4</xdr:row>
      <xdr:rowOff>0</xdr:rowOff>
    </xdr:from>
    <xdr:to>
      <xdr:col>48</xdr:col>
      <xdr:colOff>178594</xdr:colOff>
      <xdr:row>25</xdr:row>
      <xdr:rowOff>114300</xdr:rowOff>
    </xdr:to>
    <xdr:graphicFrame macro="">
      <xdr:nvGraphicFramePr>
        <xdr:cNvPr id="14" name="Chart 13">
          <a:extLst>
            <a:ext uri="{FF2B5EF4-FFF2-40B4-BE49-F238E27FC236}">
              <a16:creationId xmlns:a16="http://schemas.microsoft.com/office/drawing/2014/main" id="{859D59EA-3BCF-4F89-B03D-8B7EE87C0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0</xdr:colOff>
      <xdr:row>26</xdr:row>
      <xdr:rowOff>0</xdr:rowOff>
    </xdr:from>
    <xdr:to>
      <xdr:col>48</xdr:col>
      <xdr:colOff>178594</xdr:colOff>
      <xdr:row>47</xdr:row>
      <xdr:rowOff>114300</xdr:rowOff>
    </xdr:to>
    <xdr:graphicFrame macro="">
      <xdr:nvGraphicFramePr>
        <xdr:cNvPr id="15" name="Chart 14">
          <a:extLst>
            <a:ext uri="{FF2B5EF4-FFF2-40B4-BE49-F238E27FC236}">
              <a16:creationId xmlns:a16="http://schemas.microsoft.com/office/drawing/2014/main" id="{AC8E08B5-B452-4CB4-B599-0AF008D55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26</xdr:row>
      <xdr:rowOff>0</xdr:rowOff>
    </xdr:from>
    <xdr:to>
      <xdr:col>12</xdr:col>
      <xdr:colOff>178594</xdr:colOff>
      <xdr:row>47</xdr:row>
      <xdr:rowOff>114300</xdr:rowOff>
    </xdr:to>
    <xdr:graphicFrame macro="">
      <xdr:nvGraphicFramePr>
        <xdr:cNvPr id="16" name="Chart 15">
          <a:extLst>
            <a:ext uri="{FF2B5EF4-FFF2-40B4-BE49-F238E27FC236}">
              <a16:creationId xmlns:a16="http://schemas.microsoft.com/office/drawing/2014/main" id="{63C1C0F9-6DC1-4ED2-9DE7-41F99A843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0</xdr:colOff>
      <xdr:row>48</xdr:row>
      <xdr:rowOff>0</xdr:rowOff>
    </xdr:from>
    <xdr:to>
      <xdr:col>12</xdr:col>
      <xdr:colOff>178594</xdr:colOff>
      <xdr:row>69</xdr:row>
      <xdr:rowOff>114300</xdr:rowOff>
    </xdr:to>
    <xdr:graphicFrame macro="">
      <xdr:nvGraphicFramePr>
        <xdr:cNvPr id="17" name="Chart 16">
          <a:extLst>
            <a:ext uri="{FF2B5EF4-FFF2-40B4-BE49-F238E27FC236}">
              <a16:creationId xmlns:a16="http://schemas.microsoft.com/office/drawing/2014/main" id="{28A3DF8C-7739-4FE4-86F7-902F3DB2E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114</xdr:row>
      <xdr:rowOff>0</xdr:rowOff>
    </xdr:from>
    <xdr:to>
      <xdr:col>12</xdr:col>
      <xdr:colOff>178594</xdr:colOff>
      <xdr:row>135</xdr:row>
      <xdr:rowOff>114300</xdr:rowOff>
    </xdr:to>
    <xdr:graphicFrame macro="">
      <xdr:nvGraphicFramePr>
        <xdr:cNvPr id="18" name="Chart 17">
          <a:extLst>
            <a:ext uri="{FF2B5EF4-FFF2-40B4-BE49-F238E27FC236}">
              <a16:creationId xmlns:a16="http://schemas.microsoft.com/office/drawing/2014/main" id="{93B427D3-7B96-4AA1-BD10-289970F18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0</xdr:colOff>
      <xdr:row>136</xdr:row>
      <xdr:rowOff>0</xdr:rowOff>
    </xdr:from>
    <xdr:to>
      <xdr:col>12</xdr:col>
      <xdr:colOff>178594</xdr:colOff>
      <xdr:row>157</xdr:row>
      <xdr:rowOff>114300</xdr:rowOff>
    </xdr:to>
    <xdr:graphicFrame macro="">
      <xdr:nvGraphicFramePr>
        <xdr:cNvPr id="19" name="Chart 18">
          <a:extLst>
            <a:ext uri="{FF2B5EF4-FFF2-40B4-BE49-F238E27FC236}">
              <a16:creationId xmlns:a16="http://schemas.microsoft.com/office/drawing/2014/main" id="{B0209F03-EC3D-4CF2-B0D3-B48A11CAE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cedsci"/>
          <a:extLst>
            <a:ext uri="{FF2B5EF4-FFF2-40B4-BE49-F238E27FC236}">
              <a16:creationId xmlns:a16="http://schemas.microsoft.com/office/drawing/2014/main" id="{D4660C58-6ECC-476B-A9F2-79DAC09DC928}"/>
            </a:ext>
          </a:extLst>
        </xdr:cNvPr>
        <xdr:cNvPicPr>
          <a:picLocks noChangeAspect="1"/>
        </xdr:cNvPicPr>
      </xdr:nvPicPr>
      <xdr:blipFill>
        <a:blip xmlns:r="http://schemas.openxmlformats.org/officeDocument/2006/relationships" r:embed="rId2" cstate="print"/>
        <a:stretch>
          <a:fillRect/>
        </a:stretch>
      </xdr:blipFill>
      <xdr:spPr>
        <a:xfrm>
          <a:off x="7096874" y="125999"/>
          <a:ext cx="1228725" cy="476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lobalworkplaceanalytics.com/telecommuting-statistic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globalworkplaceanalytics.com/telecommuting-statistics"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data.census.gov/cedsci/table?q=United%20States&amp;t=Class%20of%20Worker&amp;g=0400000US49,49.0500000&amp;d=ACS%205-Year%20Estimates%20Detailed%20Tables&amp;tid=ACSDT5Y2019.B08128&amp;hidePreview=true&amp;tp=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88209-5211-4D48-99E1-D244C0D43C17}">
  <sheetPr>
    <tabColor rgb="FF92D050"/>
  </sheetPr>
  <dimension ref="A1:AM64"/>
  <sheetViews>
    <sheetView tabSelected="1" zoomScale="70" zoomScaleNormal="70" workbookViewId="0">
      <pane xSplit="1" ySplit="1" topLeftCell="AH2" activePane="bottomRight" state="frozen"/>
      <selection pane="topRight" activeCell="B1" sqref="B1"/>
      <selection pane="bottomLeft" activeCell="A2" sqref="A2"/>
      <selection pane="bottomRight" activeCell="A3" sqref="A3"/>
    </sheetView>
  </sheetViews>
  <sheetFormatPr defaultRowHeight="15" x14ac:dyDescent="0.25"/>
  <cols>
    <col min="1" max="1" width="12.85546875" style="1" customWidth="1"/>
    <col min="2" max="4" width="18.7109375" style="1" customWidth="1"/>
    <col min="5" max="7" width="10.85546875" style="1" customWidth="1"/>
    <col min="8" max="10" width="18.7109375" style="1" customWidth="1"/>
    <col min="11" max="13" width="10.85546875" style="1" customWidth="1"/>
    <col min="14" max="16" width="18.7109375" style="1" customWidth="1"/>
    <col min="17" max="19" width="10.85546875" style="1" customWidth="1"/>
    <col min="20" max="22" width="18.7109375" style="1" customWidth="1"/>
    <col min="23" max="25" width="10.85546875" style="1" customWidth="1"/>
    <col min="26" max="28" width="18.7109375" style="1" customWidth="1"/>
    <col min="29" max="31" width="10.85546875" style="1" customWidth="1"/>
    <col min="32" max="34" width="18.7109375" style="1" customWidth="1"/>
    <col min="35" max="37" width="10.85546875" style="1" customWidth="1"/>
    <col min="38" max="16384" width="9.140625" style="1"/>
  </cols>
  <sheetData>
    <row r="1" spans="1:39" s="23" customFormat="1" ht="23.25" x14ac:dyDescent="0.35">
      <c r="A1" s="23" t="s">
        <v>632</v>
      </c>
    </row>
    <row r="3" spans="1:39" x14ac:dyDescent="0.25">
      <c r="B3" s="50">
        <v>0.56000000000000005</v>
      </c>
      <c r="C3" s="76" t="s">
        <v>627</v>
      </c>
      <c r="D3" s="77"/>
      <c r="E3" s="77"/>
    </row>
    <row r="4" spans="1:39" x14ac:dyDescent="0.25">
      <c r="A4" s="38"/>
      <c r="B4" s="138" t="s">
        <v>633</v>
      </c>
      <c r="C4" s="139"/>
      <c r="D4" s="139"/>
      <c r="E4" s="139"/>
      <c r="F4" s="139"/>
      <c r="G4" s="140"/>
      <c r="H4" s="138" t="s">
        <v>634</v>
      </c>
      <c r="I4" s="139"/>
      <c r="J4" s="139"/>
      <c r="K4" s="139"/>
      <c r="L4" s="139"/>
      <c r="M4" s="140"/>
      <c r="N4" s="138" t="s">
        <v>635</v>
      </c>
      <c r="O4" s="139"/>
      <c r="P4" s="139"/>
      <c r="Q4" s="139"/>
      <c r="R4" s="139"/>
      <c r="S4" s="140"/>
      <c r="T4" s="138" t="s">
        <v>628</v>
      </c>
      <c r="U4" s="139"/>
      <c r="V4" s="139"/>
      <c r="W4" s="139"/>
      <c r="X4" s="139"/>
      <c r="Y4" s="140"/>
      <c r="Z4" s="138" t="s">
        <v>629</v>
      </c>
      <c r="AA4" s="139"/>
      <c r="AB4" s="139"/>
      <c r="AC4" s="139"/>
      <c r="AD4" s="139"/>
      <c r="AE4" s="139"/>
      <c r="AF4" s="135" t="s">
        <v>637</v>
      </c>
      <c r="AG4" s="136"/>
      <c r="AH4" s="136"/>
      <c r="AI4" s="136"/>
      <c r="AJ4" s="136"/>
      <c r="AK4" s="136"/>
    </row>
    <row r="5" spans="1:39" x14ac:dyDescent="0.25">
      <c r="A5" s="10"/>
      <c r="B5" s="73" t="s">
        <v>623</v>
      </c>
      <c r="C5" s="74" t="s">
        <v>618</v>
      </c>
      <c r="D5" s="74" t="s">
        <v>624</v>
      </c>
      <c r="E5" s="137" t="s">
        <v>636</v>
      </c>
      <c r="F5" s="137"/>
      <c r="G5" s="137"/>
      <c r="H5" s="73" t="s">
        <v>623</v>
      </c>
      <c r="I5" s="74" t="s">
        <v>618</v>
      </c>
      <c r="J5" s="74" t="s">
        <v>624</v>
      </c>
      <c r="K5" s="137" t="s">
        <v>636</v>
      </c>
      <c r="L5" s="137"/>
      <c r="M5" s="137"/>
      <c r="N5" s="73" t="s">
        <v>623</v>
      </c>
      <c r="O5" s="74" t="s">
        <v>618</v>
      </c>
      <c r="P5" s="74" t="s">
        <v>624</v>
      </c>
      <c r="Q5" s="137" t="s">
        <v>636</v>
      </c>
      <c r="R5" s="137"/>
      <c r="S5" s="137"/>
      <c r="T5" s="73" t="s">
        <v>623</v>
      </c>
      <c r="U5" s="74" t="s">
        <v>618</v>
      </c>
      <c r="V5" s="74" t="s">
        <v>624</v>
      </c>
      <c r="W5" s="137" t="s">
        <v>636</v>
      </c>
      <c r="X5" s="137"/>
      <c r="Y5" s="137"/>
      <c r="Z5" s="73" t="s">
        <v>623</v>
      </c>
      <c r="AA5" s="74" t="s">
        <v>618</v>
      </c>
      <c r="AB5" s="74" t="s">
        <v>624</v>
      </c>
      <c r="AC5" s="137" t="s">
        <v>636</v>
      </c>
      <c r="AD5" s="137"/>
      <c r="AE5" s="137"/>
      <c r="AF5" s="73" t="s">
        <v>623</v>
      </c>
      <c r="AG5" s="105" t="s">
        <v>618</v>
      </c>
      <c r="AH5" s="105" t="s">
        <v>624</v>
      </c>
      <c r="AI5" s="137" t="s">
        <v>636</v>
      </c>
      <c r="AJ5" s="137"/>
      <c r="AK5" s="137"/>
    </row>
    <row r="6" spans="1:39" x14ac:dyDescent="0.25">
      <c r="A6" s="51">
        <v>2010</v>
      </c>
      <c r="B6" s="85">
        <f>HLOOKUP($A6, WAH_byCounty!$AZ$6:$BI$9, 2, FALSE)</f>
        <v>2.4156392907763485E-2</v>
      </c>
      <c r="C6" s="86">
        <f>HLOOKUP($A6, WAH_byCounty!$AZ$6:$BI$9, 3, FALSE)</f>
        <v>2.1884309897574412E-2</v>
      </c>
      <c r="D6" s="56">
        <f t="shared" ref="D6:D37" si="0">SUM(B6:C6)</f>
        <v>4.6040702805337896E-2</v>
      </c>
      <c r="E6" s="10"/>
      <c r="F6" s="10"/>
      <c r="G6" s="10"/>
      <c r="H6" s="62">
        <f t="shared" ref="H6:H15" si="1">B6/D6 * J6</f>
        <v>2.2378085904566251E-2</v>
      </c>
      <c r="I6" s="82">
        <f t="shared" ref="I6:I15" si="2">C6/D6 * J6</f>
        <v>2.027326549621895E-2</v>
      </c>
      <c r="J6" s="59">
        <v>4.2651351400785201E-2</v>
      </c>
      <c r="K6" s="10"/>
      <c r="L6" s="10"/>
      <c r="M6" s="10"/>
      <c r="N6" s="52"/>
      <c r="O6" s="56"/>
      <c r="P6" s="56"/>
      <c r="Q6" s="10"/>
      <c r="R6" s="10"/>
      <c r="S6" s="10"/>
      <c r="T6" s="52"/>
      <c r="U6" s="56"/>
      <c r="V6" s="59"/>
      <c r="W6" s="10"/>
      <c r="X6" s="10"/>
      <c r="Y6" s="10"/>
      <c r="Z6" s="124"/>
      <c r="AA6" s="125"/>
      <c r="AB6" s="56"/>
      <c r="AC6" s="72"/>
      <c r="AD6" s="72"/>
      <c r="AE6" s="72"/>
      <c r="AF6" s="124">
        <f>$B6</f>
        <v>2.4156392907763485E-2</v>
      </c>
      <c r="AG6" s="125">
        <f>$C6</f>
        <v>2.1884309897574412E-2</v>
      </c>
      <c r="AH6" s="56">
        <f t="shared" ref="AH6:AH14" si="3">SUM(AF6:AG6)</f>
        <v>4.6040702805337896E-2</v>
      </c>
      <c r="AI6" s="72">
        <f t="shared" ref="AI6:AI14" si="4">AF6/$B$3</f>
        <v>4.3136415906720502E-2</v>
      </c>
      <c r="AJ6" s="72">
        <f t="shared" ref="AJ6:AJ14" si="5">AG6/$B$3</f>
        <v>3.9079124817097161E-2</v>
      </c>
      <c r="AK6" s="72">
        <f t="shared" ref="AK6:AK14" si="6">AH6/$B$3</f>
        <v>8.2215540723817662E-2</v>
      </c>
    </row>
    <row r="7" spans="1:39" x14ac:dyDescent="0.25">
      <c r="A7" s="51">
        <v>2011</v>
      </c>
      <c r="B7" s="85">
        <f>HLOOKUP($A7, WAH_byCounty!$AZ$6:$BI$9, 2, FALSE)</f>
        <v>2.3616540846589377E-2</v>
      </c>
      <c r="C7" s="86">
        <f>HLOOKUP($A7, WAH_byCounty!$AZ$6:$BI$9, 3, FALSE)</f>
        <v>2.3317437314640064E-2</v>
      </c>
      <c r="D7" s="56">
        <f t="shared" si="0"/>
        <v>4.6933978161229441E-2</v>
      </c>
      <c r="E7" s="72">
        <f t="shared" ref="E7:G7" si="7">B7/$B$3</f>
        <v>4.2172394368909599E-2</v>
      </c>
      <c r="F7" s="72">
        <f t="shared" si="7"/>
        <v>4.1638280919000112E-2</v>
      </c>
      <c r="G7" s="72">
        <f t="shared" si="7"/>
        <v>8.3810675287909711E-2</v>
      </c>
      <c r="H7" s="62">
        <f t="shared" si="1"/>
        <v>2.3758556939712905E-2</v>
      </c>
      <c r="I7" s="82">
        <f t="shared" si="2"/>
        <v>2.3457654773690856E-2</v>
      </c>
      <c r="J7" s="59">
        <v>4.7216211713403761E-2</v>
      </c>
      <c r="K7" s="10"/>
      <c r="L7" s="10"/>
      <c r="M7" s="10"/>
      <c r="N7" s="52"/>
      <c r="O7" s="56"/>
      <c r="P7" s="56"/>
      <c r="Q7" s="10"/>
      <c r="R7" s="10"/>
      <c r="S7" s="10"/>
      <c r="T7" s="52"/>
      <c r="U7" s="56"/>
      <c r="V7" s="59"/>
      <c r="W7" s="10"/>
      <c r="X7" s="10"/>
      <c r="Y7" s="10"/>
      <c r="Z7" s="124"/>
      <c r="AA7" s="125"/>
      <c r="AB7" s="56"/>
      <c r="AC7" s="72"/>
      <c r="AD7" s="72"/>
      <c r="AE7" s="72"/>
      <c r="AF7" s="124">
        <f t="shared" ref="AF7:AF15" si="8">$B7</f>
        <v>2.3616540846589377E-2</v>
      </c>
      <c r="AG7" s="125">
        <f t="shared" ref="AG7:AG15" si="9">$C7</f>
        <v>2.3317437314640064E-2</v>
      </c>
      <c r="AH7" s="56">
        <f t="shared" si="3"/>
        <v>4.6933978161229441E-2</v>
      </c>
      <c r="AI7" s="72">
        <f t="shared" si="4"/>
        <v>4.2172394368909599E-2</v>
      </c>
      <c r="AJ7" s="72">
        <f t="shared" si="5"/>
        <v>4.1638280919000112E-2</v>
      </c>
      <c r="AK7" s="72">
        <f t="shared" si="6"/>
        <v>8.3810675287909711E-2</v>
      </c>
    </row>
    <row r="8" spans="1:39" x14ac:dyDescent="0.25">
      <c r="A8" s="51">
        <v>2012</v>
      </c>
      <c r="B8" s="85">
        <f>HLOOKUP($A8, WAH_byCounty!$AZ$6:$BI$9, 2, FALSE)</f>
        <v>2.2667213106249643E-2</v>
      </c>
      <c r="C8" s="86">
        <f>HLOOKUP($A8, WAH_byCounty!$AZ$6:$BI$9, 3, FALSE)</f>
        <v>2.3317752888261753E-2</v>
      </c>
      <c r="D8" s="56">
        <f t="shared" si="0"/>
        <v>4.5984965994511393E-2</v>
      </c>
      <c r="E8" s="72">
        <f t="shared" ref="E8:G8" si="10">B8/$B$3</f>
        <v>4.0477166261160075E-2</v>
      </c>
      <c r="F8" s="72">
        <f t="shared" si="10"/>
        <v>4.1638844443324552E-2</v>
      </c>
      <c r="G8" s="72">
        <f t="shared" si="10"/>
        <v>8.2116010704484627E-2</v>
      </c>
      <c r="H8" s="62">
        <f t="shared" si="1"/>
        <v>2.3339432990528593E-2</v>
      </c>
      <c r="I8" s="82">
        <f t="shared" si="2"/>
        <v>2.4009265209371522E-2</v>
      </c>
      <c r="J8" s="59">
        <v>4.7348698199900112E-2</v>
      </c>
      <c r="K8" s="10"/>
      <c r="L8" s="10"/>
      <c r="M8" s="10"/>
      <c r="N8" s="52"/>
      <c r="O8" s="56"/>
      <c r="P8" s="56"/>
      <c r="Q8" s="10"/>
      <c r="R8" s="10"/>
      <c r="S8" s="10"/>
      <c r="T8" s="52"/>
      <c r="U8" s="56"/>
      <c r="V8" s="59"/>
      <c r="W8" s="10"/>
      <c r="X8" s="10"/>
      <c r="Y8" s="10"/>
      <c r="Z8" s="124"/>
      <c r="AA8" s="125"/>
      <c r="AB8" s="56"/>
      <c r="AC8" s="72"/>
      <c r="AD8" s="72"/>
      <c r="AE8" s="72"/>
      <c r="AF8" s="124">
        <f t="shared" si="8"/>
        <v>2.2667213106249643E-2</v>
      </c>
      <c r="AG8" s="125">
        <f t="shared" si="9"/>
        <v>2.3317752888261753E-2</v>
      </c>
      <c r="AH8" s="56">
        <f t="shared" si="3"/>
        <v>4.5984965994511393E-2</v>
      </c>
      <c r="AI8" s="72">
        <f t="shared" si="4"/>
        <v>4.0477166261160075E-2</v>
      </c>
      <c r="AJ8" s="72">
        <f t="shared" si="5"/>
        <v>4.1638844443324552E-2</v>
      </c>
      <c r="AK8" s="72">
        <f t="shared" si="6"/>
        <v>8.2116010704484627E-2</v>
      </c>
    </row>
    <row r="9" spans="1:39" x14ac:dyDescent="0.25">
      <c r="A9" s="51">
        <v>2013</v>
      </c>
      <c r="B9" s="85">
        <f>HLOOKUP($A9, WAH_byCounty!$AZ$6:$BI$9, 2, FALSE)</f>
        <v>2.2171769202822853E-2</v>
      </c>
      <c r="C9" s="86">
        <f>HLOOKUP($A9, WAH_byCounty!$AZ$6:$BI$9, 3, FALSE)</f>
        <v>2.5284029801130252E-2</v>
      </c>
      <c r="D9" s="56">
        <f t="shared" si="0"/>
        <v>4.7455799003953109E-2</v>
      </c>
      <c r="E9" s="72">
        <f t="shared" ref="E9:G9" si="11">B9/$B$3</f>
        <v>3.9592445005040805E-2</v>
      </c>
      <c r="F9" s="72">
        <f t="shared" si="11"/>
        <v>4.5150053216304019E-2</v>
      </c>
      <c r="G9" s="72">
        <f t="shared" si="11"/>
        <v>8.4742498221344831E-2</v>
      </c>
      <c r="H9" s="62">
        <f t="shared" si="1"/>
        <v>2.3907051166329719E-2</v>
      </c>
      <c r="I9" s="82">
        <f t="shared" si="2"/>
        <v>2.7262894026051254E-2</v>
      </c>
      <c r="J9" s="59">
        <v>5.1169945192380981E-2</v>
      </c>
      <c r="K9" s="10"/>
      <c r="L9" s="10"/>
      <c r="M9" s="10"/>
      <c r="N9" s="52"/>
      <c r="O9" s="56"/>
      <c r="P9" s="56"/>
      <c r="Q9" s="10"/>
      <c r="R9" s="10"/>
      <c r="S9" s="10"/>
      <c r="T9" s="52"/>
      <c r="U9" s="56"/>
      <c r="V9" s="59"/>
      <c r="W9" s="10"/>
      <c r="X9" s="10"/>
      <c r="Y9" s="10"/>
      <c r="Z9" s="124"/>
      <c r="AA9" s="125"/>
      <c r="AB9" s="56"/>
      <c r="AC9" s="72"/>
      <c r="AD9" s="72"/>
      <c r="AE9" s="72"/>
      <c r="AF9" s="124">
        <f t="shared" si="8"/>
        <v>2.2171769202822853E-2</v>
      </c>
      <c r="AG9" s="125">
        <f t="shared" si="9"/>
        <v>2.5284029801130252E-2</v>
      </c>
      <c r="AH9" s="56">
        <f t="shared" si="3"/>
        <v>4.7455799003953109E-2</v>
      </c>
      <c r="AI9" s="72">
        <f t="shared" si="4"/>
        <v>3.9592445005040805E-2</v>
      </c>
      <c r="AJ9" s="72">
        <f t="shared" si="5"/>
        <v>4.5150053216304019E-2</v>
      </c>
      <c r="AK9" s="72">
        <f t="shared" si="6"/>
        <v>8.4742498221344831E-2</v>
      </c>
    </row>
    <row r="10" spans="1:39" x14ac:dyDescent="0.25">
      <c r="A10" s="51">
        <v>2014</v>
      </c>
      <c r="B10" s="85">
        <f>HLOOKUP($A10, WAH_byCounty!$AZ$6:$BI$9, 2, FALSE)</f>
        <v>2.2228967542460221E-2</v>
      </c>
      <c r="C10" s="86">
        <f>HLOOKUP($A10, WAH_byCounty!$AZ$6:$BI$9, 3, FALSE)</f>
        <v>2.6619700413660685E-2</v>
      </c>
      <c r="D10" s="56">
        <f t="shared" si="0"/>
        <v>4.8848667956120903E-2</v>
      </c>
      <c r="E10" s="72">
        <f t="shared" ref="E10:G10" si="12">B10/$B$3</f>
        <v>3.969458489725039E-2</v>
      </c>
      <c r="F10" s="72">
        <f t="shared" si="12"/>
        <v>4.7535179310108359E-2</v>
      </c>
      <c r="G10" s="72">
        <f t="shared" si="12"/>
        <v>8.7229764207358743E-2</v>
      </c>
      <c r="H10" s="62">
        <f t="shared" si="1"/>
        <v>2.5486222951497342E-2</v>
      </c>
      <c r="I10" s="82">
        <f t="shared" si="2"/>
        <v>3.0520338758366621E-2</v>
      </c>
      <c r="J10" s="59">
        <v>5.6006561709863956E-2</v>
      </c>
      <c r="K10" s="10"/>
      <c r="L10" s="10"/>
      <c r="M10" s="10"/>
      <c r="N10" s="52"/>
      <c r="O10" s="56"/>
      <c r="P10" s="56"/>
      <c r="Q10" s="10"/>
      <c r="R10" s="10"/>
      <c r="S10" s="10"/>
      <c r="T10" s="52"/>
      <c r="U10" s="56"/>
      <c r="V10" s="59"/>
      <c r="W10" s="10"/>
      <c r="X10" s="10"/>
      <c r="Y10" s="10"/>
      <c r="Z10" s="124"/>
      <c r="AA10" s="125"/>
      <c r="AB10" s="56"/>
      <c r="AC10" s="72"/>
      <c r="AD10" s="72"/>
      <c r="AE10" s="72"/>
      <c r="AF10" s="124">
        <f t="shared" si="8"/>
        <v>2.2228967542460221E-2</v>
      </c>
      <c r="AG10" s="125">
        <f t="shared" si="9"/>
        <v>2.6619700413660685E-2</v>
      </c>
      <c r="AH10" s="56">
        <f t="shared" si="3"/>
        <v>4.8848667956120903E-2</v>
      </c>
      <c r="AI10" s="72">
        <f t="shared" si="4"/>
        <v>3.969458489725039E-2</v>
      </c>
      <c r="AJ10" s="72">
        <f t="shared" si="5"/>
        <v>4.7535179310108359E-2</v>
      </c>
      <c r="AK10" s="72">
        <f t="shared" si="6"/>
        <v>8.7229764207358743E-2</v>
      </c>
    </row>
    <row r="11" spans="1:39" x14ac:dyDescent="0.25">
      <c r="A11" s="51">
        <v>2015</v>
      </c>
      <c r="B11" s="85">
        <f>HLOOKUP($A11, WAH_byCounty!$AZ$6:$BI$9, 2, FALSE)</f>
        <v>2.2692701491573073E-2</v>
      </c>
      <c r="C11" s="86">
        <f>HLOOKUP($A11, WAH_byCounty!$AZ$6:$BI$9, 3, FALSE)</f>
        <v>2.8966157207377403E-2</v>
      </c>
      <c r="D11" s="56">
        <f t="shared" si="0"/>
        <v>5.1658858698950476E-2</v>
      </c>
      <c r="E11" s="72">
        <f t="shared" ref="E11:G11" si="13">B11/$B$3</f>
        <v>4.052268123495191E-2</v>
      </c>
      <c r="F11" s="72">
        <f t="shared" si="13"/>
        <v>5.172528072745964E-2</v>
      </c>
      <c r="G11" s="72">
        <f t="shared" si="13"/>
        <v>9.2247961962411557E-2</v>
      </c>
      <c r="H11" s="62">
        <f t="shared" si="1"/>
        <v>2.4860784412977583E-2</v>
      </c>
      <c r="I11" s="82">
        <f t="shared" si="2"/>
        <v>3.1733612230894735E-2</v>
      </c>
      <c r="J11" s="59">
        <v>5.6594396643872322E-2</v>
      </c>
      <c r="K11" s="10"/>
      <c r="L11" s="10"/>
      <c r="M11" s="10"/>
      <c r="N11" s="52"/>
      <c r="O11" s="56"/>
      <c r="P11" s="56"/>
      <c r="Q11" s="10"/>
      <c r="R11" s="10"/>
      <c r="S11" s="10"/>
      <c r="T11" s="52"/>
      <c r="U11" s="56"/>
      <c r="V11" s="59"/>
      <c r="W11" s="10"/>
      <c r="X11" s="10"/>
      <c r="Y11" s="10"/>
      <c r="Z11" s="124"/>
      <c r="AA11" s="125"/>
      <c r="AB11" s="56"/>
      <c r="AC11" s="72"/>
      <c r="AD11" s="72"/>
      <c r="AE11" s="72"/>
      <c r="AF11" s="124">
        <f t="shared" si="8"/>
        <v>2.2692701491573073E-2</v>
      </c>
      <c r="AG11" s="125">
        <f t="shared" si="9"/>
        <v>2.8966157207377403E-2</v>
      </c>
      <c r="AH11" s="56">
        <f t="shared" si="3"/>
        <v>5.1658858698950476E-2</v>
      </c>
      <c r="AI11" s="72">
        <f t="shared" si="4"/>
        <v>4.052268123495191E-2</v>
      </c>
      <c r="AJ11" s="72">
        <f t="shared" si="5"/>
        <v>5.172528072745964E-2</v>
      </c>
      <c r="AK11" s="72">
        <f t="shared" si="6"/>
        <v>9.2247961962411557E-2</v>
      </c>
    </row>
    <row r="12" spans="1:39" x14ac:dyDescent="0.25">
      <c r="A12" s="51">
        <v>2016</v>
      </c>
      <c r="B12" s="85">
        <f>HLOOKUP($A12, WAH_byCounty!$AZ$6:$BI$9, 2, FALSE)</f>
        <v>2.3436385187778377E-2</v>
      </c>
      <c r="C12" s="86">
        <f>HLOOKUP($A12, WAH_byCounty!$AZ$6:$BI$9, 3, FALSE)</f>
        <v>2.9703591942815067E-2</v>
      </c>
      <c r="D12" s="56">
        <f t="shared" si="0"/>
        <v>5.3139977130593444E-2</v>
      </c>
      <c r="E12" s="72">
        <f t="shared" ref="E12:G12" si="14">B12/$B$3</f>
        <v>4.1850687835318527E-2</v>
      </c>
      <c r="F12" s="72">
        <f t="shared" si="14"/>
        <v>5.3042128469312617E-2</v>
      </c>
      <c r="G12" s="72">
        <f t="shared" si="14"/>
        <v>9.4892816304631145E-2</v>
      </c>
      <c r="H12" s="62">
        <f t="shared" si="1"/>
        <v>2.5492763802859301E-2</v>
      </c>
      <c r="I12" s="82">
        <f t="shared" si="2"/>
        <v>3.2309874045318994E-2</v>
      </c>
      <c r="J12" s="59">
        <v>5.7802637848178295E-2</v>
      </c>
      <c r="K12" s="10"/>
      <c r="L12" s="10"/>
      <c r="M12" s="10"/>
      <c r="N12" s="52"/>
      <c r="O12" s="56"/>
      <c r="P12" s="56"/>
      <c r="Q12" s="10"/>
      <c r="R12" s="10"/>
      <c r="S12" s="10"/>
      <c r="T12" s="52"/>
      <c r="U12" s="56"/>
      <c r="V12" s="59"/>
      <c r="W12" s="10"/>
      <c r="X12" s="10"/>
      <c r="Y12" s="10"/>
      <c r="Z12" s="124"/>
      <c r="AA12" s="125"/>
      <c r="AB12" s="56"/>
      <c r="AC12" s="72"/>
      <c r="AD12" s="72"/>
      <c r="AE12" s="72"/>
      <c r="AF12" s="124">
        <f t="shared" si="8"/>
        <v>2.3436385187778377E-2</v>
      </c>
      <c r="AG12" s="125">
        <f t="shared" si="9"/>
        <v>2.9703591942815067E-2</v>
      </c>
      <c r="AH12" s="56">
        <f t="shared" si="3"/>
        <v>5.3139977130593444E-2</v>
      </c>
      <c r="AI12" s="72">
        <f t="shared" si="4"/>
        <v>4.1850687835318527E-2</v>
      </c>
      <c r="AJ12" s="72">
        <f t="shared" si="5"/>
        <v>5.3042128469312617E-2</v>
      </c>
      <c r="AK12" s="72">
        <f t="shared" si="6"/>
        <v>9.4892816304631145E-2</v>
      </c>
    </row>
    <row r="13" spans="1:39" x14ac:dyDescent="0.25">
      <c r="A13" s="51">
        <v>2017</v>
      </c>
      <c r="B13" s="85">
        <f>HLOOKUP($A13, WAH_byCounty!$AZ$6:$BI$9, 2, FALSE)</f>
        <v>2.5113206167155351E-2</v>
      </c>
      <c r="C13" s="86">
        <f>HLOOKUP($A13, WAH_byCounty!$AZ$6:$BI$9, 3, FALSE)</f>
        <v>3.2081021452464518E-2</v>
      </c>
      <c r="D13" s="56">
        <f t="shared" si="0"/>
        <v>5.719422761961987E-2</v>
      </c>
      <c r="E13" s="72">
        <f t="shared" ref="E13:G13" si="15">B13/$B$3</f>
        <v>4.4845011012777408E-2</v>
      </c>
      <c r="F13" s="72">
        <f t="shared" si="15"/>
        <v>5.7287538307972348E-2</v>
      </c>
      <c r="G13" s="72">
        <f t="shared" si="15"/>
        <v>0.10213254932074976</v>
      </c>
      <c r="H13" s="62">
        <f t="shared" si="1"/>
        <v>2.9327256250456492E-2</v>
      </c>
      <c r="I13" s="82">
        <f t="shared" si="2"/>
        <v>3.7464285947818164E-2</v>
      </c>
      <c r="J13" s="59">
        <v>6.6791542198274656E-2</v>
      </c>
      <c r="K13" s="10"/>
      <c r="L13" s="10"/>
      <c r="M13" s="10"/>
      <c r="N13" s="52"/>
      <c r="O13" s="56"/>
      <c r="P13" s="56"/>
      <c r="Q13" s="10"/>
      <c r="R13" s="10"/>
      <c r="S13" s="10"/>
      <c r="T13" s="52"/>
      <c r="U13" s="56"/>
      <c r="V13" s="59"/>
      <c r="W13" s="10"/>
      <c r="X13" s="10"/>
      <c r="Y13" s="10"/>
      <c r="Z13" s="124"/>
      <c r="AA13" s="125"/>
      <c r="AB13" s="56"/>
      <c r="AC13" s="72"/>
      <c r="AD13" s="72"/>
      <c r="AE13" s="72"/>
      <c r="AF13" s="124">
        <f t="shared" si="8"/>
        <v>2.5113206167155351E-2</v>
      </c>
      <c r="AG13" s="125">
        <f t="shared" si="9"/>
        <v>3.2081021452464518E-2</v>
      </c>
      <c r="AH13" s="56">
        <f t="shared" si="3"/>
        <v>5.719422761961987E-2</v>
      </c>
      <c r="AI13" s="72">
        <f t="shared" si="4"/>
        <v>4.4845011012777408E-2</v>
      </c>
      <c r="AJ13" s="72">
        <f t="shared" si="5"/>
        <v>5.7287538307972348E-2</v>
      </c>
      <c r="AK13" s="72">
        <f t="shared" si="6"/>
        <v>0.10213254932074976</v>
      </c>
    </row>
    <row r="14" spans="1:39" x14ac:dyDescent="0.25">
      <c r="A14" s="51">
        <v>2018</v>
      </c>
      <c r="B14" s="85">
        <f>HLOOKUP($A14, WAH_byCounty!$AZ$6:$BI$9, 2, FALSE)</f>
        <v>2.6391708034978915E-2</v>
      </c>
      <c r="C14" s="86">
        <f>HLOOKUP($A14, WAH_byCounty!$AZ$6:$BI$9, 3, FALSE)</f>
        <v>3.3935667961348573E-2</v>
      </c>
      <c r="D14" s="56">
        <f t="shared" si="0"/>
        <v>6.0327375996327488E-2</v>
      </c>
      <c r="E14" s="72">
        <f t="shared" ref="E14:G14" si="16">B14/$B$3</f>
        <v>4.7128050062462346E-2</v>
      </c>
      <c r="F14" s="72">
        <f t="shared" si="16"/>
        <v>6.0599407073836729E-2</v>
      </c>
      <c r="G14" s="72">
        <f t="shared" si="16"/>
        <v>0.10772745713629908</v>
      </c>
      <c r="H14" s="62">
        <f t="shared" si="1"/>
        <v>2.8318981829183236E-2</v>
      </c>
      <c r="I14" s="82">
        <f t="shared" si="2"/>
        <v>3.6413844950274117E-2</v>
      </c>
      <c r="J14" s="59">
        <v>6.4732826779457353E-2</v>
      </c>
      <c r="K14" s="10"/>
      <c r="L14" s="10"/>
      <c r="M14" s="10"/>
      <c r="N14" s="52"/>
      <c r="O14" s="56"/>
      <c r="P14" s="56"/>
      <c r="Q14" s="10"/>
      <c r="R14" s="10"/>
      <c r="S14" s="10"/>
      <c r="T14" s="52"/>
      <c r="U14" s="56"/>
      <c r="V14" s="59"/>
      <c r="W14" s="10"/>
      <c r="X14" s="10"/>
      <c r="Y14" s="10"/>
      <c r="Z14" s="124"/>
      <c r="AA14" s="125"/>
      <c r="AB14" s="56"/>
      <c r="AC14" s="72"/>
      <c r="AD14" s="72"/>
      <c r="AE14" s="72"/>
      <c r="AF14" s="124">
        <f t="shared" si="8"/>
        <v>2.6391708034978915E-2</v>
      </c>
      <c r="AG14" s="125">
        <f t="shared" si="9"/>
        <v>3.3935667961348573E-2</v>
      </c>
      <c r="AH14" s="56">
        <f t="shared" si="3"/>
        <v>6.0327375996327488E-2</v>
      </c>
      <c r="AI14" s="72">
        <f t="shared" si="4"/>
        <v>4.7128050062462346E-2</v>
      </c>
      <c r="AJ14" s="72">
        <f t="shared" si="5"/>
        <v>6.0599407073836729E-2</v>
      </c>
      <c r="AK14" s="72">
        <f t="shared" si="6"/>
        <v>0.10772745713629908</v>
      </c>
    </row>
    <row r="15" spans="1:39" x14ac:dyDescent="0.25">
      <c r="A15" s="54">
        <v>2019</v>
      </c>
      <c r="B15" s="87">
        <f>HLOOKUP($A15, WAH_byCounty!$AZ$6:$BI$9, 2, FALSE)</f>
        <v>2.6666596808531076E-2</v>
      </c>
      <c r="C15" s="88">
        <f>HLOOKUP($A15, WAH_byCounty!$AZ$6:$BI$9, 3, FALSE)</f>
        <v>3.6494763259510746E-2</v>
      </c>
      <c r="D15" s="57">
        <f t="shared" si="0"/>
        <v>6.3161360068041822E-2</v>
      </c>
      <c r="E15" s="75">
        <f t="shared" ref="E15:G15" si="17">B15/$B$3</f>
        <v>4.7618922872376915E-2</v>
      </c>
      <c r="F15" s="75">
        <f t="shared" si="17"/>
        <v>6.5169220106269188E-2</v>
      </c>
      <c r="G15" s="75">
        <f t="shared" si="17"/>
        <v>0.1127881429786461</v>
      </c>
      <c r="H15" s="83">
        <f t="shared" si="1"/>
        <v>2.9748085404285699E-2</v>
      </c>
      <c r="I15" s="84">
        <f t="shared" si="2"/>
        <v>4.07119566867939E-2</v>
      </c>
      <c r="J15" s="60">
        <v>7.0460042091079603E-2</v>
      </c>
      <c r="K15" s="75">
        <f t="shared" ref="K15:M15" si="18">H15/$B$3</f>
        <v>5.3121581079081603E-2</v>
      </c>
      <c r="L15" s="75">
        <f t="shared" si="18"/>
        <v>7.2699922654989105E-2</v>
      </c>
      <c r="M15" s="75">
        <f t="shared" si="18"/>
        <v>0.12582150373407069</v>
      </c>
      <c r="N15" s="55"/>
      <c r="O15" s="61"/>
      <c r="P15" s="57"/>
      <c r="Q15" s="75">
        <f t="shared" ref="Q15:S15" si="19">N15/$B$3</f>
        <v>0</v>
      </c>
      <c r="R15" s="75">
        <f t="shared" si="19"/>
        <v>0</v>
      </c>
      <c r="S15" s="75">
        <f t="shared" si="19"/>
        <v>0</v>
      </c>
      <c r="T15" s="66">
        <f>B15</f>
        <v>2.6666596808531076E-2</v>
      </c>
      <c r="U15" s="67">
        <f>C15</f>
        <v>3.6494763259510746E-2</v>
      </c>
      <c r="V15" s="57">
        <f t="shared" ref="V15:V20" si="20">SUM(T15:U15)</f>
        <v>6.3161360068041822E-2</v>
      </c>
      <c r="W15" s="75">
        <f t="shared" ref="W15:Y15" si="21">T15/$B$3</f>
        <v>4.7618922872376915E-2</v>
      </c>
      <c r="X15" s="75">
        <f t="shared" si="21"/>
        <v>6.5169220106269188E-2</v>
      </c>
      <c r="Y15" s="75">
        <f t="shared" si="21"/>
        <v>0.1127881429786461</v>
      </c>
      <c r="Z15" s="66">
        <f>B15</f>
        <v>2.6666596808531076E-2</v>
      </c>
      <c r="AA15" s="67">
        <f>C15</f>
        <v>3.6494763259510746E-2</v>
      </c>
      <c r="AB15" s="57">
        <f t="shared" ref="AB15:AB20" si="22">SUM(Z15:AA15)</f>
        <v>6.3161360068041822E-2</v>
      </c>
      <c r="AC15" s="75">
        <f t="shared" ref="AC15" si="23">Z15/$B$3</f>
        <v>4.7618922872376915E-2</v>
      </c>
      <c r="AD15" s="75">
        <f t="shared" ref="AD15:AE56" si="24">AA15/$B$3</f>
        <v>6.5169220106269188E-2</v>
      </c>
      <c r="AE15" s="75">
        <f t="shared" si="24"/>
        <v>0.1127881429786461</v>
      </c>
      <c r="AF15" s="127">
        <f t="shared" si="8"/>
        <v>2.6666596808531076E-2</v>
      </c>
      <c r="AG15" s="128">
        <f t="shared" si="9"/>
        <v>3.6494763259510746E-2</v>
      </c>
      <c r="AH15" s="57">
        <f t="shared" ref="AH15:AH45" si="25">SUM(AF15:AG15)</f>
        <v>6.3161360068041822E-2</v>
      </c>
      <c r="AI15" s="75">
        <f t="shared" ref="AI15" si="26">AF15/$B$3</f>
        <v>4.7618922872376915E-2</v>
      </c>
      <c r="AJ15" s="75">
        <f t="shared" ref="AJ15:AJ56" si="27">AG15/$B$3</f>
        <v>6.5169220106269188E-2</v>
      </c>
      <c r="AK15" s="75">
        <f t="shared" ref="AK15:AK56" si="28">AH15/$B$3</f>
        <v>0.1127881429786461</v>
      </c>
      <c r="AL15" s="106">
        <f t="shared" ref="AL15:AL56" si="29">1/AD15</f>
        <v>15.344667288780419</v>
      </c>
      <c r="AM15" s="107">
        <f t="shared" ref="AM15:AM56" si="30">1/AE15</f>
        <v>8.8661801993612706</v>
      </c>
    </row>
    <row r="16" spans="1:39" x14ac:dyDescent="0.25">
      <c r="A16" s="51">
        <v>2020</v>
      </c>
      <c r="B16" s="58">
        <f t="shared" ref="B16:B56" si="31">FORECAST($A16, $B$6:$B$15, $A$6:$A$15) + 0.002</f>
        <v>2.786433321739501E-2</v>
      </c>
      <c r="C16" s="53">
        <f t="shared" ref="C16:C56" si="32">FORECAST($A16, $C$6:$C$15, $A$6:$A$15) + 0.001</f>
        <v>3.8001882574684065E-2</v>
      </c>
      <c r="D16" s="56">
        <f t="shared" si="0"/>
        <v>6.5866215792079075E-2</v>
      </c>
      <c r="E16" s="72">
        <f>B16/$B$3</f>
        <v>4.9757737888205367E-2</v>
      </c>
      <c r="F16" s="72">
        <f t="shared" ref="F16:G16" si="33">C16/$B$3</f>
        <v>6.7860504597650112E-2</v>
      </c>
      <c r="G16" s="72">
        <f t="shared" si="33"/>
        <v>0.11761824248585548</v>
      </c>
      <c r="H16" s="58">
        <f t="shared" ref="H16:H56" si="34">FORECAST($A16, $H$6:$H$15, $A$6:$A$15) + 0.002</f>
        <v>3.2072515011722258E-2</v>
      </c>
      <c r="I16" s="53">
        <f t="shared" ref="I16:I56" si="35">FORECAST($A16, $I$6:$I$15, $A$6:$A$15) + 0.001</f>
        <v>4.3358061518273261E-2</v>
      </c>
      <c r="J16" s="56">
        <f t="shared" ref="J16:J56" si="36">SUM(H16:I16)</f>
        <v>7.5430576529995519E-2</v>
      </c>
      <c r="K16" s="72">
        <f>H16/$B$3</f>
        <v>5.7272348235218311E-2</v>
      </c>
      <c r="L16" s="72">
        <f t="shared" ref="L16:M16" si="37">I16/$B$3</f>
        <v>7.7425109854059385E-2</v>
      </c>
      <c r="M16" s="72">
        <f t="shared" si="37"/>
        <v>0.13469745808927769</v>
      </c>
      <c r="N16" s="62">
        <f>$B$15</f>
        <v>2.6666596808531076E-2</v>
      </c>
      <c r="O16" s="53">
        <f>FORECAST($A16, $C$10:$C$15, $A$10:$A$15) + 0.001</f>
        <v>3.8966277972944163E-2</v>
      </c>
      <c r="P16" s="56">
        <f t="shared" ref="P16:P56" si="38">SUM(N16:O16)</f>
        <v>6.5632874781475239E-2</v>
      </c>
      <c r="Q16" s="72">
        <f>N16/$B$3</f>
        <v>4.7618922872376915E-2</v>
      </c>
      <c r="R16" s="72">
        <f t="shared" ref="R16:S16" si="39">O16/$B$3</f>
        <v>6.9582639237400282E-2</v>
      </c>
      <c r="S16" s="72">
        <f t="shared" si="39"/>
        <v>0.1172015621097772</v>
      </c>
      <c r="T16" s="64">
        <v>0.08</v>
      </c>
      <c r="U16" s="65">
        <v>0.35</v>
      </c>
      <c r="V16" s="63">
        <f t="shared" si="20"/>
        <v>0.43</v>
      </c>
      <c r="W16" s="72">
        <f>T16/$B$3</f>
        <v>0.14285714285714285</v>
      </c>
      <c r="X16" s="72">
        <f t="shared" ref="X16:Y16" si="40">U16/$B$3</f>
        <v>0.62499999999999989</v>
      </c>
      <c r="Y16" s="72">
        <f t="shared" si="40"/>
        <v>0.76785714285714279</v>
      </c>
      <c r="Z16" s="64">
        <v>0.06</v>
      </c>
      <c r="AA16" s="65">
        <v>0.35</v>
      </c>
      <c r="AB16" s="63">
        <f t="shared" si="22"/>
        <v>0.41</v>
      </c>
      <c r="AC16" s="72">
        <f>Z16/$B$3</f>
        <v>0.10714285714285712</v>
      </c>
      <c r="AD16" s="72">
        <f t="shared" si="24"/>
        <v>0.62499999999999989</v>
      </c>
      <c r="AE16" s="72">
        <f t="shared" si="24"/>
        <v>0.73214285714285698</v>
      </c>
      <c r="AF16" s="132">
        <v>0.06</v>
      </c>
      <c r="AG16" s="133">
        <v>0.35</v>
      </c>
      <c r="AH16" s="56">
        <f t="shared" si="25"/>
        <v>0.41</v>
      </c>
      <c r="AI16" s="72">
        <f>AF16/$B$3</f>
        <v>0.10714285714285712</v>
      </c>
      <c r="AJ16" s="72">
        <f t="shared" si="27"/>
        <v>0.62499999999999989</v>
      </c>
      <c r="AK16" s="72">
        <f t="shared" si="28"/>
        <v>0.73214285714285698</v>
      </c>
      <c r="AL16" s="106">
        <f t="shared" si="29"/>
        <v>1.6000000000000003</v>
      </c>
      <c r="AM16" s="107">
        <f t="shared" si="30"/>
        <v>1.3658536585365857</v>
      </c>
    </row>
    <row r="17" spans="1:39" x14ac:dyDescent="0.25">
      <c r="A17" s="51">
        <v>2021</v>
      </c>
      <c r="B17" s="58">
        <f t="shared" si="31"/>
        <v>2.8218912324268652E-2</v>
      </c>
      <c r="C17" s="53">
        <f t="shared" si="32"/>
        <v>3.9609417003921288E-2</v>
      </c>
      <c r="D17" s="56">
        <f t="shared" si="0"/>
        <v>6.782832932818994E-2</v>
      </c>
      <c r="E17" s="72">
        <f t="shared" ref="E17:G32" si="41">B17/$B$3</f>
        <v>5.0390914864765449E-2</v>
      </c>
      <c r="F17" s="72">
        <f t="shared" si="41"/>
        <v>7.0731101792716577E-2</v>
      </c>
      <c r="G17" s="72">
        <f t="shared" si="41"/>
        <v>0.12112201665748203</v>
      </c>
      <c r="H17" s="58">
        <f t="shared" si="34"/>
        <v>3.2874477347446307E-2</v>
      </c>
      <c r="I17" s="53">
        <f t="shared" si="35"/>
        <v>4.5529400119326824E-2</v>
      </c>
      <c r="J17" s="56">
        <f t="shared" si="36"/>
        <v>7.8403877466773131E-2</v>
      </c>
      <c r="K17" s="72">
        <f t="shared" ref="K17:M32" si="42">H17/$B$3</f>
        <v>5.8704423834725544E-2</v>
      </c>
      <c r="L17" s="72">
        <f t="shared" si="42"/>
        <v>8.1302500213083606E-2</v>
      </c>
      <c r="M17" s="72">
        <f t="shared" si="42"/>
        <v>0.14000692404780915</v>
      </c>
      <c r="N17" s="62">
        <f t="shared" ref="N17:N56" si="43">$B$15</f>
        <v>2.6666596808531076E-2</v>
      </c>
      <c r="O17" s="53">
        <f t="shared" ref="O17:O56" si="44">FORECAST($A17, $C$10:$C$15, $A$10:$A$15) + 0.001</f>
        <v>4.0870885858681594E-2</v>
      </c>
      <c r="P17" s="56">
        <f t="shared" si="38"/>
        <v>6.753748266721267E-2</v>
      </c>
      <c r="Q17" s="72">
        <f t="shared" ref="Q17:S32" si="45">N17/$B$3</f>
        <v>4.7618922872376915E-2</v>
      </c>
      <c r="R17" s="72">
        <f t="shared" si="45"/>
        <v>7.2983724747645695E-2</v>
      </c>
      <c r="S17" s="72">
        <f t="shared" si="45"/>
        <v>0.12060264762002261</v>
      </c>
      <c r="T17" s="64">
        <v>0.06</v>
      </c>
      <c r="U17" s="65">
        <v>0.2</v>
      </c>
      <c r="V17" s="63">
        <f t="shared" si="20"/>
        <v>0.26</v>
      </c>
      <c r="W17" s="72">
        <f t="shared" ref="W17:Y32" si="46">T17/$B$3</f>
        <v>0.10714285714285712</v>
      </c>
      <c r="X17" s="72">
        <f t="shared" si="46"/>
        <v>0.35714285714285715</v>
      </c>
      <c r="Y17" s="72">
        <f t="shared" si="46"/>
        <v>0.46428571428571425</v>
      </c>
      <c r="Z17" s="64">
        <v>0.04</v>
      </c>
      <c r="AA17" s="65">
        <v>0.15</v>
      </c>
      <c r="AB17" s="63">
        <f t="shared" si="22"/>
        <v>0.19</v>
      </c>
      <c r="AC17" s="72">
        <f t="shared" ref="AC17" si="47">Z17/$B$3</f>
        <v>7.1428571428571425E-2</v>
      </c>
      <c r="AD17" s="72">
        <f t="shared" si="24"/>
        <v>0.26785714285714285</v>
      </c>
      <c r="AE17" s="72">
        <f t="shared" si="24"/>
        <v>0.33928571428571425</v>
      </c>
      <c r="AF17" s="132">
        <v>0.04</v>
      </c>
      <c r="AG17" s="133">
        <v>0.17</v>
      </c>
      <c r="AH17" s="56">
        <f t="shared" si="25"/>
        <v>0.21000000000000002</v>
      </c>
      <c r="AI17" s="72">
        <f t="shared" ref="AI17:AI56" si="48">AF17/$B$3</f>
        <v>7.1428571428571425E-2</v>
      </c>
      <c r="AJ17" s="72">
        <f t="shared" si="27"/>
        <v>0.30357142857142855</v>
      </c>
      <c r="AK17" s="72">
        <f t="shared" si="28"/>
        <v>0.375</v>
      </c>
      <c r="AL17" s="106">
        <f t="shared" si="29"/>
        <v>3.7333333333333334</v>
      </c>
      <c r="AM17" s="107">
        <f t="shared" si="30"/>
        <v>2.9473684210526319</v>
      </c>
    </row>
    <row r="18" spans="1:39" x14ac:dyDescent="0.25">
      <c r="A18" s="51">
        <v>2022</v>
      </c>
      <c r="B18" s="58">
        <f t="shared" si="31"/>
        <v>2.8573491431142184E-2</v>
      </c>
      <c r="C18" s="53">
        <f t="shared" si="32"/>
        <v>4.1216951433158511E-2</v>
      </c>
      <c r="D18" s="56">
        <f t="shared" si="0"/>
        <v>6.9790442864300695E-2</v>
      </c>
      <c r="E18" s="72">
        <f t="shared" si="41"/>
        <v>5.1024091841325322E-2</v>
      </c>
      <c r="F18" s="72">
        <f t="shared" si="41"/>
        <v>7.3601698987783043E-2</v>
      </c>
      <c r="G18" s="72">
        <f t="shared" si="41"/>
        <v>0.12462579082910837</v>
      </c>
      <c r="H18" s="58">
        <f t="shared" si="34"/>
        <v>3.3676439683170578E-2</v>
      </c>
      <c r="I18" s="53">
        <f t="shared" si="35"/>
        <v>4.7700738720380387E-2</v>
      </c>
      <c r="J18" s="56">
        <f t="shared" si="36"/>
        <v>8.1377178403550965E-2</v>
      </c>
      <c r="K18" s="72">
        <f t="shared" si="42"/>
        <v>6.0136499434233166E-2</v>
      </c>
      <c r="L18" s="72">
        <f t="shared" si="42"/>
        <v>8.5179890572107828E-2</v>
      </c>
      <c r="M18" s="72">
        <f t="shared" si="42"/>
        <v>0.145316390006341</v>
      </c>
      <c r="N18" s="62">
        <f t="shared" si="43"/>
        <v>2.6666596808531076E-2</v>
      </c>
      <c r="O18" s="53">
        <f t="shared" si="44"/>
        <v>4.2775493744419468E-2</v>
      </c>
      <c r="P18" s="56">
        <f t="shared" si="38"/>
        <v>6.9442090552950544E-2</v>
      </c>
      <c r="Q18" s="72">
        <f t="shared" si="45"/>
        <v>4.7618922872376915E-2</v>
      </c>
      <c r="R18" s="72">
        <f t="shared" si="45"/>
        <v>7.63848102578919E-2</v>
      </c>
      <c r="S18" s="72">
        <f t="shared" si="45"/>
        <v>0.12400373313026881</v>
      </c>
      <c r="T18" s="64">
        <v>4.3999999999999997E-2</v>
      </c>
      <c r="U18" s="65">
        <v>0.15</v>
      </c>
      <c r="V18" s="63">
        <f t="shared" si="20"/>
        <v>0.19400000000000001</v>
      </c>
      <c r="W18" s="72">
        <f t="shared" si="46"/>
        <v>7.8571428571428556E-2</v>
      </c>
      <c r="X18" s="72">
        <f t="shared" si="46"/>
        <v>0.26785714285714285</v>
      </c>
      <c r="Y18" s="72">
        <f t="shared" si="46"/>
        <v>0.34642857142857142</v>
      </c>
      <c r="Z18" s="104">
        <v>3.2500000000000001E-2</v>
      </c>
      <c r="AA18" s="65">
        <v>0.1</v>
      </c>
      <c r="AB18" s="63">
        <f t="shared" si="22"/>
        <v>0.13250000000000001</v>
      </c>
      <c r="AC18" s="72">
        <f t="shared" ref="AC18" si="49">Z18/$B$3</f>
        <v>5.8035714285714281E-2</v>
      </c>
      <c r="AD18" s="72">
        <f t="shared" si="24"/>
        <v>0.17857142857142858</v>
      </c>
      <c r="AE18" s="72">
        <f t="shared" si="24"/>
        <v>0.23660714285714285</v>
      </c>
      <c r="AF18" s="134">
        <v>3.2500000000000001E-2</v>
      </c>
      <c r="AG18" s="133">
        <v>0.115</v>
      </c>
      <c r="AH18" s="56">
        <f t="shared" si="25"/>
        <v>0.14750000000000002</v>
      </c>
      <c r="AI18" s="72">
        <f t="shared" si="48"/>
        <v>5.8035714285714281E-2</v>
      </c>
      <c r="AJ18" s="72">
        <f t="shared" si="27"/>
        <v>0.20535714285714285</v>
      </c>
      <c r="AK18" s="72">
        <f t="shared" si="28"/>
        <v>0.26339285714285715</v>
      </c>
      <c r="AL18" s="106">
        <f t="shared" si="29"/>
        <v>5.6</v>
      </c>
      <c r="AM18" s="107">
        <f t="shared" si="30"/>
        <v>4.2264150943396226</v>
      </c>
    </row>
    <row r="19" spans="1:39" x14ac:dyDescent="0.25">
      <c r="A19" s="51">
        <v>2023</v>
      </c>
      <c r="B19" s="58">
        <f t="shared" si="31"/>
        <v>2.8928070538015827E-2</v>
      </c>
      <c r="C19" s="53">
        <f t="shared" si="32"/>
        <v>4.2824485862396178E-2</v>
      </c>
      <c r="D19" s="56">
        <f t="shared" si="0"/>
        <v>7.1752556400412004E-2</v>
      </c>
      <c r="E19" s="72">
        <f t="shared" si="41"/>
        <v>5.1657268817885398E-2</v>
      </c>
      <c r="F19" s="72">
        <f t="shared" si="41"/>
        <v>7.6472296182850313E-2</v>
      </c>
      <c r="G19" s="72">
        <f t="shared" si="41"/>
        <v>0.12812956500073572</v>
      </c>
      <c r="H19" s="58">
        <f t="shared" si="34"/>
        <v>3.4478402018894627E-2</v>
      </c>
      <c r="I19" s="53">
        <f t="shared" si="35"/>
        <v>4.987207732143395E-2</v>
      </c>
      <c r="J19" s="56">
        <f t="shared" si="36"/>
        <v>8.4350479340328577E-2</v>
      </c>
      <c r="K19" s="72">
        <f t="shared" si="42"/>
        <v>6.15685750337404E-2</v>
      </c>
      <c r="L19" s="72">
        <f t="shared" si="42"/>
        <v>8.9057280931132049E-2</v>
      </c>
      <c r="M19" s="72">
        <f t="shared" si="42"/>
        <v>0.15062585596487243</v>
      </c>
      <c r="N19" s="62">
        <f t="shared" si="43"/>
        <v>2.6666596808531076E-2</v>
      </c>
      <c r="O19" s="53">
        <f t="shared" si="44"/>
        <v>4.4680101630156899E-2</v>
      </c>
      <c r="P19" s="56">
        <f t="shared" si="38"/>
        <v>7.1346698438687975E-2</v>
      </c>
      <c r="Q19" s="72">
        <f t="shared" si="45"/>
        <v>4.7618922872376915E-2</v>
      </c>
      <c r="R19" s="72">
        <f t="shared" si="45"/>
        <v>7.9785895768137313E-2</v>
      </c>
      <c r="S19" s="72">
        <f t="shared" si="45"/>
        <v>0.12740481864051423</v>
      </c>
      <c r="T19" s="104">
        <v>3.7499999999999999E-2</v>
      </c>
      <c r="U19" s="65">
        <v>0.12</v>
      </c>
      <c r="V19" s="63">
        <f t="shared" si="20"/>
        <v>0.1575</v>
      </c>
      <c r="W19" s="72">
        <f t="shared" si="46"/>
        <v>6.6964285714285712E-2</v>
      </c>
      <c r="X19" s="72">
        <f t="shared" si="46"/>
        <v>0.21428571428571425</v>
      </c>
      <c r="Y19" s="72">
        <f t="shared" si="46"/>
        <v>0.28125</v>
      </c>
      <c r="Z19" s="64">
        <v>0.03</v>
      </c>
      <c r="AA19" s="65">
        <v>8.3000000000000004E-2</v>
      </c>
      <c r="AB19" s="63">
        <f t="shared" si="22"/>
        <v>0.113</v>
      </c>
      <c r="AC19" s="72">
        <f t="shared" ref="AC19" si="50">Z19/$B$3</f>
        <v>5.3571428571428562E-2</v>
      </c>
      <c r="AD19" s="72">
        <f t="shared" si="24"/>
        <v>0.14821428571428572</v>
      </c>
      <c r="AE19" s="72">
        <f t="shared" si="24"/>
        <v>0.20178571428571426</v>
      </c>
      <c r="AF19" s="132">
        <v>0.03</v>
      </c>
      <c r="AG19" s="133">
        <v>9.1999999999999998E-2</v>
      </c>
      <c r="AH19" s="56">
        <f t="shared" si="25"/>
        <v>0.122</v>
      </c>
      <c r="AI19" s="72">
        <f t="shared" si="48"/>
        <v>5.3571428571428562E-2</v>
      </c>
      <c r="AJ19" s="72">
        <f t="shared" si="27"/>
        <v>0.16428571428571426</v>
      </c>
      <c r="AK19" s="72">
        <f t="shared" si="28"/>
        <v>0.21785714285714283</v>
      </c>
      <c r="AL19" s="106">
        <f t="shared" si="29"/>
        <v>6.7469879518072293</v>
      </c>
      <c r="AM19" s="107">
        <f t="shared" si="30"/>
        <v>4.9557522123893811</v>
      </c>
    </row>
    <row r="20" spans="1:39" x14ac:dyDescent="0.25">
      <c r="A20" s="51">
        <v>2024</v>
      </c>
      <c r="B20" s="58">
        <f t="shared" si="31"/>
        <v>2.9282649644889358E-2</v>
      </c>
      <c r="C20" s="53">
        <f t="shared" si="32"/>
        <v>4.4432020291633401E-2</v>
      </c>
      <c r="D20" s="56">
        <f t="shared" si="0"/>
        <v>7.3714669936522759E-2</v>
      </c>
      <c r="E20" s="72">
        <f t="shared" si="41"/>
        <v>5.2290445794445278E-2</v>
      </c>
      <c r="F20" s="72">
        <f t="shared" si="41"/>
        <v>7.9342893377916779E-2</v>
      </c>
      <c r="G20" s="72">
        <f t="shared" si="41"/>
        <v>0.13163333917236206</v>
      </c>
      <c r="H20" s="58">
        <f t="shared" si="34"/>
        <v>3.5280364354618676E-2</v>
      </c>
      <c r="I20" s="53">
        <f t="shared" si="35"/>
        <v>5.2043415922487513E-2</v>
      </c>
      <c r="J20" s="56">
        <f t="shared" si="36"/>
        <v>8.7323780277106189E-2</v>
      </c>
      <c r="K20" s="72">
        <f t="shared" si="42"/>
        <v>6.3000650633247626E-2</v>
      </c>
      <c r="L20" s="72">
        <f t="shared" si="42"/>
        <v>9.293467129015627E-2</v>
      </c>
      <c r="M20" s="72">
        <f t="shared" si="42"/>
        <v>0.1559353219234039</v>
      </c>
      <c r="N20" s="62">
        <f t="shared" si="43"/>
        <v>2.6666596808531076E-2</v>
      </c>
      <c r="O20" s="53">
        <f t="shared" si="44"/>
        <v>4.6584709515894329E-2</v>
      </c>
      <c r="P20" s="56">
        <f t="shared" si="38"/>
        <v>7.3251306324425405E-2</v>
      </c>
      <c r="Q20" s="72">
        <f t="shared" si="45"/>
        <v>4.7618922872376915E-2</v>
      </c>
      <c r="R20" s="72">
        <f t="shared" si="45"/>
        <v>8.3186981278382727E-2</v>
      </c>
      <c r="S20" s="72">
        <f t="shared" si="45"/>
        <v>0.13080590415075963</v>
      </c>
      <c r="T20" s="64">
        <v>3.5000000000000003E-2</v>
      </c>
      <c r="U20" s="103">
        <v>0.10249999999999999</v>
      </c>
      <c r="V20" s="63">
        <f t="shared" si="20"/>
        <v>0.13750000000000001</v>
      </c>
      <c r="W20" s="72">
        <f t="shared" si="46"/>
        <v>6.25E-2</v>
      </c>
      <c r="X20" s="72">
        <f t="shared" si="46"/>
        <v>0.18303571428571425</v>
      </c>
      <c r="Y20" s="72">
        <f t="shared" si="46"/>
        <v>0.24553571428571427</v>
      </c>
      <c r="Z20" s="58">
        <f t="shared" ref="Z20:Z37" si="51">Z19</f>
        <v>0.03</v>
      </c>
      <c r="AA20" s="65">
        <v>0.08</v>
      </c>
      <c r="AB20" s="63">
        <f t="shared" si="22"/>
        <v>0.11</v>
      </c>
      <c r="AC20" s="72">
        <f t="shared" ref="AC20" si="52">Z20/$B$3</f>
        <v>5.3571428571428562E-2</v>
      </c>
      <c r="AD20" s="72">
        <f t="shared" si="24"/>
        <v>0.14285714285714285</v>
      </c>
      <c r="AE20" s="72">
        <f t="shared" si="24"/>
        <v>0.19642857142857142</v>
      </c>
      <c r="AF20" s="58">
        <f t="shared" ref="AF20:AF35" si="53">AF19</f>
        <v>0.03</v>
      </c>
      <c r="AG20" s="133">
        <v>0.08</v>
      </c>
      <c r="AH20" s="56">
        <f t="shared" si="25"/>
        <v>0.11</v>
      </c>
      <c r="AI20" s="72">
        <f t="shared" si="48"/>
        <v>5.3571428571428562E-2</v>
      </c>
      <c r="AJ20" s="72">
        <f t="shared" si="27"/>
        <v>0.14285714285714285</v>
      </c>
      <c r="AK20" s="72">
        <f t="shared" si="28"/>
        <v>0.19642857142857142</v>
      </c>
      <c r="AL20" s="106">
        <f t="shared" si="29"/>
        <v>7</v>
      </c>
      <c r="AM20" s="107">
        <f t="shared" si="30"/>
        <v>5.0909090909090908</v>
      </c>
    </row>
    <row r="21" spans="1:39" x14ac:dyDescent="0.25">
      <c r="A21" s="51">
        <v>2025</v>
      </c>
      <c r="B21" s="58">
        <f t="shared" si="31"/>
        <v>2.9637228751763001E-2</v>
      </c>
      <c r="C21" s="53">
        <f t="shared" si="32"/>
        <v>4.6039554720871068E-2</v>
      </c>
      <c r="D21" s="56">
        <f t="shared" si="0"/>
        <v>7.5676783472634068E-2</v>
      </c>
      <c r="E21" s="72">
        <f t="shared" si="41"/>
        <v>5.2923622771005353E-2</v>
      </c>
      <c r="F21" s="72">
        <f t="shared" si="41"/>
        <v>8.2213490572984035E-2</v>
      </c>
      <c r="G21" s="72">
        <f t="shared" si="41"/>
        <v>0.1351371133439894</v>
      </c>
      <c r="H21" s="58">
        <f t="shared" si="34"/>
        <v>3.6082326690342725E-2</v>
      </c>
      <c r="I21" s="53">
        <f t="shared" si="35"/>
        <v>5.4214754523541075E-2</v>
      </c>
      <c r="J21" s="56">
        <f t="shared" si="36"/>
        <v>9.0297081213883801E-2</v>
      </c>
      <c r="K21" s="72">
        <f t="shared" si="42"/>
        <v>6.4432726232754867E-2</v>
      </c>
      <c r="L21" s="72">
        <f t="shared" si="42"/>
        <v>9.6812061649180478E-2</v>
      </c>
      <c r="M21" s="72">
        <f t="shared" si="42"/>
        <v>0.16124478788193533</v>
      </c>
      <c r="N21" s="62">
        <f t="shared" si="43"/>
        <v>2.6666596808531076E-2</v>
      </c>
      <c r="O21" s="53">
        <f t="shared" si="44"/>
        <v>4.848931740163176E-2</v>
      </c>
      <c r="P21" s="56">
        <f t="shared" si="38"/>
        <v>7.5155914210162836E-2</v>
      </c>
      <c r="Q21" s="72">
        <f t="shared" si="45"/>
        <v>4.7618922872376915E-2</v>
      </c>
      <c r="R21" s="72">
        <f t="shared" si="45"/>
        <v>8.658806678862814E-2</v>
      </c>
      <c r="S21" s="72">
        <f t="shared" si="45"/>
        <v>0.13420698966100506</v>
      </c>
      <c r="T21" s="58">
        <f t="shared" ref="T21:T30" si="54">T20</f>
        <v>3.5000000000000003E-2</v>
      </c>
      <c r="U21" s="65">
        <v>0.1</v>
      </c>
      <c r="V21" s="63">
        <f t="shared" ref="V21:V56" si="55">SUM(T21:U21)</f>
        <v>0.13500000000000001</v>
      </c>
      <c r="W21" s="72">
        <f t="shared" si="46"/>
        <v>6.25E-2</v>
      </c>
      <c r="X21" s="72">
        <f t="shared" si="46"/>
        <v>0.17857142857142858</v>
      </c>
      <c r="Y21" s="72">
        <f t="shared" si="46"/>
        <v>0.24107142857142858</v>
      </c>
      <c r="Z21" s="58">
        <f t="shared" si="51"/>
        <v>0.03</v>
      </c>
      <c r="AA21" s="53">
        <f t="shared" ref="AA21:AA37" si="56">AA20</f>
        <v>0.08</v>
      </c>
      <c r="AB21" s="56">
        <f t="shared" ref="AB21:AB56" si="57">SUM(Z21:AA21)</f>
        <v>0.11</v>
      </c>
      <c r="AC21" s="72">
        <f t="shared" ref="AC21" si="58">Z21/$B$3</f>
        <v>5.3571428571428562E-2</v>
      </c>
      <c r="AD21" s="72">
        <f t="shared" si="24"/>
        <v>0.14285714285714285</v>
      </c>
      <c r="AE21" s="72">
        <f t="shared" si="24"/>
        <v>0.19642857142857142</v>
      </c>
      <c r="AF21" s="58">
        <f t="shared" si="53"/>
        <v>0.03</v>
      </c>
      <c r="AG21" s="129">
        <v>7.3999999999999996E-2</v>
      </c>
      <c r="AH21" s="56">
        <f t="shared" si="25"/>
        <v>0.104</v>
      </c>
      <c r="AI21" s="72">
        <f t="shared" si="48"/>
        <v>5.3571428571428562E-2</v>
      </c>
      <c r="AJ21" s="72">
        <f t="shared" si="27"/>
        <v>0.13214285714285712</v>
      </c>
      <c r="AK21" s="72">
        <f t="shared" si="28"/>
        <v>0.18571428571428569</v>
      </c>
      <c r="AL21" s="106">
        <f t="shared" si="29"/>
        <v>7</v>
      </c>
      <c r="AM21" s="107">
        <f t="shared" si="30"/>
        <v>5.0909090909090908</v>
      </c>
    </row>
    <row r="22" spans="1:39" x14ac:dyDescent="0.25">
      <c r="A22" s="51">
        <v>2026</v>
      </c>
      <c r="B22" s="58">
        <f t="shared" si="31"/>
        <v>2.9991807858636643E-2</v>
      </c>
      <c r="C22" s="53">
        <f t="shared" si="32"/>
        <v>4.764708915010829E-2</v>
      </c>
      <c r="D22" s="56">
        <f t="shared" si="0"/>
        <v>7.7638897008744934E-2</v>
      </c>
      <c r="E22" s="72">
        <f t="shared" si="41"/>
        <v>5.3556799747565428E-2</v>
      </c>
      <c r="F22" s="72">
        <f t="shared" si="41"/>
        <v>8.5084087768050515E-2</v>
      </c>
      <c r="G22" s="72">
        <f t="shared" si="41"/>
        <v>0.13864088751561593</v>
      </c>
      <c r="H22" s="58">
        <f t="shared" si="34"/>
        <v>3.6884289026066774E-2</v>
      </c>
      <c r="I22" s="53">
        <f t="shared" si="35"/>
        <v>5.638609312459375E-2</v>
      </c>
      <c r="J22" s="56">
        <f t="shared" si="36"/>
        <v>9.3270382150660525E-2</v>
      </c>
      <c r="K22" s="72">
        <f t="shared" si="42"/>
        <v>6.5864801832262093E-2</v>
      </c>
      <c r="L22" s="72">
        <f t="shared" si="42"/>
        <v>0.10068945200820312</v>
      </c>
      <c r="M22" s="72">
        <f t="shared" si="42"/>
        <v>0.16655425384046521</v>
      </c>
      <c r="N22" s="62">
        <f t="shared" si="43"/>
        <v>2.6666596808531076E-2</v>
      </c>
      <c r="O22" s="53">
        <f t="shared" si="44"/>
        <v>5.039392528736919E-2</v>
      </c>
      <c r="P22" s="56">
        <f t="shared" si="38"/>
        <v>7.7060522095900266E-2</v>
      </c>
      <c r="Q22" s="72">
        <f t="shared" si="45"/>
        <v>4.7618922872376915E-2</v>
      </c>
      <c r="R22" s="72">
        <f t="shared" si="45"/>
        <v>8.998915229887354E-2</v>
      </c>
      <c r="S22" s="72">
        <f t="shared" si="45"/>
        <v>0.13760807517125045</v>
      </c>
      <c r="T22" s="58">
        <f t="shared" si="54"/>
        <v>3.5000000000000003E-2</v>
      </c>
      <c r="U22" s="53">
        <f t="shared" ref="U22:U30" si="59">U21</f>
        <v>0.1</v>
      </c>
      <c r="V22" s="56">
        <f t="shared" si="55"/>
        <v>0.13500000000000001</v>
      </c>
      <c r="W22" s="72">
        <f t="shared" si="46"/>
        <v>6.25E-2</v>
      </c>
      <c r="X22" s="72">
        <f t="shared" si="46"/>
        <v>0.17857142857142858</v>
      </c>
      <c r="Y22" s="72">
        <f t="shared" si="46"/>
        <v>0.24107142857142858</v>
      </c>
      <c r="Z22" s="58">
        <f t="shared" si="51"/>
        <v>0.03</v>
      </c>
      <c r="AA22" s="53">
        <f t="shared" si="56"/>
        <v>0.08</v>
      </c>
      <c r="AB22" s="56">
        <f t="shared" si="57"/>
        <v>0.11</v>
      </c>
      <c r="AC22" s="72">
        <f t="shared" ref="AC22" si="60">Z22/$B$3</f>
        <v>5.3571428571428562E-2</v>
      </c>
      <c r="AD22" s="72">
        <f t="shared" si="24"/>
        <v>0.14285714285714285</v>
      </c>
      <c r="AE22" s="72">
        <f t="shared" si="24"/>
        <v>0.19642857142857142</v>
      </c>
      <c r="AF22" s="58">
        <f t="shared" si="53"/>
        <v>0.03</v>
      </c>
      <c r="AG22" s="129">
        <v>7.0999999999999994E-2</v>
      </c>
      <c r="AH22" s="56">
        <f t="shared" si="25"/>
        <v>0.10099999999999999</v>
      </c>
      <c r="AI22" s="72">
        <f t="shared" si="48"/>
        <v>5.3571428571428562E-2</v>
      </c>
      <c r="AJ22" s="72">
        <f t="shared" si="27"/>
        <v>0.12678571428571425</v>
      </c>
      <c r="AK22" s="72">
        <f t="shared" si="28"/>
        <v>0.18035714285714283</v>
      </c>
      <c r="AL22" s="106">
        <f t="shared" si="29"/>
        <v>7</v>
      </c>
      <c r="AM22" s="107">
        <f t="shared" si="30"/>
        <v>5.0909090909090908</v>
      </c>
    </row>
    <row r="23" spans="1:39" x14ac:dyDescent="0.25">
      <c r="A23" s="51">
        <v>2027</v>
      </c>
      <c r="B23" s="58">
        <f t="shared" si="31"/>
        <v>3.0346386965510175E-2</v>
      </c>
      <c r="C23" s="53">
        <f t="shared" si="32"/>
        <v>4.9254623579345513E-2</v>
      </c>
      <c r="D23" s="56">
        <f t="shared" si="0"/>
        <v>7.9601010544855688E-2</v>
      </c>
      <c r="E23" s="72">
        <f t="shared" si="41"/>
        <v>5.4189976724125309E-2</v>
      </c>
      <c r="F23" s="72">
        <f t="shared" si="41"/>
        <v>8.795468496311698E-2</v>
      </c>
      <c r="G23" s="72">
        <f t="shared" si="41"/>
        <v>0.1421446616872423</v>
      </c>
      <c r="H23" s="58">
        <f t="shared" si="34"/>
        <v>3.7686251361791046E-2</v>
      </c>
      <c r="I23" s="53">
        <f t="shared" si="35"/>
        <v>5.8557431725647313E-2</v>
      </c>
      <c r="J23" s="56">
        <f t="shared" si="36"/>
        <v>9.6243683087438359E-2</v>
      </c>
      <c r="K23" s="72">
        <f t="shared" si="42"/>
        <v>6.7296877431769722E-2</v>
      </c>
      <c r="L23" s="72">
        <f t="shared" si="42"/>
        <v>0.10456684236722734</v>
      </c>
      <c r="M23" s="72">
        <f t="shared" si="42"/>
        <v>0.17186371979899706</v>
      </c>
      <c r="N23" s="62">
        <f t="shared" si="43"/>
        <v>2.6666596808531076E-2</v>
      </c>
      <c r="O23" s="53">
        <f t="shared" si="44"/>
        <v>5.2298533173107065E-2</v>
      </c>
      <c r="P23" s="56">
        <f t="shared" si="38"/>
        <v>7.8965129981638141E-2</v>
      </c>
      <c r="Q23" s="72">
        <f t="shared" si="45"/>
        <v>4.7618922872376915E-2</v>
      </c>
      <c r="R23" s="72">
        <f t="shared" si="45"/>
        <v>9.3390237809119744E-2</v>
      </c>
      <c r="S23" s="72">
        <f t="shared" si="45"/>
        <v>0.14100916068149666</v>
      </c>
      <c r="T23" s="58">
        <f t="shared" si="54"/>
        <v>3.5000000000000003E-2</v>
      </c>
      <c r="U23" s="53">
        <f t="shared" si="59"/>
        <v>0.1</v>
      </c>
      <c r="V23" s="56">
        <f t="shared" si="55"/>
        <v>0.13500000000000001</v>
      </c>
      <c r="W23" s="72">
        <f t="shared" si="46"/>
        <v>6.25E-2</v>
      </c>
      <c r="X23" s="72">
        <f t="shared" si="46"/>
        <v>0.17857142857142858</v>
      </c>
      <c r="Y23" s="72">
        <f t="shared" si="46"/>
        <v>0.24107142857142858</v>
      </c>
      <c r="Z23" s="58">
        <f t="shared" si="51"/>
        <v>0.03</v>
      </c>
      <c r="AA23" s="53">
        <f t="shared" si="56"/>
        <v>0.08</v>
      </c>
      <c r="AB23" s="56">
        <f t="shared" si="57"/>
        <v>0.11</v>
      </c>
      <c r="AC23" s="72">
        <f t="shared" ref="AC23" si="61">Z23/$B$3</f>
        <v>5.3571428571428562E-2</v>
      </c>
      <c r="AD23" s="72">
        <f t="shared" si="24"/>
        <v>0.14285714285714285</v>
      </c>
      <c r="AE23" s="72">
        <f t="shared" si="24"/>
        <v>0.19642857142857142</v>
      </c>
      <c r="AF23" s="58">
        <f t="shared" si="53"/>
        <v>0.03</v>
      </c>
      <c r="AG23" s="129">
        <v>7.0000000000000007E-2</v>
      </c>
      <c r="AH23" s="56">
        <f t="shared" si="25"/>
        <v>0.1</v>
      </c>
      <c r="AI23" s="72">
        <f t="shared" si="48"/>
        <v>5.3571428571428562E-2</v>
      </c>
      <c r="AJ23" s="72">
        <f t="shared" si="27"/>
        <v>0.125</v>
      </c>
      <c r="AK23" s="72">
        <f t="shared" si="28"/>
        <v>0.17857142857142858</v>
      </c>
      <c r="AL23" s="106">
        <f t="shared" si="29"/>
        <v>7</v>
      </c>
      <c r="AM23" s="107">
        <f t="shared" si="30"/>
        <v>5.0909090909090908</v>
      </c>
    </row>
    <row r="24" spans="1:39" x14ac:dyDescent="0.25">
      <c r="A24" s="51">
        <v>2028</v>
      </c>
      <c r="B24" s="58">
        <f t="shared" si="31"/>
        <v>3.0700966072383817E-2</v>
      </c>
      <c r="C24" s="53">
        <f t="shared" si="32"/>
        <v>5.086215800858318E-2</v>
      </c>
      <c r="D24" s="56">
        <f t="shared" si="0"/>
        <v>8.1563124080966998E-2</v>
      </c>
      <c r="E24" s="72">
        <f t="shared" si="41"/>
        <v>5.4823153700685384E-2</v>
      </c>
      <c r="F24" s="72">
        <f t="shared" si="41"/>
        <v>9.0825282158184237E-2</v>
      </c>
      <c r="G24" s="72">
        <f t="shared" si="41"/>
        <v>0.14564843585886963</v>
      </c>
      <c r="H24" s="58">
        <f t="shared" si="34"/>
        <v>3.8488213697515095E-2</v>
      </c>
      <c r="I24" s="53">
        <f t="shared" si="35"/>
        <v>6.0728770326700876E-2</v>
      </c>
      <c r="J24" s="56">
        <f t="shared" si="36"/>
        <v>9.9216984024215971E-2</v>
      </c>
      <c r="K24" s="72">
        <f t="shared" si="42"/>
        <v>6.8728953031276949E-2</v>
      </c>
      <c r="L24" s="72">
        <f t="shared" si="42"/>
        <v>0.10844423272625156</v>
      </c>
      <c r="M24" s="72">
        <f t="shared" si="42"/>
        <v>0.1771731857575285</v>
      </c>
      <c r="N24" s="62">
        <f t="shared" si="43"/>
        <v>2.6666596808531076E-2</v>
      </c>
      <c r="O24" s="53">
        <f t="shared" si="44"/>
        <v>5.4203141058844495E-2</v>
      </c>
      <c r="P24" s="56">
        <f t="shared" si="38"/>
        <v>8.0869737867375571E-2</v>
      </c>
      <c r="Q24" s="72">
        <f t="shared" si="45"/>
        <v>4.7618922872376915E-2</v>
      </c>
      <c r="R24" s="72">
        <f t="shared" si="45"/>
        <v>9.6791323319365158E-2</v>
      </c>
      <c r="S24" s="72">
        <f t="shared" si="45"/>
        <v>0.14441024619174209</v>
      </c>
      <c r="T24" s="58">
        <f t="shared" si="54"/>
        <v>3.5000000000000003E-2</v>
      </c>
      <c r="U24" s="53">
        <f t="shared" si="59"/>
        <v>0.1</v>
      </c>
      <c r="V24" s="56">
        <f t="shared" si="55"/>
        <v>0.13500000000000001</v>
      </c>
      <c r="W24" s="72">
        <f t="shared" si="46"/>
        <v>6.25E-2</v>
      </c>
      <c r="X24" s="72">
        <f t="shared" si="46"/>
        <v>0.17857142857142858</v>
      </c>
      <c r="Y24" s="72">
        <f t="shared" si="46"/>
        <v>0.24107142857142858</v>
      </c>
      <c r="Z24" s="58">
        <f t="shared" si="51"/>
        <v>0.03</v>
      </c>
      <c r="AA24" s="53">
        <f t="shared" si="56"/>
        <v>0.08</v>
      </c>
      <c r="AB24" s="56">
        <f t="shared" si="57"/>
        <v>0.11</v>
      </c>
      <c r="AC24" s="72">
        <f t="shared" ref="AC24" si="62">Z24/$B$3</f>
        <v>5.3571428571428562E-2</v>
      </c>
      <c r="AD24" s="72">
        <f t="shared" si="24"/>
        <v>0.14285714285714285</v>
      </c>
      <c r="AE24" s="72">
        <f t="shared" si="24"/>
        <v>0.19642857142857142</v>
      </c>
      <c r="AF24" s="58">
        <f t="shared" si="53"/>
        <v>0.03</v>
      </c>
      <c r="AG24" s="129">
        <v>7.0000000000000007E-2</v>
      </c>
      <c r="AH24" s="56">
        <f t="shared" si="25"/>
        <v>0.1</v>
      </c>
      <c r="AI24" s="72">
        <f t="shared" si="48"/>
        <v>5.3571428571428562E-2</v>
      </c>
      <c r="AJ24" s="72">
        <f t="shared" si="27"/>
        <v>0.125</v>
      </c>
      <c r="AK24" s="72">
        <f t="shared" si="28"/>
        <v>0.17857142857142858</v>
      </c>
      <c r="AL24" s="106">
        <f t="shared" si="29"/>
        <v>7</v>
      </c>
      <c r="AM24" s="107">
        <f t="shared" si="30"/>
        <v>5.0909090909090908</v>
      </c>
    </row>
    <row r="25" spans="1:39" x14ac:dyDescent="0.25">
      <c r="A25" s="51">
        <v>2029</v>
      </c>
      <c r="B25" s="58">
        <f t="shared" si="31"/>
        <v>3.1055545179257349E-2</v>
      </c>
      <c r="C25" s="53">
        <f t="shared" si="32"/>
        <v>5.2469692437820403E-2</v>
      </c>
      <c r="D25" s="56">
        <f t="shared" si="0"/>
        <v>8.3525237617077752E-2</v>
      </c>
      <c r="E25" s="72">
        <f t="shared" si="41"/>
        <v>5.5456330677245258E-2</v>
      </c>
      <c r="F25" s="72">
        <f t="shared" si="41"/>
        <v>9.3695879353250716E-2</v>
      </c>
      <c r="G25" s="72">
        <f t="shared" si="41"/>
        <v>0.14915221003049597</v>
      </c>
      <c r="H25" s="58">
        <f t="shared" si="34"/>
        <v>3.9290176033239144E-2</v>
      </c>
      <c r="I25" s="53">
        <f t="shared" si="35"/>
        <v>6.2900108927754439E-2</v>
      </c>
      <c r="J25" s="56">
        <f t="shared" si="36"/>
        <v>0.10219028496099358</v>
      </c>
      <c r="K25" s="72">
        <f t="shared" si="42"/>
        <v>7.0161028630784175E-2</v>
      </c>
      <c r="L25" s="72">
        <f t="shared" si="42"/>
        <v>0.11232162308527577</v>
      </c>
      <c r="M25" s="72">
        <f t="shared" si="42"/>
        <v>0.18248265171605996</v>
      </c>
      <c r="N25" s="58">
        <f>$B$15</f>
        <v>2.6666596808531076E-2</v>
      </c>
      <c r="O25" s="53">
        <f t="shared" si="44"/>
        <v>5.6107748944581926E-2</v>
      </c>
      <c r="P25" s="56">
        <f t="shared" si="38"/>
        <v>8.2774345753113002E-2</v>
      </c>
      <c r="Q25" s="72">
        <f t="shared" si="45"/>
        <v>4.7618922872376915E-2</v>
      </c>
      <c r="R25" s="72">
        <f t="shared" si="45"/>
        <v>0.10019240882961057</v>
      </c>
      <c r="S25" s="72">
        <f t="shared" si="45"/>
        <v>0.14781133170198749</v>
      </c>
      <c r="T25" s="58">
        <f t="shared" si="54"/>
        <v>3.5000000000000003E-2</v>
      </c>
      <c r="U25" s="53">
        <f t="shared" si="59"/>
        <v>0.1</v>
      </c>
      <c r="V25" s="56">
        <f t="shared" si="55"/>
        <v>0.13500000000000001</v>
      </c>
      <c r="W25" s="72">
        <f t="shared" si="46"/>
        <v>6.25E-2</v>
      </c>
      <c r="X25" s="72">
        <f t="shared" si="46"/>
        <v>0.17857142857142858</v>
      </c>
      <c r="Y25" s="72">
        <f t="shared" si="46"/>
        <v>0.24107142857142858</v>
      </c>
      <c r="Z25" s="58">
        <f t="shared" si="51"/>
        <v>0.03</v>
      </c>
      <c r="AA25" s="53">
        <f t="shared" si="56"/>
        <v>0.08</v>
      </c>
      <c r="AB25" s="56">
        <f t="shared" si="57"/>
        <v>0.11</v>
      </c>
      <c r="AC25" s="72">
        <f t="shared" ref="AC25" si="63">Z25/$B$3</f>
        <v>5.3571428571428562E-2</v>
      </c>
      <c r="AD25" s="72">
        <f t="shared" si="24"/>
        <v>0.14285714285714285</v>
      </c>
      <c r="AE25" s="72">
        <f t="shared" si="24"/>
        <v>0.19642857142857142</v>
      </c>
      <c r="AF25" s="58">
        <f t="shared" si="53"/>
        <v>0.03</v>
      </c>
      <c r="AG25" s="130">
        <v>7.0499999999999993E-2</v>
      </c>
      <c r="AH25" s="56">
        <f t="shared" si="25"/>
        <v>0.10049999999999999</v>
      </c>
      <c r="AI25" s="72">
        <f t="shared" si="48"/>
        <v>5.3571428571428562E-2</v>
      </c>
      <c r="AJ25" s="72">
        <f t="shared" si="27"/>
        <v>0.12589285714285711</v>
      </c>
      <c r="AK25" s="72">
        <f t="shared" si="28"/>
        <v>0.17946428571428569</v>
      </c>
      <c r="AL25" s="106">
        <f t="shared" si="29"/>
        <v>7</v>
      </c>
      <c r="AM25" s="107">
        <f t="shared" si="30"/>
        <v>5.0909090909090908</v>
      </c>
    </row>
    <row r="26" spans="1:39" x14ac:dyDescent="0.25">
      <c r="A26" s="51">
        <v>2030</v>
      </c>
      <c r="B26" s="58">
        <f t="shared" si="31"/>
        <v>3.1410124286130991E-2</v>
      </c>
      <c r="C26" s="53">
        <f t="shared" si="32"/>
        <v>5.407722686705807E-2</v>
      </c>
      <c r="D26" s="56">
        <f t="shared" si="0"/>
        <v>8.5487351153189062E-2</v>
      </c>
      <c r="E26" s="72">
        <f t="shared" si="41"/>
        <v>5.608950765380534E-2</v>
      </c>
      <c r="F26" s="72">
        <f t="shared" si="41"/>
        <v>9.6566476548317973E-2</v>
      </c>
      <c r="G26" s="72">
        <f t="shared" si="41"/>
        <v>0.15265598420212331</v>
      </c>
      <c r="H26" s="58">
        <f t="shared" si="34"/>
        <v>4.0092138368963193E-2</v>
      </c>
      <c r="I26" s="53">
        <f t="shared" si="35"/>
        <v>6.5071447528808002E-2</v>
      </c>
      <c r="J26" s="56">
        <f t="shared" si="36"/>
        <v>0.10516358589777119</v>
      </c>
      <c r="K26" s="72">
        <f t="shared" si="42"/>
        <v>7.1593104230291416E-2</v>
      </c>
      <c r="L26" s="72">
        <f t="shared" si="42"/>
        <v>0.11619901344429999</v>
      </c>
      <c r="M26" s="72">
        <f t="shared" si="42"/>
        <v>0.18779211767459139</v>
      </c>
      <c r="N26" s="58">
        <f t="shared" si="43"/>
        <v>2.6666596808531076E-2</v>
      </c>
      <c r="O26" s="53">
        <f t="shared" si="44"/>
        <v>5.8012356830319356E-2</v>
      </c>
      <c r="P26" s="56">
        <f t="shared" si="38"/>
        <v>8.4678953638850432E-2</v>
      </c>
      <c r="Q26" s="72">
        <f t="shared" si="45"/>
        <v>4.7618922872376915E-2</v>
      </c>
      <c r="R26" s="72">
        <f t="shared" si="45"/>
        <v>0.10359349433985598</v>
      </c>
      <c r="S26" s="72">
        <f t="shared" si="45"/>
        <v>0.15121241721223291</v>
      </c>
      <c r="T26" s="58">
        <f t="shared" si="54"/>
        <v>3.5000000000000003E-2</v>
      </c>
      <c r="U26" s="53">
        <f t="shared" si="59"/>
        <v>0.1</v>
      </c>
      <c r="V26" s="56">
        <f t="shared" si="55"/>
        <v>0.13500000000000001</v>
      </c>
      <c r="W26" s="72">
        <f t="shared" si="46"/>
        <v>6.25E-2</v>
      </c>
      <c r="X26" s="72">
        <f t="shared" si="46"/>
        <v>0.17857142857142858</v>
      </c>
      <c r="Y26" s="72">
        <f t="shared" si="46"/>
        <v>0.24107142857142858</v>
      </c>
      <c r="Z26" s="58">
        <f t="shared" si="51"/>
        <v>0.03</v>
      </c>
      <c r="AA26" s="53">
        <f t="shared" si="56"/>
        <v>0.08</v>
      </c>
      <c r="AB26" s="56">
        <f t="shared" si="57"/>
        <v>0.11</v>
      </c>
      <c r="AC26" s="72">
        <f t="shared" ref="AC26" si="64">Z26/$B$3</f>
        <v>5.3571428571428562E-2</v>
      </c>
      <c r="AD26" s="72">
        <f t="shared" si="24"/>
        <v>0.14285714285714285</v>
      </c>
      <c r="AE26" s="72">
        <f t="shared" si="24"/>
        <v>0.19642857142857142</v>
      </c>
      <c r="AF26" s="58">
        <f t="shared" si="53"/>
        <v>0.03</v>
      </c>
      <c r="AG26" s="129">
        <v>7.1999999999999995E-2</v>
      </c>
      <c r="AH26" s="56">
        <f t="shared" si="25"/>
        <v>0.10199999999999999</v>
      </c>
      <c r="AI26" s="72">
        <f t="shared" si="48"/>
        <v>5.3571428571428562E-2</v>
      </c>
      <c r="AJ26" s="72">
        <f t="shared" si="27"/>
        <v>0.12857142857142856</v>
      </c>
      <c r="AK26" s="72">
        <f t="shared" si="28"/>
        <v>0.18214285714285711</v>
      </c>
      <c r="AL26" s="106">
        <f t="shared" si="29"/>
        <v>7</v>
      </c>
      <c r="AM26" s="107">
        <f t="shared" si="30"/>
        <v>5.0909090909090908</v>
      </c>
    </row>
    <row r="27" spans="1:39" x14ac:dyDescent="0.25">
      <c r="A27" s="51">
        <v>2031</v>
      </c>
      <c r="B27" s="58">
        <f t="shared" si="31"/>
        <v>3.1764703393004523E-2</v>
      </c>
      <c r="C27" s="53">
        <f t="shared" si="32"/>
        <v>5.5684761296295293E-2</v>
      </c>
      <c r="D27" s="56">
        <f t="shared" si="0"/>
        <v>8.7449464689299816E-2</v>
      </c>
      <c r="E27" s="72">
        <f t="shared" si="41"/>
        <v>5.6722684630365214E-2</v>
      </c>
      <c r="F27" s="72">
        <f t="shared" si="41"/>
        <v>9.9437073743384438E-2</v>
      </c>
      <c r="G27" s="72">
        <f t="shared" si="41"/>
        <v>0.15615975837374965</v>
      </c>
      <c r="H27" s="58">
        <f t="shared" si="34"/>
        <v>4.0894100704687242E-2</v>
      </c>
      <c r="I27" s="53">
        <f t="shared" si="35"/>
        <v>6.7242786129861565E-2</v>
      </c>
      <c r="J27" s="56">
        <f t="shared" si="36"/>
        <v>0.10813688683454881</v>
      </c>
      <c r="K27" s="72">
        <f t="shared" si="42"/>
        <v>7.3025179829798642E-2</v>
      </c>
      <c r="L27" s="72">
        <f t="shared" si="42"/>
        <v>0.12007640380332421</v>
      </c>
      <c r="M27" s="72">
        <f t="shared" si="42"/>
        <v>0.19310158363312285</v>
      </c>
      <c r="N27" s="58">
        <f t="shared" si="43"/>
        <v>2.6666596808531076E-2</v>
      </c>
      <c r="O27" s="53">
        <f t="shared" si="44"/>
        <v>5.9916964716057231E-2</v>
      </c>
      <c r="P27" s="56">
        <f t="shared" si="38"/>
        <v>8.6583561524588307E-2</v>
      </c>
      <c r="Q27" s="72">
        <f t="shared" si="45"/>
        <v>4.7618922872376915E-2</v>
      </c>
      <c r="R27" s="72">
        <f t="shared" si="45"/>
        <v>0.10699457985010219</v>
      </c>
      <c r="S27" s="72">
        <f t="shared" si="45"/>
        <v>0.15461350272247912</v>
      </c>
      <c r="T27" s="58">
        <f t="shared" si="54"/>
        <v>3.5000000000000003E-2</v>
      </c>
      <c r="U27" s="53">
        <f t="shared" si="59"/>
        <v>0.1</v>
      </c>
      <c r="V27" s="56">
        <f t="shared" si="55"/>
        <v>0.13500000000000001</v>
      </c>
      <c r="W27" s="72">
        <f t="shared" si="46"/>
        <v>6.25E-2</v>
      </c>
      <c r="X27" s="72">
        <f t="shared" si="46"/>
        <v>0.17857142857142858</v>
      </c>
      <c r="Y27" s="72">
        <f t="shared" si="46"/>
        <v>0.24107142857142858</v>
      </c>
      <c r="Z27" s="58">
        <f t="shared" si="51"/>
        <v>0.03</v>
      </c>
      <c r="AA27" s="53">
        <f t="shared" si="56"/>
        <v>0.08</v>
      </c>
      <c r="AB27" s="56">
        <f t="shared" si="57"/>
        <v>0.11</v>
      </c>
      <c r="AC27" s="72">
        <f t="shared" ref="AC27" si="65">Z27/$B$3</f>
        <v>5.3571428571428562E-2</v>
      </c>
      <c r="AD27" s="72">
        <f t="shared" si="24"/>
        <v>0.14285714285714285</v>
      </c>
      <c r="AE27" s="72">
        <f t="shared" si="24"/>
        <v>0.19642857142857142</v>
      </c>
      <c r="AF27" s="58">
        <f t="shared" si="53"/>
        <v>0.03</v>
      </c>
      <c r="AG27" s="71">
        <f t="shared" ref="AG27:AG44" si="66">(AG$46-AG$26)/($A$46-$A$26) + AG26</f>
        <v>7.3399999999999993E-2</v>
      </c>
      <c r="AH27" s="56">
        <f t="shared" si="25"/>
        <v>0.10339999999999999</v>
      </c>
      <c r="AI27" s="72">
        <f t="shared" si="48"/>
        <v>5.3571428571428562E-2</v>
      </c>
      <c r="AJ27" s="72">
        <f t="shared" si="27"/>
        <v>0.13107142857142853</v>
      </c>
      <c r="AK27" s="72">
        <f t="shared" si="28"/>
        <v>0.18464285714285711</v>
      </c>
      <c r="AL27" s="106">
        <f t="shared" si="29"/>
        <v>7</v>
      </c>
      <c r="AM27" s="107">
        <f t="shared" si="30"/>
        <v>5.0909090909090908</v>
      </c>
    </row>
    <row r="28" spans="1:39" x14ac:dyDescent="0.25">
      <c r="A28" s="51">
        <v>2032</v>
      </c>
      <c r="B28" s="58">
        <f t="shared" si="31"/>
        <v>3.2119282499878166E-2</v>
      </c>
      <c r="C28" s="53">
        <f t="shared" si="32"/>
        <v>5.7292295725532516E-2</v>
      </c>
      <c r="D28" s="56">
        <f t="shared" si="0"/>
        <v>8.9411578225410682E-2</v>
      </c>
      <c r="E28" s="72">
        <f t="shared" si="41"/>
        <v>5.7355861606925289E-2</v>
      </c>
      <c r="F28" s="72">
        <f t="shared" si="41"/>
        <v>0.10230767093845092</v>
      </c>
      <c r="G28" s="72">
        <f t="shared" si="41"/>
        <v>0.15966353254537621</v>
      </c>
      <c r="H28" s="58">
        <f t="shared" si="34"/>
        <v>4.1696063040411513E-2</v>
      </c>
      <c r="I28" s="53">
        <f t="shared" si="35"/>
        <v>6.9414124730915128E-2</v>
      </c>
      <c r="J28" s="56">
        <f t="shared" si="36"/>
        <v>0.11111018777132664</v>
      </c>
      <c r="K28" s="72">
        <f t="shared" si="42"/>
        <v>7.4457255429306271E-2</v>
      </c>
      <c r="L28" s="72">
        <f t="shared" si="42"/>
        <v>0.12395379416234843</v>
      </c>
      <c r="M28" s="72">
        <f t="shared" si="42"/>
        <v>0.1984110495916547</v>
      </c>
      <c r="N28" s="58">
        <f t="shared" si="43"/>
        <v>2.6666596808531076E-2</v>
      </c>
      <c r="O28" s="53">
        <f t="shared" si="44"/>
        <v>6.1821572601794661E-2</v>
      </c>
      <c r="P28" s="56">
        <f t="shared" si="38"/>
        <v>8.8488169410325737E-2</v>
      </c>
      <c r="Q28" s="72">
        <f t="shared" si="45"/>
        <v>4.7618922872376915E-2</v>
      </c>
      <c r="R28" s="72">
        <f t="shared" si="45"/>
        <v>0.1103956653603476</v>
      </c>
      <c r="S28" s="72">
        <f t="shared" si="45"/>
        <v>0.15801458823272452</v>
      </c>
      <c r="T28" s="58">
        <f t="shared" si="54"/>
        <v>3.5000000000000003E-2</v>
      </c>
      <c r="U28" s="53">
        <f t="shared" si="59"/>
        <v>0.1</v>
      </c>
      <c r="V28" s="56">
        <f t="shared" si="55"/>
        <v>0.13500000000000001</v>
      </c>
      <c r="W28" s="72">
        <f t="shared" si="46"/>
        <v>6.25E-2</v>
      </c>
      <c r="X28" s="72">
        <f t="shared" si="46"/>
        <v>0.17857142857142858</v>
      </c>
      <c r="Y28" s="72">
        <f t="shared" si="46"/>
        <v>0.24107142857142858</v>
      </c>
      <c r="Z28" s="58">
        <f t="shared" si="51"/>
        <v>0.03</v>
      </c>
      <c r="AA28" s="53">
        <f t="shared" si="56"/>
        <v>0.08</v>
      </c>
      <c r="AB28" s="56">
        <f t="shared" si="57"/>
        <v>0.11</v>
      </c>
      <c r="AC28" s="72">
        <f t="shared" ref="AC28" si="67">Z28/$B$3</f>
        <v>5.3571428571428562E-2</v>
      </c>
      <c r="AD28" s="72">
        <f t="shared" si="24"/>
        <v>0.14285714285714285</v>
      </c>
      <c r="AE28" s="72">
        <f t="shared" si="24"/>
        <v>0.19642857142857142</v>
      </c>
      <c r="AF28" s="58">
        <f t="shared" si="53"/>
        <v>0.03</v>
      </c>
      <c r="AG28" s="71">
        <f t="shared" si="66"/>
        <v>7.4799999999999991E-2</v>
      </c>
      <c r="AH28" s="56">
        <f t="shared" si="25"/>
        <v>0.10479999999999999</v>
      </c>
      <c r="AI28" s="72">
        <f t="shared" si="48"/>
        <v>5.3571428571428562E-2</v>
      </c>
      <c r="AJ28" s="72">
        <f t="shared" si="27"/>
        <v>0.13357142857142854</v>
      </c>
      <c r="AK28" s="72">
        <f t="shared" si="28"/>
        <v>0.18714285714285711</v>
      </c>
      <c r="AL28" s="106">
        <f t="shared" si="29"/>
        <v>7</v>
      </c>
      <c r="AM28" s="107">
        <f t="shared" si="30"/>
        <v>5.0909090909090908</v>
      </c>
    </row>
    <row r="29" spans="1:39" x14ac:dyDescent="0.25">
      <c r="A29" s="51">
        <v>2033</v>
      </c>
      <c r="B29" s="58">
        <f t="shared" si="31"/>
        <v>3.2473861606751808E-2</v>
      </c>
      <c r="C29" s="53">
        <f t="shared" si="32"/>
        <v>5.8899830154770183E-2</v>
      </c>
      <c r="D29" s="56">
        <f t="shared" si="0"/>
        <v>9.1373691761521991E-2</v>
      </c>
      <c r="E29" s="72">
        <f t="shared" si="41"/>
        <v>5.7989038583485364E-2</v>
      </c>
      <c r="F29" s="72">
        <f t="shared" si="41"/>
        <v>0.10517826813351817</v>
      </c>
      <c r="G29" s="72">
        <f t="shared" si="41"/>
        <v>0.16316730671700355</v>
      </c>
      <c r="H29" s="58">
        <f t="shared" si="34"/>
        <v>4.2498025376135562E-2</v>
      </c>
      <c r="I29" s="53">
        <f t="shared" si="35"/>
        <v>7.1585463331968691E-2</v>
      </c>
      <c r="J29" s="56">
        <f t="shared" si="36"/>
        <v>0.11408348870810425</v>
      </c>
      <c r="K29" s="72">
        <f t="shared" si="42"/>
        <v>7.5889331028813498E-2</v>
      </c>
      <c r="L29" s="72">
        <f t="shared" si="42"/>
        <v>0.12783118452137265</v>
      </c>
      <c r="M29" s="72">
        <f t="shared" si="42"/>
        <v>0.20372051555018614</v>
      </c>
      <c r="N29" s="58">
        <f t="shared" si="43"/>
        <v>2.6666596808531076E-2</v>
      </c>
      <c r="O29" s="53">
        <f t="shared" si="44"/>
        <v>6.3726180487532091E-2</v>
      </c>
      <c r="P29" s="56">
        <f t="shared" si="38"/>
        <v>9.0392777296063168E-2</v>
      </c>
      <c r="Q29" s="72">
        <f t="shared" si="45"/>
        <v>4.7618922872376915E-2</v>
      </c>
      <c r="R29" s="72">
        <f t="shared" si="45"/>
        <v>0.11379675087059302</v>
      </c>
      <c r="S29" s="72">
        <f t="shared" si="45"/>
        <v>0.16141567374296992</v>
      </c>
      <c r="T29" s="58">
        <f t="shared" si="54"/>
        <v>3.5000000000000003E-2</v>
      </c>
      <c r="U29" s="53">
        <f t="shared" si="59"/>
        <v>0.1</v>
      </c>
      <c r="V29" s="56">
        <f t="shared" si="55"/>
        <v>0.13500000000000001</v>
      </c>
      <c r="W29" s="72">
        <f t="shared" si="46"/>
        <v>6.25E-2</v>
      </c>
      <c r="X29" s="72">
        <f t="shared" si="46"/>
        <v>0.17857142857142858</v>
      </c>
      <c r="Y29" s="72">
        <f t="shared" si="46"/>
        <v>0.24107142857142858</v>
      </c>
      <c r="Z29" s="58">
        <f t="shared" si="51"/>
        <v>0.03</v>
      </c>
      <c r="AA29" s="53">
        <f t="shared" si="56"/>
        <v>0.08</v>
      </c>
      <c r="AB29" s="56">
        <f t="shared" si="57"/>
        <v>0.11</v>
      </c>
      <c r="AC29" s="72">
        <f t="shared" ref="AC29" si="68">Z29/$B$3</f>
        <v>5.3571428571428562E-2</v>
      </c>
      <c r="AD29" s="72">
        <f t="shared" si="24"/>
        <v>0.14285714285714285</v>
      </c>
      <c r="AE29" s="72">
        <f t="shared" si="24"/>
        <v>0.19642857142857142</v>
      </c>
      <c r="AF29" s="58">
        <f t="shared" si="53"/>
        <v>0.03</v>
      </c>
      <c r="AG29" s="71">
        <f t="shared" si="66"/>
        <v>7.619999999999999E-2</v>
      </c>
      <c r="AH29" s="56">
        <f t="shared" si="25"/>
        <v>0.10619999999999999</v>
      </c>
      <c r="AI29" s="72">
        <f t="shared" si="48"/>
        <v>5.3571428571428562E-2</v>
      </c>
      <c r="AJ29" s="72">
        <f t="shared" si="27"/>
        <v>0.13607142857142854</v>
      </c>
      <c r="AK29" s="72">
        <f t="shared" si="28"/>
        <v>0.18964285714285711</v>
      </c>
      <c r="AL29" s="106">
        <f t="shared" si="29"/>
        <v>7</v>
      </c>
      <c r="AM29" s="107">
        <f t="shared" si="30"/>
        <v>5.0909090909090908</v>
      </c>
    </row>
    <row r="30" spans="1:39" x14ac:dyDescent="0.25">
      <c r="A30" s="51">
        <v>2034</v>
      </c>
      <c r="B30" s="58">
        <f t="shared" si="31"/>
        <v>3.282844071362534E-2</v>
      </c>
      <c r="C30" s="53">
        <f t="shared" si="32"/>
        <v>6.0507364584007406E-2</v>
      </c>
      <c r="D30" s="56">
        <f t="shared" si="0"/>
        <v>9.3335805297632746E-2</v>
      </c>
      <c r="E30" s="72">
        <f t="shared" si="41"/>
        <v>5.8622215560045245E-2</v>
      </c>
      <c r="F30" s="72">
        <f t="shared" si="41"/>
        <v>0.10804886532858464</v>
      </c>
      <c r="G30" s="72">
        <f t="shared" si="41"/>
        <v>0.16667108088862989</v>
      </c>
      <c r="H30" s="58">
        <f t="shared" si="34"/>
        <v>4.3299987711859611E-2</v>
      </c>
      <c r="I30" s="53">
        <f t="shared" si="35"/>
        <v>7.3756801933022254E-2</v>
      </c>
      <c r="J30" s="56">
        <f t="shared" si="36"/>
        <v>0.11705678964488186</v>
      </c>
      <c r="K30" s="72">
        <f t="shared" si="42"/>
        <v>7.7321406628320724E-2</v>
      </c>
      <c r="L30" s="72">
        <f t="shared" si="42"/>
        <v>0.13170857488039686</v>
      </c>
      <c r="M30" s="72">
        <f t="shared" si="42"/>
        <v>0.2090299815087176</v>
      </c>
      <c r="N30" s="58">
        <f t="shared" si="43"/>
        <v>2.6666596808531076E-2</v>
      </c>
      <c r="O30" s="53">
        <f t="shared" si="44"/>
        <v>6.5630788373269522E-2</v>
      </c>
      <c r="P30" s="56">
        <f t="shared" si="38"/>
        <v>9.2297385181800598E-2</v>
      </c>
      <c r="Q30" s="72">
        <f t="shared" si="45"/>
        <v>4.7618922872376915E-2</v>
      </c>
      <c r="R30" s="72">
        <f t="shared" si="45"/>
        <v>0.11719783638083842</v>
      </c>
      <c r="S30" s="72">
        <f t="shared" si="45"/>
        <v>0.16481675925321534</v>
      </c>
      <c r="T30" s="58">
        <f t="shared" si="54"/>
        <v>3.5000000000000003E-2</v>
      </c>
      <c r="U30" s="53">
        <f t="shared" si="59"/>
        <v>0.1</v>
      </c>
      <c r="V30" s="56">
        <f t="shared" si="55"/>
        <v>0.13500000000000001</v>
      </c>
      <c r="W30" s="72">
        <f t="shared" si="46"/>
        <v>6.25E-2</v>
      </c>
      <c r="X30" s="72">
        <f t="shared" si="46"/>
        <v>0.17857142857142858</v>
      </c>
      <c r="Y30" s="72">
        <f t="shared" si="46"/>
        <v>0.24107142857142858</v>
      </c>
      <c r="Z30" s="58">
        <f t="shared" si="51"/>
        <v>0.03</v>
      </c>
      <c r="AA30" s="53">
        <f t="shared" si="56"/>
        <v>0.08</v>
      </c>
      <c r="AB30" s="56">
        <f t="shared" si="57"/>
        <v>0.11</v>
      </c>
      <c r="AC30" s="72">
        <f t="shared" ref="AC30" si="69">Z30/$B$3</f>
        <v>5.3571428571428562E-2</v>
      </c>
      <c r="AD30" s="72">
        <f t="shared" si="24"/>
        <v>0.14285714285714285</v>
      </c>
      <c r="AE30" s="72">
        <f t="shared" si="24"/>
        <v>0.19642857142857142</v>
      </c>
      <c r="AF30" s="58">
        <f t="shared" si="53"/>
        <v>0.03</v>
      </c>
      <c r="AG30" s="71">
        <f t="shared" si="66"/>
        <v>7.7599999999999988E-2</v>
      </c>
      <c r="AH30" s="56">
        <f t="shared" si="25"/>
        <v>0.10759999999999999</v>
      </c>
      <c r="AI30" s="72">
        <f t="shared" si="48"/>
        <v>5.3571428571428562E-2</v>
      </c>
      <c r="AJ30" s="72">
        <f t="shared" si="27"/>
        <v>0.13857142857142854</v>
      </c>
      <c r="AK30" s="72">
        <f t="shared" si="28"/>
        <v>0.19214285714285712</v>
      </c>
      <c r="AL30" s="106">
        <f t="shared" si="29"/>
        <v>7</v>
      </c>
      <c r="AM30" s="107">
        <f t="shared" si="30"/>
        <v>5.0909090909090908</v>
      </c>
    </row>
    <row r="31" spans="1:39" x14ac:dyDescent="0.25">
      <c r="A31" s="51">
        <v>2035</v>
      </c>
      <c r="B31" s="58">
        <f t="shared" si="31"/>
        <v>3.3183019820498982E-2</v>
      </c>
      <c r="C31" s="53">
        <f t="shared" si="32"/>
        <v>6.2114899013245073E-2</v>
      </c>
      <c r="D31" s="56">
        <f t="shared" si="0"/>
        <v>9.5297918833744055E-2</v>
      </c>
      <c r="E31" s="72">
        <f t="shared" si="41"/>
        <v>5.925539253660532E-2</v>
      </c>
      <c r="F31" s="72">
        <f t="shared" si="41"/>
        <v>0.11091946252365191</v>
      </c>
      <c r="G31" s="72">
        <f t="shared" si="41"/>
        <v>0.17017485506025723</v>
      </c>
      <c r="H31" s="58">
        <f t="shared" si="34"/>
        <v>4.410195004758366E-2</v>
      </c>
      <c r="I31" s="53">
        <f t="shared" si="35"/>
        <v>7.5928140534074928E-2</v>
      </c>
      <c r="J31" s="56">
        <f t="shared" si="36"/>
        <v>0.12003009058165859</v>
      </c>
      <c r="K31" s="72">
        <f t="shared" si="42"/>
        <v>7.8753482227827951E-2</v>
      </c>
      <c r="L31" s="72">
        <f t="shared" si="42"/>
        <v>0.13558596523941951</v>
      </c>
      <c r="M31" s="72">
        <f t="shared" si="42"/>
        <v>0.21433944746724745</v>
      </c>
      <c r="N31" s="58">
        <f t="shared" si="43"/>
        <v>2.6666596808531076E-2</v>
      </c>
      <c r="O31" s="53">
        <f t="shared" si="44"/>
        <v>6.7535396259006952E-2</v>
      </c>
      <c r="P31" s="56">
        <f t="shared" si="38"/>
        <v>9.4201993067538028E-2</v>
      </c>
      <c r="Q31" s="72">
        <f t="shared" si="45"/>
        <v>4.7618922872376915E-2</v>
      </c>
      <c r="R31" s="72">
        <f t="shared" si="45"/>
        <v>0.12059892189108383</v>
      </c>
      <c r="S31" s="72">
        <f t="shared" si="45"/>
        <v>0.16821784476346074</v>
      </c>
      <c r="T31" s="58">
        <f t="shared" ref="T31:T38" si="70">T30</f>
        <v>3.5000000000000003E-2</v>
      </c>
      <c r="U31" s="53">
        <f t="shared" ref="U31:U38" si="71">U30</f>
        <v>0.1</v>
      </c>
      <c r="V31" s="56">
        <f t="shared" si="55"/>
        <v>0.13500000000000001</v>
      </c>
      <c r="W31" s="72">
        <f t="shared" si="46"/>
        <v>6.25E-2</v>
      </c>
      <c r="X31" s="72">
        <f t="shared" si="46"/>
        <v>0.17857142857142858</v>
      </c>
      <c r="Y31" s="72">
        <f t="shared" si="46"/>
        <v>0.24107142857142858</v>
      </c>
      <c r="Z31" s="58">
        <f t="shared" si="51"/>
        <v>0.03</v>
      </c>
      <c r="AA31" s="53">
        <f t="shared" si="56"/>
        <v>0.08</v>
      </c>
      <c r="AB31" s="56">
        <f t="shared" si="57"/>
        <v>0.11</v>
      </c>
      <c r="AC31" s="72">
        <f t="shared" ref="AC31" si="72">Z31/$B$3</f>
        <v>5.3571428571428562E-2</v>
      </c>
      <c r="AD31" s="72">
        <f t="shared" si="24"/>
        <v>0.14285714285714285</v>
      </c>
      <c r="AE31" s="72">
        <f t="shared" si="24"/>
        <v>0.19642857142857142</v>
      </c>
      <c r="AF31" s="58">
        <f t="shared" si="53"/>
        <v>0.03</v>
      </c>
      <c r="AG31" s="71">
        <f t="shared" si="66"/>
        <v>7.8999999999999987E-2</v>
      </c>
      <c r="AH31" s="56">
        <f t="shared" si="25"/>
        <v>0.10899999999999999</v>
      </c>
      <c r="AI31" s="72">
        <f t="shared" si="48"/>
        <v>5.3571428571428562E-2</v>
      </c>
      <c r="AJ31" s="72">
        <f t="shared" si="27"/>
        <v>0.14107142857142854</v>
      </c>
      <c r="AK31" s="72">
        <f t="shared" si="28"/>
        <v>0.19464285714285709</v>
      </c>
      <c r="AL31" s="106">
        <f t="shared" si="29"/>
        <v>7</v>
      </c>
      <c r="AM31" s="107">
        <f t="shared" si="30"/>
        <v>5.0909090909090908</v>
      </c>
    </row>
    <row r="32" spans="1:39" x14ac:dyDescent="0.25">
      <c r="A32" s="51">
        <v>2036</v>
      </c>
      <c r="B32" s="58">
        <f t="shared" si="31"/>
        <v>3.3537598927372514E-2</v>
      </c>
      <c r="C32" s="53">
        <f t="shared" si="32"/>
        <v>6.3722433442482296E-2</v>
      </c>
      <c r="D32" s="56">
        <f t="shared" si="0"/>
        <v>9.726003236985481E-2</v>
      </c>
      <c r="E32" s="72">
        <f t="shared" si="41"/>
        <v>5.98885695131652E-2</v>
      </c>
      <c r="F32" s="72">
        <f t="shared" si="41"/>
        <v>0.11379005971871838</v>
      </c>
      <c r="G32" s="72">
        <f t="shared" si="41"/>
        <v>0.17367862923188357</v>
      </c>
      <c r="H32" s="58">
        <f t="shared" si="34"/>
        <v>4.4903912383307709E-2</v>
      </c>
      <c r="I32" s="53">
        <f t="shared" si="35"/>
        <v>7.8099479135128491E-2</v>
      </c>
      <c r="J32" s="56">
        <f t="shared" si="36"/>
        <v>0.1230033915184362</v>
      </c>
      <c r="K32" s="72">
        <f t="shared" si="42"/>
        <v>8.0185557827335191E-2</v>
      </c>
      <c r="L32" s="72">
        <f t="shared" si="42"/>
        <v>0.13946335559844372</v>
      </c>
      <c r="M32" s="72">
        <f t="shared" si="42"/>
        <v>0.21964891342577891</v>
      </c>
      <c r="N32" s="58">
        <f t="shared" si="43"/>
        <v>2.6666596808531076E-2</v>
      </c>
      <c r="O32" s="53">
        <f t="shared" si="44"/>
        <v>6.9440004144744827E-2</v>
      </c>
      <c r="P32" s="56">
        <f t="shared" si="38"/>
        <v>9.6106600953275903E-2</v>
      </c>
      <c r="Q32" s="72">
        <f t="shared" si="45"/>
        <v>4.7618922872376915E-2</v>
      </c>
      <c r="R32" s="72">
        <f t="shared" si="45"/>
        <v>0.12400000740133003</v>
      </c>
      <c r="S32" s="72">
        <f t="shared" si="45"/>
        <v>0.17161893027370695</v>
      </c>
      <c r="T32" s="58">
        <f t="shared" si="70"/>
        <v>3.5000000000000003E-2</v>
      </c>
      <c r="U32" s="53">
        <f t="shared" si="71"/>
        <v>0.1</v>
      </c>
      <c r="V32" s="56">
        <f t="shared" si="55"/>
        <v>0.13500000000000001</v>
      </c>
      <c r="W32" s="72">
        <f t="shared" si="46"/>
        <v>6.25E-2</v>
      </c>
      <c r="X32" s="72">
        <f t="shared" si="46"/>
        <v>0.17857142857142858</v>
      </c>
      <c r="Y32" s="72">
        <f t="shared" si="46"/>
        <v>0.24107142857142858</v>
      </c>
      <c r="Z32" s="58">
        <f t="shared" si="51"/>
        <v>0.03</v>
      </c>
      <c r="AA32" s="53">
        <f t="shared" si="56"/>
        <v>0.08</v>
      </c>
      <c r="AB32" s="56">
        <f t="shared" si="57"/>
        <v>0.11</v>
      </c>
      <c r="AC32" s="72">
        <f t="shared" ref="AC32" si="73">Z32/$B$3</f>
        <v>5.3571428571428562E-2</v>
      </c>
      <c r="AD32" s="72">
        <f t="shared" si="24"/>
        <v>0.14285714285714285</v>
      </c>
      <c r="AE32" s="72">
        <f t="shared" si="24"/>
        <v>0.19642857142857142</v>
      </c>
      <c r="AF32" s="58">
        <f t="shared" si="53"/>
        <v>0.03</v>
      </c>
      <c r="AG32" s="71">
        <f t="shared" si="66"/>
        <v>8.0399999999999985E-2</v>
      </c>
      <c r="AH32" s="56">
        <f t="shared" si="25"/>
        <v>0.11039999999999998</v>
      </c>
      <c r="AI32" s="72">
        <f t="shared" si="48"/>
        <v>5.3571428571428562E-2</v>
      </c>
      <c r="AJ32" s="72">
        <f t="shared" si="27"/>
        <v>0.14357142857142854</v>
      </c>
      <c r="AK32" s="72">
        <f t="shared" si="28"/>
        <v>0.19714285714285709</v>
      </c>
      <c r="AL32" s="106">
        <f t="shared" si="29"/>
        <v>7</v>
      </c>
      <c r="AM32" s="107">
        <f t="shared" si="30"/>
        <v>5.0909090909090908</v>
      </c>
    </row>
    <row r="33" spans="1:39" x14ac:dyDescent="0.25">
      <c r="A33" s="51">
        <v>2037</v>
      </c>
      <c r="B33" s="58">
        <f t="shared" si="31"/>
        <v>3.3892178034246156E-2</v>
      </c>
      <c r="C33" s="53">
        <f t="shared" si="32"/>
        <v>6.5329967871719963E-2</v>
      </c>
      <c r="D33" s="56">
        <f t="shared" si="0"/>
        <v>9.9222145905966119E-2</v>
      </c>
      <c r="E33" s="72">
        <f t="shared" ref="E33:G48" si="74">B33/$B$3</f>
        <v>6.0521746489725275E-2</v>
      </c>
      <c r="F33" s="72">
        <f t="shared" si="74"/>
        <v>0.11666065691378563</v>
      </c>
      <c r="G33" s="72">
        <f t="shared" si="74"/>
        <v>0.17718240340351091</v>
      </c>
      <c r="H33" s="58">
        <f t="shared" si="34"/>
        <v>4.570587471903198E-2</v>
      </c>
      <c r="I33" s="53">
        <f t="shared" si="35"/>
        <v>8.0270817736182054E-2</v>
      </c>
      <c r="J33" s="56">
        <f t="shared" si="36"/>
        <v>0.12597669245521403</v>
      </c>
      <c r="K33" s="72">
        <f t="shared" ref="K33:M48" si="75">H33/$B$3</f>
        <v>8.161763342684282E-2</v>
      </c>
      <c r="L33" s="72">
        <f t="shared" si="75"/>
        <v>0.14334074595746793</v>
      </c>
      <c r="M33" s="72">
        <f t="shared" si="75"/>
        <v>0.22495837938431076</v>
      </c>
      <c r="N33" s="58">
        <f t="shared" si="43"/>
        <v>2.6666596808531076E-2</v>
      </c>
      <c r="O33" s="53">
        <f t="shared" si="44"/>
        <v>7.1344612030482257E-2</v>
      </c>
      <c r="P33" s="56">
        <f t="shared" si="38"/>
        <v>9.8011208839013333E-2</v>
      </c>
      <c r="Q33" s="72">
        <f t="shared" ref="Q33:S48" si="76">N33/$B$3</f>
        <v>4.7618922872376915E-2</v>
      </c>
      <c r="R33" s="72">
        <f t="shared" si="76"/>
        <v>0.12740109291157545</v>
      </c>
      <c r="S33" s="72">
        <f t="shared" si="76"/>
        <v>0.17502001578395238</v>
      </c>
      <c r="T33" s="58">
        <f t="shared" si="70"/>
        <v>3.5000000000000003E-2</v>
      </c>
      <c r="U33" s="53">
        <f t="shared" si="71"/>
        <v>0.1</v>
      </c>
      <c r="V33" s="56">
        <f t="shared" si="55"/>
        <v>0.13500000000000001</v>
      </c>
      <c r="W33" s="72">
        <f t="shared" ref="W33:Y48" si="77">T33/$B$3</f>
        <v>6.25E-2</v>
      </c>
      <c r="X33" s="72">
        <f t="shared" si="77"/>
        <v>0.17857142857142858</v>
      </c>
      <c r="Y33" s="72">
        <f t="shared" si="77"/>
        <v>0.24107142857142858</v>
      </c>
      <c r="Z33" s="58">
        <f t="shared" si="51"/>
        <v>0.03</v>
      </c>
      <c r="AA33" s="53">
        <f t="shared" si="56"/>
        <v>0.08</v>
      </c>
      <c r="AB33" s="56">
        <f t="shared" si="57"/>
        <v>0.11</v>
      </c>
      <c r="AC33" s="72">
        <f t="shared" ref="AC33" si="78">Z33/$B$3</f>
        <v>5.3571428571428562E-2</v>
      </c>
      <c r="AD33" s="72">
        <f t="shared" si="24"/>
        <v>0.14285714285714285</v>
      </c>
      <c r="AE33" s="72">
        <f t="shared" si="24"/>
        <v>0.19642857142857142</v>
      </c>
      <c r="AF33" s="58">
        <f t="shared" si="53"/>
        <v>0.03</v>
      </c>
      <c r="AG33" s="71">
        <f t="shared" si="66"/>
        <v>8.1799999999999984E-2</v>
      </c>
      <c r="AH33" s="56">
        <f t="shared" si="25"/>
        <v>0.11179999999999998</v>
      </c>
      <c r="AI33" s="72">
        <f t="shared" si="48"/>
        <v>5.3571428571428562E-2</v>
      </c>
      <c r="AJ33" s="72">
        <f t="shared" si="27"/>
        <v>0.14607142857142852</v>
      </c>
      <c r="AK33" s="72">
        <f t="shared" si="28"/>
        <v>0.19964285714285709</v>
      </c>
      <c r="AL33" s="106">
        <f t="shared" si="29"/>
        <v>7</v>
      </c>
      <c r="AM33" s="107">
        <f t="shared" si="30"/>
        <v>5.0909090909090908</v>
      </c>
    </row>
    <row r="34" spans="1:39" x14ac:dyDescent="0.25">
      <c r="A34" s="51">
        <v>2038</v>
      </c>
      <c r="B34" s="58">
        <f t="shared" si="31"/>
        <v>3.4246757141119688E-2</v>
      </c>
      <c r="C34" s="53">
        <f t="shared" si="32"/>
        <v>6.6937502300957186E-2</v>
      </c>
      <c r="D34" s="56">
        <f t="shared" si="0"/>
        <v>0.10118425944207687</v>
      </c>
      <c r="E34" s="72">
        <f t="shared" si="74"/>
        <v>6.1154923466285149E-2</v>
      </c>
      <c r="F34" s="72">
        <f t="shared" si="74"/>
        <v>0.11953125410885211</v>
      </c>
      <c r="G34" s="72">
        <f t="shared" si="74"/>
        <v>0.18068617757513725</v>
      </c>
      <c r="H34" s="58">
        <f t="shared" si="34"/>
        <v>4.6507837054756029E-2</v>
      </c>
      <c r="I34" s="53">
        <f t="shared" si="35"/>
        <v>8.2442156337235617E-2</v>
      </c>
      <c r="J34" s="56">
        <f t="shared" si="36"/>
        <v>0.12894999339199165</v>
      </c>
      <c r="K34" s="72">
        <f t="shared" si="75"/>
        <v>8.3049709026350046E-2</v>
      </c>
      <c r="L34" s="72">
        <f t="shared" si="75"/>
        <v>0.14721813631649217</v>
      </c>
      <c r="M34" s="72">
        <f t="shared" si="75"/>
        <v>0.2302678453428422</v>
      </c>
      <c r="N34" s="58">
        <f t="shared" si="43"/>
        <v>2.6666596808531076E-2</v>
      </c>
      <c r="O34" s="53">
        <f t="shared" si="44"/>
        <v>7.3249219916219688E-2</v>
      </c>
      <c r="P34" s="56">
        <f t="shared" si="38"/>
        <v>9.9915816724750764E-2</v>
      </c>
      <c r="Q34" s="72">
        <f t="shared" si="76"/>
        <v>4.7618922872376915E-2</v>
      </c>
      <c r="R34" s="72">
        <f t="shared" si="76"/>
        <v>0.13080217842182085</v>
      </c>
      <c r="S34" s="72">
        <f t="shared" si="76"/>
        <v>0.17842110129419778</v>
      </c>
      <c r="T34" s="58">
        <f t="shared" si="70"/>
        <v>3.5000000000000003E-2</v>
      </c>
      <c r="U34" s="53">
        <f t="shared" si="71"/>
        <v>0.1</v>
      </c>
      <c r="V34" s="56">
        <f t="shared" si="55"/>
        <v>0.13500000000000001</v>
      </c>
      <c r="W34" s="72">
        <f t="shared" si="77"/>
        <v>6.25E-2</v>
      </c>
      <c r="X34" s="72">
        <f t="shared" si="77"/>
        <v>0.17857142857142858</v>
      </c>
      <c r="Y34" s="72">
        <f t="shared" si="77"/>
        <v>0.24107142857142858</v>
      </c>
      <c r="Z34" s="58">
        <f t="shared" si="51"/>
        <v>0.03</v>
      </c>
      <c r="AA34" s="53">
        <f t="shared" si="56"/>
        <v>0.08</v>
      </c>
      <c r="AB34" s="56">
        <f t="shared" si="57"/>
        <v>0.11</v>
      </c>
      <c r="AC34" s="72">
        <f t="shared" ref="AC34" si="79">Z34/$B$3</f>
        <v>5.3571428571428562E-2</v>
      </c>
      <c r="AD34" s="72">
        <f t="shared" si="24"/>
        <v>0.14285714285714285</v>
      </c>
      <c r="AE34" s="72">
        <f t="shared" si="24"/>
        <v>0.19642857142857142</v>
      </c>
      <c r="AF34" s="58">
        <f t="shared" si="53"/>
        <v>0.03</v>
      </c>
      <c r="AG34" s="71">
        <f t="shared" si="66"/>
        <v>8.3199999999999982E-2</v>
      </c>
      <c r="AH34" s="56">
        <f t="shared" si="25"/>
        <v>0.11319999999999998</v>
      </c>
      <c r="AI34" s="72">
        <f t="shared" si="48"/>
        <v>5.3571428571428562E-2</v>
      </c>
      <c r="AJ34" s="72">
        <f t="shared" si="27"/>
        <v>0.14857142857142852</v>
      </c>
      <c r="AK34" s="72">
        <f t="shared" si="28"/>
        <v>0.2021428571428571</v>
      </c>
      <c r="AL34" s="106">
        <f t="shared" si="29"/>
        <v>7</v>
      </c>
      <c r="AM34" s="107">
        <f t="shared" si="30"/>
        <v>5.0909090909090908</v>
      </c>
    </row>
    <row r="35" spans="1:39" x14ac:dyDescent="0.25">
      <c r="A35" s="51">
        <v>2039</v>
      </c>
      <c r="B35" s="58">
        <f t="shared" si="31"/>
        <v>3.4601336247993331E-2</v>
      </c>
      <c r="C35" s="53">
        <f t="shared" si="32"/>
        <v>6.8545036730194409E-2</v>
      </c>
      <c r="D35" s="56">
        <f t="shared" si="0"/>
        <v>0.10314637297818774</v>
      </c>
      <c r="E35" s="72">
        <f t="shared" si="74"/>
        <v>6.1788100442845224E-2</v>
      </c>
      <c r="F35" s="72">
        <f t="shared" si="74"/>
        <v>0.12240185130391858</v>
      </c>
      <c r="G35" s="72">
        <f t="shared" si="74"/>
        <v>0.18418995174676381</v>
      </c>
      <c r="H35" s="58">
        <f t="shared" si="34"/>
        <v>4.7309799390480078E-2</v>
      </c>
      <c r="I35" s="53">
        <f t="shared" si="35"/>
        <v>8.461349493828918E-2</v>
      </c>
      <c r="J35" s="56">
        <f t="shared" si="36"/>
        <v>0.13192329432876926</v>
      </c>
      <c r="K35" s="72">
        <f t="shared" si="75"/>
        <v>8.4481784625857273E-2</v>
      </c>
      <c r="L35" s="72">
        <f t="shared" si="75"/>
        <v>0.15109552667551637</v>
      </c>
      <c r="M35" s="72">
        <f t="shared" si="75"/>
        <v>0.23557731130137366</v>
      </c>
      <c r="N35" s="58">
        <f t="shared" si="43"/>
        <v>2.6666596808531076E-2</v>
      </c>
      <c r="O35" s="53">
        <f t="shared" si="44"/>
        <v>7.5153827801957118E-2</v>
      </c>
      <c r="P35" s="56">
        <f t="shared" si="38"/>
        <v>0.10182042461048819</v>
      </c>
      <c r="Q35" s="72">
        <f t="shared" si="76"/>
        <v>4.7618922872376915E-2</v>
      </c>
      <c r="R35" s="72">
        <f t="shared" si="76"/>
        <v>0.13420326393206627</v>
      </c>
      <c r="S35" s="72">
        <f t="shared" si="76"/>
        <v>0.18182218680444318</v>
      </c>
      <c r="T35" s="58">
        <f t="shared" si="70"/>
        <v>3.5000000000000003E-2</v>
      </c>
      <c r="U35" s="53">
        <f t="shared" si="71"/>
        <v>0.1</v>
      </c>
      <c r="V35" s="56">
        <f t="shared" si="55"/>
        <v>0.13500000000000001</v>
      </c>
      <c r="W35" s="72">
        <f t="shared" si="77"/>
        <v>6.25E-2</v>
      </c>
      <c r="X35" s="72">
        <f t="shared" si="77"/>
        <v>0.17857142857142858</v>
      </c>
      <c r="Y35" s="72">
        <f t="shared" si="77"/>
        <v>0.24107142857142858</v>
      </c>
      <c r="Z35" s="58">
        <f t="shared" si="51"/>
        <v>0.03</v>
      </c>
      <c r="AA35" s="53">
        <f t="shared" si="56"/>
        <v>0.08</v>
      </c>
      <c r="AB35" s="56">
        <f t="shared" si="57"/>
        <v>0.11</v>
      </c>
      <c r="AC35" s="72">
        <f t="shared" ref="AC35" si="80">Z35/$B$3</f>
        <v>5.3571428571428562E-2</v>
      </c>
      <c r="AD35" s="72">
        <f t="shared" si="24"/>
        <v>0.14285714285714285</v>
      </c>
      <c r="AE35" s="72">
        <f t="shared" si="24"/>
        <v>0.19642857142857142</v>
      </c>
      <c r="AF35" s="58">
        <f t="shared" si="53"/>
        <v>0.03</v>
      </c>
      <c r="AG35" s="71">
        <f t="shared" si="66"/>
        <v>8.4599999999999981E-2</v>
      </c>
      <c r="AH35" s="56">
        <f t="shared" si="25"/>
        <v>0.11459999999999998</v>
      </c>
      <c r="AI35" s="72">
        <f t="shared" si="48"/>
        <v>5.3571428571428562E-2</v>
      </c>
      <c r="AJ35" s="72">
        <f t="shared" si="27"/>
        <v>0.15107142857142852</v>
      </c>
      <c r="AK35" s="72">
        <f t="shared" si="28"/>
        <v>0.2046428571428571</v>
      </c>
      <c r="AL35" s="106">
        <f t="shared" si="29"/>
        <v>7</v>
      </c>
      <c r="AM35" s="107">
        <f t="shared" si="30"/>
        <v>5.0909090909090908</v>
      </c>
    </row>
    <row r="36" spans="1:39" x14ac:dyDescent="0.25">
      <c r="A36" s="51">
        <v>2040</v>
      </c>
      <c r="B36" s="58">
        <f t="shared" si="31"/>
        <v>3.4955915354866862E-2</v>
      </c>
      <c r="C36" s="53">
        <f t="shared" si="32"/>
        <v>7.0152571159432076E-2</v>
      </c>
      <c r="D36" s="56">
        <f t="shared" si="0"/>
        <v>0.10510848651429894</v>
      </c>
      <c r="E36" s="72">
        <f t="shared" si="74"/>
        <v>6.2421277419405105E-2</v>
      </c>
      <c r="F36" s="72">
        <f t="shared" si="74"/>
        <v>0.12527244849898583</v>
      </c>
      <c r="G36" s="72">
        <f t="shared" si="74"/>
        <v>0.18769372591839095</v>
      </c>
      <c r="H36" s="58">
        <f t="shared" si="34"/>
        <v>4.8111761726204127E-2</v>
      </c>
      <c r="I36" s="53">
        <f t="shared" si="35"/>
        <v>8.6784833539342743E-2</v>
      </c>
      <c r="J36" s="56">
        <f t="shared" si="36"/>
        <v>0.13489659526554687</v>
      </c>
      <c r="K36" s="72">
        <f t="shared" si="75"/>
        <v>8.59138602253645E-2</v>
      </c>
      <c r="L36" s="72">
        <f t="shared" si="75"/>
        <v>0.15497291703454061</v>
      </c>
      <c r="M36" s="72">
        <f t="shared" si="75"/>
        <v>0.24088677725990509</v>
      </c>
      <c r="N36" s="58">
        <f t="shared" si="43"/>
        <v>2.6666596808531076E-2</v>
      </c>
      <c r="O36" s="53">
        <f t="shared" si="44"/>
        <v>7.7058435687694549E-2</v>
      </c>
      <c r="P36" s="56">
        <f t="shared" si="38"/>
        <v>0.10372503249622562</v>
      </c>
      <c r="Q36" s="72">
        <f t="shared" si="76"/>
        <v>4.7618922872376915E-2</v>
      </c>
      <c r="R36" s="72">
        <f t="shared" si="76"/>
        <v>0.13760434944231167</v>
      </c>
      <c r="S36" s="72">
        <f t="shared" si="76"/>
        <v>0.1852232723146886</v>
      </c>
      <c r="T36" s="58">
        <f t="shared" si="70"/>
        <v>3.5000000000000003E-2</v>
      </c>
      <c r="U36" s="53">
        <f t="shared" si="71"/>
        <v>0.1</v>
      </c>
      <c r="V36" s="56">
        <f t="shared" si="55"/>
        <v>0.13500000000000001</v>
      </c>
      <c r="W36" s="72">
        <f t="shared" si="77"/>
        <v>6.25E-2</v>
      </c>
      <c r="X36" s="72">
        <f t="shared" si="77"/>
        <v>0.17857142857142858</v>
      </c>
      <c r="Y36" s="72">
        <f t="shared" si="77"/>
        <v>0.24107142857142858</v>
      </c>
      <c r="Z36" s="58">
        <f t="shared" si="51"/>
        <v>0.03</v>
      </c>
      <c r="AA36" s="53">
        <f t="shared" si="56"/>
        <v>0.08</v>
      </c>
      <c r="AB36" s="56">
        <f t="shared" si="57"/>
        <v>0.11</v>
      </c>
      <c r="AC36" s="72">
        <f t="shared" ref="AC36" si="81">Z36/$B$3</f>
        <v>5.3571428571428562E-2</v>
      </c>
      <c r="AD36" s="72">
        <f t="shared" si="24"/>
        <v>0.14285714285714285</v>
      </c>
      <c r="AE36" s="72">
        <f t="shared" si="24"/>
        <v>0.19642857142857142</v>
      </c>
      <c r="AF36" s="58">
        <f t="shared" ref="AF36:AF38" si="82">AF35</f>
        <v>0.03</v>
      </c>
      <c r="AG36" s="71">
        <f t="shared" si="66"/>
        <v>8.5999999999999979E-2</v>
      </c>
      <c r="AH36" s="56">
        <f t="shared" si="25"/>
        <v>0.11599999999999998</v>
      </c>
      <c r="AI36" s="72">
        <f t="shared" si="48"/>
        <v>5.3571428571428562E-2</v>
      </c>
      <c r="AJ36" s="72">
        <f t="shared" si="27"/>
        <v>0.15357142857142853</v>
      </c>
      <c r="AK36" s="72">
        <f t="shared" si="28"/>
        <v>0.20714285714285707</v>
      </c>
      <c r="AL36" s="106">
        <f t="shared" si="29"/>
        <v>7</v>
      </c>
      <c r="AM36" s="107">
        <f t="shared" si="30"/>
        <v>5.0909090909090908</v>
      </c>
    </row>
    <row r="37" spans="1:39" x14ac:dyDescent="0.25">
      <c r="A37" s="51">
        <v>2041</v>
      </c>
      <c r="B37" s="58">
        <f t="shared" si="31"/>
        <v>3.5310494461740505E-2</v>
      </c>
      <c r="C37" s="53">
        <f t="shared" si="32"/>
        <v>7.1760105588669298E-2</v>
      </c>
      <c r="D37" s="56">
        <f t="shared" si="0"/>
        <v>0.1070706000504098</v>
      </c>
      <c r="E37" s="72">
        <f t="shared" si="74"/>
        <v>6.3054454395965187E-2</v>
      </c>
      <c r="F37" s="72">
        <f t="shared" si="74"/>
        <v>0.1281430456940523</v>
      </c>
      <c r="G37" s="72">
        <f t="shared" si="74"/>
        <v>0.19119750009001749</v>
      </c>
      <c r="H37" s="58">
        <f t="shared" si="34"/>
        <v>4.8913724061928399E-2</v>
      </c>
      <c r="I37" s="53">
        <f t="shared" si="35"/>
        <v>8.8956172140396306E-2</v>
      </c>
      <c r="J37" s="56">
        <f t="shared" si="36"/>
        <v>0.1378698962023247</v>
      </c>
      <c r="K37" s="72">
        <f t="shared" si="75"/>
        <v>8.7345935824872128E-2</v>
      </c>
      <c r="L37" s="72">
        <f t="shared" si="75"/>
        <v>0.15885030739356482</v>
      </c>
      <c r="M37" s="72">
        <f t="shared" si="75"/>
        <v>0.24619624321843694</v>
      </c>
      <c r="N37" s="58">
        <f t="shared" si="43"/>
        <v>2.6666596808531076E-2</v>
      </c>
      <c r="O37" s="53">
        <f t="shared" si="44"/>
        <v>7.8963043573432423E-2</v>
      </c>
      <c r="P37" s="56">
        <f t="shared" si="38"/>
        <v>0.1056296403819635</v>
      </c>
      <c r="Q37" s="72">
        <f t="shared" si="76"/>
        <v>4.7618922872376915E-2</v>
      </c>
      <c r="R37" s="72">
        <f t="shared" si="76"/>
        <v>0.14100543495255788</v>
      </c>
      <c r="S37" s="72">
        <f t="shared" si="76"/>
        <v>0.18862435782493481</v>
      </c>
      <c r="T37" s="58">
        <f t="shared" si="70"/>
        <v>3.5000000000000003E-2</v>
      </c>
      <c r="U37" s="53">
        <f t="shared" si="71"/>
        <v>0.1</v>
      </c>
      <c r="V37" s="56">
        <f t="shared" si="55"/>
        <v>0.13500000000000001</v>
      </c>
      <c r="W37" s="72">
        <f t="shared" si="77"/>
        <v>6.25E-2</v>
      </c>
      <c r="X37" s="72">
        <f t="shared" si="77"/>
        <v>0.17857142857142858</v>
      </c>
      <c r="Y37" s="72">
        <f t="shared" si="77"/>
        <v>0.24107142857142858</v>
      </c>
      <c r="Z37" s="58">
        <f t="shared" si="51"/>
        <v>0.03</v>
      </c>
      <c r="AA37" s="53">
        <f t="shared" si="56"/>
        <v>0.08</v>
      </c>
      <c r="AB37" s="56">
        <f t="shared" si="57"/>
        <v>0.11</v>
      </c>
      <c r="AC37" s="72">
        <f t="shared" ref="AC37" si="83">Z37/$B$3</f>
        <v>5.3571428571428562E-2</v>
      </c>
      <c r="AD37" s="72">
        <f t="shared" si="24"/>
        <v>0.14285714285714285</v>
      </c>
      <c r="AE37" s="72">
        <f t="shared" si="24"/>
        <v>0.19642857142857142</v>
      </c>
      <c r="AF37" s="58">
        <f t="shared" si="82"/>
        <v>0.03</v>
      </c>
      <c r="AG37" s="71">
        <f t="shared" si="66"/>
        <v>8.7399999999999978E-2</v>
      </c>
      <c r="AH37" s="56">
        <f t="shared" si="25"/>
        <v>0.11739999999999998</v>
      </c>
      <c r="AI37" s="72">
        <f t="shared" si="48"/>
        <v>5.3571428571428562E-2</v>
      </c>
      <c r="AJ37" s="72">
        <f t="shared" si="27"/>
        <v>0.15607142857142853</v>
      </c>
      <c r="AK37" s="72">
        <f t="shared" si="28"/>
        <v>0.20964285714285708</v>
      </c>
      <c r="AL37" s="106">
        <f t="shared" si="29"/>
        <v>7</v>
      </c>
      <c r="AM37" s="107">
        <f t="shared" si="30"/>
        <v>5.0909090909090908</v>
      </c>
    </row>
    <row r="38" spans="1:39" x14ac:dyDescent="0.25">
      <c r="A38" s="51">
        <v>2042</v>
      </c>
      <c r="B38" s="58">
        <f t="shared" si="31"/>
        <v>3.5665073568614147E-2</v>
      </c>
      <c r="C38" s="53">
        <f t="shared" si="32"/>
        <v>7.3367640017906965E-2</v>
      </c>
      <c r="D38" s="56">
        <f t="shared" ref="D38:D56" si="84">SUM(B38:C38)</f>
        <v>0.10903271358652111</v>
      </c>
      <c r="E38" s="72">
        <f t="shared" si="74"/>
        <v>6.3687631372525255E-2</v>
      </c>
      <c r="F38" s="72">
        <f t="shared" si="74"/>
        <v>0.13101364288911957</v>
      </c>
      <c r="G38" s="72">
        <f t="shared" si="74"/>
        <v>0.19470127426164482</v>
      </c>
      <c r="H38" s="58">
        <f t="shared" si="34"/>
        <v>4.9715686397652448E-2</v>
      </c>
      <c r="I38" s="53">
        <f t="shared" si="35"/>
        <v>9.1127510741449869E-2</v>
      </c>
      <c r="J38" s="56">
        <f t="shared" si="36"/>
        <v>0.14084319713910232</v>
      </c>
      <c r="K38" s="72">
        <f t="shared" si="75"/>
        <v>8.8778011424379369E-2</v>
      </c>
      <c r="L38" s="72">
        <f t="shared" si="75"/>
        <v>0.16272769775258902</v>
      </c>
      <c r="M38" s="72">
        <f t="shared" si="75"/>
        <v>0.25150570917696841</v>
      </c>
      <c r="N38" s="58">
        <f t="shared" si="43"/>
        <v>2.6666596808531076E-2</v>
      </c>
      <c r="O38" s="53">
        <f t="shared" si="44"/>
        <v>8.0867651459169854E-2</v>
      </c>
      <c r="P38" s="56">
        <f t="shared" si="38"/>
        <v>0.10753424826770093</v>
      </c>
      <c r="Q38" s="72">
        <f t="shared" si="76"/>
        <v>4.7618922872376915E-2</v>
      </c>
      <c r="R38" s="72">
        <f t="shared" si="76"/>
        <v>0.14440652046280331</v>
      </c>
      <c r="S38" s="72">
        <f t="shared" si="76"/>
        <v>0.19202544333518021</v>
      </c>
      <c r="T38" s="58">
        <f t="shared" si="70"/>
        <v>3.5000000000000003E-2</v>
      </c>
      <c r="U38" s="53">
        <f t="shared" si="71"/>
        <v>0.1</v>
      </c>
      <c r="V38" s="56">
        <f t="shared" si="55"/>
        <v>0.13500000000000001</v>
      </c>
      <c r="W38" s="72">
        <f t="shared" si="77"/>
        <v>6.25E-2</v>
      </c>
      <c r="X38" s="72">
        <f t="shared" si="77"/>
        <v>0.17857142857142858</v>
      </c>
      <c r="Y38" s="72">
        <f t="shared" si="77"/>
        <v>0.24107142857142858</v>
      </c>
      <c r="Z38" s="58">
        <f t="shared" ref="Z38" si="85">Z37</f>
        <v>0.03</v>
      </c>
      <c r="AA38" s="53">
        <f t="shared" ref="AA38" si="86">AA37</f>
        <v>0.08</v>
      </c>
      <c r="AB38" s="56">
        <f t="shared" si="57"/>
        <v>0.11</v>
      </c>
      <c r="AC38" s="72">
        <f t="shared" ref="AC38" si="87">Z38/$B$3</f>
        <v>5.3571428571428562E-2</v>
      </c>
      <c r="AD38" s="72">
        <f t="shared" si="24"/>
        <v>0.14285714285714285</v>
      </c>
      <c r="AE38" s="72">
        <f t="shared" si="24"/>
        <v>0.19642857142857142</v>
      </c>
      <c r="AF38" s="58">
        <f t="shared" si="82"/>
        <v>0.03</v>
      </c>
      <c r="AG38" s="71">
        <f t="shared" si="66"/>
        <v>8.8799999999999976E-2</v>
      </c>
      <c r="AH38" s="56">
        <f t="shared" si="25"/>
        <v>0.11879999999999998</v>
      </c>
      <c r="AI38" s="72">
        <f t="shared" si="48"/>
        <v>5.3571428571428562E-2</v>
      </c>
      <c r="AJ38" s="72">
        <f t="shared" si="27"/>
        <v>0.1585714285714285</v>
      </c>
      <c r="AK38" s="72">
        <f t="shared" si="28"/>
        <v>0.21214285714285708</v>
      </c>
      <c r="AL38" s="106">
        <f t="shared" si="29"/>
        <v>7</v>
      </c>
      <c r="AM38" s="107">
        <f t="shared" si="30"/>
        <v>5.0909090909090908</v>
      </c>
    </row>
    <row r="39" spans="1:39" x14ac:dyDescent="0.25">
      <c r="A39" s="51">
        <v>2043</v>
      </c>
      <c r="B39" s="58">
        <f t="shared" si="31"/>
        <v>3.6019652675487679E-2</v>
      </c>
      <c r="C39" s="53">
        <f t="shared" si="32"/>
        <v>7.4975174447144188E-2</v>
      </c>
      <c r="D39" s="56">
        <f t="shared" si="84"/>
        <v>0.11099482712263187</v>
      </c>
      <c r="E39" s="72">
        <f t="shared" si="74"/>
        <v>6.4320808349085129E-2</v>
      </c>
      <c r="F39" s="72">
        <f t="shared" si="74"/>
        <v>0.13388424008418603</v>
      </c>
      <c r="G39" s="72">
        <f t="shared" si="74"/>
        <v>0.19820504843327116</v>
      </c>
      <c r="H39" s="58">
        <f t="shared" si="34"/>
        <v>5.0517648733376497E-2</v>
      </c>
      <c r="I39" s="53">
        <f t="shared" si="35"/>
        <v>9.3298849342503432E-2</v>
      </c>
      <c r="J39" s="56">
        <f t="shared" si="36"/>
        <v>0.14381649807587993</v>
      </c>
      <c r="K39" s="72">
        <f t="shared" si="75"/>
        <v>9.0210087023886595E-2</v>
      </c>
      <c r="L39" s="72">
        <f t="shared" si="75"/>
        <v>0.16660508811161326</v>
      </c>
      <c r="M39" s="72">
        <f t="shared" si="75"/>
        <v>0.25681517513549984</v>
      </c>
      <c r="N39" s="58">
        <f t="shared" si="43"/>
        <v>2.6666596808531076E-2</v>
      </c>
      <c r="O39" s="53">
        <f t="shared" si="44"/>
        <v>8.2772259344907284E-2</v>
      </c>
      <c r="P39" s="56">
        <f t="shared" si="38"/>
        <v>0.10943885615343836</v>
      </c>
      <c r="Q39" s="72">
        <f t="shared" si="76"/>
        <v>4.7618922872376915E-2</v>
      </c>
      <c r="R39" s="72">
        <f t="shared" si="76"/>
        <v>0.14780760597304871</v>
      </c>
      <c r="S39" s="72">
        <f t="shared" si="76"/>
        <v>0.19542652884542563</v>
      </c>
      <c r="T39" s="108">
        <f t="shared" ref="T39:T45" si="88">(T$56-T$38)/($A$56-$A$38) + T38</f>
        <v>3.5277777777777783E-2</v>
      </c>
      <c r="U39" s="109">
        <f>(U$56-U$31)/($A$56-$A$31) + U31</f>
        <v>0.10120000000000001</v>
      </c>
      <c r="V39" s="110">
        <f t="shared" si="55"/>
        <v>0.13647777777777781</v>
      </c>
      <c r="W39" s="72">
        <f t="shared" si="77"/>
        <v>6.2996031746031744E-2</v>
      </c>
      <c r="X39" s="72">
        <f t="shared" si="77"/>
        <v>0.18071428571428572</v>
      </c>
      <c r="Y39" s="72">
        <f t="shared" si="77"/>
        <v>0.24371031746031749</v>
      </c>
      <c r="Z39" s="108">
        <f t="shared" ref="Z39:Z45" si="89">(Z$56-Z$38)/($A$56-$A$38) + Z38</f>
        <v>3.0277777777777778E-2</v>
      </c>
      <c r="AA39" s="109">
        <f>(AA$56-AA$31)/($A$56-$A$31) + AA31</f>
        <v>8.1200000000000008E-2</v>
      </c>
      <c r="AB39" s="110">
        <f t="shared" si="57"/>
        <v>0.11147777777777779</v>
      </c>
      <c r="AC39" s="72">
        <f t="shared" ref="AC39" si="90">Z39/$B$3</f>
        <v>5.4067460317460313E-2</v>
      </c>
      <c r="AD39" s="72">
        <f t="shared" si="24"/>
        <v>0.14499999999999999</v>
      </c>
      <c r="AE39" s="72">
        <f t="shared" si="24"/>
        <v>0.19906746031746031</v>
      </c>
      <c r="AF39" s="69">
        <f t="shared" ref="AF39:AF54" si="91">(AF$56-AF$38)/($A$56-$A$38) + AF38</f>
        <v>3.0277777777777778E-2</v>
      </c>
      <c r="AG39" s="71">
        <f t="shared" si="66"/>
        <v>9.0199999999999975E-2</v>
      </c>
      <c r="AH39" s="56">
        <f t="shared" si="25"/>
        <v>0.12047777777777775</v>
      </c>
      <c r="AI39" s="72">
        <f t="shared" si="48"/>
        <v>5.4067460317460313E-2</v>
      </c>
      <c r="AJ39" s="72">
        <f t="shared" si="27"/>
        <v>0.1610714285714285</v>
      </c>
      <c r="AK39" s="72">
        <f t="shared" si="28"/>
        <v>0.21513888888888882</v>
      </c>
      <c r="AL39" s="106">
        <f t="shared" si="29"/>
        <v>6.8965517241379315</v>
      </c>
      <c r="AM39" s="107">
        <f t="shared" si="30"/>
        <v>5.0234227050732585</v>
      </c>
    </row>
    <row r="40" spans="1:39" x14ac:dyDescent="0.25">
      <c r="A40" s="51">
        <v>2044</v>
      </c>
      <c r="B40" s="58">
        <f t="shared" si="31"/>
        <v>3.6374231782361321E-2</v>
      </c>
      <c r="C40" s="53">
        <f t="shared" si="32"/>
        <v>7.6582708876381411E-2</v>
      </c>
      <c r="D40" s="56">
        <f t="shared" si="84"/>
        <v>0.11295694065874273</v>
      </c>
      <c r="E40" s="72">
        <f t="shared" si="74"/>
        <v>6.4953985325645211E-2</v>
      </c>
      <c r="F40" s="72">
        <f t="shared" si="74"/>
        <v>0.1367548372792525</v>
      </c>
      <c r="G40" s="72">
        <f t="shared" si="74"/>
        <v>0.20170882260489773</v>
      </c>
      <c r="H40" s="58">
        <f t="shared" si="34"/>
        <v>5.1319611069100546E-2</v>
      </c>
      <c r="I40" s="53">
        <f t="shared" si="35"/>
        <v>9.5470187943556106E-2</v>
      </c>
      <c r="J40" s="56">
        <f t="shared" si="36"/>
        <v>0.14678979901265665</v>
      </c>
      <c r="K40" s="72">
        <f t="shared" si="75"/>
        <v>9.1642162623393822E-2</v>
      </c>
      <c r="L40" s="72">
        <f t="shared" si="75"/>
        <v>0.17048247847063588</v>
      </c>
      <c r="M40" s="72">
        <f t="shared" si="75"/>
        <v>0.26212464109402972</v>
      </c>
      <c r="N40" s="58">
        <f t="shared" si="43"/>
        <v>2.6666596808531076E-2</v>
      </c>
      <c r="O40" s="53">
        <f t="shared" si="44"/>
        <v>8.4676867230644715E-2</v>
      </c>
      <c r="P40" s="56">
        <f t="shared" si="38"/>
        <v>0.11134346403917579</v>
      </c>
      <c r="Q40" s="72">
        <f t="shared" si="76"/>
        <v>4.7618922872376915E-2</v>
      </c>
      <c r="R40" s="72">
        <f t="shared" si="76"/>
        <v>0.15120869148329411</v>
      </c>
      <c r="S40" s="72">
        <f t="shared" si="76"/>
        <v>0.19882761435567103</v>
      </c>
      <c r="T40" s="108">
        <f t="shared" si="88"/>
        <v>3.5555555555555562E-2</v>
      </c>
      <c r="U40" s="109">
        <f t="shared" ref="U40:U45" si="92">(U$56-U$38)/($A$56-$A$38) + U39</f>
        <v>0.10286666666666668</v>
      </c>
      <c r="V40" s="110">
        <f t="shared" si="55"/>
        <v>0.13842222222222222</v>
      </c>
      <c r="W40" s="72">
        <f t="shared" si="77"/>
        <v>6.3492063492063502E-2</v>
      </c>
      <c r="X40" s="72">
        <f t="shared" si="77"/>
        <v>0.18369047619047618</v>
      </c>
      <c r="Y40" s="72">
        <f t="shared" si="77"/>
        <v>0.24718253968253967</v>
      </c>
      <c r="Z40" s="108">
        <f t="shared" si="89"/>
        <v>3.0555555555555558E-2</v>
      </c>
      <c r="AA40" s="109">
        <f t="shared" ref="AA40:AA45" si="93">(AA$56-AA$38)/($A$56-$A$38) + AA39</f>
        <v>8.2866666666666672E-2</v>
      </c>
      <c r="AB40" s="110">
        <f t="shared" si="57"/>
        <v>0.11342222222222223</v>
      </c>
      <c r="AC40" s="72">
        <f t="shared" ref="AC40" si="94">Z40/$B$3</f>
        <v>5.4563492063492064E-2</v>
      </c>
      <c r="AD40" s="72">
        <f t="shared" si="24"/>
        <v>0.14797619047619048</v>
      </c>
      <c r="AE40" s="72">
        <f t="shared" si="24"/>
        <v>0.20253968253968255</v>
      </c>
      <c r="AF40" s="69">
        <f t="shared" si="91"/>
        <v>3.0555555555555558E-2</v>
      </c>
      <c r="AG40" s="71">
        <f t="shared" si="66"/>
        <v>9.1599999999999973E-2</v>
      </c>
      <c r="AH40" s="56">
        <f t="shared" si="25"/>
        <v>0.12215555555555553</v>
      </c>
      <c r="AI40" s="72">
        <f t="shared" si="48"/>
        <v>5.4563492063492064E-2</v>
      </c>
      <c r="AJ40" s="72">
        <f t="shared" si="27"/>
        <v>0.16357142857142851</v>
      </c>
      <c r="AK40" s="72">
        <f t="shared" si="28"/>
        <v>0.21813492063492057</v>
      </c>
      <c r="AL40" s="106">
        <f t="shared" si="29"/>
        <v>6.7578439259855188</v>
      </c>
      <c r="AM40" s="107">
        <f t="shared" si="30"/>
        <v>4.9373040752351098</v>
      </c>
    </row>
    <row r="41" spans="1:39" x14ac:dyDescent="0.25">
      <c r="A41" s="51">
        <v>2045</v>
      </c>
      <c r="B41" s="58">
        <f t="shared" si="31"/>
        <v>3.6728810889234853E-2</v>
      </c>
      <c r="C41" s="53">
        <f t="shared" si="32"/>
        <v>7.8190243305619078E-2</v>
      </c>
      <c r="D41" s="56">
        <f t="shared" si="84"/>
        <v>0.11491905419485393</v>
      </c>
      <c r="E41" s="72">
        <f t="shared" si="74"/>
        <v>6.5587162302205085E-2</v>
      </c>
      <c r="F41" s="72">
        <f t="shared" si="74"/>
        <v>0.13962543447431977</v>
      </c>
      <c r="G41" s="72">
        <f t="shared" si="74"/>
        <v>0.20521259677652487</v>
      </c>
      <c r="H41" s="58">
        <f t="shared" si="34"/>
        <v>5.2121573404824595E-2</v>
      </c>
      <c r="I41" s="53">
        <f t="shared" si="35"/>
        <v>9.7641526544609669E-2</v>
      </c>
      <c r="J41" s="56">
        <f t="shared" si="36"/>
        <v>0.14976309994943426</v>
      </c>
      <c r="K41" s="72">
        <f t="shared" si="75"/>
        <v>9.3074238222901048E-2</v>
      </c>
      <c r="L41" s="72">
        <f t="shared" si="75"/>
        <v>0.17435986882966012</v>
      </c>
      <c r="M41" s="72">
        <f t="shared" si="75"/>
        <v>0.26743410705256115</v>
      </c>
      <c r="N41" s="58">
        <f t="shared" si="43"/>
        <v>2.6666596808531076E-2</v>
      </c>
      <c r="O41" s="53">
        <f t="shared" si="44"/>
        <v>8.6581475116382145E-2</v>
      </c>
      <c r="P41" s="56">
        <f t="shared" si="38"/>
        <v>0.11324807192491322</v>
      </c>
      <c r="Q41" s="72">
        <f t="shared" si="76"/>
        <v>4.7618922872376915E-2</v>
      </c>
      <c r="R41" s="72">
        <f t="shared" si="76"/>
        <v>0.15460977699353953</v>
      </c>
      <c r="S41" s="72">
        <f t="shared" si="76"/>
        <v>0.20222869986591643</v>
      </c>
      <c r="T41" s="108">
        <f t="shared" si="88"/>
        <v>3.5833333333333342E-2</v>
      </c>
      <c r="U41" s="109">
        <f t="shared" si="92"/>
        <v>0.10453333333333334</v>
      </c>
      <c r="V41" s="110">
        <f t="shared" si="55"/>
        <v>0.1403666666666667</v>
      </c>
      <c r="W41" s="72">
        <f t="shared" si="77"/>
        <v>6.3988095238095247E-2</v>
      </c>
      <c r="X41" s="72">
        <f t="shared" si="77"/>
        <v>0.18666666666666665</v>
      </c>
      <c r="Y41" s="72">
        <f t="shared" si="77"/>
        <v>0.25065476190476194</v>
      </c>
      <c r="Z41" s="108">
        <f t="shared" si="89"/>
        <v>3.0833333333333338E-2</v>
      </c>
      <c r="AA41" s="109">
        <f t="shared" si="93"/>
        <v>8.4533333333333335E-2</v>
      </c>
      <c r="AB41" s="110">
        <f t="shared" si="57"/>
        <v>0.11536666666666667</v>
      </c>
      <c r="AC41" s="72">
        <f t="shared" ref="AC41" si="95">Z41/$B$3</f>
        <v>5.5059523809523815E-2</v>
      </c>
      <c r="AD41" s="72">
        <f t="shared" si="24"/>
        <v>0.15095238095238095</v>
      </c>
      <c r="AE41" s="72">
        <f t="shared" si="24"/>
        <v>0.20601190476190476</v>
      </c>
      <c r="AF41" s="69">
        <f t="shared" si="91"/>
        <v>3.0833333333333338E-2</v>
      </c>
      <c r="AG41" s="71">
        <f t="shared" si="66"/>
        <v>9.2999999999999972E-2</v>
      </c>
      <c r="AH41" s="56">
        <f t="shared" si="25"/>
        <v>0.12383333333333331</v>
      </c>
      <c r="AI41" s="72">
        <f t="shared" si="48"/>
        <v>5.5059523809523815E-2</v>
      </c>
      <c r="AJ41" s="72">
        <f t="shared" si="27"/>
        <v>0.16607142857142851</v>
      </c>
      <c r="AK41" s="72">
        <f t="shared" si="28"/>
        <v>0.22113095238095232</v>
      </c>
      <c r="AL41" s="106">
        <f t="shared" si="29"/>
        <v>6.624605678233439</v>
      </c>
      <c r="AM41" s="107">
        <f t="shared" si="30"/>
        <v>4.8540884137532503</v>
      </c>
    </row>
    <row r="42" spans="1:39" x14ac:dyDescent="0.25">
      <c r="A42" s="51">
        <v>2046</v>
      </c>
      <c r="B42" s="58">
        <f t="shared" si="31"/>
        <v>3.7083389996108496E-2</v>
      </c>
      <c r="C42" s="53">
        <f t="shared" si="32"/>
        <v>7.9797777734856301E-2</v>
      </c>
      <c r="D42" s="56">
        <f t="shared" si="84"/>
        <v>0.1168811677309648</v>
      </c>
      <c r="E42" s="72">
        <f t="shared" si="74"/>
        <v>6.6220339278765167E-2</v>
      </c>
      <c r="F42" s="72">
        <f t="shared" si="74"/>
        <v>0.14249603166938624</v>
      </c>
      <c r="G42" s="72">
        <f t="shared" si="74"/>
        <v>0.2087163709481514</v>
      </c>
      <c r="H42" s="58">
        <f t="shared" si="34"/>
        <v>5.2923535740548866E-2</v>
      </c>
      <c r="I42" s="53">
        <f t="shared" si="35"/>
        <v>9.9812865145663232E-2</v>
      </c>
      <c r="J42" s="56">
        <f t="shared" si="36"/>
        <v>0.1527364008862121</v>
      </c>
      <c r="K42" s="72">
        <f t="shared" si="75"/>
        <v>9.4506313822408677E-2</v>
      </c>
      <c r="L42" s="72">
        <f t="shared" si="75"/>
        <v>0.17823725918868433</v>
      </c>
      <c r="M42" s="72">
        <f t="shared" si="75"/>
        <v>0.27274357301109303</v>
      </c>
      <c r="N42" s="58">
        <f t="shared" si="43"/>
        <v>2.6666596808531076E-2</v>
      </c>
      <c r="O42" s="53">
        <f t="shared" si="44"/>
        <v>8.848608300212002E-2</v>
      </c>
      <c r="P42" s="56">
        <f t="shared" si="38"/>
        <v>0.1151526798106511</v>
      </c>
      <c r="Q42" s="72">
        <f t="shared" si="76"/>
        <v>4.7618922872376915E-2</v>
      </c>
      <c r="R42" s="72">
        <f t="shared" si="76"/>
        <v>0.15801086250378574</v>
      </c>
      <c r="S42" s="72">
        <f t="shared" si="76"/>
        <v>0.20562978537616264</v>
      </c>
      <c r="T42" s="108">
        <f t="shared" si="88"/>
        <v>3.6111111111111122E-2</v>
      </c>
      <c r="U42" s="109">
        <f t="shared" si="92"/>
        <v>0.1062</v>
      </c>
      <c r="V42" s="110">
        <f t="shared" si="55"/>
        <v>0.14231111111111111</v>
      </c>
      <c r="W42" s="72">
        <f t="shared" si="77"/>
        <v>6.4484126984126991E-2</v>
      </c>
      <c r="X42" s="72">
        <f t="shared" si="77"/>
        <v>0.18964285714285714</v>
      </c>
      <c r="Y42" s="72">
        <f t="shared" si="77"/>
        <v>0.25412698412698409</v>
      </c>
      <c r="Z42" s="108">
        <f t="shared" si="89"/>
        <v>3.1111111111111117E-2</v>
      </c>
      <c r="AA42" s="109">
        <f t="shared" si="93"/>
        <v>8.6199999999999999E-2</v>
      </c>
      <c r="AB42" s="110">
        <f t="shared" si="57"/>
        <v>0.11731111111111112</v>
      </c>
      <c r="AC42" s="72">
        <f t="shared" ref="AC42" si="96">Z42/$B$3</f>
        <v>5.5555555555555559E-2</v>
      </c>
      <c r="AD42" s="72">
        <f t="shared" si="24"/>
        <v>0.15392857142857141</v>
      </c>
      <c r="AE42" s="72">
        <f t="shared" si="24"/>
        <v>0.20948412698412697</v>
      </c>
      <c r="AF42" s="69">
        <f t="shared" si="91"/>
        <v>3.1111111111111117E-2</v>
      </c>
      <c r="AG42" s="71">
        <f t="shared" si="66"/>
        <v>9.439999999999997E-2</v>
      </c>
      <c r="AH42" s="56">
        <f t="shared" si="25"/>
        <v>0.12551111111111107</v>
      </c>
      <c r="AI42" s="72">
        <f t="shared" si="48"/>
        <v>5.5555555555555559E-2</v>
      </c>
      <c r="AJ42" s="72">
        <f t="shared" si="27"/>
        <v>0.16857142857142851</v>
      </c>
      <c r="AK42" s="72">
        <f t="shared" si="28"/>
        <v>0.22412698412698404</v>
      </c>
      <c r="AL42" s="106">
        <f t="shared" si="29"/>
        <v>6.4965197215777266</v>
      </c>
      <c r="AM42" s="107">
        <f t="shared" si="30"/>
        <v>4.7736313695775721</v>
      </c>
    </row>
    <row r="43" spans="1:39" x14ac:dyDescent="0.25">
      <c r="A43" s="51">
        <v>2047</v>
      </c>
      <c r="B43" s="58">
        <f t="shared" si="31"/>
        <v>3.7437969102982027E-2</v>
      </c>
      <c r="C43" s="53">
        <f t="shared" si="32"/>
        <v>8.1405312164093968E-2</v>
      </c>
      <c r="D43" s="56">
        <f t="shared" si="84"/>
        <v>0.118843281267076</v>
      </c>
      <c r="E43" s="72">
        <f t="shared" si="74"/>
        <v>6.6853516255325041E-2</v>
      </c>
      <c r="F43" s="72">
        <f t="shared" si="74"/>
        <v>0.14536662886445351</v>
      </c>
      <c r="G43" s="72">
        <f t="shared" si="74"/>
        <v>0.21222014511977855</v>
      </c>
      <c r="H43" s="58">
        <f t="shared" si="34"/>
        <v>5.3725498076272915E-2</v>
      </c>
      <c r="I43" s="53">
        <f t="shared" si="35"/>
        <v>0.1019842037467168</v>
      </c>
      <c r="J43" s="56">
        <f t="shared" si="36"/>
        <v>0.15570970182298971</v>
      </c>
      <c r="K43" s="72">
        <f t="shared" si="75"/>
        <v>9.5938389421915904E-2</v>
      </c>
      <c r="L43" s="72">
        <f t="shared" si="75"/>
        <v>0.18211464954770853</v>
      </c>
      <c r="M43" s="72">
        <f t="shared" si="75"/>
        <v>0.27805303896962447</v>
      </c>
      <c r="N43" s="58">
        <f t="shared" si="43"/>
        <v>2.6666596808531076E-2</v>
      </c>
      <c r="O43" s="53">
        <f t="shared" si="44"/>
        <v>9.039069088785745E-2</v>
      </c>
      <c r="P43" s="56">
        <f t="shared" si="38"/>
        <v>0.11705728769638853</v>
      </c>
      <c r="Q43" s="72">
        <f t="shared" si="76"/>
        <v>4.7618922872376915E-2</v>
      </c>
      <c r="R43" s="72">
        <f t="shared" si="76"/>
        <v>0.16141194801403114</v>
      </c>
      <c r="S43" s="72">
        <f t="shared" si="76"/>
        <v>0.20903087088640807</v>
      </c>
      <c r="T43" s="108">
        <f t="shared" si="88"/>
        <v>3.6388888888888901E-2</v>
      </c>
      <c r="U43" s="109">
        <f t="shared" si="92"/>
        <v>0.10786666666666667</v>
      </c>
      <c r="V43" s="110">
        <f t="shared" si="55"/>
        <v>0.14425555555555558</v>
      </c>
      <c r="W43" s="72">
        <f t="shared" si="77"/>
        <v>6.4980158730158749E-2</v>
      </c>
      <c r="X43" s="72">
        <f t="shared" si="77"/>
        <v>0.19261904761904761</v>
      </c>
      <c r="Y43" s="72">
        <f t="shared" si="77"/>
        <v>0.25759920634920636</v>
      </c>
      <c r="Z43" s="108">
        <f t="shared" si="89"/>
        <v>3.1388888888888897E-2</v>
      </c>
      <c r="AA43" s="109">
        <f t="shared" si="93"/>
        <v>8.7866666666666662E-2</v>
      </c>
      <c r="AB43" s="110">
        <f t="shared" si="57"/>
        <v>0.11925555555555556</v>
      </c>
      <c r="AC43" s="72">
        <f t="shared" ref="AC43" si="97">Z43/$B$3</f>
        <v>5.6051587301587311E-2</v>
      </c>
      <c r="AD43" s="72">
        <f t="shared" si="24"/>
        <v>0.15690476190476188</v>
      </c>
      <c r="AE43" s="72">
        <f t="shared" si="24"/>
        <v>0.2129563492063492</v>
      </c>
      <c r="AF43" s="69">
        <f t="shared" si="91"/>
        <v>3.1388888888888897E-2</v>
      </c>
      <c r="AG43" s="71">
        <f t="shared" si="66"/>
        <v>9.5799999999999969E-2</v>
      </c>
      <c r="AH43" s="56">
        <f t="shared" si="25"/>
        <v>0.12718888888888885</v>
      </c>
      <c r="AI43" s="72">
        <f t="shared" si="48"/>
        <v>5.6051587301587311E-2</v>
      </c>
      <c r="AJ43" s="72">
        <f t="shared" si="27"/>
        <v>0.17107142857142849</v>
      </c>
      <c r="AK43" s="72">
        <f t="shared" si="28"/>
        <v>0.22712301587301578</v>
      </c>
      <c r="AL43" s="106">
        <f t="shared" si="29"/>
        <v>6.3732928679817915</v>
      </c>
      <c r="AM43" s="107">
        <f t="shared" si="30"/>
        <v>4.6957980061492597</v>
      </c>
    </row>
    <row r="44" spans="1:39" x14ac:dyDescent="0.25">
      <c r="A44" s="51">
        <v>2048</v>
      </c>
      <c r="B44" s="58">
        <f t="shared" si="31"/>
        <v>3.779254820985567E-2</v>
      </c>
      <c r="C44" s="53">
        <f t="shared" si="32"/>
        <v>8.3012846593331191E-2</v>
      </c>
      <c r="D44" s="56">
        <f t="shared" si="84"/>
        <v>0.12080539480318686</v>
      </c>
      <c r="E44" s="72">
        <f t="shared" si="74"/>
        <v>6.7486693231885123E-2</v>
      </c>
      <c r="F44" s="72">
        <f t="shared" si="74"/>
        <v>0.14823722605951997</v>
      </c>
      <c r="G44" s="72">
        <f t="shared" si="74"/>
        <v>0.21572391929140508</v>
      </c>
      <c r="H44" s="58">
        <f t="shared" si="34"/>
        <v>5.4527460411996964E-2</v>
      </c>
      <c r="I44" s="53">
        <f t="shared" si="35"/>
        <v>0.10415554234777036</v>
      </c>
      <c r="J44" s="56">
        <f t="shared" si="36"/>
        <v>0.15868300275976732</v>
      </c>
      <c r="K44" s="72">
        <f t="shared" si="75"/>
        <v>9.7370465021423144E-2</v>
      </c>
      <c r="L44" s="72">
        <f t="shared" si="75"/>
        <v>0.18599203990673277</v>
      </c>
      <c r="M44" s="72">
        <f t="shared" si="75"/>
        <v>0.2833625049281559</v>
      </c>
      <c r="N44" s="58">
        <f t="shared" si="43"/>
        <v>2.6666596808531076E-2</v>
      </c>
      <c r="O44" s="53">
        <f t="shared" si="44"/>
        <v>9.229529877359488E-2</v>
      </c>
      <c r="P44" s="56">
        <f t="shared" si="38"/>
        <v>0.11896189558212596</v>
      </c>
      <c r="Q44" s="72">
        <f t="shared" si="76"/>
        <v>4.7618922872376915E-2</v>
      </c>
      <c r="R44" s="72">
        <f t="shared" si="76"/>
        <v>0.16481303352427656</v>
      </c>
      <c r="S44" s="72">
        <f t="shared" si="76"/>
        <v>0.21243195639665347</v>
      </c>
      <c r="T44" s="108">
        <f t="shared" si="88"/>
        <v>3.6666666666666681E-2</v>
      </c>
      <c r="U44" s="109">
        <f t="shared" si="92"/>
        <v>0.10953333333333333</v>
      </c>
      <c r="V44" s="110">
        <f t="shared" si="55"/>
        <v>0.1462</v>
      </c>
      <c r="W44" s="72">
        <f t="shared" si="77"/>
        <v>6.5476190476190493E-2</v>
      </c>
      <c r="X44" s="72">
        <f t="shared" si="77"/>
        <v>0.19559523809523807</v>
      </c>
      <c r="Y44" s="72">
        <f t="shared" si="77"/>
        <v>0.26107142857142857</v>
      </c>
      <c r="Z44" s="108">
        <f t="shared" si="89"/>
        <v>3.1666666666666676E-2</v>
      </c>
      <c r="AA44" s="109">
        <f t="shared" si="93"/>
        <v>8.9533333333333326E-2</v>
      </c>
      <c r="AB44" s="110">
        <f t="shared" si="57"/>
        <v>0.1212</v>
      </c>
      <c r="AC44" s="72">
        <f t="shared" ref="AC44" si="98">Z44/$B$3</f>
        <v>5.6547619047619062E-2</v>
      </c>
      <c r="AD44" s="72">
        <f t="shared" si="24"/>
        <v>0.15988095238095235</v>
      </c>
      <c r="AE44" s="72">
        <f t="shared" si="24"/>
        <v>0.21642857142857141</v>
      </c>
      <c r="AF44" s="69">
        <f t="shared" si="91"/>
        <v>3.1666666666666676E-2</v>
      </c>
      <c r="AG44" s="71">
        <f t="shared" si="66"/>
        <v>9.7199999999999967E-2</v>
      </c>
      <c r="AH44" s="56">
        <f t="shared" si="25"/>
        <v>0.12886666666666663</v>
      </c>
      <c r="AI44" s="72">
        <f t="shared" si="48"/>
        <v>5.6547619047619062E-2</v>
      </c>
      <c r="AJ44" s="72">
        <f t="shared" si="27"/>
        <v>0.17357142857142849</v>
      </c>
      <c r="AK44" s="72">
        <f t="shared" si="28"/>
        <v>0.23011904761904753</v>
      </c>
      <c r="AL44" s="106">
        <f t="shared" si="29"/>
        <v>6.2546537602382735</v>
      </c>
      <c r="AM44" s="107">
        <f t="shared" si="30"/>
        <v>4.6204620462046204</v>
      </c>
    </row>
    <row r="45" spans="1:39" x14ac:dyDescent="0.25">
      <c r="A45" s="51">
        <v>2049</v>
      </c>
      <c r="B45" s="58">
        <f t="shared" si="31"/>
        <v>3.8147127316729312E-2</v>
      </c>
      <c r="C45" s="53">
        <f t="shared" si="32"/>
        <v>8.4620381022568414E-2</v>
      </c>
      <c r="D45" s="56">
        <f t="shared" si="84"/>
        <v>0.12276750833929773</v>
      </c>
      <c r="E45" s="72">
        <f t="shared" si="74"/>
        <v>6.8119870208445191E-2</v>
      </c>
      <c r="F45" s="72">
        <f t="shared" si="74"/>
        <v>0.15110782325458644</v>
      </c>
      <c r="G45" s="72">
        <f t="shared" si="74"/>
        <v>0.21922769346303164</v>
      </c>
      <c r="H45" s="58">
        <f t="shared" si="34"/>
        <v>5.5329422747721013E-2</v>
      </c>
      <c r="I45" s="53">
        <f t="shared" si="35"/>
        <v>0.10632688094882392</v>
      </c>
      <c r="J45" s="56">
        <f t="shared" si="36"/>
        <v>0.16165630369654493</v>
      </c>
      <c r="K45" s="72">
        <f t="shared" si="75"/>
        <v>9.8802540620930371E-2</v>
      </c>
      <c r="L45" s="72">
        <f t="shared" si="75"/>
        <v>0.18986943026575698</v>
      </c>
      <c r="M45" s="72">
        <f t="shared" si="75"/>
        <v>0.28867197088668733</v>
      </c>
      <c r="N45" s="58">
        <f t="shared" si="43"/>
        <v>2.6666596808531076E-2</v>
      </c>
      <c r="O45" s="53">
        <f t="shared" si="44"/>
        <v>9.4199906659332311E-2</v>
      </c>
      <c r="P45" s="56">
        <f t="shared" si="38"/>
        <v>0.12086650346786339</v>
      </c>
      <c r="Q45" s="72">
        <f t="shared" si="76"/>
        <v>4.7618922872376915E-2</v>
      </c>
      <c r="R45" s="72">
        <f t="shared" si="76"/>
        <v>0.16821411903452196</v>
      </c>
      <c r="S45" s="72">
        <f t="shared" si="76"/>
        <v>0.21583304190689889</v>
      </c>
      <c r="T45" s="108">
        <f t="shared" si="88"/>
        <v>3.694444444444446E-2</v>
      </c>
      <c r="U45" s="109">
        <f t="shared" si="92"/>
        <v>0.11119999999999999</v>
      </c>
      <c r="V45" s="110">
        <f t="shared" si="55"/>
        <v>0.14814444444444447</v>
      </c>
      <c r="W45" s="72">
        <f t="shared" si="77"/>
        <v>6.5972222222222238E-2</v>
      </c>
      <c r="X45" s="72">
        <f t="shared" si="77"/>
        <v>0.19857142857142854</v>
      </c>
      <c r="Y45" s="72">
        <f t="shared" si="77"/>
        <v>0.26454365079365083</v>
      </c>
      <c r="Z45" s="108">
        <f t="shared" si="89"/>
        <v>3.1944444444444456E-2</v>
      </c>
      <c r="AA45" s="109">
        <f t="shared" si="93"/>
        <v>9.1199999999999989E-2</v>
      </c>
      <c r="AB45" s="110">
        <f t="shared" si="57"/>
        <v>0.12314444444444445</v>
      </c>
      <c r="AC45" s="72">
        <f t="shared" ref="AC45" si="99">Z45/$B$3</f>
        <v>5.7043650793650806E-2</v>
      </c>
      <c r="AD45" s="72">
        <f t="shared" si="24"/>
        <v>0.16285714285714281</v>
      </c>
      <c r="AE45" s="72">
        <f t="shared" si="24"/>
        <v>0.21990079365079362</v>
      </c>
      <c r="AF45" s="69">
        <f t="shared" si="91"/>
        <v>3.1944444444444456E-2</v>
      </c>
      <c r="AG45" s="71">
        <f>(AG$46-AG$26)/($A$46-$A$26) + AG44</f>
        <v>9.8599999999999965E-2</v>
      </c>
      <c r="AH45" s="56">
        <f t="shared" si="25"/>
        <v>0.13054444444444441</v>
      </c>
      <c r="AI45" s="72">
        <f t="shared" si="48"/>
        <v>5.7043650793650806E-2</v>
      </c>
      <c r="AJ45" s="72">
        <f t="shared" si="27"/>
        <v>0.17607142857142849</v>
      </c>
      <c r="AK45" s="72">
        <f t="shared" si="28"/>
        <v>0.23311507936507928</v>
      </c>
      <c r="AL45" s="106">
        <f t="shared" si="29"/>
        <v>6.1403508771929838</v>
      </c>
      <c r="AM45" s="107">
        <f t="shared" si="30"/>
        <v>4.5475051881259594</v>
      </c>
    </row>
    <row r="46" spans="1:39" x14ac:dyDescent="0.25">
      <c r="A46" s="51">
        <v>2050</v>
      </c>
      <c r="B46" s="58">
        <f t="shared" si="31"/>
        <v>3.8501706423602844E-2</v>
      </c>
      <c r="C46" s="53">
        <f t="shared" si="32"/>
        <v>8.6227915451806081E-2</v>
      </c>
      <c r="D46" s="56">
        <f t="shared" si="84"/>
        <v>0.12472962187540892</v>
      </c>
      <c r="E46" s="72">
        <f t="shared" si="74"/>
        <v>6.8753047185005078E-2</v>
      </c>
      <c r="F46" s="72">
        <f t="shared" si="74"/>
        <v>0.15397842044965371</v>
      </c>
      <c r="G46" s="72">
        <f t="shared" si="74"/>
        <v>0.22273146763465879</v>
      </c>
      <c r="H46" s="58">
        <f t="shared" si="34"/>
        <v>5.6131385083445062E-2</v>
      </c>
      <c r="I46" s="53">
        <f t="shared" si="35"/>
        <v>0.10849821954987748</v>
      </c>
      <c r="J46" s="56">
        <f t="shared" si="36"/>
        <v>0.16462960463332255</v>
      </c>
      <c r="K46" s="72">
        <f t="shared" si="75"/>
        <v>0.1002346162204376</v>
      </c>
      <c r="L46" s="72">
        <f t="shared" si="75"/>
        <v>0.19374682062478121</v>
      </c>
      <c r="M46" s="72">
        <f t="shared" si="75"/>
        <v>0.29398143684521882</v>
      </c>
      <c r="N46" s="58">
        <f t="shared" si="43"/>
        <v>2.6666596808531076E-2</v>
      </c>
      <c r="O46" s="53">
        <f t="shared" si="44"/>
        <v>9.6104514545069741E-2</v>
      </c>
      <c r="P46" s="56">
        <f t="shared" si="38"/>
        <v>0.12277111135360082</v>
      </c>
      <c r="Q46" s="72">
        <f t="shared" si="76"/>
        <v>4.7618922872376915E-2</v>
      </c>
      <c r="R46" s="72">
        <f t="shared" si="76"/>
        <v>0.17161520454476739</v>
      </c>
      <c r="S46" s="72">
        <f t="shared" si="76"/>
        <v>0.21923412741714429</v>
      </c>
      <c r="T46" s="108">
        <f t="shared" ref="T46" si="100">(T$56-T$38)/($A$56-$A$38) + T45</f>
        <v>3.722222222222224E-2</v>
      </c>
      <c r="U46" s="109">
        <f t="shared" ref="U46" si="101">(U$56-U$38)/($A$56-$A$38) + U45</f>
        <v>0.11286666666666666</v>
      </c>
      <c r="V46" s="110">
        <f>SUM(T46:U46)</f>
        <v>0.15008888888888888</v>
      </c>
      <c r="W46" s="72">
        <f t="shared" si="77"/>
        <v>6.6468253968253996E-2</v>
      </c>
      <c r="X46" s="72">
        <f t="shared" si="77"/>
        <v>0.201547619047619</v>
      </c>
      <c r="Y46" s="72">
        <f t="shared" si="77"/>
        <v>0.26801587301587299</v>
      </c>
      <c r="Z46" s="108">
        <f t="shared" ref="Z46" si="102">(Z$56-Z$38)/($A$56-$A$38) + Z45</f>
        <v>3.2222222222222235E-2</v>
      </c>
      <c r="AA46" s="109">
        <f t="shared" ref="AA46" si="103">(AA$56-AA$38)/($A$56-$A$38) + AA45</f>
        <v>9.2866666666666653E-2</v>
      </c>
      <c r="AB46" s="110">
        <f>SUM(Z46:AA46)</f>
        <v>0.12508888888888889</v>
      </c>
      <c r="AC46" s="72">
        <f t="shared" ref="AC46" si="104">Z46/$B$3</f>
        <v>5.7539682539682557E-2</v>
      </c>
      <c r="AD46" s="72">
        <f t="shared" si="24"/>
        <v>0.1658333333333333</v>
      </c>
      <c r="AE46" s="72">
        <f t="shared" si="24"/>
        <v>0.22337301587301586</v>
      </c>
      <c r="AF46" s="69">
        <f t="shared" si="91"/>
        <v>3.2222222222222235E-2</v>
      </c>
      <c r="AG46" s="126">
        <v>0.1</v>
      </c>
      <c r="AH46" s="56">
        <f>SUM(AF46:AG46)</f>
        <v>0.13222222222222224</v>
      </c>
      <c r="AI46" s="72">
        <f t="shared" si="48"/>
        <v>5.7539682539682557E-2</v>
      </c>
      <c r="AJ46" s="72">
        <f t="shared" si="27"/>
        <v>0.17857142857142858</v>
      </c>
      <c r="AK46" s="72">
        <f t="shared" si="28"/>
        <v>0.23611111111111113</v>
      </c>
      <c r="AL46" s="106">
        <f t="shared" si="29"/>
        <v>6.0301507537688455</v>
      </c>
      <c r="AM46" s="107">
        <f t="shared" si="30"/>
        <v>4.4768164860543616</v>
      </c>
    </row>
    <row r="47" spans="1:39" x14ac:dyDescent="0.25">
      <c r="A47" s="89">
        <v>2051</v>
      </c>
      <c r="B47" s="90">
        <f t="shared" si="31"/>
        <v>3.8856285530476486E-2</v>
      </c>
      <c r="C47" s="91">
        <f t="shared" si="32"/>
        <v>8.7835449881043304E-2</v>
      </c>
      <c r="D47" s="92">
        <f t="shared" si="84"/>
        <v>0.12669173541151979</v>
      </c>
      <c r="E47" s="92">
        <f t="shared" si="74"/>
        <v>6.9386224161565146E-2</v>
      </c>
      <c r="F47" s="92">
        <f t="shared" si="74"/>
        <v>0.15684901764472017</v>
      </c>
      <c r="G47" s="92">
        <f t="shared" si="74"/>
        <v>0.22623524180628532</v>
      </c>
      <c r="H47" s="90">
        <f t="shared" si="34"/>
        <v>5.6933347419169333E-2</v>
      </c>
      <c r="I47" s="91">
        <f t="shared" si="35"/>
        <v>0.11066955815093105</v>
      </c>
      <c r="J47" s="92">
        <f t="shared" si="36"/>
        <v>0.16760290557010038</v>
      </c>
      <c r="K47" s="92">
        <f t="shared" si="75"/>
        <v>0.10166669181994523</v>
      </c>
      <c r="L47" s="92">
        <f t="shared" si="75"/>
        <v>0.19762421098380542</v>
      </c>
      <c r="M47" s="92">
        <f t="shared" si="75"/>
        <v>0.29929090280375065</v>
      </c>
      <c r="N47" s="90">
        <f t="shared" si="43"/>
        <v>2.6666596808531076E-2</v>
      </c>
      <c r="O47" s="91">
        <f t="shared" si="44"/>
        <v>9.8009122430807616E-2</v>
      </c>
      <c r="P47" s="92">
        <f t="shared" si="38"/>
        <v>0.12467571923933869</v>
      </c>
      <c r="Q47" s="92">
        <f t="shared" si="76"/>
        <v>4.7618922872376915E-2</v>
      </c>
      <c r="R47" s="92">
        <f t="shared" si="76"/>
        <v>0.1750162900550136</v>
      </c>
      <c r="S47" s="92">
        <f t="shared" si="76"/>
        <v>0.2226352129273905</v>
      </c>
      <c r="T47" s="111">
        <f t="shared" ref="T47:T55" si="105">(T$56-T$38)/($A$56-$A$38) + T46</f>
        <v>3.7500000000000019E-2</v>
      </c>
      <c r="U47" s="112">
        <f t="shared" ref="U47:U55" si="106">(U$56-U$38)/($A$56-$A$38) + U46</f>
        <v>0.11453333333333332</v>
      </c>
      <c r="V47" s="113">
        <f t="shared" si="55"/>
        <v>0.15203333333333335</v>
      </c>
      <c r="W47" s="92">
        <f t="shared" si="77"/>
        <v>6.696428571428574E-2</v>
      </c>
      <c r="X47" s="92">
        <f t="shared" si="77"/>
        <v>0.20452380952380947</v>
      </c>
      <c r="Y47" s="92">
        <f t="shared" si="77"/>
        <v>0.27148809523809525</v>
      </c>
      <c r="Z47" s="111">
        <f t="shared" ref="Z47:Z55" si="107">(Z$56-Z$38)/($A$56-$A$38) + Z46</f>
        <v>3.2500000000000015E-2</v>
      </c>
      <c r="AA47" s="112">
        <f t="shared" ref="AA47:AA55" si="108">(AA$56-AA$38)/($A$56-$A$38) + AA46</f>
        <v>9.4533333333333316E-2</v>
      </c>
      <c r="AB47" s="113">
        <f t="shared" si="57"/>
        <v>0.12703333333333333</v>
      </c>
      <c r="AC47" s="92">
        <f t="shared" ref="AC47" si="109">Z47/$B$3</f>
        <v>5.8035714285714309E-2</v>
      </c>
      <c r="AD47" s="92">
        <f t="shared" si="24"/>
        <v>0.16880952380952377</v>
      </c>
      <c r="AE47" s="92">
        <f t="shared" si="24"/>
        <v>0.22684523809523807</v>
      </c>
      <c r="AF47" s="119">
        <f t="shared" si="91"/>
        <v>3.2500000000000015E-2</v>
      </c>
      <c r="AG47" s="120">
        <f>(AG$56-AG$46)/($A$56-$A$46) + AG46</f>
        <v>0.10175000000000001</v>
      </c>
      <c r="AH47" s="92">
        <f t="shared" ref="AH47:AH56" si="110">SUM(AF47:AG47)</f>
        <v>0.13425000000000004</v>
      </c>
      <c r="AI47" s="92">
        <f t="shared" si="48"/>
        <v>5.8035714285714309E-2</v>
      </c>
      <c r="AJ47" s="92">
        <f t="shared" si="27"/>
        <v>0.18169642857142856</v>
      </c>
      <c r="AK47" s="92">
        <f t="shared" si="28"/>
        <v>0.23973214285714289</v>
      </c>
      <c r="AL47" s="106">
        <f t="shared" si="29"/>
        <v>5.9238363892806785</v>
      </c>
      <c r="AM47" s="107">
        <f t="shared" si="30"/>
        <v>4.4082917869325637</v>
      </c>
    </row>
    <row r="48" spans="1:39" x14ac:dyDescent="0.25">
      <c r="A48" s="96">
        <v>2052</v>
      </c>
      <c r="B48" s="97">
        <f t="shared" si="31"/>
        <v>3.9210864637350018E-2</v>
      </c>
      <c r="C48" s="98">
        <f t="shared" si="32"/>
        <v>8.9442984310280971E-2</v>
      </c>
      <c r="D48" s="99">
        <f t="shared" si="84"/>
        <v>0.12865384894763099</v>
      </c>
      <c r="E48" s="99">
        <f t="shared" si="74"/>
        <v>7.001940113812502E-2</v>
      </c>
      <c r="F48" s="99">
        <f t="shared" si="74"/>
        <v>0.15971961483978744</v>
      </c>
      <c r="G48" s="99">
        <f t="shared" si="74"/>
        <v>0.22973901597791246</v>
      </c>
      <c r="H48" s="97">
        <f t="shared" si="34"/>
        <v>5.7735309754893382E-2</v>
      </c>
      <c r="I48" s="98">
        <f t="shared" si="35"/>
        <v>0.11284089675198461</v>
      </c>
      <c r="J48" s="99">
        <f t="shared" si="36"/>
        <v>0.17057620650687799</v>
      </c>
      <c r="K48" s="99">
        <f t="shared" si="75"/>
        <v>0.10309876741945245</v>
      </c>
      <c r="L48" s="99">
        <f t="shared" si="75"/>
        <v>0.20150160134282963</v>
      </c>
      <c r="M48" s="99">
        <f t="shared" si="75"/>
        <v>0.30460036876228208</v>
      </c>
      <c r="N48" s="97">
        <f t="shared" si="43"/>
        <v>2.6666596808531076E-2</v>
      </c>
      <c r="O48" s="98">
        <f t="shared" si="44"/>
        <v>9.9913730316545046E-2</v>
      </c>
      <c r="P48" s="99">
        <f t="shared" si="38"/>
        <v>0.12658032712507611</v>
      </c>
      <c r="Q48" s="99">
        <f t="shared" si="76"/>
        <v>4.7618922872376915E-2</v>
      </c>
      <c r="R48" s="99">
        <f t="shared" si="76"/>
        <v>0.178417375565259</v>
      </c>
      <c r="S48" s="99">
        <f t="shared" si="76"/>
        <v>0.2260362984376359</v>
      </c>
      <c r="T48" s="114">
        <f t="shared" si="105"/>
        <v>3.7777777777777799E-2</v>
      </c>
      <c r="U48" s="115">
        <f t="shared" si="106"/>
        <v>0.11619999999999998</v>
      </c>
      <c r="V48" s="116">
        <f t="shared" si="55"/>
        <v>0.15397777777777777</v>
      </c>
      <c r="W48" s="99">
        <f t="shared" si="77"/>
        <v>6.7460317460317498E-2</v>
      </c>
      <c r="X48" s="99">
        <f t="shared" si="77"/>
        <v>0.20749999999999996</v>
      </c>
      <c r="Y48" s="99">
        <f t="shared" si="77"/>
        <v>0.2749603174603174</v>
      </c>
      <c r="Z48" s="114">
        <f t="shared" si="107"/>
        <v>3.2777777777777795E-2</v>
      </c>
      <c r="AA48" s="115">
        <f t="shared" si="108"/>
        <v>9.619999999999998E-2</v>
      </c>
      <c r="AB48" s="116">
        <f t="shared" si="57"/>
        <v>0.12897777777777777</v>
      </c>
      <c r="AC48" s="99">
        <f t="shared" ref="AC48" si="111">Z48/$B$3</f>
        <v>5.8531746031746053E-2</v>
      </c>
      <c r="AD48" s="99">
        <f t="shared" si="24"/>
        <v>0.17178571428571424</v>
      </c>
      <c r="AE48" s="99">
        <f t="shared" si="24"/>
        <v>0.23031746031746028</v>
      </c>
      <c r="AF48" s="121">
        <f t="shared" si="91"/>
        <v>3.2777777777777795E-2</v>
      </c>
      <c r="AG48" s="122">
        <f t="shared" ref="AG48:AG55" si="112">(AG$56-AG$46)/($A$56-$A$46) + AG47</f>
        <v>0.10350000000000001</v>
      </c>
      <c r="AH48" s="99">
        <f t="shared" si="110"/>
        <v>0.1362777777777778</v>
      </c>
      <c r="AI48" s="99">
        <f t="shared" si="48"/>
        <v>5.8531746031746053E-2</v>
      </c>
      <c r="AJ48" s="99">
        <f t="shared" si="27"/>
        <v>0.18482142857142858</v>
      </c>
      <c r="AK48" s="99">
        <f t="shared" si="28"/>
        <v>0.24335317460317463</v>
      </c>
      <c r="AL48" s="106">
        <f t="shared" si="29"/>
        <v>5.8212058212058233</v>
      </c>
      <c r="AM48" s="107">
        <f t="shared" si="30"/>
        <v>4.341833218470021</v>
      </c>
    </row>
    <row r="49" spans="1:39" x14ac:dyDescent="0.25">
      <c r="A49" s="96">
        <v>2053</v>
      </c>
      <c r="B49" s="97">
        <f t="shared" si="31"/>
        <v>3.9565443744223661E-2</v>
      </c>
      <c r="C49" s="98">
        <f t="shared" si="32"/>
        <v>9.1050518739518194E-2</v>
      </c>
      <c r="D49" s="99">
        <f t="shared" si="84"/>
        <v>0.13061596248374185</v>
      </c>
      <c r="E49" s="99">
        <f t="shared" ref="E49:G56" si="113">B49/$B$3</f>
        <v>7.0652578114685102E-2</v>
      </c>
      <c r="F49" s="99">
        <f t="shared" si="113"/>
        <v>0.16259021203485391</v>
      </c>
      <c r="G49" s="99">
        <f t="shared" si="113"/>
        <v>0.233242790149539</v>
      </c>
      <c r="H49" s="97">
        <f t="shared" si="34"/>
        <v>5.8537272090617432E-2</v>
      </c>
      <c r="I49" s="98">
        <f t="shared" si="35"/>
        <v>0.11501223535303728</v>
      </c>
      <c r="J49" s="99">
        <f t="shared" si="36"/>
        <v>0.17354950744365472</v>
      </c>
      <c r="K49" s="99">
        <f t="shared" ref="K49:M56" si="114">H49/$B$3</f>
        <v>0.10453084301895969</v>
      </c>
      <c r="L49" s="99">
        <f t="shared" si="114"/>
        <v>0.20537899170185228</v>
      </c>
      <c r="M49" s="99">
        <f t="shared" si="114"/>
        <v>0.30990983472081196</v>
      </c>
      <c r="N49" s="97">
        <f t="shared" si="43"/>
        <v>2.6666596808531076E-2</v>
      </c>
      <c r="O49" s="98">
        <f t="shared" si="44"/>
        <v>0.10181833820228248</v>
      </c>
      <c r="P49" s="99">
        <f t="shared" si="38"/>
        <v>0.12848493501081354</v>
      </c>
      <c r="Q49" s="99">
        <f t="shared" ref="Q49:S56" si="115">N49/$B$3</f>
        <v>4.7618922872376915E-2</v>
      </c>
      <c r="R49" s="99">
        <f t="shared" si="115"/>
        <v>0.1818184610755044</v>
      </c>
      <c r="S49" s="99">
        <f t="shared" si="115"/>
        <v>0.2294373839478813</v>
      </c>
      <c r="T49" s="114">
        <f t="shared" si="105"/>
        <v>3.8055555555555579E-2</v>
      </c>
      <c r="U49" s="115">
        <f t="shared" si="106"/>
        <v>0.11786666666666665</v>
      </c>
      <c r="V49" s="116">
        <f t="shared" si="55"/>
        <v>0.15592222222222224</v>
      </c>
      <c r="W49" s="99">
        <f t="shared" ref="W49:Y56" si="116">T49/$B$3</f>
        <v>6.7956349206349242E-2</v>
      </c>
      <c r="X49" s="99">
        <f t="shared" si="116"/>
        <v>0.21047619047619043</v>
      </c>
      <c r="Y49" s="99">
        <f t="shared" si="116"/>
        <v>0.27843253968253967</v>
      </c>
      <c r="Z49" s="114">
        <f t="shared" si="107"/>
        <v>3.3055555555555574E-2</v>
      </c>
      <c r="AA49" s="115">
        <f t="shared" si="108"/>
        <v>9.7866666666666643E-2</v>
      </c>
      <c r="AB49" s="116">
        <f t="shared" si="57"/>
        <v>0.13092222222222222</v>
      </c>
      <c r="AC49" s="99">
        <f t="shared" ref="AC49" si="117">Z49/$B$3</f>
        <v>5.9027777777777804E-2</v>
      </c>
      <c r="AD49" s="99">
        <f t="shared" si="24"/>
        <v>0.1747619047619047</v>
      </c>
      <c r="AE49" s="99">
        <f t="shared" si="24"/>
        <v>0.23378968253968252</v>
      </c>
      <c r="AF49" s="121">
        <f t="shared" si="91"/>
        <v>3.3055555555555574E-2</v>
      </c>
      <c r="AG49" s="122">
        <f t="shared" si="112"/>
        <v>0.10525000000000001</v>
      </c>
      <c r="AH49" s="99">
        <f t="shared" si="110"/>
        <v>0.13830555555555557</v>
      </c>
      <c r="AI49" s="99">
        <f t="shared" si="48"/>
        <v>5.9027777777777804E-2</v>
      </c>
      <c r="AJ49" s="99">
        <f t="shared" si="27"/>
        <v>0.18794642857142857</v>
      </c>
      <c r="AK49" s="99">
        <f t="shared" si="28"/>
        <v>0.24697420634920636</v>
      </c>
      <c r="AL49" s="106">
        <f t="shared" si="29"/>
        <v>5.7220708446866508</v>
      </c>
      <c r="AM49" s="107">
        <f t="shared" si="30"/>
        <v>4.2773487227361455</v>
      </c>
    </row>
    <row r="50" spans="1:39" x14ac:dyDescent="0.25">
      <c r="A50" s="96">
        <v>2054</v>
      </c>
      <c r="B50" s="97">
        <f t="shared" si="31"/>
        <v>3.9920022851097192E-2</v>
      </c>
      <c r="C50" s="98">
        <f t="shared" si="32"/>
        <v>9.2658053168755417E-2</v>
      </c>
      <c r="D50" s="99">
        <f t="shared" si="84"/>
        <v>0.13257807601985261</v>
      </c>
      <c r="E50" s="99">
        <f t="shared" si="113"/>
        <v>7.1285755091244976E-2</v>
      </c>
      <c r="F50" s="99">
        <f t="shared" si="113"/>
        <v>0.16546080922992037</v>
      </c>
      <c r="G50" s="99">
        <f t="shared" si="113"/>
        <v>0.23674656432116534</v>
      </c>
      <c r="H50" s="97">
        <f t="shared" si="34"/>
        <v>5.9339234426341481E-2</v>
      </c>
      <c r="I50" s="98">
        <f t="shared" si="35"/>
        <v>0.11718357395409085</v>
      </c>
      <c r="J50" s="99">
        <f t="shared" si="36"/>
        <v>0.17652280838043233</v>
      </c>
      <c r="K50" s="99">
        <f t="shared" si="114"/>
        <v>0.10596291861846692</v>
      </c>
      <c r="L50" s="99">
        <f t="shared" si="114"/>
        <v>0.20925638206087649</v>
      </c>
      <c r="M50" s="99">
        <f t="shared" si="114"/>
        <v>0.31521930067934339</v>
      </c>
      <c r="N50" s="97">
        <f t="shared" si="43"/>
        <v>2.6666596808531076E-2</v>
      </c>
      <c r="O50" s="98">
        <f t="shared" si="44"/>
        <v>0.10372294608801991</v>
      </c>
      <c r="P50" s="99">
        <f t="shared" si="38"/>
        <v>0.13038954289655097</v>
      </c>
      <c r="Q50" s="99">
        <f t="shared" si="115"/>
        <v>4.7618922872376915E-2</v>
      </c>
      <c r="R50" s="99">
        <f t="shared" si="115"/>
        <v>0.18521954658574982</v>
      </c>
      <c r="S50" s="99">
        <f t="shared" si="115"/>
        <v>0.2328384694581267</v>
      </c>
      <c r="T50" s="114">
        <f t="shared" si="105"/>
        <v>3.8333333333333358E-2</v>
      </c>
      <c r="U50" s="115">
        <f t="shared" si="106"/>
        <v>0.11953333333333331</v>
      </c>
      <c r="V50" s="116">
        <f t="shared" si="55"/>
        <v>0.15786666666666666</v>
      </c>
      <c r="W50" s="99">
        <f t="shared" si="116"/>
        <v>6.8452380952380987E-2</v>
      </c>
      <c r="X50" s="99">
        <f t="shared" si="116"/>
        <v>0.21345238095238089</v>
      </c>
      <c r="Y50" s="99">
        <f t="shared" si="116"/>
        <v>0.28190476190476188</v>
      </c>
      <c r="Z50" s="114">
        <f t="shared" si="107"/>
        <v>3.3333333333333354E-2</v>
      </c>
      <c r="AA50" s="115">
        <f t="shared" si="108"/>
        <v>9.9533333333333307E-2</v>
      </c>
      <c r="AB50" s="116">
        <f t="shared" si="57"/>
        <v>0.13286666666666666</v>
      </c>
      <c r="AC50" s="99">
        <f t="shared" ref="AC50" si="118">Z50/$B$3</f>
        <v>5.9523809523809555E-2</v>
      </c>
      <c r="AD50" s="99">
        <f t="shared" si="24"/>
        <v>0.17773809523809517</v>
      </c>
      <c r="AE50" s="99">
        <f t="shared" si="24"/>
        <v>0.23726190476190473</v>
      </c>
      <c r="AF50" s="121">
        <f t="shared" si="91"/>
        <v>3.3333333333333354E-2</v>
      </c>
      <c r="AG50" s="122">
        <f t="shared" si="112"/>
        <v>0.10700000000000001</v>
      </c>
      <c r="AH50" s="99">
        <f t="shared" si="110"/>
        <v>0.14033333333333337</v>
      </c>
      <c r="AI50" s="99">
        <f t="shared" si="48"/>
        <v>5.9523809523809555E-2</v>
      </c>
      <c r="AJ50" s="99">
        <f t="shared" si="27"/>
        <v>0.19107142857142859</v>
      </c>
      <c r="AK50" s="99">
        <f t="shared" si="28"/>
        <v>0.25059523809523815</v>
      </c>
      <c r="AL50" s="106">
        <f t="shared" si="29"/>
        <v>5.6262558606831901</v>
      </c>
      <c r="AM50" s="107">
        <f t="shared" si="30"/>
        <v>4.214751630707477</v>
      </c>
    </row>
    <row r="51" spans="1:39" x14ac:dyDescent="0.25">
      <c r="A51" s="96">
        <v>2055</v>
      </c>
      <c r="B51" s="97">
        <f t="shared" si="31"/>
        <v>4.0274601957970835E-2</v>
      </c>
      <c r="C51" s="98">
        <f t="shared" si="32"/>
        <v>9.4265587597993084E-2</v>
      </c>
      <c r="D51" s="99">
        <f t="shared" si="84"/>
        <v>0.13454018955596392</v>
      </c>
      <c r="E51" s="99">
        <f t="shared" si="113"/>
        <v>7.1918932067805058E-2</v>
      </c>
      <c r="F51" s="99">
        <f t="shared" si="113"/>
        <v>0.16833140642498765</v>
      </c>
      <c r="G51" s="99">
        <f t="shared" si="113"/>
        <v>0.24025033849279268</v>
      </c>
      <c r="H51" s="97">
        <f t="shared" si="34"/>
        <v>6.014119676206553E-2</v>
      </c>
      <c r="I51" s="98">
        <f t="shared" si="35"/>
        <v>0.11935491255514441</v>
      </c>
      <c r="J51" s="99">
        <f t="shared" si="36"/>
        <v>0.17949610931720994</v>
      </c>
      <c r="K51" s="99">
        <f t="shared" si="114"/>
        <v>0.10739499421797415</v>
      </c>
      <c r="L51" s="99">
        <f t="shared" si="114"/>
        <v>0.21313377241990072</v>
      </c>
      <c r="M51" s="99">
        <f t="shared" si="114"/>
        <v>0.32052876663787488</v>
      </c>
      <c r="N51" s="97">
        <f t="shared" si="43"/>
        <v>2.6666596808531076E-2</v>
      </c>
      <c r="O51" s="98">
        <f t="shared" si="44"/>
        <v>0.10562755397375734</v>
      </c>
      <c r="P51" s="99">
        <f t="shared" si="38"/>
        <v>0.1322941507822884</v>
      </c>
      <c r="Q51" s="99">
        <f t="shared" si="115"/>
        <v>4.7618922872376915E-2</v>
      </c>
      <c r="R51" s="99">
        <f t="shared" si="115"/>
        <v>0.18862063209599522</v>
      </c>
      <c r="S51" s="99">
        <f t="shared" si="115"/>
        <v>0.23623955496837212</v>
      </c>
      <c r="T51" s="114">
        <f t="shared" si="105"/>
        <v>3.8611111111111138E-2</v>
      </c>
      <c r="U51" s="115">
        <f t="shared" si="106"/>
        <v>0.12119999999999997</v>
      </c>
      <c r="V51" s="116">
        <f t="shared" si="55"/>
        <v>0.15981111111111113</v>
      </c>
      <c r="W51" s="99">
        <f t="shared" si="116"/>
        <v>6.8948412698412745E-2</v>
      </c>
      <c r="X51" s="99">
        <f t="shared" si="116"/>
        <v>0.21642857142857136</v>
      </c>
      <c r="Y51" s="99">
        <f t="shared" si="116"/>
        <v>0.28537698412698415</v>
      </c>
      <c r="Z51" s="114">
        <f t="shared" si="107"/>
        <v>3.3611111111111133E-2</v>
      </c>
      <c r="AA51" s="115">
        <f t="shared" si="108"/>
        <v>0.10119999999999997</v>
      </c>
      <c r="AB51" s="116">
        <f t="shared" si="57"/>
        <v>0.1348111111111111</v>
      </c>
      <c r="AC51" s="99">
        <f t="shared" ref="AC51" si="119">Z51/$B$3</f>
        <v>6.0019841269841306E-2</v>
      </c>
      <c r="AD51" s="99">
        <f t="shared" si="24"/>
        <v>0.18071428571428563</v>
      </c>
      <c r="AE51" s="99">
        <f t="shared" si="24"/>
        <v>0.24073412698412694</v>
      </c>
      <c r="AF51" s="121">
        <f t="shared" si="91"/>
        <v>3.3611111111111133E-2</v>
      </c>
      <c r="AG51" s="122">
        <f t="shared" si="112"/>
        <v>0.10875000000000001</v>
      </c>
      <c r="AH51" s="99">
        <f t="shared" si="110"/>
        <v>0.14236111111111116</v>
      </c>
      <c r="AI51" s="99">
        <f t="shared" si="48"/>
        <v>6.0019841269841306E-2</v>
      </c>
      <c r="AJ51" s="99">
        <f t="shared" si="27"/>
        <v>0.19419642857142858</v>
      </c>
      <c r="AK51" s="99">
        <f t="shared" si="28"/>
        <v>0.25421626984126988</v>
      </c>
      <c r="AL51" s="106">
        <f t="shared" si="29"/>
        <v>5.5335968379446667</v>
      </c>
      <c r="AM51" s="107">
        <f t="shared" si="30"/>
        <v>4.1539602736338921</v>
      </c>
    </row>
    <row r="52" spans="1:39" x14ac:dyDescent="0.25">
      <c r="A52" s="96">
        <v>2056</v>
      </c>
      <c r="B52" s="97">
        <f t="shared" si="31"/>
        <v>4.0629181064844477E-2</v>
      </c>
      <c r="C52" s="98">
        <f t="shared" si="32"/>
        <v>9.5873122027230306E-2</v>
      </c>
      <c r="D52" s="99">
        <f t="shared" si="84"/>
        <v>0.13650230309207478</v>
      </c>
      <c r="E52" s="99">
        <f t="shared" si="113"/>
        <v>7.2552109044365126E-2</v>
      </c>
      <c r="F52" s="99">
        <f t="shared" si="113"/>
        <v>0.17120200362005411</v>
      </c>
      <c r="G52" s="99">
        <f t="shared" si="113"/>
        <v>0.24375411266441924</v>
      </c>
      <c r="H52" s="97">
        <f t="shared" si="34"/>
        <v>6.0943159097789801E-2</v>
      </c>
      <c r="I52" s="98">
        <f t="shared" si="35"/>
        <v>0.12152625115619797</v>
      </c>
      <c r="J52" s="99">
        <f t="shared" si="36"/>
        <v>0.18246941025398777</v>
      </c>
      <c r="K52" s="99">
        <f t="shared" si="114"/>
        <v>0.10882706981748178</v>
      </c>
      <c r="L52" s="99">
        <f t="shared" si="114"/>
        <v>0.21701116277892493</v>
      </c>
      <c r="M52" s="99">
        <f t="shared" si="114"/>
        <v>0.32583823259640671</v>
      </c>
      <c r="N52" s="97">
        <f t="shared" si="43"/>
        <v>2.6666596808531076E-2</v>
      </c>
      <c r="O52" s="98">
        <f t="shared" si="44"/>
        <v>0.10753216185949521</v>
      </c>
      <c r="P52" s="99">
        <f t="shared" si="38"/>
        <v>0.13419875866802627</v>
      </c>
      <c r="Q52" s="99">
        <f t="shared" si="115"/>
        <v>4.7618922872376915E-2</v>
      </c>
      <c r="R52" s="99">
        <f t="shared" si="115"/>
        <v>0.19202171760624143</v>
      </c>
      <c r="S52" s="99">
        <f t="shared" si="115"/>
        <v>0.23964064047861833</v>
      </c>
      <c r="T52" s="114">
        <f t="shared" si="105"/>
        <v>3.8888888888888917E-2</v>
      </c>
      <c r="U52" s="115">
        <f t="shared" si="106"/>
        <v>0.12286666666666664</v>
      </c>
      <c r="V52" s="116">
        <f t="shared" si="55"/>
        <v>0.16175555555555554</v>
      </c>
      <c r="W52" s="99">
        <f t="shared" si="116"/>
        <v>6.9444444444444489E-2</v>
      </c>
      <c r="X52" s="99">
        <f t="shared" si="116"/>
        <v>0.21940476190476182</v>
      </c>
      <c r="Y52" s="99">
        <f t="shared" si="116"/>
        <v>0.2888492063492063</v>
      </c>
      <c r="Z52" s="114">
        <f t="shared" si="107"/>
        <v>3.3888888888888913E-2</v>
      </c>
      <c r="AA52" s="115">
        <f t="shared" si="108"/>
        <v>0.10286666666666663</v>
      </c>
      <c r="AB52" s="116">
        <f t="shared" si="57"/>
        <v>0.13675555555555555</v>
      </c>
      <c r="AC52" s="99">
        <f t="shared" ref="AC52" si="120">Z52/$B$3</f>
        <v>6.0515873015873051E-2</v>
      </c>
      <c r="AD52" s="99">
        <f t="shared" si="24"/>
        <v>0.18369047619047613</v>
      </c>
      <c r="AE52" s="99">
        <f t="shared" si="24"/>
        <v>0.24420634920634918</v>
      </c>
      <c r="AF52" s="121">
        <f t="shared" si="91"/>
        <v>3.3888888888888913E-2</v>
      </c>
      <c r="AG52" s="122">
        <f t="shared" si="112"/>
        <v>0.11050000000000001</v>
      </c>
      <c r="AH52" s="99">
        <f t="shared" si="110"/>
        <v>0.14438888888888893</v>
      </c>
      <c r="AI52" s="99">
        <f t="shared" si="48"/>
        <v>6.0515873015873051E-2</v>
      </c>
      <c r="AJ52" s="99">
        <f t="shared" si="27"/>
        <v>0.19732142857142859</v>
      </c>
      <c r="AK52" s="99">
        <f t="shared" si="28"/>
        <v>0.25783730158730161</v>
      </c>
      <c r="AL52" s="106">
        <f t="shared" si="29"/>
        <v>5.4439403758911231</v>
      </c>
      <c r="AM52" s="107">
        <f t="shared" si="30"/>
        <v>4.0948976275593116</v>
      </c>
    </row>
    <row r="53" spans="1:39" x14ac:dyDescent="0.25">
      <c r="A53" s="96">
        <v>2057</v>
      </c>
      <c r="B53" s="97">
        <f t="shared" si="31"/>
        <v>4.0983760171718009E-2</v>
      </c>
      <c r="C53" s="98">
        <f t="shared" si="32"/>
        <v>9.7480656456467973E-2</v>
      </c>
      <c r="D53" s="99">
        <f t="shared" si="84"/>
        <v>0.13846441662818598</v>
      </c>
      <c r="E53" s="99">
        <f t="shared" si="113"/>
        <v>7.3185286020925014E-2</v>
      </c>
      <c r="F53" s="99">
        <f t="shared" si="113"/>
        <v>0.17407260081512135</v>
      </c>
      <c r="G53" s="99">
        <f t="shared" si="113"/>
        <v>0.24725788683604638</v>
      </c>
      <c r="H53" s="97">
        <f t="shared" si="34"/>
        <v>6.174512143351385E-2</v>
      </c>
      <c r="I53" s="98">
        <f t="shared" si="35"/>
        <v>0.12369758975725154</v>
      </c>
      <c r="J53" s="99">
        <f t="shared" si="36"/>
        <v>0.18544271119076539</v>
      </c>
      <c r="K53" s="99">
        <f t="shared" si="114"/>
        <v>0.110259145416989</v>
      </c>
      <c r="L53" s="99">
        <f t="shared" si="114"/>
        <v>0.22088855313794914</v>
      </c>
      <c r="M53" s="99">
        <f t="shared" si="114"/>
        <v>0.33114769855493814</v>
      </c>
      <c r="N53" s="97">
        <f t="shared" si="43"/>
        <v>2.6666596808531076E-2</v>
      </c>
      <c r="O53" s="98">
        <f t="shared" si="44"/>
        <v>0.10943676974523264</v>
      </c>
      <c r="P53" s="99">
        <f t="shared" si="38"/>
        <v>0.1361033665537637</v>
      </c>
      <c r="Q53" s="99">
        <f t="shared" si="115"/>
        <v>4.7618922872376915E-2</v>
      </c>
      <c r="R53" s="99">
        <f t="shared" si="115"/>
        <v>0.19542280311648685</v>
      </c>
      <c r="S53" s="99">
        <f t="shared" si="115"/>
        <v>0.24304172598886373</v>
      </c>
      <c r="T53" s="114">
        <f t="shared" si="105"/>
        <v>3.9166666666666697E-2</v>
      </c>
      <c r="U53" s="115">
        <f t="shared" si="106"/>
        <v>0.1245333333333333</v>
      </c>
      <c r="V53" s="116">
        <f t="shared" si="55"/>
        <v>0.16370000000000001</v>
      </c>
      <c r="W53" s="99">
        <f t="shared" si="116"/>
        <v>6.9940476190476233E-2</v>
      </c>
      <c r="X53" s="99">
        <f t="shared" si="116"/>
        <v>0.22238095238095229</v>
      </c>
      <c r="Y53" s="99">
        <f t="shared" si="116"/>
        <v>0.29232142857142857</v>
      </c>
      <c r="Z53" s="114">
        <f t="shared" si="107"/>
        <v>3.4166666666666692E-2</v>
      </c>
      <c r="AA53" s="115">
        <f t="shared" si="108"/>
        <v>0.1045333333333333</v>
      </c>
      <c r="AB53" s="116">
        <f t="shared" si="57"/>
        <v>0.13869999999999999</v>
      </c>
      <c r="AC53" s="99">
        <f t="shared" ref="AC53" si="121">Z53/$B$3</f>
        <v>6.1011904761904802E-2</v>
      </c>
      <c r="AD53" s="99">
        <f t="shared" si="24"/>
        <v>0.18666666666666659</v>
      </c>
      <c r="AE53" s="99">
        <f t="shared" si="24"/>
        <v>0.24767857142857139</v>
      </c>
      <c r="AF53" s="121">
        <f t="shared" si="91"/>
        <v>3.4166666666666692E-2</v>
      </c>
      <c r="AG53" s="122">
        <f t="shared" si="112"/>
        <v>0.11225000000000002</v>
      </c>
      <c r="AH53" s="99">
        <f t="shared" si="110"/>
        <v>0.14641666666666669</v>
      </c>
      <c r="AI53" s="99">
        <f t="shared" si="48"/>
        <v>6.1011904761904802E-2</v>
      </c>
      <c r="AJ53" s="99">
        <f t="shared" si="27"/>
        <v>0.20044642857142858</v>
      </c>
      <c r="AK53" s="99">
        <f t="shared" si="28"/>
        <v>0.26145833333333335</v>
      </c>
      <c r="AL53" s="106">
        <f t="shared" si="29"/>
        <v>5.3571428571428594</v>
      </c>
      <c r="AM53" s="107">
        <f t="shared" si="30"/>
        <v>4.0374909877433316</v>
      </c>
    </row>
    <row r="54" spans="1:39" x14ac:dyDescent="0.25">
      <c r="A54" s="96">
        <v>2058</v>
      </c>
      <c r="B54" s="97">
        <f t="shared" si="31"/>
        <v>4.1338339278591651E-2</v>
      </c>
      <c r="C54" s="98">
        <f t="shared" si="32"/>
        <v>9.9088190885705196E-2</v>
      </c>
      <c r="D54" s="99">
        <f t="shared" si="84"/>
        <v>0.14042653016429685</v>
      </c>
      <c r="E54" s="99">
        <f t="shared" si="113"/>
        <v>7.3818462997485082E-2</v>
      </c>
      <c r="F54" s="99">
        <f t="shared" si="113"/>
        <v>0.17694319801018785</v>
      </c>
      <c r="G54" s="99">
        <f t="shared" si="113"/>
        <v>0.25076166100767294</v>
      </c>
      <c r="H54" s="97">
        <f t="shared" si="34"/>
        <v>6.2547083769237899E-2</v>
      </c>
      <c r="I54" s="98">
        <f t="shared" si="35"/>
        <v>0.1258689283583051</v>
      </c>
      <c r="J54" s="99">
        <f t="shared" si="36"/>
        <v>0.188416012127543</v>
      </c>
      <c r="K54" s="99">
        <f t="shared" si="114"/>
        <v>0.11169122101649624</v>
      </c>
      <c r="L54" s="99">
        <f t="shared" si="114"/>
        <v>0.22476594349697337</v>
      </c>
      <c r="M54" s="99">
        <f t="shared" si="114"/>
        <v>0.33645716451346963</v>
      </c>
      <c r="N54" s="97">
        <f t="shared" si="43"/>
        <v>2.6666596808531076E-2</v>
      </c>
      <c r="O54" s="98">
        <f t="shared" si="44"/>
        <v>0.11134137763097007</v>
      </c>
      <c r="P54" s="99">
        <f t="shared" si="38"/>
        <v>0.13800797443950114</v>
      </c>
      <c r="Q54" s="99">
        <f t="shared" si="115"/>
        <v>4.7618922872376915E-2</v>
      </c>
      <c r="R54" s="99">
        <f t="shared" si="115"/>
        <v>0.19882388862673225</v>
      </c>
      <c r="S54" s="99">
        <f t="shared" si="115"/>
        <v>0.24644281149910915</v>
      </c>
      <c r="T54" s="114">
        <f t="shared" si="105"/>
        <v>3.9444444444444476E-2</v>
      </c>
      <c r="U54" s="115">
        <f t="shared" si="106"/>
        <v>0.12619999999999998</v>
      </c>
      <c r="V54" s="116">
        <f t="shared" si="55"/>
        <v>0.16564444444444446</v>
      </c>
      <c r="W54" s="99">
        <f t="shared" si="116"/>
        <v>7.0436507936507992E-2</v>
      </c>
      <c r="X54" s="99">
        <f t="shared" si="116"/>
        <v>0.22535714285714281</v>
      </c>
      <c r="Y54" s="99">
        <f t="shared" si="116"/>
        <v>0.29579365079365078</v>
      </c>
      <c r="Z54" s="114">
        <f t="shared" si="107"/>
        <v>3.4444444444444472E-2</v>
      </c>
      <c r="AA54" s="115">
        <f t="shared" si="108"/>
        <v>0.10619999999999996</v>
      </c>
      <c r="AB54" s="116">
        <f t="shared" si="57"/>
        <v>0.14064444444444443</v>
      </c>
      <c r="AC54" s="99">
        <f t="shared" ref="AC54" si="122">Z54/$B$3</f>
        <v>6.1507936507936553E-2</v>
      </c>
      <c r="AD54" s="99">
        <f t="shared" si="24"/>
        <v>0.18964285714285706</v>
      </c>
      <c r="AE54" s="99">
        <f t="shared" si="24"/>
        <v>0.25115079365079362</v>
      </c>
      <c r="AF54" s="121">
        <f t="shared" si="91"/>
        <v>3.4444444444444472E-2</v>
      </c>
      <c r="AG54" s="122">
        <f t="shared" si="112"/>
        <v>0.11400000000000002</v>
      </c>
      <c r="AH54" s="99">
        <f t="shared" si="110"/>
        <v>0.14844444444444449</v>
      </c>
      <c r="AI54" s="99">
        <f t="shared" si="48"/>
        <v>6.1507936507936553E-2</v>
      </c>
      <c r="AJ54" s="99">
        <f t="shared" si="27"/>
        <v>0.2035714285714286</v>
      </c>
      <c r="AK54" s="99">
        <f t="shared" si="28"/>
        <v>0.26507936507936514</v>
      </c>
      <c r="AL54" s="106">
        <f t="shared" si="29"/>
        <v>5.2730696798493435</v>
      </c>
      <c r="AM54" s="107">
        <f t="shared" si="30"/>
        <v>3.9816716700900621</v>
      </c>
    </row>
    <row r="55" spans="1:39" x14ac:dyDescent="0.25">
      <c r="A55" s="96">
        <v>2059</v>
      </c>
      <c r="B55" s="97">
        <f t="shared" si="31"/>
        <v>4.1692918385465183E-2</v>
      </c>
      <c r="C55" s="98">
        <f t="shared" si="32"/>
        <v>0.10069572531494242</v>
      </c>
      <c r="D55" s="99">
        <f t="shared" si="84"/>
        <v>0.1423886437004076</v>
      </c>
      <c r="E55" s="99">
        <f t="shared" si="113"/>
        <v>7.4451639974044956E-2</v>
      </c>
      <c r="F55" s="99">
        <f t="shared" si="113"/>
        <v>0.17981379520525431</v>
      </c>
      <c r="G55" s="99">
        <f t="shared" si="113"/>
        <v>0.25426543517929928</v>
      </c>
      <c r="H55" s="97">
        <f t="shared" si="34"/>
        <v>6.3349046104961948E-2</v>
      </c>
      <c r="I55" s="98">
        <f t="shared" si="35"/>
        <v>0.12804026695935866</v>
      </c>
      <c r="J55" s="99">
        <f t="shared" si="36"/>
        <v>0.19138931306432061</v>
      </c>
      <c r="K55" s="99">
        <f t="shared" si="114"/>
        <v>0.11312329661600347</v>
      </c>
      <c r="L55" s="99">
        <f t="shared" si="114"/>
        <v>0.22864333385599758</v>
      </c>
      <c r="M55" s="99">
        <f t="shared" si="114"/>
        <v>0.34176663047200107</v>
      </c>
      <c r="N55" s="97">
        <f t="shared" si="43"/>
        <v>2.6666596808531076E-2</v>
      </c>
      <c r="O55" s="98">
        <f t="shared" si="44"/>
        <v>0.1132459855167075</v>
      </c>
      <c r="P55" s="99">
        <f t="shared" si="38"/>
        <v>0.13991258232523857</v>
      </c>
      <c r="Q55" s="99">
        <f t="shared" si="115"/>
        <v>4.7618922872376915E-2</v>
      </c>
      <c r="R55" s="99">
        <f t="shared" si="115"/>
        <v>0.20222497413697765</v>
      </c>
      <c r="S55" s="99">
        <f t="shared" si="115"/>
        <v>0.24984389700935455</v>
      </c>
      <c r="T55" s="114">
        <f t="shared" si="105"/>
        <v>3.9722222222222256E-2</v>
      </c>
      <c r="U55" s="115">
        <f t="shared" si="106"/>
        <v>0.12786666666666666</v>
      </c>
      <c r="V55" s="116">
        <f t="shared" si="55"/>
        <v>0.1675888888888889</v>
      </c>
      <c r="W55" s="99">
        <f t="shared" si="116"/>
        <v>7.0932539682539736E-2</v>
      </c>
      <c r="X55" s="99">
        <f t="shared" si="116"/>
        <v>0.2283333333333333</v>
      </c>
      <c r="Y55" s="99">
        <f t="shared" si="116"/>
        <v>0.29926587301587299</v>
      </c>
      <c r="Z55" s="114">
        <f t="shared" si="107"/>
        <v>3.4722222222222252E-2</v>
      </c>
      <c r="AA55" s="115">
        <f t="shared" si="108"/>
        <v>0.10786666666666662</v>
      </c>
      <c r="AB55" s="116">
        <f t="shared" si="57"/>
        <v>0.14258888888888888</v>
      </c>
      <c r="AC55" s="99">
        <f t="shared" ref="AC55" si="123">Z55/$B$3</f>
        <v>6.2003968253968297E-2</v>
      </c>
      <c r="AD55" s="99">
        <f t="shared" si="24"/>
        <v>0.19261904761904752</v>
      </c>
      <c r="AE55" s="99">
        <f t="shared" si="24"/>
        <v>0.25462301587301583</v>
      </c>
      <c r="AF55" s="121">
        <f t="shared" ref="AF55" si="124">(AF$56-AF$38)/($A$56-$A$38) + AF54</f>
        <v>3.4722222222222252E-2</v>
      </c>
      <c r="AG55" s="122">
        <f t="shared" si="112"/>
        <v>0.11575000000000002</v>
      </c>
      <c r="AH55" s="99">
        <f t="shared" si="110"/>
        <v>0.15047222222222228</v>
      </c>
      <c r="AI55" s="99">
        <f t="shared" si="48"/>
        <v>6.2003968253968297E-2</v>
      </c>
      <c r="AJ55" s="99">
        <f t="shared" si="27"/>
        <v>0.20669642857142859</v>
      </c>
      <c r="AK55" s="99">
        <f t="shared" si="28"/>
        <v>0.26870039682539693</v>
      </c>
      <c r="AL55" s="106">
        <f t="shared" si="29"/>
        <v>5.191594561186653</v>
      </c>
      <c r="AM55" s="107">
        <f t="shared" si="30"/>
        <v>3.9273747370061565</v>
      </c>
    </row>
    <row r="56" spans="1:39" x14ac:dyDescent="0.25">
      <c r="A56" s="96">
        <v>2060</v>
      </c>
      <c r="B56" s="97">
        <f t="shared" si="31"/>
        <v>4.2047497492338826E-2</v>
      </c>
      <c r="C56" s="98">
        <f t="shared" si="32"/>
        <v>0.10230325974418009</v>
      </c>
      <c r="D56" s="99">
        <f t="shared" si="84"/>
        <v>0.14435075723651891</v>
      </c>
      <c r="E56" s="99">
        <f t="shared" si="113"/>
        <v>7.5084816950605038E-2</v>
      </c>
      <c r="F56" s="99">
        <f t="shared" si="113"/>
        <v>0.18268439240032155</v>
      </c>
      <c r="G56" s="99">
        <f t="shared" si="113"/>
        <v>0.25776920935092662</v>
      </c>
      <c r="H56" s="97">
        <f t="shared" si="34"/>
        <v>6.4151008440686219E-2</v>
      </c>
      <c r="I56" s="98">
        <f t="shared" si="35"/>
        <v>0.13021160556041222</v>
      </c>
      <c r="J56" s="99">
        <f t="shared" si="36"/>
        <v>0.19436261400109844</v>
      </c>
      <c r="K56" s="99">
        <f t="shared" si="114"/>
        <v>0.1145553722155111</v>
      </c>
      <c r="L56" s="99">
        <f t="shared" si="114"/>
        <v>0.23252072421502182</v>
      </c>
      <c r="M56" s="99">
        <f t="shared" si="114"/>
        <v>0.34707609643053289</v>
      </c>
      <c r="N56" s="97">
        <f t="shared" si="43"/>
        <v>2.6666596808531076E-2</v>
      </c>
      <c r="O56" s="98">
        <f t="shared" si="44"/>
        <v>0.11515059340244493</v>
      </c>
      <c r="P56" s="99">
        <f t="shared" si="38"/>
        <v>0.141817190210976</v>
      </c>
      <c r="Q56" s="99">
        <f t="shared" si="115"/>
        <v>4.7618922872376915E-2</v>
      </c>
      <c r="R56" s="99">
        <f t="shared" si="115"/>
        <v>0.20562605964722308</v>
      </c>
      <c r="S56" s="99">
        <f t="shared" si="115"/>
        <v>0.25324498251959998</v>
      </c>
      <c r="T56" s="117">
        <v>0.04</v>
      </c>
      <c r="U56" s="118">
        <v>0.13</v>
      </c>
      <c r="V56" s="116">
        <f t="shared" si="55"/>
        <v>0.17</v>
      </c>
      <c r="W56" s="99">
        <f t="shared" si="116"/>
        <v>7.1428571428571425E-2</v>
      </c>
      <c r="X56" s="99">
        <f t="shared" si="116"/>
        <v>0.23214285714285712</v>
      </c>
      <c r="Y56" s="99">
        <f t="shared" si="116"/>
        <v>0.30357142857142855</v>
      </c>
      <c r="Z56" s="117">
        <v>3.5000000000000003E-2</v>
      </c>
      <c r="AA56" s="118">
        <v>0.11</v>
      </c>
      <c r="AB56" s="116">
        <f t="shared" si="57"/>
        <v>0.14500000000000002</v>
      </c>
      <c r="AC56" s="99">
        <f t="shared" ref="AC56" si="125">Z56/$B$3</f>
        <v>6.25E-2</v>
      </c>
      <c r="AD56" s="99">
        <f t="shared" si="24"/>
        <v>0.19642857142857142</v>
      </c>
      <c r="AE56" s="99">
        <f t="shared" si="24"/>
        <v>0.25892857142857145</v>
      </c>
      <c r="AF56" s="123">
        <v>3.5000000000000003E-2</v>
      </c>
      <c r="AG56" s="131">
        <v>0.11749999999999999</v>
      </c>
      <c r="AH56" s="99">
        <f t="shared" si="110"/>
        <v>0.1525</v>
      </c>
      <c r="AI56" s="99">
        <f t="shared" si="48"/>
        <v>6.25E-2</v>
      </c>
      <c r="AJ56" s="99">
        <f t="shared" si="27"/>
        <v>0.20982142857142855</v>
      </c>
      <c r="AK56" s="99">
        <f t="shared" si="28"/>
        <v>0.27232142857142855</v>
      </c>
      <c r="AL56" s="106">
        <f t="shared" si="29"/>
        <v>5.0909090909090908</v>
      </c>
      <c r="AM56" s="107">
        <f t="shared" si="30"/>
        <v>3.8620689655172411</v>
      </c>
    </row>
    <row r="59" spans="1:39" x14ac:dyDescent="0.25">
      <c r="A59" s="78" t="s">
        <v>630</v>
      </c>
      <c r="B59" s="10"/>
      <c r="C59" s="10"/>
      <c r="D59" s="10"/>
      <c r="E59" s="10"/>
      <c r="F59" s="10"/>
      <c r="G59" s="10"/>
      <c r="H59" s="10"/>
      <c r="I59" s="10"/>
      <c r="J59" s="10"/>
      <c r="K59" s="10"/>
      <c r="L59" s="10"/>
      <c r="M59" s="10"/>
      <c r="N59" s="10"/>
      <c r="O59" s="10"/>
    </row>
    <row r="60" spans="1:39" x14ac:dyDescent="0.25">
      <c r="A60" s="79" t="s">
        <v>625</v>
      </c>
      <c r="B60" s="10"/>
      <c r="C60" s="10"/>
      <c r="D60" s="10"/>
      <c r="E60" s="10"/>
      <c r="F60" s="10"/>
      <c r="G60" s="10"/>
      <c r="H60" s="10"/>
      <c r="I60" s="10"/>
      <c r="J60" s="10"/>
      <c r="K60" s="10"/>
      <c r="L60" s="10"/>
      <c r="M60" s="10"/>
      <c r="N60" s="10"/>
      <c r="O60" s="10"/>
    </row>
    <row r="61" spans="1:39" x14ac:dyDescent="0.25">
      <c r="A61" s="79" t="s">
        <v>626</v>
      </c>
      <c r="B61" s="10"/>
      <c r="C61" s="10"/>
      <c r="D61" s="10"/>
      <c r="E61" s="10"/>
      <c r="F61" s="10"/>
      <c r="G61" s="10"/>
      <c r="H61" s="10"/>
      <c r="I61" s="10"/>
      <c r="J61" s="10"/>
      <c r="K61" s="10"/>
      <c r="L61" s="10"/>
      <c r="M61" s="10"/>
      <c r="N61" s="10"/>
      <c r="O61" s="10"/>
    </row>
    <row r="62" spans="1:39" x14ac:dyDescent="0.25">
      <c r="A62" s="80" t="s">
        <v>631</v>
      </c>
      <c r="B62" s="10"/>
      <c r="C62" s="10"/>
      <c r="D62" s="10"/>
      <c r="E62" s="10"/>
      <c r="F62" s="10"/>
      <c r="G62" s="10"/>
      <c r="H62" s="10"/>
      <c r="I62" s="10"/>
      <c r="J62" s="10"/>
      <c r="K62" s="10"/>
      <c r="L62" s="10"/>
      <c r="M62" s="10"/>
      <c r="N62" s="10"/>
      <c r="O62" s="10"/>
    </row>
    <row r="63" spans="1:39" x14ac:dyDescent="0.25">
      <c r="A63" s="10"/>
      <c r="B63" s="10"/>
      <c r="C63" s="10"/>
      <c r="D63" s="10"/>
      <c r="E63" s="10"/>
      <c r="F63" s="10"/>
      <c r="G63" s="10"/>
      <c r="H63" s="10"/>
      <c r="I63" s="10"/>
      <c r="J63" s="10"/>
      <c r="K63" s="10"/>
      <c r="L63" s="10"/>
      <c r="M63" s="10"/>
      <c r="N63" s="10"/>
      <c r="O63" s="10"/>
    </row>
    <row r="64" spans="1:39" x14ac:dyDescent="0.25">
      <c r="A64" s="10"/>
      <c r="B64" s="10"/>
      <c r="C64" s="10"/>
      <c r="D64" s="10"/>
      <c r="E64" s="10"/>
      <c r="F64" s="10"/>
      <c r="G64" s="10"/>
      <c r="H64" s="10"/>
      <c r="I64" s="10"/>
      <c r="J64" s="10"/>
      <c r="K64" s="10"/>
      <c r="L64" s="10"/>
      <c r="M64" s="10"/>
      <c r="N64" s="10"/>
      <c r="O64" s="10"/>
    </row>
  </sheetData>
  <mergeCells count="12">
    <mergeCell ref="AF4:AK4"/>
    <mergeCell ref="AI5:AK5"/>
    <mergeCell ref="B4:G4"/>
    <mergeCell ref="N4:S4"/>
    <mergeCell ref="H4:M4"/>
    <mergeCell ref="T4:Y4"/>
    <mergeCell ref="Z4:AE4"/>
    <mergeCell ref="AC5:AE5"/>
    <mergeCell ref="W5:Y5"/>
    <mergeCell ref="Q5:S5"/>
    <mergeCell ref="K5:M5"/>
    <mergeCell ref="E5:G5"/>
  </mergeCells>
  <hyperlinks>
    <hyperlink ref="A62" r:id="rId1" xr:uid="{91E28D3C-86EC-457E-B8EE-1CAE528AAB94}"/>
  </hyperlinks>
  <pageMargins left="0.7" right="0.7" top="0.75" bottom="0.75" header="0.3" footer="0.3"/>
  <pageSetup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D06B-C010-42A3-AF9F-B988ED42894F}">
  <sheetPr>
    <tabColor theme="0" tint="-0.34998626667073579"/>
  </sheetPr>
  <dimension ref="A1:AG64"/>
  <sheetViews>
    <sheetView zoomScale="60" zoomScaleNormal="60" workbookViewId="0">
      <pane xSplit="1" ySplit="6" topLeftCell="O10" activePane="bottomRight" state="frozen"/>
      <selection pane="topRight" activeCell="C1" sqref="C1"/>
      <selection pane="bottomLeft" activeCell="A8" sqref="A8"/>
      <selection pane="bottomRight" activeCell="AI51" sqref="AI51"/>
    </sheetView>
  </sheetViews>
  <sheetFormatPr defaultRowHeight="15" x14ac:dyDescent="0.25"/>
  <cols>
    <col min="1" max="1" width="12.85546875" style="1" customWidth="1"/>
    <col min="2" max="4" width="18.7109375" style="1" customWidth="1"/>
    <col min="5" max="7" width="10.85546875" style="1" customWidth="1"/>
    <col min="8" max="10" width="18.7109375" style="1" customWidth="1"/>
    <col min="11" max="13" width="10.85546875" style="1" customWidth="1"/>
    <col min="14" max="16" width="18.7109375" style="1" customWidth="1"/>
    <col min="17" max="19" width="10.85546875" style="1" customWidth="1"/>
    <col min="20" max="22" width="18.7109375" style="1" customWidth="1"/>
    <col min="23" max="25" width="10.85546875" style="1" customWidth="1"/>
    <col min="26" max="28" width="18.7109375" style="1" customWidth="1"/>
    <col min="29" max="31" width="10.85546875" style="1" customWidth="1"/>
    <col min="32" max="16384" width="9.140625" style="1"/>
  </cols>
  <sheetData>
    <row r="1" spans="1:33" s="23" customFormat="1" ht="23.25" x14ac:dyDescent="0.35">
      <c r="A1" s="23" t="s">
        <v>632</v>
      </c>
    </row>
    <row r="3" spans="1:33" x14ac:dyDescent="0.25">
      <c r="B3" s="50">
        <v>0.56000000000000005</v>
      </c>
      <c r="C3" s="76" t="s">
        <v>627</v>
      </c>
      <c r="D3" s="77"/>
      <c r="E3" s="77"/>
    </row>
    <row r="4" spans="1:33" x14ac:dyDescent="0.25">
      <c r="A4" s="38"/>
      <c r="B4" s="138" t="s">
        <v>633</v>
      </c>
      <c r="C4" s="139"/>
      <c r="D4" s="139"/>
      <c r="E4" s="139"/>
      <c r="F4" s="139"/>
      <c r="G4" s="140"/>
      <c r="H4" s="138" t="s">
        <v>634</v>
      </c>
      <c r="I4" s="139"/>
      <c r="J4" s="139"/>
      <c r="K4" s="139"/>
      <c r="L4" s="139"/>
      <c r="M4" s="140"/>
      <c r="N4" s="138" t="s">
        <v>635</v>
      </c>
      <c r="O4" s="139"/>
      <c r="P4" s="139"/>
      <c r="Q4" s="139"/>
      <c r="R4" s="139"/>
      <c r="S4" s="140"/>
      <c r="T4" s="138" t="s">
        <v>628</v>
      </c>
      <c r="U4" s="139"/>
      <c r="V4" s="139"/>
      <c r="W4" s="139"/>
      <c r="X4" s="139"/>
      <c r="Y4" s="140"/>
      <c r="Z4" s="138" t="s">
        <v>629</v>
      </c>
      <c r="AA4" s="139"/>
      <c r="AB4" s="139"/>
      <c r="AC4" s="139"/>
      <c r="AD4" s="139"/>
      <c r="AE4" s="139"/>
    </row>
    <row r="5" spans="1:33" x14ac:dyDescent="0.25">
      <c r="A5" s="10"/>
      <c r="B5" s="73" t="s">
        <v>623</v>
      </c>
      <c r="C5" s="105" t="s">
        <v>618</v>
      </c>
      <c r="D5" s="105" t="s">
        <v>624</v>
      </c>
      <c r="E5" s="137" t="s">
        <v>636</v>
      </c>
      <c r="F5" s="137"/>
      <c r="G5" s="137"/>
      <c r="H5" s="73" t="s">
        <v>623</v>
      </c>
      <c r="I5" s="105" t="s">
        <v>618</v>
      </c>
      <c r="J5" s="105" t="s">
        <v>624</v>
      </c>
      <c r="K5" s="137" t="s">
        <v>636</v>
      </c>
      <c r="L5" s="137"/>
      <c r="M5" s="137"/>
      <c r="N5" s="73" t="s">
        <v>623</v>
      </c>
      <c r="O5" s="105" t="s">
        <v>618</v>
      </c>
      <c r="P5" s="105" t="s">
        <v>624</v>
      </c>
      <c r="Q5" s="137" t="s">
        <v>636</v>
      </c>
      <c r="R5" s="137"/>
      <c r="S5" s="137"/>
      <c r="T5" s="73" t="s">
        <v>623</v>
      </c>
      <c r="U5" s="105" t="s">
        <v>618</v>
      </c>
      <c r="V5" s="105" t="s">
        <v>624</v>
      </c>
      <c r="W5" s="137" t="s">
        <v>636</v>
      </c>
      <c r="X5" s="137"/>
      <c r="Y5" s="137"/>
      <c r="Z5" s="73" t="s">
        <v>623</v>
      </c>
      <c r="AA5" s="105" t="s">
        <v>618</v>
      </c>
      <c r="AB5" s="105" t="s">
        <v>624</v>
      </c>
      <c r="AC5" s="137" t="s">
        <v>636</v>
      </c>
      <c r="AD5" s="137"/>
      <c r="AE5" s="137"/>
    </row>
    <row r="6" spans="1:33" x14ac:dyDescent="0.25">
      <c r="A6" s="51">
        <v>2010</v>
      </c>
      <c r="B6" s="85">
        <f>HLOOKUP($A6, WAH_byCounty!$AZ$6:$BI$9, 2, FALSE)</f>
        <v>2.4156392907763485E-2</v>
      </c>
      <c r="C6" s="86">
        <f>HLOOKUP($A6, WAH_byCounty!$AZ$6:$BI$9, 3, FALSE)</f>
        <v>2.1884309897574412E-2</v>
      </c>
      <c r="D6" s="56">
        <f t="shared" ref="D6:D56" si="0">SUM(B6:C6)</f>
        <v>4.6040702805337896E-2</v>
      </c>
      <c r="E6" s="10"/>
      <c r="F6" s="10"/>
      <c r="G6" s="10"/>
      <c r="H6" s="62">
        <f t="shared" ref="H6:H15" si="1">B6/D6 * J6</f>
        <v>2.2378085904566251E-2</v>
      </c>
      <c r="I6" s="82">
        <f t="shared" ref="I6:I15" si="2">C6/D6 * J6</f>
        <v>2.027326549621895E-2</v>
      </c>
      <c r="J6" s="59">
        <v>4.2651351400785201E-2</v>
      </c>
      <c r="K6" s="10"/>
      <c r="L6" s="10"/>
      <c r="M6" s="10"/>
      <c r="N6" s="52"/>
      <c r="O6" s="56"/>
      <c r="P6" s="56"/>
      <c r="Q6" s="10"/>
      <c r="R6" s="10"/>
      <c r="S6" s="10"/>
      <c r="T6" s="52"/>
      <c r="U6" s="56"/>
      <c r="V6" s="59"/>
      <c r="W6" s="10"/>
      <c r="X6" s="10"/>
      <c r="Y6" s="10"/>
      <c r="Z6" s="52"/>
      <c r="AA6" s="56"/>
      <c r="AB6" s="59"/>
      <c r="AC6" s="10"/>
      <c r="AD6" s="10"/>
      <c r="AE6" s="10"/>
    </row>
    <row r="7" spans="1:33" x14ac:dyDescent="0.25">
      <c r="A7" s="51">
        <v>2011</v>
      </c>
      <c r="B7" s="85">
        <f>HLOOKUP($A7, WAH_byCounty!$AZ$6:$BI$9, 2, FALSE)</f>
        <v>2.3616540846589377E-2</v>
      </c>
      <c r="C7" s="86">
        <f>HLOOKUP($A7, WAH_byCounty!$AZ$6:$BI$9, 3, FALSE)</f>
        <v>2.3317437314640064E-2</v>
      </c>
      <c r="D7" s="56">
        <f t="shared" si="0"/>
        <v>4.6933978161229441E-2</v>
      </c>
      <c r="E7" s="72">
        <f t="shared" ref="E7:G16" si="3">B7/$B$3</f>
        <v>4.2172394368909599E-2</v>
      </c>
      <c r="F7" s="72">
        <f t="shared" si="3"/>
        <v>4.1638280919000112E-2</v>
      </c>
      <c r="G7" s="72">
        <f t="shared" si="3"/>
        <v>8.3810675287909711E-2</v>
      </c>
      <c r="H7" s="62">
        <f t="shared" si="1"/>
        <v>2.3758556939712905E-2</v>
      </c>
      <c r="I7" s="82">
        <f t="shared" si="2"/>
        <v>2.3457654773690856E-2</v>
      </c>
      <c r="J7" s="59">
        <v>4.7216211713403761E-2</v>
      </c>
      <c r="K7" s="10"/>
      <c r="L7" s="10"/>
      <c r="M7" s="10"/>
      <c r="N7" s="52"/>
      <c r="O7" s="56"/>
      <c r="P7" s="56"/>
      <c r="Q7" s="10"/>
      <c r="R7" s="10"/>
      <c r="S7" s="10"/>
      <c r="T7" s="52"/>
      <c r="U7" s="56"/>
      <c r="V7" s="59"/>
      <c r="W7" s="10"/>
      <c r="X7" s="10"/>
      <c r="Y7" s="10"/>
      <c r="Z7" s="52"/>
      <c r="AA7" s="56"/>
      <c r="AB7" s="59"/>
      <c r="AC7" s="10"/>
      <c r="AD7" s="10"/>
      <c r="AE7" s="10"/>
    </row>
    <row r="8" spans="1:33" x14ac:dyDescent="0.25">
      <c r="A8" s="51">
        <v>2012</v>
      </c>
      <c r="B8" s="85">
        <f>HLOOKUP($A8, WAH_byCounty!$AZ$6:$BI$9, 2, FALSE)</f>
        <v>2.2667213106249643E-2</v>
      </c>
      <c r="C8" s="86">
        <f>HLOOKUP($A8, WAH_byCounty!$AZ$6:$BI$9, 3, FALSE)</f>
        <v>2.3317752888261753E-2</v>
      </c>
      <c r="D8" s="56">
        <f t="shared" si="0"/>
        <v>4.5984965994511393E-2</v>
      </c>
      <c r="E8" s="72">
        <f t="shared" si="3"/>
        <v>4.0477166261160075E-2</v>
      </c>
      <c r="F8" s="72">
        <f t="shared" si="3"/>
        <v>4.1638844443324552E-2</v>
      </c>
      <c r="G8" s="72">
        <f t="shared" si="3"/>
        <v>8.2116010704484627E-2</v>
      </c>
      <c r="H8" s="62">
        <f t="shared" si="1"/>
        <v>2.3339432990528593E-2</v>
      </c>
      <c r="I8" s="82">
        <f t="shared" si="2"/>
        <v>2.4009265209371522E-2</v>
      </c>
      <c r="J8" s="59">
        <v>4.7348698199900112E-2</v>
      </c>
      <c r="K8" s="10"/>
      <c r="L8" s="10"/>
      <c r="M8" s="10"/>
      <c r="N8" s="52"/>
      <c r="O8" s="56"/>
      <c r="P8" s="56"/>
      <c r="Q8" s="10"/>
      <c r="R8" s="10"/>
      <c r="S8" s="10"/>
      <c r="T8" s="52"/>
      <c r="U8" s="56"/>
      <c r="V8" s="59"/>
      <c r="W8" s="10"/>
      <c r="X8" s="10"/>
      <c r="Y8" s="10"/>
      <c r="Z8" s="52"/>
      <c r="AA8" s="56"/>
      <c r="AB8" s="59"/>
      <c r="AC8" s="10"/>
      <c r="AD8" s="10"/>
      <c r="AE8" s="10"/>
    </row>
    <row r="9" spans="1:33" x14ac:dyDescent="0.25">
      <c r="A9" s="51">
        <v>2013</v>
      </c>
      <c r="B9" s="85">
        <f>HLOOKUP($A9, WAH_byCounty!$AZ$6:$BI$9, 2, FALSE)</f>
        <v>2.2171769202822853E-2</v>
      </c>
      <c r="C9" s="86">
        <f>HLOOKUP($A9, WAH_byCounty!$AZ$6:$BI$9, 3, FALSE)</f>
        <v>2.5284029801130252E-2</v>
      </c>
      <c r="D9" s="56">
        <f t="shared" si="0"/>
        <v>4.7455799003953109E-2</v>
      </c>
      <c r="E9" s="72">
        <f t="shared" si="3"/>
        <v>3.9592445005040805E-2</v>
      </c>
      <c r="F9" s="72">
        <f t="shared" si="3"/>
        <v>4.5150053216304019E-2</v>
      </c>
      <c r="G9" s="72">
        <f t="shared" si="3"/>
        <v>8.4742498221344831E-2</v>
      </c>
      <c r="H9" s="62">
        <f t="shared" si="1"/>
        <v>2.3907051166329719E-2</v>
      </c>
      <c r="I9" s="82">
        <f t="shared" si="2"/>
        <v>2.7262894026051254E-2</v>
      </c>
      <c r="J9" s="59">
        <v>5.1169945192380981E-2</v>
      </c>
      <c r="K9" s="10"/>
      <c r="L9" s="10"/>
      <c r="M9" s="10"/>
      <c r="N9" s="52"/>
      <c r="O9" s="56"/>
      <c r="P9" s="56"/>
      <c r="Q9" s="10"/>
      <c r="R9" s="10"/>
      <c r="S9" s="10"/>
      <c r="T9" s="52"/>
      <c r="U9" s="56"/>
      <c r="V9" s="59"/>
      <c r="W9" s="10"/>
      <c r="X9" s="10"/>
      <c r="Y9" s="10"/>
      <c r="Z9" s="52"/>
      <c r="AA9" s="56"/>
      <c r="AB9" s="59"/>
      <c r="AC9" s="10"/>
      <c r="AD9" s="10"/>
      <c r="AE9" s="10"/>
    </row>
    <row r="10" spans="1:33" x14ac:dyDescent="0.25">
      <c r="A10" s="51">
        <v>2014</v>
      </c>
      <c r="B10" s="85">
        <f>HLOOKUP($A10, WAH_byCounty!$AZ$6:$BI$9, 2, FALSE)</f>
        <v>2.2228967542460221E-2</v>
      </c>
      <c r="C10" s="86">
        <f>HLOOKUP($A10, WAH_byCounty!$AZ$6:$BI$9, 3, FALSE)</f>
        <v>2.6619700413660685E-2</v>
      </c>
      <c r="D10" s="56">
        <f t="shared" si="0"/>
        <v>4.8848667956120903E-2</v>
      </c>
      <c r="E10" s="72">
        <f t="shared" si="3"/>
        <v>3.969458489725039E-2</v>
      </c>
      <c r="F10" s="72">
        <f t="shared" si="3"/>
        <v>4.7535179310108359E-2</v>
      </c>
      <c r="G10" s="72">
        <f t="shared" si="3"/>
        <v>8.7229764207358743E-2</v>
      </c>
      <c r="H10" s="62">
        <f t="shared" si="1"/>
        <v>2.5486222951497342E-2</v>
      </c>
      <c r="I10" s="82">
        <f t="shared" si="2"/>
        <v>3.0520338758366621E-2</v>
      </c>
      <c r="J10" s="59">
        <v>5.6006561709863956E-2</v>
      </c>
      <c r="K10" s="10"/>
      <c r="L10" s="10"/>
      <c r="M10" s="10"/>
      <c r="N10" s="52"/>
      <c r="O10" s="56"/>
      <c r="P10" s="56"/>
      <c r="Q10" s="10"/>
      <c r="R10" s="10"/>
      <c r="S10" s="10"/>
      <c r="T10" s="52"/>
      <c r="U10" s="56"/>
      <c r="V10" s="59"/>
      <c r="W10" s="10"/>
      <c r="X10" s="10"/>
      <c r="Y10" s="10"/>
      <c r="Z10" s="52"/>
      <c r="AA10" s="56"/>
      <c r="AB10" s="59"/>
      <c r="AC10" s="10"/>
      <c r="AD10" s="10"/>
      <c r="AE10" s="10"/>
    </row>
    <row r="11" spans="1:33" x14ac:dyDescent="0.25">
      <c r="A11" s="51">
        <v>2015</v>
      </c>
      <c r="B11" s="85">
        <f>HLOOKUP($A11, WAH_byCounty!$AZ$6:$BI$9, 2, FALSE)</f>
        <v>2.2692701491573073E-2</v>
      </c>
      <c r="C11" s="86">
        <f>HLOOKUP($A11, WAH_byCounty!$AZ$6:$BI$9, 3, FALSE)</f>
        <v>2.8966157207377403E-2</v>
      </c>
      <c r="D11" s="56">
        <f t="shared" si="0"/>
        <v>5.1658858698950476E-2</v>
      </c>
      <c r="E11" s="72">
        <f t="shared" si="3"/>
        <v>4.052268123495191E-2</v>
      </c>
      <c r="F11" s="72">
        <f t="shared" si="3"/>
        <v>5.172528072745964E-2</v>
      </c>
      <c r="G11" s="72">
        <f t="shared" si="3"/>
        <v>9.2247961962411557E-2</v>
      </c>
      <c r="H11" s="62">
        <f t="shared" si="1"/>
        <v>2.4860784412977583E-2</v>
      </c>
      <c r="I11" s="82">
        <f t="shared" si="2"/>
        <v>3.1733612230894735E-2</v>
      </c>
      <c r="J11" s="59">
        <v>5.6594396643872322E-2</v>
      </c>
      <c r="K11" s="10"/>
      <c r="L11" s="10"/>
      <c r="M11" s="10"/>
      <c r="N11" s="52"/>
      <c r="O11" s="56"/>
      <c r="P11" s="56"/>
      <c r="Q11" s="10"/>
      <c r="R11" s="10"/>
      <c r="S11" s="10"/>
      <c r="T11" s="52"/>
      <c r="U11" s="56"/>
      <c r="V11" s="59"/>
      <c r="W11" s="10"/>
      <c r="X11" s="10"/>
      <c r="Y11" s="10"/>
      <c r="Z11" s="52"/>
      <c r="AA11" s="56"/>
      <c r="AB11" s="59"/>
      <c r="AC11" s="10"/>
      <c r="AD11" s="10"/>
      <c r="AE11" s="10"/>
    </row>
    <row r="12" spans="1:33" x14ac:dyDescent="0.25">
      <c r="A12" s="51">
        <v>2016</v>
      </c>
      <c r="B12" s="85">
        <f>HLOOKUP($A12, WAH_byCounty!$AZ$6:$BI$9, 2, FALSE)</f>
        <v>2.3436385187778377E-2</v>
      </c>
      <c r="C12" s="86">
        <f>HLOOKUP($A12, WAH_byCounty!$AZ$6:$BI$9, 3, FALSE)</f>
        <v>2.9703591942815067E-2</v>
      </c>
      <c r="D12" s="56">
        <f t="shared" si="0"/>
        <v>5.3139977130593444E-2</v>
      </c>
      <c r="E12" s="72">
        <f t="shared" si="3"/>
        <v>4.1850687835318527E-2</v>
      </c>
      <c r="F12" s="72">
        <f t="shared" si="3"/>
        <v>5.3042128469312617E-2</v>
      </c>
      <c r="G12" s="72">
        <f t="shared" si="3"/>
        <v>9.4892816304631145E-2</v>
      </c>
      <c r="H12" s="62">
        <f t="shared" si="1"/>
        <v>2.5492763802859301E-2</v>
      </c>
      <c r="I12" s="82">
        <f t="shared" si="2"/>
        <v>3.2309874045318994E-2</v>
      </c>
      <c r="J12" s="59">
        <v>5.7802637848178295E-2</v>
      </c>
      <c r="K12" s="10"/>
      <c r="L12" s="10"/>
      <c r="M12" s="10"/>
      <c r="N12" s="52"/>
      <c r="O12" s="56"/>
      <c r="P12" s="56"/>
      <c r="Q12" s="10"/>
      <c r="R12" s="10"/>
      <c r="S12" s="10"/>
      <c r="T12" s="52"/>
      <c r="U12" s="56"/>
      <c r="V12" s="59"/>
      <c r="W12" s="10"/>
      <c r="X12" s="10"/>
      <c r="Y12" s="10"/>
      <c r="Z12" s="52"/>
      <c r="AA12" s="56"/>
      <c r="AB12" s="59"/>
      <c r="AC12" s="10"/>
      <c r="AD12" s="10"/>
      <c r="AE12" s="10"/>
    </row>
    <row r="13" spans="1:33" x14ac:dyDescent="0.25">
      <c r="A13" s="51">
        <v>2017</v>
      </c>
      <c r="B13" s="85">
        <f>HLOOKUP($A13, WAH_byCounty!$AZ$6:$BI$9, 2, FALSE)</f>
        <v>2.5113206167155351E-2</v>
      </c>
      <c r="C13" s="86">
        <f>HLOOKUP($A13, WAH_byCounty!$AZ$6:$BI$9, 3, FALSE)</f>
        <v>3.2081021452464518E-2</v>
      </c>
      <c r="D13" s="56">
        <f t="shared" si="0"/>
        <v>5.719422761961987E-2</v>
      </c>
      <c r="E13" s="72">
        <f t="shared" si="3"/>
        <v>4.4845011012777408E-2</v>
      </c>
      <c r="F13" s="72">
        <f t="shared" si="3"/>
        <v>5.7287538307972348E-2</v>
      </c>
      <c r="G13" s="72">
        <f t="shared" si="3"/>
        <v>0.10213254932074976</v>
      </c>
      <c r="H13" s="62">
        <f t="shared" si="1"/>
        <v>2.9327256250456492E-2</v>
      </c>
      <c r="I13" s="82">
        <f t="shared" si="2"/>
        <v>3.7464285947818164E-2</v>
      </c>
      <c r="J13" s="59">
        <v>6.6791542198274656E-2</v>
      </c>
      <c r="K13" s="10"/>
      <c r="L13" s="10"/>
      <c r="M13" s="10"/>
      <c r="N13" s="52"/>
      <c r="O13" s="56"/>
      <c r="P13" s="56"/>
      <c r="Q13" s="10"/>
      <c r="R13" s="10"/>
      <c r="S13" s="10"/>
      <c r="T13" s="52"/>
      <c r="U13" s="56"/>
      <c r="V13" s="59"/>
      <c r="W13" s="10"/>
      <c r="X13" s="10"/>
      <c r="Y13" s="10"/>
      <c r="Z13" s="52"/>
      <c r="AA13" s="56"/>
      <c r="AB13" s="59"/>
      <c r="AC13" s="10"/>
      <c r="AD13" s="10"/>
      <c r="AE13" s="10"/>
    </row>
    <row r="14" spans="1:33" x14ac:dyDescent="0.25">
      <c r="A14" s="51">
        <v>2018</v>
      </c>
      <c r="B14" s="85">
        <f>HLOOKUP($A14, WAH_byCounty!$AZ$6:$BI$9, 2, FALSE)</f>
        <v>2.6391708034978915E-2</v>
      </c>
      <c r="C14" s="86">
        <f>HLOOKUP($A14, WAH_byCounty!$AZ$6:$BI$9, 3, FALSE)</f>
        <v>3.3935667961348573E-2</v>
      </c>
      <c r="D14" s="56">
        <f t="shared" si="0"/>
        <v>6.0327375996327488E-2</v>
      </c>
      <c r="E14" s="72">
        <f t="shared" si="3"/>
        <v>4.7128050062462346E-2</v>
      </c>
      <c r="F14" s="72">
        <f t="shared" si="3"/>
        <v>6.0599407073836729E-2</v>
      </c>
      <c r="G14" s="72">
        <f t="shared" si="3"/>
        <v>0.10772745713629908</v>
      </c>
      <c r="H14" s="62">
        <f t="shared" si="1"/>
        <v>2.8318981829183236E-2</v>
      </c>
      <c r="I14" s="82">
        <f t="shared" si="2"/>
        <v>3.6413844950274117E-2</v>
      </c>
      <c r="J14" s="59">
        <v>6.4732826779457353E-2</v>
      </c>
      <c r="K14" s="10"/>
      <c r="L14" s="10"/>
      <c r="M14" s="10"/>
      <c r="N14" s="52"/>
      <c r="O14" s="56"/>
      <c r="P14" s="56"/>
      <c r="Q14" s="10"/>
      <c r="R14" s="10"/>
      <c r="S14" s="10"/>
      <c r="T14" s="52"/>
      <c r="U14" s="56"/>
      <c r="V14" s="59"/>
      <c r="W14" s="10"/>
      <c r="X14" s="10"/>
      <c r="Y14" s="10"/>
      <c r="Z14" s="52"/>
      <c r="AA14" s="56"/>
      <c r="AB14" s="59"/>
      <c r="AC14" s="10"/>
      <c r="AD14" s="10"/>
      <c r="AE14" s="10"/>
    </row>
    <row r="15" spans="1:33" x14ac:dyDescent="0.25">
      <c r="A15" s="54">
        <v>2019</v>
      </c>
      <c r="B15" s="87">
        <f>HLOOKUP($A15, WAH_byCounty!$AZ$6:$BI$9, 2, FALSE)</f>
        <v>2.6666596808531076E-2</v>
      </c>
      <c r="C15" s="88">
        <f>HLOOKUP($A15, WAH_byCounty!$AZ$6:$BI$9, 3, FALSE)</f>
        <v>3.6494763259510746E-2</v>
      </c>
      <c r="D15" s="57">
        <f t="shared" si="0"/>
        <v>6.3161360068041822E-2</v>
      </c>
      <c r="E15" s="75">
        <f t="shared" si="3"/>
        <v>4.7618922872376915E-2</v>
      </c>
      <c r="F15" s="75">
        <f t="shared" si="3"/>
        <v>6.5169220106269188E-2</v>
      </c>
      <c r="G15" s="75">
        <f t="shared" si="3"/>
        <v>0.1127881429786461</v>
      </c>
      <c r="H15" s="83">
        <f t="shared" si="1"/>
        <v>2.9748085404285699E-2</v>
      </c>
      <c r="I15" s="84">
        <f t="shared" si="2"/>
        <v>4.07119566867939E-2</v>
      </c>
      <c r="J15" s="60">
        <v>7.0460042091079603E-2</v>
      </c>
      <c r="K15" s="75">
        <f t="shared" ref="K15:M16" si="4">H15/$B$3</f>
        <v>5.3121581079081603E-2</v>
      </c>
      <c r="L15" s="75">
        <f t="shared" si="4"/>
        <v>7.2699922654989105E-2</v>
      </c>
      <c r="M15" s="75">
        <f t="shared" si="4"/>
        <v>0.12582150373407069</v>
      </c>
      <c r="N15" s="55"/>
      <c r="O15" s="61"/>
      <c r="P15" s="57"/>
      <c r="Q15" s="75">
        <f t="shared" ref="Q15:S16" si="5">N15/$B$3</f>
        <v>0</v>
      </c>
      <c r="R15" s="75">
        <f t="shared" si="5"/>
        <v>0</v>
      </c>
      <c r="S15" s="75">
        <f t="shared" si="5"/>
        <v>0</v>
      </c>
      <c r="T15" s="66">
        <f>B15</f>
        <v>2.6666596808531076E-2</v>
      </c>
      <c r="U15" s="67">
        <f>C15</f>
        <v>3.6494763259510746E-2</v>
      </c>
      <c r="V15" s="57">
        <f t="shared" ref="V15:V20" si="6">SUM(T15:U15)</f>
        <v>6.3161360068041822E-2</v>
      </c>
      <c r="W15" s="75">
        <f t="shared" ref="W15:Y16" si="7">T15/$B$3</f>
        <v>4.7618922872376915E-2</v>
      </c>
      <c r="X15" s="75">
        <f t="shared" si="7"/>
        <v>6.5169220106269188E-2</v>
      </c>
      <c r="Y15" s="75">
        <f t="shared" si="7"/>
        <v>0.1127881429786461</v>
      </c>
      <c r="Z15" s="66">
        <f>B15</f>
        <v>2.6666596808531076E-2</v>
      </c>
      <c r="AA15" s="67">
        <f>C15</f>
        <v>3.6494763259510746E-2</v>
      </c>
      <c r="AB15" s="57">
        <f t="shared" ref="AB15:AB56" si="8">SUM(Z15:AA15)</f>
        <v>6.3161360068041822E-2</v>
      </c>
      <c r="AC15" s="75">
        <f t="shared" ref="AC15:AE30" si="9">Z15/$B$3</f>
        <v>4.7618922872376915E-2</v>
      </c>
      <c r="AD15" s="75">
        <f t="shared" si="9"/>
        <v>6.5169220106269188E-2</v>
      </c>
      <c r="AE15" s="75">
        <f t="shared" si="9"/>
        <v>0.1127881429786461</v>
      </c>
      <c r="AF15" s="106">
        <f t="shared" ref="AF15:AG56" si="10">1/AD15</f>
        <v>15.344667288780419</v>
      </c>
      <c r="AG15" s="107">
        <f t="shared" si="10"/>
        <v>8.8661801993612706</v>
      </c>
    </row>
    <row r="16" spans="1:33" x14ac:dyDescent="0.25">
      <c r="A16" s="51">
        <v>2020</v>
      </c>
      <c r="B16" s="58">
        <f t="shared" ref="B16:B56" si="11">FORECAST($A16, $B$6:$B$15, $A$6:$A$15) + 0.002</f>
        <v>2.786433321739501E-2</v>
      </c>
      <c r="C16" s="53">
        <f t="shared" ref="C16:C56" si="12">FORECAST($A16, $C$6:$C$15, $A$6:$A$15) + 0.001</f>
        <v>3.8001882574684065E-2</v>
      </c>
      <c r="D16" s="56">
        <f t="shared" si="0"/>
        <v>6.5866215792079075E-2</v>
      </c>
      <c r="E16" s="72">
        <f>B16/$B$3</f>
        <v>4.9757737888205367E-2</v>
      </c>
      <c r="F16" s="72">
        <f t="shared" si="3"/>
        <v>6.7860504597650112E-2</v>
      </c>
      <c r="G16" s="72">
        <f t="shared" si="3"/>
        <v>0.11761824248585548</v>
      </c>
      <c r="H16" s="58">
        <f t="shared" ref="H16:H56" si="13">FORECAST($A16, $H$6:$H$15, $A$6:$A$15) + 0.002</f>
        <v>3.2072515011722258E-2</v>
      </c>
      <c r="I16" s="53">
        <f t="shared" ref="I16:I56" si="14">FORECAST($A16, $I$6:$I$15, $A$6:$A$15) + 0.001</f>
        <v>4.3358061518273261E-2</v>
      </c>
      <c r="J16" s="56">
        <f t="shared" ref="J16:J56" si="15">SUM(H16:I16)</f>
        <v>7.5430576529995519E-2</v>
      </c>
      <c r="K16" s="72">
        <f>H16/$B$3</f>
        <v>5.7272348235218311E-2</v>
      </c>
      <c r="L16" s="72">
        <f t="shared" si="4"/>
        <v>7.7425109854059385E-2</v>
      </c>
      <c r="M16" s="72">
        <f t="shared" si="4"/>
        <v>0.13469745808927769</v>
      </c>
      <c r="N16" s="62">
        <f>$B$15</f>
        <v>2.6666596808531076E-2</v>
      </c>
      <c r="O16" s="53">
        <f>FORECAST($A16, $C$10:$C$15, $A$10:$A$15) + 0.001</f>
        <v>3.8966277972944163E-2</v>
      </c>
      <c r="P16" s="56">
        <f t="shared" ref="P16:P56" si="16">SUM(N16:O16)</f>
        <v>6.5632874781475239E-2</v>
      </c>
      <c r="Q16" s="72">
        <f>N16/$B$3</f>
        <v>4.7618922872376915E-2</v>
      </c>
      <c r="R16" s="72">
        <f t="shared" si="5"/>
        <v>6.9582639237400282E-2</v>
      </c>
      <c r="S16" s="72">
        <f t="shared" si="5"/>
        <v>0.1172015621097772</v>
      </c>
      <c r="T16" s="64">
        <v>0.08</v>
      </c>
      <c r="U16" s="65">
        <v>0.35</v>
      </c>
      <c r="V16" s="63">
        <f t="shared" si="6"/>
        <v>0.43</v>
      </c>
      <c r="W16" s="72">
        <f>T16/$B$3</f>
        <v>0.14285714285714285</v>
      </c>
      <c r="X16" s="72">
        <f t="shared" si="7"/>
        <v>0.62499999999999989</v>
      </c>
      <c r="Y16" s="72">
        <f t="shared" si="7"/>
        <v>0.76785714285714279</v>
      </c>
      <c r="Z16" s="64">
        <v>0.06</v>
      </c>
      <c r="AA16" s="65">
        <v>0.35</v>
      </c>
      <c r="AB16" s="63">
        <f t="shared" si="8"/>
        <v>0.41</v>
      </c>
      <c r="AC16" s="72">
        <f>Z16/$B$3</f>
        <v>0.10714285714285712</v>
      </c>
      <c r="AD16" s="72">
        <f t="shared" si="9"/>
        <v>0.62499999999999989</v>
      </c>
      <c r="AE16" s="72">
        <f t="shared" si="9"/>
        <v>0.73214285714285698</v>
      </c>
      <c r="AF16" s="106">
        <f t="shared" si="10"/>
        <v>1.6000000000000003</v>
      </c>
      <c r="AG16" s="107">
        <f t="shared" si="10"/>
        <v>1.3658536585365857</v>
      </c>
    </row>
    <row r="17" spans="1:33" x14ac:dyDescent="0.25">
      <c r="A17" s="51">
        <v>2021</v>
      </c>
      <c r="B17" s="58">
        <f t="shared" si="11"/>
        <v>2.8218912324268652E-2</v>
      </c>
      <c r="C17" s="53">
        <f t="shared" si="12"/>
        <v>3.9609417003921288E-2</v>
      </c>
      <c r="D17" s="56">
        <f t="shared" si="0"/>
        <v>6.782832932818994E-2</v>
      </c>
      <c r="E17" s="72">
        <f t="shared" ref="E17:G32" si="17">B17/$B$3</f>
        <v>5.0390914864765449E-2</v>
      </c>
      <c r="F17" s="72">
        <f t="shared" si="17"/>
        <v>7.0731101792716577E-2</v>
      </c>
      <c r="G17" s="72">
        <f t="shared" si="17"/>
        <v>0.12112201665748203</v>
      </c>
      <c r="H17" s="58">
        <f t="shared" si="13"/>
        <v>3.2874477347446307E-2</v>
      </c>
      <c r="I17" s="53">
        <f t="shared" si="14"/>
        <v>4.5529400119326824E-2</v>
      </c>
      <c r="J17" s="56">
        <f t="shared" si="15"/>
        <v>7.8403877466773131E-2</v>
      </c>
      <c r="K17" s="72">
        <f t="shared" ref="K17:M32" si="18">H17/$B$3</f>
        <v>5.8704423834725544E-2</v>
      </c>
      <c r="L17" s="72">
        <f t="shared" si="18"/>
        <v>8.1302500213083606E-2</v>
      </c>
      <c r="M17" s="72">
        <f t="shared" si="18"/>
        <v>0.14000692404780915</v>
      </c>
      <c r="N17" s="62">
        <f t="shared" ref="N17:N56" si="19">$B$15</f>
        <v>2.6666596808531076E-2</v>
      </c>
      <c r="O17" s="53">
        <f t="shared" ref="O17:O56" si="20">FORECAST($A17, $C$10:$C$15, $A$10:$A$15) + 0.001</f>
        <v>4.0870885858681594E-2</v>
      </c>
      <c r="P17" s="56">
        <f t="shared" si="16"/>
        <v>6.753748266721267E-2</v>
      </c>
      <c r="Q17" s="72">
        <f t="shared" ref="Q17:S32" si="21">N17/$B$3</f>
        <v>4.7618922872376915E-2</v>
      </c>
      <c r="R17" s="72">
        <f t="shared" si="21"/>
        <v>7.2983724747645695E-2</v>
      </c>
      <c r="S17" s="72">
        <f t="shared" si="21"/>
        <v>0.12060264762002261</v>
      </c>
      <c r="T17" s="64">
        <v>0.06</v>
      </c>
      <c r="U17" s="65">
        <v>0.2</v>
      </c>
      <c r="V17" s="63">
        <f t="shared" si="6"/>
        <v>0.26</v>
      </c>
      <c r="W17" s="72">
        <f t="shared" ref="W17:Y32" si="22">T17/$B$3</f>
        <v>0.10714285714285712</v>
      </c>
      <c r="X17" s="72">
        <f t="shared" si="22"/>
        <v>0.35714285714285715</v>
      </c>
      <c r="Y17" s="72">
        <f t="shared" si="22"/>
        <v>0.46428571428571425</v>
      </c>
      <c r="Z17" s="64">
        <v>0.04</v>
      </c>
      <c r="AA17" s="65">
        <v>0.15</v>
      </c>
      <c r="AB17" s="63">
        <f t="shared" si="8"/>
        <v>0.19</v>
      </c>
      <c r="AC17" s="72">
        <f t="shared" ref="AC17:AE32" si="23">Z17/$B$3</f>
        <v>7.1428571428571425E-2</v>
      </c>
      <c r="AD17" s="72">
        <f t="shared" si="9"/>
        <v>0.26785714285714285</v>
      </c>
      <c r="AE17" s="72">
        <f t="shared" si="9"/>
        <v>0.33928571428571425</v>
      </c>
      <c r="AF17" s="106">
        <f t="shared" si="10"/>
        <v>3.7333333333333334</v>
      </c>
      <c r="AG17" s="107">
        <f t="shared" si="10"/>
        <v>2.9473684210526319</v>
      </c>
    </row>
    <row r="18" spans="1:33" x14ac:dyDescent="0.25">
      <c r="A18" s="51">
        <v>2022</v>
      </c>
      <c r="B18" s="58">
        <f t="shared" si="11"/>
        <v>2.8573491431142184E-2</v>
      </c>
      <c r="C18" s="53">
        <f t="shared" si="12"/>
        <v>4.1216951433158511E-2</v>
      </c>
      <c r="D18" s="56">
        <f t="shared" si="0"/>
        <v>6.9790442864300695E-2</v>
      </c>
      <c r="E18" s="72">
        <f t="shared" si="17"/>
        <v>5.1024091841325322E-2</v>
      </c>
      <c r="F18" s="72">
        <f t="shared" si="17"/>
        <v>7.3601698987783043E-2</v>
      </c>
      <c r="G18" s="72">
        <f t="shared" si="17"/>
        <v>0.12462579082910837</v>
      </c>
      <c r="H18" s="58">
        <f t="shared" si="13"/>
        <v>3.3676439683170578E-2</v>
      </c>
      <c r="I18" s="53">
        <f t="shared" si="14"/>
        <v>4.7700738720380387E-2</v>
      </c>
      <c r="J18" s="56">
        <f t="shared" si="15"/>
        <v>8.1377178403550965E-2</v>
      </c>
      <c r="K18" s="72">
        <f t="shared" si="18"/>
        <v>6.0136499434233166E-2</v>
      </c>
      <c r="L18" s="72">
        <f t="shared" si="18"/>
        <v>8.5179890572107828E-2</v>
      </c>
      <c r="M18" s="72">
        <f t="shared" si="18"/>
        <v>0.145316390006341</v>
      </c>
      <c r="N18" s="62">
        <f t="shared" si="19"/>
        <v>2.6666596808531076E-2</v>
      </c>
      <c r="O18" s="53">
        <f t="shared" si="20"/>
        <v>4.2775493744419468E-2</v>
      </c>
      <c r="P18" s="56">
        <f t="shared" si="16"/>
        <v>6.9442090552950544E-2</v>
      </c>
      <c r="Q18" s="72">
        <f t="shared" si="21"/>
        <v>4.7618922872376915E-2</v>
      </c>
      <c r="R18" s="72">
        <f t="shared" si="21"/>
        <v>7.63848102578919E-2</v>
      </c>
      <c r="S18" s="72">
        <f t="shared" si="21"/>
        <v>0.12400373313026881</v>
      </c>
      <c r="T18" s="64">
        <v>4.3999999999999997E-2</v>
      </c>
      <c r="U18" s="65">
        <v>0.15</v>
      </c>
      <c r="V18" s="63">
        <f t="shared" si="6"/>
        <v>0.19400000000000001</v>
      </c>
      <c r="W18" s="72">
        <f t="shared" si="22"/>
        <v>7.8571428571428556E-2</v>
      </c>
      <c r="X18" s="72">
        <f t="shared" si="22"/>
        <v>0.26785714285714285</v>
      </c>
      <c r="Y18" s="72">
        <f t="shared" si="22"/>
        <v>0.34642857142857142</v>
      </c>
      <c r="Z18" s="104">
        <v>3.2500000000000001E-2</v>
      </c>
      <c r="AA18" s="65">
        <v>0.1</v>
      </c>
      <c r="AB18" s="63">
        <f t="shared" si="8"/>
        <v>0.13250000000000001</v>
      </c>
      <c r="AC18" s="72">
        <f t="shared" si="23"/>
        <v>5.8035714285714281E-2</v>
      </c>
      <c r="AD18" s="72">
        <f t="shared" si="9"/>
        <v>0.17857142857142858</v>
      </c>
      <c r="AE18" s="72">
        <f t="shared" si="9"/>
        <v>0.23660714285714285</v>
      </c>
      <c r="AF18" s="106">
        <f t="shared" si="10"/>
        <v>5.6</v>
      </c>
      <c r="AG18" s="107">
        <f t="shared" si="10"/>
        <v>4.2264150943396226</v>
      </c>
    </row>
    <row r="19" spans="1:33" x14ac:dyDescent="0.25">
      <c r="A19" s="51">
        <v>2023</v>
      </c>
      <c r="B19" s="58">
        <f t="shared" si="11"/>
        <v>2.8928070538015827E-2</v>
      </c>
      <c r="C19" s="53">
        <f t="shared" si="12"/>
        <v>4.2824485862396178E-2</v>
      </c>
      <c r="D19" s="56">
        <f t="shared" si="0"/>
        <v>7.1752556400412004E-2</v>
      </c>
      <c r="E19" s="72">
        <f t="shared" si="17"/>
        <v>5.1657268817885398E-2</v>
      </c>
      <c r="F19" s="72">
        <f t="shared" si="17"/>
        <v>7.6472296182850313E-2</v>
      </c>
      <c r="G19" s="72">
        <f t="shared" si="17"/>
        <v>0.12812956500073572</v>
      </c>
      <c r="H19" s="58">
        <f t="shared" si="13"/>
        <v>3.4478402018894627E-2</v>
      </c>
      <c r="I19" s="53">
        <f t="shared" si="14"/>
        <v>4.987207732143395E-2</v>
      </c>
      <c r="J19" s="56">
        <f t="shared" si="15"/>
        <v>8.4350479340328577E-2</v>
      </c>
      <c r="K19" s="72">
        <f t="shared" si="18"/>
        <v>6.15685750337404E-2</v>
      </c>
      <c r="L19" s="72">
        <f t="shared" si="18"/>
        <v>8.9057280931132049E-2</v>
      </c>
      <c r="M19" s="72">
        <f t="shared" si="18"/>
        <v>0.15062585596487243</v>
      </c>
      <c r="N19" s="62">
        <f t="shared" si="19"/>
        <v>2.6666596808531076E-2</v>
      </c>
      <c r="O19" s="53">
        <f t="shared" si="20"/>
        <v>4.4680101630156899E-2</v>
      </c>
      <c r="P19" s="56">
        <f t="shared" si="16"/>
        <v>7.1346698438687975E-2</v>
      </c>
      <c r="Q19" s="72">
        <f t="shared" si="21"/>
        <v>4.7618922872376915E-2</v>
      </c>
      <c r="R19" s="72">
        <f t="shared" si="21"/>
        <v>7.9785895768137313E-2</v>
      </c>
      <c r="S19" s="72">
        <f t="shared" si="21"/>
        <v>0.12740481864051423</v>
      </c>
      <c r="T19" s="104">
        <v>3.7499999999999999E-2</v>
      </c>
      <c r="U19" s="65">
        <v>0.12</v>
      </c>
      <c r="V19" s="63">
        <f t="shared" si="6"/>
        <v>0.1575</v>
      </c>
      <c r="W19" s="72">
        <f t="shared" si="22"/>
        <v>6.6964285714285712E-2</v>
      </c>
      <c r="X19" s="72">
        <f t="shared" si="22"/>
        <v>0.21428571428571425</v>
      </c>
      <c r="Y19" s="72">
        <f t="shared" si="22"/>
        <v>0.28125</v>
      </c>
      <c r="Z19" s="64">
        <v>0.03</v>
      </c>
      <c r="AA19" s="65">
        <v>8.3000000000000004E-2</v>
      </c>
      <c r="AB19" s="63">
        <f t="shared" si="8"/>
        <v>0.113</v>
      </c>
      <c r="AC19" s="72">
        <f t="shared" si="23"/>
        <v>5.3571428571428562E-2</v>
      </c>
      <c r="AD19" s="72">
        <f t="shared" si="9"/>
        <v>0.14821428571428572</v>
      </c>
      <c r="AE19" s="72">
        <f t="shared" si="9"/>
        <v>0.20178571428571426</v>
      </c>
      <c r="AF19" s="106">
        <f t="shared" si="10"/>
        <v>6.7469879518072293</v>
      </c>
      <c r="AG19" s="107">
        <f t="shared" si="10"/>
        <v>4.9557522123893811</v>
      </c>
    </row>
    <row r="20" spans="1:33" x14ac:dyDescent="0.25">
      <c r="A20" s="51">
        <v>2024</v>
      </c>
      <c r="B20" s="58">
        <f t="shared" si="11"/>
        <v>2.9282649644889358E-2</v>
      </c>
      <c r="C20" s="53">
        <f t="shared" si="12"/>
        <v>4.4432020291633401E-2</v>
      </c>
      <c r="D20" s="56">
        <f t="shared" si="0"/>
        <v>7.3714669936522759E-2</v>
      </c>
      <c r="E20" s="72">
        <f t="shared" si="17"/>
        <v>5.2290445794445278E-2</v>
      </c>
      <c r="F20" s="72">
        <f t="shared" si="17"/>
        <v>7.9342893377916779E-2</v>
      </c>
      <c r="G20" s="72">
        <f t="shared" si="17"/>
        <v>0.13163333917236206</v>
      </c>
      <c r="H20" s="58">
        <f t="shared" si="13"/>
        <v>3.5280364354618676E-2</v>
      </c>
      <c r="I20" s="53">
        <f t="shared" si="14"/>
        <v>5.2043415922487513E-2</v>
      </c>
      <c r="J20" s="56">
        <f t="shared" si="15"/>
        <v>8.7323780277106189E-2</v>
      </c>
      <c r="K20" s="72">
        <f t="shared" si="18"/>
        <v>6.3000650633247626E-2</v>
      </c>
      <c r="L20" s="72">
        <f t="shared" si="18"/>
        <v>9.293467129015627E-2</v>
      </c>
      <c r="M20" s="72">
        <f t="shared" si="18"/>
        <v>0.1559353219234039</v>
      </c>
      <c r="N20" s="62">
        <f t="shared" si="19"/>
        <v>2.6666596808531076E-2</v>
      </c>
      <c r="O20" s="53">
        <f t="shared" si="20"/>
        <v>4.6584709515894329E-2</v>
      </c>
      <c r="P20" s="56">
        <f t="shared" si="16"/>
        <v>7.3251306324425405E-2</v>
      </c>
      <c r="Q20" s="72">
        <f t="shared" si="21"/>
        <v>4.7618922872376915E-2</v>
      </c>
      <c r="R20" s="72">
        <f t="shared" si="21"/>
        <v>8.3186981278382727E-2</v>
      </c>
      <c r="S20" s="72">
        <f t="shared" si="21"/>
        <v>0.13080590415075963</v>
      </c>
      <c r="T20" s="64">
        <v>3.5000000000000003E-2</v>
      </c>
      <c r="U20" s="103">
        <v>0.10249999999999999</v>
      </c>
      <c r="V20" s="63">
        <f t="shared" si="6"/>
        <v>0.13750000000000001</v>
      </c>
      <c r="W20" s="72">
        <f t="shared" si="22"/>
        <v>6.25E-2</v>
      </c>
      <c r="X20" s="72">
        <f t="shared" si="22"/>
        <v>0.18303571428571425</v>
      </c>
      <c r="Y20" s="72">
        <f t="shared" si="22"/>
        <v>0.24553571428571427</v>
      </c>
      <c r="Z20" s="58">
        <f t="shared" ref="Z20:AA35" si="24">Z19</f>
        <v>0.03</v>
      </c>
      <c r="AA20" s="65">
        <v>0.08</v>
      </c>
      <c r="AB20" s="63">
        <f t="shared" si="8"/>
        <v>0.11</v>
      </c>
      <c r="AC20" s="72">
        <f t="shared" si="23"/>
        <v>5.3571428571428562E-2</v>
      </c>
      <c r="AD20" s="72">
        <f t="shared" si="9"/>
        <v>0.14285714285714285</v>
      </c>
      <c r="AE20" s="72">
        <f t="shared" si="9"/>
        <v>0.19642857142857142</v>
      </c>
      <c r="AF20" s="106">
        <f t="shared" si="10"/>
        <v>7</v>
      </c>
      <c r="AG20" s="107">
        <f t="shared" si="10"/>
        <v>5.0909090909090908</v>
      </c>
    </row>
    <row r="21" spans="1:33" x14ac:dyDescent="0.25">
      <c r="A21" s="51">
        <v>2025</v>
      </c>
      <c r="B21" s="58">
        <f t="shared" si="11"/>
        <v>2.9637228751763001E-2</v>
      </c>
      <c r="C21" s="53">
        <f t="shared" si="12"/>
        <v>4.6039554720871068E-2</v>
      </c>
      <c r="D21" s="56">
        <f t="shared" si="0"/>
        <v>7.5676783472634068E-2</v>
      </c>
      <c r="E21" s="72">
        <f t="shared" si="17"/>
        <v>5.2923622771005353E-2</v>
      </c>
      <c r="F21" s="72">
        <f t="shared" si="17"/>
        <v>8.2213490572984035E-2</v>
      </c>
      <c r="G21" s="72">
        <f t="shared" si="17"/>
        <v>0.1351371133439894</v>
      </c>
      <c r="H21" s="58">
        <f t="shared" si="13"/>
        <v>3.6082326690342725E-2</v>
      </c>
      <c r="I21" s="53">
        <f t="shared" si="14"/>
        <v>5.4214754523541075E-2</v>
      </c>
      <c r="J21" s="56">
        <f t="shared" si="15"/>
        <v>9.0297081213883801E-2</v>
      </c>
      <c r="K21" s="72">
        <f t="shared" si="18"/>
        <v>6.4432726232754867E-2</v>
      </c>
      <c r="L21" s="72">
        <f t="shared" si="18"/>
        <v>9.6812061649180478E-2</v>
      </c>
      <c r="M21" s="72">
        <f t="shared" si="18"/>
        <v>0.16124478788193533</v>
      </c>
      <c r="N21" s="62">
        <f t="shared" si="19"/>
        <v>2.6666596808531076E-2</v>
      </c>
      <c r="O21" s="53">
        <f t="shared" si="20"/>
        <v>4.848931740163176E-2</v>
      </c>
      <c r="P21" s="56">
        <f t="shared" si="16"/>
        <v>7.5155914210162836E-2</v>
      </c>
      <c r="Q21" s="72">
        <f t="shared" si="21"/>
        <v>4.7618922872376915E-2</v>
      </c>
      <c r="R21" s="72">
        <f t="shared" si="21"/>
        <v>8.658806678862814E-2</v>
      </c>
      <c r="S21" s="72">
        <f t="shared" si="21"/>
        <v>0.13420698966100506</v>
      </c>
      <c r="T21" s="58">
        <f t="shared" ref="T21:U36" si="25">T20</f>
        <v>3.5000000000000003E-2</v>
      </c>
      <c r="U21" s="65">
        <v>0.1</v>
      </c>
      <c r="V21" s="63">
        <f t="shared" ref="V21:V56" si="26">SUM(T21:U21)</f>
        <v>0.13500000000000001</v>
      </c>
      <c r="W21" s="72">
        <f t="shared" si="22"/>
        <v>6.25E-2</v>
      </c>
      <c r="X21" s="72">
        <f t="shared" si="22"/>
        <v>0.17857142857142858</v>
      </c>
      <c r="Y21" s="72">
        <f t="shared" si="22"/>
        <v>0.24107142857142858</v>
      </c>
      <c r="Z21" s="58">
        <f t="shared" si="24"/>
        <v>0.03</v>
      </c>
      <c r="AA21" s="53">
        <f t="shared" si="24"/>
        <v>0.08</v>
      </c>
      <c r="AB21" s="56">
        <f t="shared" si="8"/>
        <v>0.11</v>
      </c>
      <c r="AC21" s="72">
        <f t="shared" si="23"/>
        <v>5.3571428571428562E-2</v>
      </c>
      <c r="AD21" s="72">
        <f t="shared" si="9"/>
        <v>0.14285714285714285</v>
      </c>
      <c r="AE21" s="72">
        <f t="shared" si="9"/>
        <v>0.19642857142857142</v>
      </c>
      <c r="AF21" s="106">
        <f t="shared" si="10"/>
        <v>7</v>
      </c>
      <c r="AG21" s="107">
        <f t="shared" si="10"/>
        <v>5.0909090909090908</v>
      </c>
    </row>
    <row r="22" spans="1:33" x14ac:dyDescent="0.25">
      <c r="A22" s="51">
        <v>2026</v>
      </c>
      <c r="B22" s="58">
        <f t="shared" si="11"/>
        <v>2.9991807858636643E-2</v>
      </c>
      <c r="C22" s="53">
        <f t="shared" si="12"/>
        <v>4.764708915010829E-2</v>
      </c>
      <c r="D22" s="56">
        <f t="shared" si="0"/>
        <v>7.7638897008744934E-2</v>
      </c>
      <c r="E22" s="72">
        <f t="shared" si="17"/>
        <v>5.3556799747565428E-2</v>
      </c>
      <c r="F22" s="72">
        <f t="shared" si="17"/>
        <v>8.5084087768050515E-2</v>
      </c>
      <c r="G22" s="72">
        <f t="shared" si="17"/>
        <v>0.13864088751561593</v>
      </c>
      <c r="H22" s="58">
        <f t="shared" si="13"/>
        <v>3.6884289026066774E-2</v>
      </c>
      <c r="I22" s="53">
        <f t="shared" si="14"/>
        <v>5.638609312459375E-2</v>
      </c>
      <c r="J22" s="56">
        <f t="shared" si="15"/>
        <v>9.3270382150660525E-2</v>
      </c>
      <c r="K22" s="72">
        <f t="shared" si="18"/>
        <v>6.5864801832262093E-2</v>
      </c>
      <c r="L22" s="72">
        <f t="shared" si="18"/>
        <v>0.10068945200820312</v>
      </c>
      <c r="M22" s="72">
        <f t="shared" si="18"/>
        <v>0.16655425384046521</v>
      </c>
      <c r="N22" s="62">
        <f t="shared" si="19"/>
        <v>2.6666596808531076E-2</v>
      </c>
      <c r="O22" s="53">
        <f t="shared" si="20"/>
        <v>5.039392528736919E-2</v>
      </c>
      <c r="P22" s="56">
        <f t="shared" si="16"/>
        <v>7.7060522095900266E-2</v>
      </c>
      <c r="Q22" s="72">
        <f t="shared" si="21"/>
        <v>4.7618922872376915E-2</v>
      </c>
      <c r="R22" s="72">
        <f t="shared" si="21"/>
        <v>8.998915229887354E-2</v>
      </c>
      <c r="S22" s="72">
        <f t="shared" si="21"/>
        <v>0.13760807517125045</v>
      </c>
      <c r="T22" s="58">
        <f t="shared" si="25"/>
        <v>3.5000000000000003E-2</v>
      </c>
      <c r="U22" s="53">
        <f t="shared" si="25"/>
        <v>0.1</v>
      </c>
      <c r="V22" s="56">
        <f t="shared" si="26"/>
        <v>0.13500000000000001</v>
      </c>
      <c r="W22" s="72">
        <f t="shared" si="22"/>
        <v>6.25E-2</v>
      </c>
      <c r="X22" s="72">
        <f t="shared" si="22"/>
        <v>0.17857142857142858</v>
      </c>
      <c r="Y22" s="72">
        <f t="shared" si="22"/>
        <v>0.24107142857142858</v>
      </c>
      <c r="Z22" s="58">
        <f t="shared" si="24"/>
        <v>0.03</v>
      </c>
      <c r="AA22" s="53">
        <f t="shared" si="24"/>
        <v>0.08</v>
      </c>
      <c r="AB22" s="56">
        <f t="shared" si="8"/>
        <v>0.11</v>
      </c>
      <c r="AC22" s="72">
        <f t="shared" si="23"/>
        <v>5.3571428571428562E-2</v>
      </c>
      <c r="AD22" s="72">
        <f t="shared" si="9"/>
        <v>0.14285714285714285</v>
      </c>
      <c r="AE22" s="72">
        <f t="shared" si="9"/>
        <v>0.19642857142857142</v>
      </c>
      <c r="AF22" s="106">
        <f t="shared" si="10"/>
        <v>7</v>
      </c>
      <c r="AG22" s="107">
        <f t="shared" si="10"/>
        <v>5.0909090909090908</v>
      </c>
    </row>
    <row r="23" spans="1:33" x14ac:dyDescent="0.25">
      <c r="A23" s="51">
        <v>2027</v>
      </c>
      <c r="B23" s="58">
        <f t="shared" si="11"/>
        <v>3.0346386965510175E-2</v>
      </c>
      <c r="C23" s="53">
        <f t="shared" si="12"/>
        <v>4.9254623579345513E-2</v>
      </c>
      <c r="D23" s="56">
        <f t="shared" si="0"/>
        <v>7.9601010544855688E-2</v>
      </c>
      <c r="E23" s="72">
        <f t="shared" si="17"/>
        <v>5.4189976724125309E-2</v>
      </c>
      <c r="F23" s="72">
        <f t="shared" si="17"/>
        <v>8.795468496311698E-2</v>
      </c>
      <c r="G23" s="72">
        <f t="shared" si="17"/>
        <v>0.1421446616872423</v>
      </c>
      <c r="H23" s="58">
        <f t="shared" si="13"/>
        <v>3.7686251361791046E-2</v>
      </c>
      <c r="I23" s="53">
        <f t="shared" si="14"/>
        <v>5.8557431725647313E-2</v>
      </c>
      <c r="J23" s="56">
        <f t="shared" si="15"/>
        <v>9.6243683087438359E-2</v>
      </c>
      <c r="K23" s="72">
        <f t="shared" si="18"/>
        <v>6.7296877431769722E-2</v>
      </c>
      <c r="L23" s="72">
        <f t="shared" si="18"/>
        <v>0.10456684236722734</v>
      </c>
      <c r="M23" s="72">
        <f t="shared" si="18"/>
        <v>0.17186371979899706</v>
      </c>
      <c r="N23" s="62">
        <f t="shared" si="19"/>
        <v>2.6666596808531076E-2</v>
      </c>
      <c r="O23" s="53">
        <f t="shared" si="20"/>
        <v>5.2298533173107065E-2</v>
      </c>
      <c r="P23" s="56">
        <f t="shared" si="16"/>
        <v>7.8965129981638141E-2</v>
      </c>
      <c r="Q23" s="72">
        <f t="shared" si="21"/>
        <v>4.7618922872376915E-2</v>
      </c>
      <c r="R23" s="72">
        <f t="shared" si="21"/>
        <v>9.3390237809119744E-2</v>
      </c>
      <c r="S23" s="72">
        <f t="shared" si="21"/>
        <v>0.14100916068149666</v>
      </c>
      <c r="T23" s="58">
        <f t="shared" si="25"/>
        <v>3.5000000000000003E-2</v>
      </c>
      <c r="U23" s="53">
        <f t="shared" si="25"/>
        <v>0.1</v>
      </c>
      <c r="V23" s="56">
        <f t="shared" si="26"/>
        <v>0.13500000000000001</v>
      </c>
      <c r="W23" s="72">
        <f t="shared" si="22"/>
        <v>6.25E-2</v>
      </c>
      <c r="X23" s="72">
        <f t="shared" si="22"/>
        <v>0.17857142857142858</v>
      </c>
      <c r="Y23" s="72">
        <f t="shared" si="22"/>
        <v>0.24107142857142858</v>
      </c>
      <c r="Z23" s="58">
        <f t="shared" si="24"/>
        <v>0.03</v>
      </c>
      <c r="AA23" s="53">
        <f t="shared" si="24"/>
        <v>0.08</v>
      </c>
      <c r="AB23" s="56">
        <f t="shared" si="8"/>
        <v>0.11</v>
      </c>
      <c r="AC23" s="72">
        <f t="shared" si="23"/>
        <v>5.3571428571428562E-2</v>
      </c>
      <c r="AD23" s="72">
        <f t="shared" si="9"/>
        <v>0.14285714285714285</v>
      </c>
      <c r="AE23" s="72">
        <f t="shared" si="9"/>
        <v>0.19642857142857142</v>
      </c>
      <c r="AF23" s="106">
        <f t="shared" si="10"/>
        <v>7</v>
      </c>
      <c r="AG23" s="107">
        <f t="shared" si="10"/>
        <v>5.0909090909090908</v>
      </c>
    </row>
    <row r="24" spans="1:33" x14ac:dyDescent="0.25">
      <c r="A24" s="51">
        <v>2028</v>
      </c>
      <c r="B24" s="58">
        <f t="shared" si="11"/>
        <v>3.0700966072383817E-2</v>
      </c>
      <c r="C24" s="53">
        <f t="shared" si="12"/>
        <v>5.086215800858318E-2</v>
      </c>
      <c r="D24" s="56">
        <f t="shared" si="0"/>
        <v>8.1563124080966998E-2</v>
      </c>
      <c r="E24" s="72">
        <f t="shared" si="17"/>
        <v>5.4823153700685384E-2</v>
      </c>
      <c r="F24" s="72">
        <f t="shared" si="17"/>
        <v>9.0825282158184237E-2</v>
      </c>
      <c r="G24" s="72">
        <f t="shared" si="17"/>
        <v>0.14564843585886963</v>
      </c>
      <c r="H24" s="58">
        <f t="shared" si="13"/>
        <v>3.8488213697515095E-2</v>
      </c>
      <c r="I24" s="53">
        <f t="shared" si="14"/>
        <v>6.0728770326700876E-2</v>
      </c>
      <c r="J24" s="56">
        <f t="shared" si="15"/>
        <v>9.9216984024215971E-2</v>
      </c>
      <c r="K24" s="72">
        <f t="shared" si="18"/>
        <v>6.8728953031276949E-2</v>
      </c>
      <c r="L24" s="72">
        <f t="shared" si="18"/>
        <v>0.10844423272625156</v>
      </c>
      <c r="M24" s="72">
        <f t="shared" si="18"/>
        <v>0.1771731857575285</v>
      </c>
      <c r="N24" s="62">
        <f t="shared" si="19"/>
        <v>2.6666596808531076E-2</v>
      </c>
      <c r="O24" s="53">
        <f t="shared" si="20"/>
        <v>5.4203141058844495E-2</v>
      </c>
      <c r="P24" s="56">
        <f t="shared" si="16"/>
        <v>8.0869737867375571E-2</v>
      </c>
      <c r="Q24" s="72">
        <f t="shared" si="21"/>
        <v>4.7618922872376915E-2</v>
      </c>
      <c r="R24" s="72">
        <f t="shared" si="21"/>
        <v>9.6791323319365158E-2</v>
      </c>
      <c r="S24" s="72">
        <f t="shared" si="21"/>
        <v>0.14441024619174209</v>
      </c>
      <c r="T24" s="58">
        <f t="shared" si="25"/>
        <v>3.5000000000000003E-2</v>
      </c>
      <c r="U24" s="53">
        <f t="shared" si="25"/>
        <v>0.1</v>
      </c>
      <c r="V24" s="56">
        <f t="shared" si="26"/>
        <v>0.13500000000000001</v>
      </c>
      <c r="W24" s="72">
        <f t="shared" si="22"/>
        <v>6.25E-2</v>
      </c>
      <c r="X24" s="72">
        <f t="shared" si="22"/>
        <v>0.17857142857142858</v>
      </c>
      <c r="Y24" s="72">
        <f t="shared" si="22"/>
        <v>0.24107142857142858</v>
      </c>
      <c r="Z24" s="58">
        <f t="shared" si="24"/>
        <v>0.03</v>
      </c>
      <c r="AA24" s="53">
        <f t="shared" si="24"/>
        <v>0.08</v>
      </c>
      <c r="AB24" s="56">
        <f t="shared" si="8"/>
        <v>0.11</v>
      </c>
      <c r="AC24" s="72">
        <f t="shared" si="23"/>
        <v>5.3571428571428562E-2</v>
      </c>
      <c r="AD24" s="72">
        <f t="shared" si="9"/>
        <v>0.14285714285714285</v>
      </c>
      <c r="AE24" s="72">
        <f t="shared" si="9"/>
        <v>0.19642857142857142</v>
      </c>
      <c r="AF24" s="106">
        <f t="shared" si="10"/>
        <v>7</v>
      </c>
      <c r="AG24" s="107">
        <f t="shared" si="10"/>
        <v>5.0909090909090908</v>
      </c>
    </row>
    <row r="25" spans="1:33" x14ac:dyDescent="0.25">
      <c r="A25" s="51">
        <v>2029</v>
      </c>
      <c r="B25" s="58">
        <f t="shared" si="11"/>
        <v>3.1055545179257349E-2</v>
      </c>
      <c r="C25" s="53">
        <f t="shared" si="12"/>
        <v>5.2469692437820403E-2</v>
      </c>
      <c r="D25" s="56">
        <f t="shared" si="0"/>
        <v>8.3525237617077752E-2</v>
      </c>
      <c r="E25" s="72">
        <f t="shared" si="17"/>
        <v>5.5456330677245258E-2</v>
      </c>
      <c r="F25" s="72">
        <f t="shared" si="17"/>
        <v>9.3695879353250716E-2</v>
      </c>
      <c r="G25" s="72">
        <f t="shared" si="17"/>
        <v>0.14915221003049597</v>
      </c>
      <c r="H25" s="58">
        <f t="shared" si="13"/>
        <v>3.9290176033239144E-2</v>
      </c>
      <c r="I25" s="53">
        <f t="shared" si="14"/>
        <v>6.2900108927754439E-2</v>
      </c>
      <c r="J25" s="56">
        <f t="shared" si="15"/>
        <v>0.10219028496099358</v>
      </c>
      <c r="K25" s="72">
        <f t="shared" si="18"/>
        <v>7.0161028630784175E-2</v>
      </c>
      <c r="L25" s="72">
        <f t="shared" si="18"/>
        <v>0.11232162308527577</v>
      </c>
      <c r="M25" s="72">
        <f t="shared" si="18"/>
        <v>0.18248265171605996</v>
      </c>
      <c r="N25" s="58">
        <f>$B$15</f>
        <v>2.6666596808531076E-2</v>
      </c>
      <c r="O25" s="53">
        <f t="shared" si="20"/>
        <v>5.6107748944581926E-2</v>
      </c>
      <c r="P25" s="56">
        <f t="shared" si="16"/>
        <v>8.2774345753113002E-2</v>
      </c>
      <c r="Q25" s="72">
        <f t="shared" si="21"/>
        <v>4.7618922872376915E-2</v>
      </c>
      <c r="R25" s="72">
        <f t="shared" si="21"/>
        <v>0.10019240882961057</v>
      </c>
      <c r="S25" s="72">
        <f t="shared" si="21"/>
        <v>0.14781133170198749</v>
      </c>
      <c r="T25" s="58">
        <f t="shared" si="25"/>
        <v>3.5000000000000003E-2</v>
      </c>
      <c r="U25" s="53">
        <f t="shared" si="25"/>
        <v>0.1</v>
      </c>
      <c r="V25" s="56">
        <f t="shared" si="26"/>
        <v>0.13500000000000001</v>
      </c>
      <c r="W25" s="72">
        <f t="shared" si="22"/>
        <v>6.25E-2</v>
      </c>
      <c r="X25" s="72">
        <f t="shared" si="22"/>
        <v>0.17857142857142858</v>
      </c>
      <c r="Y25" s="72">
        <f t="shared" si="22"/>
        <v>0.24107142857142858</v>
      </c>
      <c r="Z25" s="58">
        <f t="shared" si="24"/>
        <v>0.03</v>
      </c>
      <c r="AA25" s="53">
        <f t="shared" si="24"/>
        <v>0.08</v>
      </c>
      <c r="AB25" s="56">
        <f t="shared" si="8"/>
        <v>0.11</v>
      </c>
      <c r="AC25" s="72">
        <f t="shared" si="23"/>
        <v>5.3571428571428562E-2</v>
      </c>
      <c r="AD25" s="72">
        <f t="shared" si="9"/>
        <v>0.14285714285714285</v>
      </c>
      <c r="AE25" s="72">
        <f t="shared" si="9"/>
        <v>0.19642857142857142</v>
      </c>
      <c r="AF25" s="106">
        <f t="shared" si="10"/>
        <v>7</v>
      </c>
      <c r="AG25" s="107">
        <f t="shared" si="10"/>
        <v>5.0909090909090908</v>
      </c>
    </row>
    <row r="26" spans="1:33" x14ac:dyDescent="0.25">
      <c r="A26" s="51">
        <v>2030</v>
      </c>
      <c r="B26" s="58">
        <f t="shared" si="11"/>
        <v>3.1410124286130991E-2</v>
      </c>
      <c r="C26" s="53">
        <f t="shared" si="12"/>
        <v>5.407722686705807E-2</v>
      </c>
      <c r="D26" s="56">
        <f t="shared" si="0"/>
        <v>8.5487351153189062E-2</v>
      </c>
      <c r="E26" s="72">
        <f t="shared" si="17"/>
        <v>5.608950765380534E-2</v>
      </c>
      <c r="F26" s="72">
        <f t="shared" si="17"/>
        <v>9.6566476548317973E-2</v>
      </c>
      <c r="G26" s="72">
        <f t="shared" si="17"/>
        <v>0.15265598420212331</v>
      </c>
      <c r="H26" s="58">
        <f t="shared" si="13"/>
        <v>4.0092138368963193E-2</v>
      </c>
      <c r="I26" s="53">
        <f t="shared" si="14"/>
        <v>6.5071447528808002E-2</v>
      </c>
      <c r="J26" s="56">
        <f t="shared" si="15"/>
        <v>0.10516358589777119</v>
      </c>
      <c r="K26" s="72">
        <f t="shared" si="18"/>
        <v>7.1593104230291416E-2</v>
      </c>
      <c r="L26" s="72">
        <f t="shared" si="18"/>
        <v>0.11619901344429999</v>
      </c>
      <c r="M26" s="72">
        <f t="shared" si="18"/>
        <v>0.18779211767459139</v>
      </c>
      <c r="N26" s="58">
        <f t="shared" si="19"/>
        <v>2.6666596808531076E-2</v>
      </c>
      <c r="O26" s="53">
        <f t="shared" si="20"/>
        <v>5.8012356830319356E-2</v>
      </c>
      <c r="P26" s="56">
        <f t="shared" si="16"/>
        <v>8.4678953638850432E-2</v>
      </c>
      <c r="Q26" s="72">
        <f t="shared" si="21"/>
        <v>4.7618922872376915E-2</v>
      </c>
      <c r="R26" s="72">
        <f t="shared" si="21"/>
        <v>0.10359349433985598</v>
      </c>
      <c r="S26" s="72">
        <f t="shared" si="21"/>
        <v>0.15121241721223291</v>
      </c>
      <c r="T26" s="58">
        <f t="shared" si="25"/>
        <v>3.5000000000000003E-2</v>
      </c>
      <c r="U26" s="53">
        <f t="shared" si="25"/>
        <v>0.1</v>
      </c>
      <c r="V26" s="56">
        <f t="shared" si="26"/>
        <v>0.13500000000000001</v>
      </c>
      <c r="W26" s="72">
        <f t="shared" si="22"/>
        <v>6.25E-2</v>
      </c>
      <c r="X26" s="72">
        <f t="shared" si="22"/>
        <v>0.17857142857142858</v>
      </c>
      <c r="Y26" s="72">
        <f t="shared" si="22"/>
        <v>0.24107142857142858</v>
      </c>
      <c r="Z26" s="58">
        <f t="shared" si="24"/>
        <v>0.03</v>
      </c>
      <c r="AA26" s="53">
        <f t="shared" si="24"/>
        <v>0.08</v>
      </c>
      <c r="AB26" s="56">
        <f t="shared" si="8"/>
        <v>0.11</v>
      </c>
      <c r="AC26" s="72">
        <f t="shared" si="23"/>
        <v>5.3571428571428562E-2</v>
      </c>
      <c r="AD26" s="72">
        <f t="shared" si="9"/>
        <v>0.14285714285714285</v>
      </c>
      <c r="AE26" s="72">
        <f t="shared" si="9"/>
        <v>0.19642857142857142</v>
      </c>
      <c r="AF26" s="106">
        <f t="shared" si="10"/>
        <v>7</v>
      </c>
      <c r="AG26" s="107">
        <f t="shared" si="10"/>
        <v>5.0909090909090908</v>
      </c>
    </row>
    <row r="27" spans="1:33" x14ac:dyDescent="0.25">
      <c r="A27" s="51">
        <v>2031</v>
      </c>
      <c r="B27" s="58">
        <f t="shared" si="11"/>
        <v>3.1764703393004523E-2</v>
      </c>
      <c r="C27" s="53">
        <f t="shared" si="12"/>
        <v>5.5684761296295293E-2</v>
      </c>
      <c r="D27" s="56">
        <f t="shared" si="0"/>
        <v>8.7449464689299816E-2</v>
      </c>
      <c r="E27" s="72">
        <f t="shared" si="17"/>
        <v>5.6722684630365214E-2</v>
      </c>
      <c r="F27" s="72">
        <f t="shared" si="17"/>
        <v>9.9437073743384438E-2</v>
      </c>
      <c r="G27" s="72">
        <f t="shared" si="17"/>
        <v>0.15615975837374965</v>
      </c>
      <c r="H27" s="58">
        <f t="shared" si="13"/>
        <v>4.0894100704687242E-2</v>
      </c>
      <c r="I27" s="53">
        <f t="shared" si="14"/>
        <v>6.7242786129861565E-2</v>
      </c>
      <c r="J27" s="56">
        <f t="shared" si="15"/>
        <v>0.10813688683454881</v>
      </c>
      <c r="K27" s="72">
        <f t="shared" si="18"/>
        <v>7.3025179829798642E-2</v>
      </c>
      <c r="L27" s="72">
        <f t="shared" si="18"/>
        <v>0.12007640380332421</v>
      </c>
      <c r="M27" s="72">
        <f t="shared" si="18"/>
        <v>0.19310158363312285</v>
      </c>
      <c r="N27" s="58">
        <f t="shared" si="19"/>
        <v>2.6666596808531076E-2</v>
      </c>
      <c r="O27" s="53">
        <f t="shared" si="20"/>
        <v>5.9916964716057231E-2</v>
      </c>
      <c r="P27" s="56">
        <f t="shared" si="16"/>
        <v>8.6583561524588307E-2</v>
      </c>
      <c r="Q27" s="72">
        <f t="shared" si="21"/>
        <v>4.7618922872376915E-2</v>
      </c>
      <c r="R27" s="72">
        <f t="shared" si="21"/>
        <v>0.10699457985010219</v>
      </c>
      <c r="S27" s="72">
        <f t="shared" si="21"/>
        <v>0.15461350272247912</v>
      </c>
      <c r="T27" s="58">
        <f t="shared" si="25"/>
        <v>3.5000000000000003E-2</v>
      </c>
      <c r="U27" s="53">
        <f t="shared" si="25"/>
        <v>0.1</v>
      </c>
      <c r="V27" s="56">
        <f t="shared" si="26"/>
        <v>0.13500000000000001</v>
      </c>
      <c r="W27" s="72">
        <f t="shared" si="22"/>
        <v>6.25E-2</v>
      </c>
      <c r="X27" s="72">
        <f t="shared" si="22"/>
        <v>0.17857142857142858</v>
      </c>
      <c r="Y27" s="72">
        <f t="shared" si="22"/>
        <v>0.24107142857142858</v>
      </c>
      <c r="Z27" s="58">
        <f t="shared" si="24"/>
        <v>0.03</v>
      </c>
      <c r="AA27" s="53">
        <f t="shared" si="24"/>
        <v>0.08</v>
      </c>
      <c r="AB27" s="56">
        <f t="shared" si="8"/>
        <v>0.11</v>
      </c>
      <c r="AC27" s="72">
        <f t="shared" si="23"/>
        <v>5.3571428571428562E-2</v>
      </c>
      <c r="AD27" s="72">
        <f t="shared" si="9"/>
        <v>0.14285714285714285</v>
      </c>
      <c r="AE27" s="72">
        <f t="shared" si="9"/>
        <v>0.19642857142857142</v>
      </c>
      <c r="AF27" s="106">
        <f t="shared" si="10"/>
        <v>7</v>
      </c>
      <c r="AG27" s="107">
        <f t="shared" si="10"/>
        <v>5.0909090909090908</v>
      </c>
    </row>
    <row r="28" spans="1:33" x14ac:dyDescent="0.25">
      <c r="A28" s="51">
        <v>2032</v>
      </c>
      <c r="B28" s="58">
        <f t="shared" si="11"/>
        <v>3.2119282499878166E-2</v>
      </c>
      <c r="C28" s="53">
        <f t="shared" si="12"/>
        <v>5.7292295725532516E-2</v>
      </c>
      <c r="D28" s="56">
        <f t="shared" si="0"/>
        <v>8.9411578225410682E-2</v>
      </c>
      <c r="E28" s="72">
        <f t="shared" si="17"/>
        <v>5.7355861606925289E-2</v>
      </c>
      <c r="F28" s="72">
        <f t="shared" si="17"/>
        <v>0.10230767093845092</v>
      </c>
      <c r="G28" s="72">
        <f t="shared" si="17"/>
        <v>0.15966353254537621</v>
      </c>
      <c r="H28" s="58">
        <f t="shared" si="13"/>
        <v>4.1696063040411513E-2</v>
      </c>
      <c r="I28" s="53">
        <f t="shared" si="14"/>
        <v>6.9414124730915128E-2</v>
      </c>
      <c r="J28" s="56">
        <f t="shared" si="15"/>
        <v>0.11111018777132664</v>
      </c>
      <c r="K28" s="72">
        <f t="shared" si="18"/>
        <v>7.4457255429306271E-2</v>
      </c>
      <c r="L28" s="72">
        <f t="shared" si="18"/>
        <v>0.12395379416234843</v>
      </c>
      <c r="M28" s="72">
        <f t="shared" si="18"/>
        <v>0.1984110495916547</v>
      </c>
      <c r="N28" s="58">
        <f t="shared" si="19"/>
        <v>2.6666596808531076E-2</v>
      </c>
      <c r="O28" s="53">
        <f t="shared" si="20"/>
        <v>6.1821572601794661E-2</v>
      </c>
      <c r="P28" s="56">
        <f t="shared" si="16"/>
        <v>8.8488169410325737E-2</v>
      </c>
      <c r="Q28" s="72">
        <f t="shared" si="21"/>
        <v>4.7618922872376915E-2</v>
      </c>
      <c r="R28" s="72">
        <f t="shared" si="21"/>
        <v>0.1103956653603476</v>
      </c>
      <c r="S28" s="72">
        <f t="shared" si="21"/>
        <v>0.15801458823272452</v>
      </c>
      <c r="T28" s="58">
        <f t="shared" si="25"/>
        <v>3.5000000000000003E-2</v>
      </c>
      <c r="U28" s="53">
        <f t="shared" si="25"/>
        <v>0.1</v>
      </c>
      <c r="V28" s="56">
        <f t="shared" si="26"/>
        <v>0.13500000000000001</v>
      </c>
      <c r="W28" s="72">
        <f t="shared" si="22"/>
        <v>6.25E-2</v>
      </c>
      <c r="X28" s="72">
        <f t="shared" si="22"/>
        <v>0.17857142857142858</v>
      </c>
      <c r="Y28" s="72">
        <f t="shared" si="22"/>
        <v>0.24107142857142858</v>
      </c>
      <c r="Z28" s="58">
        <f t="shared" si="24"/>
        <v>0.03</v>
      </c>
      <c r="AA28" s="53">
        <f t="shared" si="24"/>
        <v>0.08</v>
      </c>
      <c r="AB28" s="56">
        <f t="shared" si="8"/>
        <v>0.11</v>
      </c>
      <c r="AC28" s="72">
        <f t="shared" si="23"/>
        <v>5.3571428571428562E-2</v>
      </c>
      <c r="AD28" s="72">
        <f t="shared" si="9"/>
        <v>0.14285714285714285</v>
      </c>
      <c r="AE28" s="72">
        <f t="shared" si="9"/>
        <v>0.19642857142857142</v>
      </c>
      <c r="AF28" s="106">
        <f t="shared" si="10"/>
        <v>7</v>
      </c>
      <c r="AG28" s="107">
        <f t="shared" si="10"/>
        <v>5.0909090909090908</v>
      </c>
    </row>
    <row r="29" spans="1:33" x14ac:dyDescent="0.25">
      <c r="A29" s="51">
        <v>2033</v>
      </c>
      <c r="B29" s="58">
        <f t="shared" si="11"/>
        <v>3.2473861606751808E-2</v>
      </c>
      <c r="C29" s="53">
        <f t="shared" si="12"/>
        <v>5.8899830154770183E-2</v>
      </c>
      <c r="D29" s="56">
        <f t="shared" si="0"/>
        <v>9.1373691761521991E-2</v>
      </c>
      <c r="E29" s="72">
        <f t="shared" si="17"/>
        <v>5.7989038583485364E-2</v>
      </c>
      <c r="F29" s="72">
        <f t="shared" si="17"/>
        <v>0.10517826813351817</v>
      </c>
      <c r="G29" s="72">
        <f t="shared" si="17"/>
        <v>0.16316730671700355</v>
      </c>
      <c r="H29" s="58">
        <f t="shared" si="13"/>
        <v>4.2498025376135562E-2</v>
      </c>
      <c r="I29" s="53">
        <f t="shared" si="14"/>
        <v>7.1585463331968691E-2</v>
      </c>
      <c r="J29" s="56">
        <f t="shared" si="15"/>
        <v>0.11408348870810425</v>
      </c>
      <c r="K29" s="72">
        <f t="shared" si="18"/>
        <v>7.5889331028813498E-2</v>
      </c>
      <c r="L29" s="72">
        <f t="shared" si="18"/>
        <v>0.12783118452137265</v>
      </c>
      <c r="M29" s="72">
        <f t="shared" si="18"/>
        <v>0.20372051555018614</v>
      </c>
      <c r="N29" s="58">
        <f t="shared" si="19"/>
        <v>2.6666596808531076E-2</v>
      </c>
      <c r="O29" s="53">
        <f t="shared" si="20"/>
        <v>6.3726180487532091E-2</v>
      </c>
      <c r="P29" s="56">
        <f t="shared" si="16"/>
        <v>9.0392777296063168E-2</v>
      </c>
      <c r="Q29" s="72">
        <f t="shared" si="21"/>
        <v>4.7618922872376915E-2</v>
      </c>
      <c r="R29" s="72">
        <f t="shared" si="21"/>
        <v>0.11379675087059302</v>
      </c>
      <c r="S29" s="72">
        <f t="shared" si="21"/>
        <v>0.16141567374296992</v>
      </c>
      <c r="T29" s="58">
        <f t="shared" si="25"/>
        <v>3.5000000000000003E-2</v>
      </c>
      <c r="U29" s="53">
        <f t="shared" si="25"/>
        <v>0.1</v>
      </c>
      <c r="V29" s="56">
        <f t="shared" si="26"/>
        <v>0.13500000000000001</v>
      </c>
      <c r="W29" s="72">
        <f t="shared" si="22"/>
        <v>6.25E-2</v>
      </c>
      <c r="X29" s="72">
        <f t="shared" si="22"/>
        <v>0.17857142857142858</v>
      </c>
      <c r="Y29" s="72">
        <f t="shared" si="22"/>
        <v>0.24107142857142858</v>
      </c>
      <c r="Z29" s="58">
        <f t="shared" si="24"/>
        <v>0.03</v>
      </c>
      <c r="AA29" s="53">
        <f t="shared" si="24"/>
        <v>0.08</v>
      </c>
      <c r="AB29" s="56">
        <f t="shared" si="8"/>
        <v>0.11</v>
      </c>
      <c r="AC29" s="72">
        <f t="shared" si="23"/>
        <v>5.3571428571428562E-2</v>
      </c>
      <c r="AD29" s="72">
        <f t="shared" si="9"/>
        <v>0.14285714285714285</v>
      </c>
      <c r="AE29" s="72">
        <f t="shared" si="9"/>
        <v>0.19642857142857142</v>
      </c>
      <c r="AF29" s="106">
        <f t="shared" si="10"/>
        <v>7</v>
      </c>
      <c r="AG29" s="107">
        <f t="shared" si="10"/>
        <v>5.0909090909090908</v>
      </c>
    </row>
    <row r="30" spans="1:33" x14ac:dyDescent="0.25">
      <c r="A30" s="51">
        <v>2034</v>
      </c>
      <c r="B30" s="58">
        <f t="shared" si="11"/>
        <v>3.282844071362534E-2</v>
      </c>
      <c r="C30" s="53">
        <f t="shared" si="12"/>
        <v>6.0507364584007406E-2</v>
      </c>
      <c r="D30" s="56">
        <f t="shared" si="0"/>
        <v>9.3335805297632746E-2</v>
      </c>
      <c r="E30" s="72">
        <f t="shared" si="17"/>
        <v>5.8622215560045245E-2</v>
      </c>
      <c r="F30" s="72">
        <f t="shared" si="17"/>
        <v>0.10804886532858464</v>
      </c>
      <c r="G30" s="72">
        <f t="shared" si="17"/>
        <v>0.16667108088862989</v>
      </c>
      <c r="H30" s="58">
        <f t="shared" si="13"/>
        <v>4.3299987711859611E-2</v>
      </c>
      <c r="I30" s="53">
        <f t="shared" si="14"/>
        <v>7.3756801933022254E-2</v>
      </c>
      <c r="J30" s="56">
        <f t="shared" si="15"/>
        <v>0.11705678964488186</v>
      </c>
      <c r="K30" s="72">
        <f t="shared" si="18"/>
        <v>7.7321406628320724E-2</v>
      </c>
      <c r="L30" s="72">
        <f t="shared" si="18"/>
        <v>0.13170857488039686</v>
      </c>
      <c r="M30" s="72">
        <f t="shared" si="18"/>
        <v>0.2090299815087176</v>
      </c>
      <c r="N30" s="58">
        <f t="shared" si="19"/>
        <v>2.6666596808531076E-2</v>
      </c>
      <c r="O30" s="53">
        <f t="shared" si="20"/>
        <v>6.5630788373269522E-2</v>
      </c>
      <c r="P30" s="56">
        <f t="shared" si="16"/>
        <v>9.2297385181800598E-2</v>
      </c>
      <c r="Q30" s="72">
        <f t="shared" si="21"/>
        <v>4.7618922872376915E-2</v>
      </c>
      <c r="R30" s="72">
        <f t="shared" si="21"/>
        <v>0.11719783638083842</v>
      </c>
      <c r="S30" s="72">
        <f t="shared" si="21"/>
        <v>0.16481675925321534</v>
      </c>
      <c r="T30" s="58">
        <f t="shared" si="25"/>
        <v>3.5000000000000003E-2</v>
      </c>
      <c r="U30" s="53">
        <f t="shared" si="25"/>
        <v>0.1</v>
      </c>
      <c r="V30" s="56">
        <f t="shared" si="26"/>
        <v>0.13500000000000001</v>
      </c>
      <c r="W30" s="72">
        <f t="shared" si="22"/>
        <v>6.25E-2</v>
      </c>
      <c r="X30" s="72">
        <f t="shared" si="22"/>
        <v>0.17857142857142858</v>
      </c>
      <c r="Y30" s="72">
        <f t="shared" si="22"/>
        <v>0.24107142857142858</v>
      </c>
      <c r="Z30" s="58">
        <f t="shared" si="24"/>
        <v>0.03</v>
      </c>
      <c r="AA30" s="53">
        <f t="shared" si="24"/>
        <v>0.08</v>
      </c>
      <c r="AB30" s="56">
        <f t="shared" si="8"/>
        <v>0.11</v>
      </c>
      <c r="AC30" s="72">
        <f t="shared" si="23"/>
        <v>5.3571428571428562E-2</v>
      </c>
      <c r="AD30" s="72">
        <f t="shared" si="9"/>
        <v>0.14285714285714285</v>
      </c>
      <c r="AE30" s="72">
        <f t="shared" si="9"/>
        <v>0.19642857142857142</v>
      </c>
      <c r="AF30" s="106">
        <f t="shared" si="10"/>
        <v>7</v>
      </c>
      <c r="AG30" s="107">
        <f t="shared" si="10"/>
        <v>5.0909090909090908</v>
      </c>
    </row>
    <row r="31" spans="1:33" x14ac:dyDescent="0.25">
      <c r="A31" s="51">
        <v>2035</v>
      </c>
      <c r="B31" s="58">
        <f t="shared" si="11"/>
        <v>3.3183019820498982E-2</v>
      </c>
      <c r="C31" s="53">
        <f t="shared" si="12"/>
        <v>6.2114899013245073E-2</v>
      </c>
      <c r="D31" s="56">
        <f t="shared" si="0"/>
        <v>9.5297918833744055E-2</v>
      </c>
      <c r="E31" s="72">
        <f t="shared" si="17"/>
        <v>5.925539253660532E-2</v>
      </c>
      <c r="F31" s="72">
        <f t="shared" si="17"/>
        <v>0.11091946252365191</v>
      </c>
      <c r="G31" s="72">
        <f t="shared" si="17"/>
        <v>0.17017485506025723</v>
      </c>
      <c r="H31" s="58">
        <f t="shared" si="13"/>
        <v>4.410195004758366E-2</v>
      </c>
      <c r="I31" s="53">
        <f t="shared" si="14"/>
        <v>7.5928140534074928E-2</v>
      </c>
      <c r="J31" s="56">
        <f t="shared" si="15"/>
        <v>0.12003009058165859</v>
      </c>
      <c r="K31" s="72">
        <f t="shared" si="18"/>
        <v>7.8753482227827951E-2</v>
      </c>
      <c r="L31" s="72">
        <f t="shared" si="18"/>
        <v>0.13558596523941951</v>
      </c>
      <c r="M31" s="72">
        <f t="shared" si="18"/>
        <v>0.21433944746724745</v>
      </c>
      <c r="N31" s="58">
        <f t="shared" si="19"/>
        <v>2.6666596808531076E-2</v>
      </c>
      <c r="O31" s="53">
        <f t="shared" si="20"/>
        <v>6.7535396259006952E-2</v>
      </c>
      <c r="P31" s="56">
        <f t="shared" si="16"/>
        <v>9.4201993067538028E-2</v>
      </c>
      <c r="Q31" s="72">
        <f t="shared" si="21"/>
        <v>4.7618922872376915E-2</v>
      </c>
      <c r="R31" s="72">
        <f t="shared" si="21"/>
        <v>0.12059892189108383</v>
      </c>
      <c r="S31" s="72">
        <f t="shared" si="21"/>
        <v>0.16821784476346074</v>
      </c>
      <c r="T31" s="58">
        <f t="shared" si="25"/>
        <v>3.5000000000000003E-2</v>
      </c>
      <c r="U31" s="53">
        <f t="shared" si="25"/>
        <v>0.1</v>
      </c>
      <c r="V31" s="56">
        <f t="shared" si="26"/>
        <v>0.13500000000000001</v>
      </c>
      <c r="W31" s="72">
        <f t="shared" si="22"/>
        <v>6.25E-2</v>
      </c>
      <c r="X31" s="72">
        <f t="shared" si="22"/>
        <v>0.17857142857142858</v>
      </c>
      <c r="Y31" s="72">
        <f t="shared" si="22"/>
        <v>0.24107142857142858</v>
      </c>
      <c r="Z31" s="58">
        <f t="shared" si="24"/>
        <v>0.03</v>
      </c>
      <c r="AA31" s="53">
        <f t="shared" si="24"/>
        <v>0.08</v>
      </c>
      <c r="AB31" s="56">
        <f t="shared" si="8"/>
        <v>0.11</v>
      </c>
      <c r="AC31" s="72">
        <f t="shared" si="23"/>
        <v>5.3571428571428562E-2</v>
      </c>
      <c r="AD31" s="72">
        <f t="shared" si="23"/>
        <v>0.14285714285714285</v>
      </c>
      <c r="AE31" s="72">
        <f t="shared" si="23"/>
        <v>0.19642857142857142</v>
      </c>
      <c r="AF31" s="106">
        <f t="shared" si="10"/>
        <v>7</v>
      </c>
      <c r="AG31" s="107">
        <f t="shared" si="10"/>
        <v>5.0909090909090908</v>
      </c>
    </row>
    <row r="32" spans="1:33" x14ac:dyDescent="0.25">
      <c r="A32" s="51">
        <v>2036</v>
      </c>
      <c r="B32" s="58">
        <f t="shared" si="11"/>
        <v>3.3537598927372514E-2</v>
      </c>
      <c r="C32" s="53">
        <f t="shared" si="12"/>
        <v>6.3722433442482296E-2</v>
      </c>
      <c r="D32" s="56">
        <f t="shared" si="0"/>
        <v>9.726003236985481E-2</v>
      </c>
      <c r="E32" s="72">
        <f t="shared" si="17"/>
        <v>5.98885695131652E-2</v>
      </c>
      <c r="F32" s="72">
        <f t="shared" si="17"/>
        <v>0.11379005971871838</v>
      </c>
      <c r="G32" s="72">
        <f t="shared" si="17"/>
        <v>0.17367862923188357</v>
      </c>
      <c r="H32" s="58">
        <f t="shared" si="13"/>
        <v>4.4903912383307709E-2</v>
      </c>
      <c r="I32" s="53">
        <f t="shared" si="14"/>
        <v>7.8099479135128491E-2</v>
      </c>
      <c r="J32" s="56">
        <f t="shared" si="15"/>
        <v>0.1230033915184362</v>
      </c>
      <c r="K32" s="72">
        <f t="shared" si="18"/>
        <v>8.0185557827335191E-2</v>
      </c>
      <c r="L32" s="72">
        <f t="shared" si="18"/>
        <v>0.13946335559844372</v>
      </c>
      <c r="M32" s="72">
        <f t="shared" si="18"/>
        <v>0.21964891342577891</v>
      </c>
      <c r="N32" s="58">
        <f t="shared" si="19"/>
        <v>2.6666596808531076E-2</v>
      </c>
      <c r="O32" s="53">
        <f t="shared" si="20"/>
        <v>6.9440004144744827E-2</v>
      </c>
      <c r="P32" s="56">
        <f t="shared" si="16"/>
        <v>9.6106600953275903E-2</v>
      </c>
      <c r="Q32" s="72">
        <f t="shared" si="21"/>
        <v>4.7618922872376915E-2</v>
      </c>
      <c r="R32" s="72">
        <f t="shared" si="21"/>
        <v>0.12400000740133003</v>
      </c>
      <c r="S32" s="72">
        <f t="shared" si="21"/>
        <v>0.17161893027370695</v>
      </c>
      <c r="T32" s="58">
        <f t="shared" si="25"/>
        <v>3.5000000000000003E-2</v>
      </c>
      <c r="U32" s="53">
        <f t="shared" si="25"/>
        <v>0.1</v>
      </c>
      <c r="V32" s="56">
        <f t="shared" si="26"/>
        <v>0.13500000000000001</v>
      </c>
      <c r="W32" s="72">
        <f t="shared" si="22"/>
        <v>6.25E-2</v>
      </c>
      <c r="X32" s="72">
        <f t="shared" si="22"/>
        <v>0.17857142857142858</v>
      </c>
      <c r="Y32" s="72">
        <f t="shared" si="22"/>
        <v>0.24107142857142858</v>
      </c>
      <c r="Z32" s="58">
        <f t="shared" si="24"/>
        <v>0.03</v>
      </c>
      <c r="AA32" s="53">
        <f t="shared" si="24"/>
        <v>0.08</v>
      </c>
      <c r="AB32" s="56">
        <f t="shared" si="8"/>
        <v>0.11</v>
      </c>
      <c r="AC32" s="72">
        <f t="shared" si="23"/>
        <v>5.3571428571428562E-2</v>
      </c>
      <c r="AD32" s="72">
        <f t="shared" si="23"/>
        <v>0.14285714285714285</v>
      </c>
      <c r="AE32" s="72">
        <f t="shared" si="23"/>
        <v>0.19642857142857142</v>
      </c>
      <c r="AF32" s="106">
        <f t="shared" si="10"/>
        <v>7</v>
      </c>
      <c r="AG32" s="107">
        <f t="shared" si="10"/>
        <v>5.0909090909090908</v>
      </c>
    </row>
    <row r="33" spans="1:33" x14ac:dyDescent="0.25">
      <c r="A33" s="51">
        <v>2037</v>
      </c>
      <c r="B33" s="58">
        <f t="shared" si="11"/>
        <v>3.3892178034246156E-2</v>
      </c>
      <c r="C33" s="53">
        <f t="shared" si="12"/>
        <v>6.5329967871719963E-2</v>
      </c>
      <c r="D33" s="56">
        <f t="shared" si="0"/>
        <v>9.9222145905966119E-2</v>
      </c>
      <c r="E33" s="72">
        <f t="shared" ref="E33:G48" si="27">B33/$B$3</f>
        <v>6.0521746489725275E-2</v>
      </c>
      <c r="F33" s="72">
        <f t="shared" si="27"/>
        <v>0.11666065691378563</v>
      </c>
      <c r="G33" s="72">
        <f t="shared" si="27"/>
        <v>0.17718240340351091</v>
      </c>
      <c r="H33" s="58">
        <f t="shared" si="13"/>
        <v>4.570587471903198E-2</v>
      </c>
      <c r="I33" s="53">
        <f t="shared" si="14"/>
        <v>8.0270817736182054E-2</v>
      </c>
      <c r="J33" s="56">
        <f t="shared" si="15"/>
        <v>0.12597669245521403</v>
      </c>
      <c r="K33" s="72">
        <f t="shared" ref="K33:M48" si="28">H33/$B$3</f>
        <v>8.161763342684282E-2</v>
      </c>
      <c r="L33" s="72">
        <f t="shared" si="28"/>
        <v>0.14334074595746793</v>
      </c>
      <c r="M33" s="72">
        <f t="shared" si="28"/>
        <v>0.22495837938431076</v>
      </c>
      <c r="N33" s="58">
        <f t="shared" si="19"/>
        <v>2.6666596808531076E-2</v>
      </c>
      <c r="O33" s="53">
        <f t="shared" si="20"/>
        <v>7.1344612030482257E-2</v>
      </c>
      <c r="P33" s="56">
        <f t="shared" si="16"/>
        <v>9.8011208839013333E-2</v>
      </c>
      <c r="Q33" s="72">
        <f t="shared" ref="Q33:S48" si="29">N33/$B$3</f>
        <v>4.7618922872376915E-2</v>
      </c>
      <c r="R33" s="72">
        <f t="shared" si="29"/>
        <v>0.12740109291157545</v>
      </c>
      <c r="S33" s="72">
        <f t="shared" si="29"/>
        <v>0.17502001578395238</v>
      </c>
      <c r="T33" s="58">
        <f t="shared" si="25"/>
        <v>3.5000000000000003E-2</v>
      </c>
      <c r="U33" s="53">
        <f t="shared" si="25"/>
        <v>0.1</v>
      </c>
      <c r="V33" s="56">
        <f t="shared" si="26"/>
        <v>0.13500000000000001</v>
      </c>
      <c r="W33" s="72">
        <f t="shared" ref="W33:Y48" si="30">T33/$B$3</f>
        <v>6.25E-2</v>
      </c>
      <c r="X33" s="72">
        <f t="shared" si="30"/>
        <v>0.17857142857142858</v>
      </c>
      <c r="Y33" s="72">
        <f t="shared" si="30"/>
        <v>0.24107142857142858</v>
      </c>
      <c r="Z33" s="58">
        <f t="shared" si="24"/>
        <v>0.03</v>
      </c>
      <c r="AA33" s="53">
        <f t="shared" si="24"/>
        <v>0.08</v>
      </c>
      <c r="AB33" s="56">
        <f t="shared" si="8"/>
        <v>0.11</v>
      </c>
      <c r="AC33" s="72">
        <f t="shared" ref="AC33:AE48" si="31">Z33/$B$3</f>
        <v>5.3571428571428562E-2</v>
      </c>
      <c r="AD33" s="72">
        <f t="shared" si="31"/>
        <v>0.14285714285714285</v>
      </c>
      <c r="AE33" s="72">
        <f t="shared" si="31"/>
        <v>0.19642857142857142</v>
      </c>
      <c r="AF33" s="106">
        <f t="shared" si="10"/>
        <v>7</v>
      </c>
      <c r="AG33" s="107">
        <f t="shared" si="10"/>
        <v>5.0909090909090908</v>
      </c>
    </row>
    <row r="34" spans="1:33" x14ac:dyDescent="0.25">
      <c r="A34" s="51">
        <v>2038</v>
      </c>
      <c r="B34" s="58">
        <f t="shared" si="11"/>
        <v>3.4246757141119688E-2</v>
      </c>
      <c r="C34" s="53">
        <f t="shared" si="12"/>
        <v>6.6937502300957186E-2</v>
      </c>
      <c r="D34" s="56">
        <f t="shared" si="0"/>
        <v>0.10118425944207687</v>
      </c>
      <c r="E34" s="72">
        <f t="shared" si="27"/>
        <v>6.1154923466285149E-2</v>
      </c>
      <c r="F34" s="72">
        <f t="shared" si="27"/>
        <v>0.11953125410885211</v>
      </c>
      <c r="G34" s="72">
        <f t="shared" si="27"/>
        <v>0.18068617757513725</v>
      </c>
      <c r="H34" s="58">
        <f t="shared" si="13"/>
        <v>4.6507837054756029E-2</v>
      </c>
      <c r="I34" s="53">
        <f t="shared" si="14"/>
        <v>8.2442156337235617E-2</v>
      </c>
      <c r="J34" s="56">
        <f t="shared" si="15"/>
        <v>0.12894999339199165</v>
      </c>
      <c r="K34" s="72">
        <f t="shared" si="28"/>
        <v>8.3049709026350046E-2</v>
      </c>
      <c r="L34" s="72">
        <f t="shared" si="28"/>
        <v>0.14721813631649217</v>
      </c>
      <c r="M34" s="72">
        <f t="shared" si="28"/>
        <v>0.2302678453428422</v>
      </c>
      <c r="N34" s="58">
        <f t="shared" si="19"/>
        <v>2.6666596808531076E-2</v>
      </c>
      <c r="O34" s="53">
        <f t="shared" si="20"/>
        <v>7.3249219916219688E-2</v>
      </c>
      <c r="P34" s="56">
        <f t="shared" si="16"/>
        <v>9.9915816724750764E-2</v>
      </c>
      <c r="Q34" s="72">
        <f t="shared" si="29"/>
        <v>4.7618922872376915E-2</v>
      </c>
      <c r="R34" s="72">
        <f t="shared" si="29"/>
        <v>0.13080217842182085</v>
      </c>
      <c r="S34" s="72">
        <f t="shared" si="29"/>
        <v>0.17842110129419778</v>
      </c>
      <c r="T34" s="58">
        <f t="shared" si="25"/>
        <v>3.5000000000000003E-2</v>
      </c>
      <c r="U34" s="53">
        <f t="shared" si="25"/>
        <v>0.1</v>
      </c>
      <c r="V34" s="56">
        <f t="shared" si="26"/>
        <v>0.13500000000000001</v>
      </c>
      <c r="W34" s="72">
        <f t="shared" si="30"/>
        <v>6.25E-2</v>
      </c>
      <c r="X34" s="72">
        <f t="shared" si="30"/>
        <v>0.17857142857142858</v>
      </c>
      <c r="Y34" s="72">
        <f t="shared" si="30"/>
        <v>0.24107142857142858</v>
      </c>
      <c r="Z34" s="58">
        <f t="shared" si="24"/>
        <v>0.03</v>
      </c>
      <c r="AA34" s="53">
        <f t="shared" si="24"/>
        <v>0.08</v>
      </c>
      <c r="AB34" s="56">
        <f t="shared" si="8"/>
        <v>0.11</v>
      </c>
      <c r="AC34" s="72">
        <f t="shared" si="31"/>
        <v>5.3571428571428562E-2</v>
      </c>
      <c r="AD34" s="72">
        <f t="shared" si="31"/>
        <v>0.14285714285714285</v>
      </c>
      <c r="AE34" s="72">
        <f t="shared" si="31"/>
        <v>0.19642857142857142</v>
      </c>
      <c r="AF34" s="106">
        <f t="shared" si="10"/>
        <v>7</v>
      </c>
      <c r="AG34" s="107">
        <f t="shared" si="10"/>
        <v>5.0909090909090908</v>
      </c>
    </row>
    <row r="35" spans="1:33" x14ac:dyDescent="0.25">
      <c r="A35" s="51">
        <v>2039</v>
      </c>
      <c r="B35" s="58">
        <f t="shared" si="11"/>
        <v>3.4601336247993331E-2</v>
      </c>
      <c r="C35" s="53">
        <f t="shared" si="12"/>
        <v>6.8545036730194409E-2</v>
      </c>
      <c r="D35" s="56">
        <f t="shared" si="0"/>
        <v>0.10314637297818774</v>
      </c>
      <c r="E35" s="72">
        <f t="shared" si="27"/>
        <v>6.1788100442845224E-2</v>
      </c>
      <c r="F35" s="72">
        <f t="shared" si="27"/>
        <v>0.12240185130391858</v>
      </c>
      <c r="G35" s="72">
        <f t="shared" si="27"/>
        <v>0.18418995174676381</v>
      </c>
      <c r="H35" s="58">
        <f t="shared" si="13"/>
        <v>4.7309799390480078E-2</v>
      </c>
      <c r="I35" s="53">
        <f t="shared" si="14"/>
        <v>8.461349493828918E-2</v>
      </c>
      <c r="J35" s="56">
        <f t="shared" si="15"/>
        <v>0.13192329432876926</v>
      </c>
      <c r="K35" s="72">
        <f t="shared" si="28"/>
        <v>8.4481784625857273E-2</v>
      </c>
      <c r="L35" s="72">
        <f t="shared" si="28"/>
        <v>0.15109552667551637</v>
      </c>
      <c r="M35" s="72">
        <f t="shared" si="28"/>
        <v>0.23557731130137366</v>
      </c>
      <c r="N35" s="58">
        <f t="shared" si="19"/>
        <v>2.6666596808531076E-2</v>
      </c>
      <c r="O35" s="53">
        <f t="shared" si="20"/>
        <v>7.5153827801957118E-2</v>
      </c>
      <c r="P35" s="56">
        <f t="shared" si="16"/>
        <v>0.10182042461048819</v>
      </c>
      <c r="Q35" s="72">
        <f t="shared" si="29"/>
        <v>4.7618922872376915E-2</v>
      </c>
      <c r="R35" s="72">
        <f t="shared" si="29"/>
        <v>0.13420326393206627</v>
      </c>
      <c r="S35" s="72">
        <f t="shared" si="29"/>
        <v>0.18182218680444318</v>
      </c>
      <c r="T35" s="58">
        <f t="shared" si="25"/>
        <v>3.5000000000000003E-2</v>
      </c>
      <c r="U35" s="53">
        <f t="shared" si="25"/>
        <v>0.1</v>
      </c>
      <c r="V35" s="56">
        <f t="shared" si="26"/>
        <v>0.13500000000000001</v>
      </c>
      <c r="W35" s="72">
        <f t="shared" si="30"/>
        <v>6.25E-2</v>
      </c>
      <c r="X35" s="72">
        <f t="shared" si="30"/>
        <v>0.17857142857142858</v>
      </c>
      <c r="Y35" s="72">
        <f t="shared" si="30"/>
        <v>0.24107142857142858</v>
      </c>
      <c r="Z35" s="58">
        <f t="shared" si="24"/>
        <v>0.03</v>
      </c>
      <c r="AA35" s="53">
        <f t="shared" si="24"/>
        <v>0.08</v>
      </c>
      <c r="AB35" s="56">
        <f t="shared" si="8"/>
        <v>0.11</v>
      </c>
      <c r="AC35" s="72">
        <f t="shared" si="31"/>
        <v>5.3571428571428562E-2</v>
      </c>
      <c r="AD35" s="72">
        <f t="shared" si="31"/>
        <v>0.14285714285714285</v>
      </c>
      <c r="AE35" s="72">
        <f t="shared" si="31"/>
        <v>0.19642857142857142</v>
      </c>
      <c r="AF35" s="106">
        <f t="shared" si="10"/>
        <v>7</v>
      </c>
      <c r="AG35" s="107">
        <f t="shared" si="10"/>
        <v>5.0909090909090908</v>
      </c>
    </row>
    <row r="36" spans="1:33" x14ac:dyDescent="0.25">
      <c r="A36" s="51">
        <v>2040</v>
      </c>
      <c r="B36" s="58">
        <f t="shared" si="11"/>
        <v>3.4955915354866862E-2</v>
      </c>
      <c r="C36" s="53">
        <f t="shared" si="12"/>
        <v>7.0152571159432076E-2</v>
      </c>
      <c r="D36" s="56">
        <f t="shared" si="0"/>
        <v>0.10510848651429894</v>
      </c>
      <c r="E36" s="72">
        <f t="shared" si="27"/>
        <v>6.2421277419405105E-2</v>
      </c>
      <c r="F36" s="72">
        <f t="shared" si="27"/>
        <v>0.12527244849898583</v>
      </c>
      <c r="G36" s="72">
        <f t="shared" si="27"/>
        <v>0.18769372591839095</v>
      </c>
      <c r="H36" s="58">
        <f t="shared" si="13"/>
        <v>4.8111761726204127E-2</v>
      </c>
      <c r="I36" s="53">
        <f t="shared" si="14"/>
        <v>8.6784833539342743E-2</v>
      </c>
      <c r="J36" s="56">
        <f t="shared" si="15"/>
        <v>0.13489659526554687</v>
      </c>
      <c r="K36" s="72">
        <f t="shared" si="28"/>
        <v>8.59138602253645E-2</v>
      </c>
      <c r="L36" s="72">
        <f t="shared" si="28"/>
        <v>0.15497291703454061</v>
      </c>
      <c r="M36" s="72">
        <f t="shared" si="28"/>
        <v>0.24088677725990509</v>
      </c>
      <c r="N36" s="58">
        <f t="shared" si="19"/>
        <v>2.6666596808531076E-2</v>
      </c>
      <c r="O36" s="53">
        <f t="shared" si="20"/>
        <v>7.7058435687694549E-2</v>
      </c>
      <c r="P36" s="56">
        <f t="shared" si="16"/>
        <v>0.10372503249622562</v>
      </c>
      <c r="Q36" s="72">
        <f t="shared" si="29"/>
        <v>4.7618922872376915E-2</v>
      </c>
      <c r="R36" s="72">
        <f t="shared" si="29"/>
        <v>0.13760434944231167</v>
      </c>
      <c r="S36" s="72">
        <f t="shared" si="29"/>
        <v>0.1852232723146886</v>
      </c>
      <c r="T36" s="58">
        <f t="shared" si="25"/>
        <v>3.5000000000000003E-2</v>
      </c>
      <c r="U36" s="53">
        <f t="shared" si="25"/>
        <v>0.1</v>
      </c>
      <c r="V36" s="56">
        <f t="shared" si="26"/>
        <v>0.13500000000000001</v>
      </c>
      <c r="W36" s="72">
        <f t="shared" si="30"/>
        <v>6.25E-2</v>
      </c>
      <c r="X36" s="72">
        <f t="shared" si="30"/>
        <v>0.17857142857142858</v>
      </c>
      <c r="Y36" s="72">
        <f t="shared" si="30"/>
        <v>0.24107142857142858</v>
      </c>
      <c r="Z36" s="58">
        <f t="shared" ref="Z36:AA38" si="32">Z35</f>
        <v>0.03</v>
      </c>
      <c r="AA36" s="53">
        <f t="shared" si="32"/>
        <v>0.08</v>
      </c>
      <c r="AB36" s="56">
        <f t="shared" si="8"/>
        <v>0.11</v>
      </c>
      <c r="AC36" s="72">
        <f t="shared" si="31"/>
        <v>5.3571428571428562E-2</v>
      </c>
      <c r="AD36" s="72">
        <f t="shared" si="31"/>
        <v>0.14285714285714285</v>
      </c>
      <c r="AE36" s="72">
        <f t="shared" si="31"/>
        <v>0.19642857142857142</v>
      </c>
      <c r="AF36" s="106">
        <f t="shared" si="10"/>
        <v>7</v>
      </c>
      <c r="AG36" s="107">
        <f t="shared" si="10"/>
        <v>5.0909090909090908</v>
      </c>
    </row>
    <row r="37" spans="1:33" x14ac:dyDescent="0.25">
      <c r="A37" s="51">
        <v>2041</v>
      </c>
      <c r="B37" s="58">
        <f t="shared" si="11"/>
        <v>3.5310494461740505E-2</v>
      </c>
      <c r="C37" s="53">
        <f t="shared" si="12"/>
        <v>7.1760105588669298E-2</v>
      </c>
      <c r="D37" s="56">
        <f t="shared" si="0"/>
        <v>0.1070706000504098</v>
      </c>
      <c r="E37" s="72">
        <f t="shared" si="27"/>
        <v>6.3054454395965187E-2</v>
      </c>
      <c r="F37" s="72">
        <f t="shared" si="27"/>
        <v>0.1281430456940523</v>
      </c>
      <c r="G37" s="72">
        <f t="shared" si="27"/>
        <v>0.19119750009001749</v>
      </c>
      <c r="H37" s="58">
        <f t="shared" si="13"/>
        <v>4.8913724061928399E-2</v>
      </c>
      <c r="I37" s="53">
        <f t="shared" si="14"/>
        <v>8.8956172140396306E-2</v>
      </c>
      <c r="J37" s="56">
        <f t="shared" si="15"/>
        <v>0.1378698962023247</v>
      </c>
      <c r="K37" s="72">
        <f t="shared" si="28"/>
        <v>8.7345935824872128E-2</v>
      </c>
      <c r="L37" s="72">
        <f t="shared" si="28"/>
        <v>0.15885030739356482</v>
      </c>
      <c r="M37" s="72">
        <f t="shared" si="28"/>
        <v>0.24619624321843694</v>
      </c>
      <c r="N37" s="58">
        <f t="shared" si="19"/>
        <v>2.6666596808531076E-2</v>
      </c>
      <c r="O37" s="53">
        <f t="shared" si="20"/>
        <v>7.8963043573432423E-2</v>
      </c>
      <c r="P37" s="56">
        <f t="shared" si="16"/>
        <v>0.1056296403819635</v>
      </c>
      <c r="Q37" s="72">
        <f t="shared" si="29"/>
        <v>4.7618922872376915E-2</v>
      </c>
      <c r="R37" s="72">
        <f t="shared" si="29"/>
        <v>0.14100543495255788</v>
      </c>
      <c r="S37" s="72">
        <f t="shared" si="29"/>
        <v>0.18862435782493481</v>
      </c>
      <c r="T37" s="58">
        <f t="shared" ref="T37:U38" si="33">T36</f>
        <v>3.5000000000000003E-2</v>
      </c>
      <c r="U37" s="53">
        <f t="shared" si="33"/>
        <v>0.1</v>
      </c>
      <c r="V37" s="56">
        <f t="shared" si="26"/>
        <v>0.13500000000000001</v>
      </c>
      <c r="W37" s="72">
        <f t="shared" si="30"/>
        <v>6.25E-2</v>
      </c>
      <c r="X37" s="72">
        <f t="shared" si="30"/>
        <v>0.17857142857142858</v>
      </c>
      <c r="Y37" s="72">
        <f t="shared" si="30"/>
        <v>0.24107142857142858</v>
      </c>
      <c r="Z37" s="58">
        <f t="shared" si="32"/>
        <v>0.03</v>
      </c>
      <c r="AA37" s="53">
        <f t="shared" si="32"/>
        <v>0.08</v>
      </c>
      <c r="AB37" s="56">
        <f t="shared" si="8"/>
        <v>0.11</v>
      </c>
      <c r="AC37" s="72">
        <f t="shared" si="31"/>
        <v>5.3571428571428562E-2</v>
      </c>
      <c r="AD37" s="72">
        <f t="shared" si="31"/>
        <v>0.14285714285714285</v>
      </c>
      <c r="AE37" s="72">
        <f t="shared" si="31"/>
        <v>0.19642857142857142</v>
      </c>
      <c r="AF37" s="106">
        <f t="shared" si="10"/>
        <v>7</v>
      </c>
      <c r="AG37" s="107">
        <f t="shared" si="10"/>
        <v>5.0909090909090908</v>
      </c>
    </row>
    <row r="38" spans="1:33" x14ac:dyDescent="0.25">
      <c r="A38" s="51">
        <v>2042</v>
      </c>
      <c r="B38" s="58">
        <f t="shared" si="11"/>
        <v>3.5665073568614147E-2</v>
      </c>
      <c r="C38" s="53">
        <f t="shared" si="12"/>
        <v>7.3367640017906965E-2</v>
      </c>
      <c r="D38" s="56">
        <f t="shared" si="0"/>
        <v>0.10903271358652111</v>
      </c>
      <c r="E38" s="72">
        <f t="shared" si="27"/>
        <v>6.3687631372525255E-2</v>
      </c>
      <c r="F38" s="72">
        <f t="shared" si="27"/>
        <v>0.13101364288911957</v>
      </c>
      <c r="G38" s="72">
        <f t="shared" si="27"/>
        <v>0.19470127426164482</v>
      </c>
      <c r="H38" s="58">
        <f t="shared" si="13"/>
        <v>4.9715686397652448E-2</v>
      </c>
      <c r="I38" s="53">
        <f t="shared" si="14"/>
        <v>9.1127510741449869E-2</v>
      </c>
      <c r="J38" s="56">
        <f t="shared" si="15"/>
        <v>0.14084319713910232</v>
      </c>
      <c r="K38" s="72">
        <f t="shared" si="28"/>
        <v>8.8778011424379369E-2</v>
      </c>
      <c r="L38" s="72">
        <f t="shared" si="28"/>
        <v>0.16272769775258902</v>
      </c>
      <c r="M38" s="72">
        <f t="shared" si="28"/>
        <v>0.25150570917696841</v>
      </c>
      <c r="N38" s="58">
        <f t="shared" si="19"/>
        <v>2.6666596808531076E-2</v>
      </c>
      <c r="O38" s="53">
        <f t="shared" si="20"/>
        <v>8.0867651459169854E-2</v>
      </c>
      <c r="P38" s="56">
        <f t="shared" si="16"/>
        <v>0.10753424826770093</v>
      </c>
      <c r="Q38" s="72">
        <f t="shared" si="29"/>
        <v>4.7618922872376915E-2</v>
      </c>
      <c r="R38" s="72">
        <f t="shared" si="29"/>
        <v>0.14440652046280331</v>
      </c>
      <c r="S38" s="72">
        <f t="shared" si="29"/>
        <v>0.19202544333518021</v>
      </c>
      <c r="T38" s="58">
        <f t="shared" si="33"/>
        <v>3.5000000000000003E-2</v>
      </c>
      <c r="U38" s="53">
        <f t="shared" si="33"/>
        <v>0.1</v>
      </c>
      <c r="V38" s="56">
        <f t="shared" si="26"/>
        <v>0.13500000000000001</v>
      </c>
      <c r="W38" s="72">
        <f t="shared" si="30"/>
        <v>6.25E-2</v>
      </c>
      <c r="X38" s="72">
        <f t="shared" si="30"/>
        <v>0.17857142857142858</v>
      </c>
      <c r="Y38" s="72">
        <f t="shared" si="30"/>
        <v>0.24107142857142858</v>
      </c>
      <c r="Z38" s="58">
        <f t="shared" si="32"/>
        <v>0.03</v>
      </c>
      <c r="AA38" s="53">
        <f t="shared" si="32"/>
        <v>0.08</v>
      </c>
      <c r="AB38" s="56">
        <f t="shared" si="8"/>
        <v>0.11</v>
      </c>
      <c r="AC38" s="72">
        <f t="shared" si="31"/>
        <v>5.3571428571428562E-2</v>
      </c>
      <c r="AD38" s="72">
        <f t="shared" si="31"/>
        <v>0.14285714285714285</v>
      </c>
      <c r="AE38" s="72">
        <f t="shared" si="31"/>
        <v>0.19642857142857142</v>
      </c>
      <c r="AF38" s="106">
        <f t="shared" si="10"/>
        <v>7</v>
      </c>
      <c r="AG38" s="107">
        <f t="shared" si="10"/>
        <v>5.0909090909090908</v>
      </c>
    </row>
    <row r="39" spans="1:33" x14ac:dyDescent="0.25">
      <c r="A39" s="51">
        <v>2043</v>
      </c>
      <c r="B39" s="58">
        <f t="shared" si="11"/>
        <v>3.6019652675487679E-2</v>
      </c>
      <c r="C39" s="53">
        <f t="shared" si="12"/>
        <v>7.4975174447144188E-2</v>
      </c>
      <c r="D39" s="56">
        <f t="shared" si="0"/>
        <v>0.11099482712263187</v>
      </c>
      <c r="E39" s="72">
        <f t="shared" si="27"/>
        <v>6.4320808349085129E-2</v>
      </c>
      <c r="F39" s="72">
        <f t="shared" si="27"/>
        <v>0.13388424008418603</v>
      </c>
      <c r="G39" s="72">
        <f t="shared" si="27"/>
        <v>0.19820504843327116</v>
      </c>
      <c r="H39" s="58">
        <f t="shared" si="13"/>
        <v>5.0517648733376497E-2</v>
      </c>
      <c r="I39" s="53">
        <f t="shared" si="14"/>
        <v>9.3298849342503432E-2</v>
      </c>
      <c r="J39" s="56">
        <f t="shared" si="15"/>
        <v>0.14381649807587993</v>
      </c>
      <c r="K39" s="72">
        <f t="shared" si="28"/>
        <v>9.0210087023886595E-2</v>
      </c>
      <c r="L39" s="72">
        <f t="shared" si="28"/>
        <v>0.16660508811161326</v>
      </c>
      <c r="M39" s="72">
        <f t="shared" si="28"/>
        <v>0.25681517513549984</v>
      </c>
      <c r="N39" s="58">
        <f t="shared" si="19"/>
        <v>2.6666596808531076E-2</v>
      </c>
      <c r="O39" s="53">
        <f t="shared" si="20"/>
        <v>8.2772259344907284E-2</v>
      </c>
      <c r="P39" s="56">
        <f t="shared" si="16"/>
        <v>0.10943885615343836</v>
      </c>
      <c r="Q39" s="72">
        <f t="shared" si="29"/>
        <v>4.7618922872376915E-2</v>
      </c>
      <c r="R39" s="72">
        <f t="shared" si="29"/>
        <v>0.14780760597304871</v>
      </c>
      <c r="S39" s="72">
        <f t="shared" si="29"/>
        <v>0.19542652884542563</v>
      </c>
      <c r="T39" s="69">
        <f t="shared" ref="T39:U54" si="34">(T$56-T$38)/($A$56-$A$38) + T38</f>
        <v>3.5277777777777783E-2</v>
      </c>
      <c r="U39" s="71">
        <f>(U$56-U$31)/($A$56-$A$31) + U31</f>
        <v>0.10120000000000001</v>
      </c>
      <c r="V39" s="68">
        <f t="shared" si="26"/>
        <v>0.13647777777777781</v>
      </c>
      <c r="W39" s="72">
        <f t="shared" si="30"/>
        <v>6.2996031746031744E-2</v>
      </c>
      <c r="X39" s="72">
        <f t="shared" si="30"/>
        <v>0.18071428571428572</v>
      </c>
      <c r="Y39" s="72">
        <f t="shared" si="30"/>
        <v>0.24371031746031749</v>
      </c>
      <c r="Z39" s="69">
        <f t="shared" ref="Z39:AA54" si="35">(Z$56-Z$38)/($A$56-$A$38) + Z38</f>
        <v>3.0277777777777778E-2</v>
      </c>
      <c r="AA39" s="71">
        <f>(AA$56-AA$31)/($A$56-$A$31) + AA31</f>
        <v>8.1200000000000008E-2</v>
      </c>
      <c r="AB39" s="68">
        <f t="shared" si="8"/>
        <v>0.11147777777777779</v>
      </c>
      <c r="AC39" s="72">
        <f t="shared" si="31"/>
        <v>5.4067460317460313E-2</v>
      </c>
      <c r="AD39" s="72">
        <f t="shared" si="31"/>
        <v>0.14499999999999999</v>
      </c>
      <c r="AE39" s="72">
        <f t="shared" si="31"/>
        <v>0.19906746031746031</v>
      </c>
      <c r="AF39" s="106">
        <f t="shared" si="10"/>
        <v>6.8965517241379315</v>
      </c>
      <c r="AG39" s="107">
        <f t="shared" si="10"/>
        <v>5.0234227050732585</v>
      </c>
    </row>
    <row r="40" spans="1:33" x14ac:dyDescent="0.25">
      <c r="A40" s="51">
        <v>2044</v>
      </c>
      <c r="B40" s="58">
        <f t="shared" si="11"/>
        <v>3.6374231782361321E-2</v>
      </c>
      <c r="C40" s="53">
        <f t="shared" si="12"/>
        <v>7.6582708876381411E-2</v>
      </c>
      <c r="D40" s="56">
        <f t="shared" si="0"/>
        <v>0.11295694065874273</v>
      </c>
      <c r="E40" s="72">
        <f t="shared" si="27"/>
        <v>6.4953985325645211E-2</v>
      </c>
      <c r="F40" s="72">
        <f t="shared" si="27"/>
        <v>0.1367548372792525</v>
      </c>
      <c r="G40" s="72">
        <f t="shared" si="27"/>
        <v>0.20170882260489773</v>
      </c>
      <c r="H40" s="58">
        <f t="shared" si="13"/>
        <v>5.1319611069100546E-2</v>
      </c>
      <c r="I40" s="53">
        <f t="shared" si="14"/>
        <v>9.5470187943556106E-2</v>
      </c>
      <c r="J40" s="56">
        <f t="shared" si="15"/>
        <v>0.14678979901265665</v>
      </c>
      <c r="K40" s="72">
        <f t="shared" si="28"/>
        <v>9.1642162623393822E-2</v>
      </c>
      <c r="L40" s="72">
        <f t="shared" si="28"/>
        <v>0.17048247847063588</v>
      </c>
      <c r="M40" s="72">
        <f t="shared" si="28"/>
        <v>0.26212464109402972</v>
      </c>
      <c r="N40" s="58">
        <f t="shared" si="19"/>
        <v>2.6666596808531076E-2</v>
      </c>
      <c r="O40" s="53">
        <f t="shared" si="20"/>
        <v>8.4676867230644715E-2</v>
      </c>
      <c r="P40" s="56">
        <f t="shared" si="16"/>
        <v>0.11134346403917579</v>
      </c>
      <c r="Q40" s="72">
        <f t="shared" si="29"/>
        <v>4.7618922872376915E-2</v>
      </c>
      <c r="R40" s="72">
        <f t="shared" si="29"/>
        <v>0.15120869148329411</v>
      </c>
      <c r="S40" s="72">
        <f t="shared" si="29"/>
        <v>0.19882761435567103</v>
      </c>
      <c r="T40" s="69">
        <f t="shared" si="34"/>
        <v>3.5555555555555562E-2</v>
      </c>
      <c r="U40" s="71">
        <f t="shared" si="34"/>
        <v>0.10286666666666668</v>
      </c>
      <c r="V40" s="68">
        <f t="shared" si="26"/>
        <v>0.13842222222222222</v>
      </c>
      <c r="W40" s="72">
        <f t="shared" si="30"/>
        <v>6.3492063492063502E-2</v>
      </c>
      <c r="X40" s="72">
        <f t="shared" si="30"/>
        <v>0.18369047619047618</v>
      </c>
      <c r="Y40" s="72">
        <f t="shared" si="30"/>
        <v>0.24718253968253967</v>
      </c>
      <c r="Z40" s="69">
        <f t="shared" si="35"/>
        <v>3.0555555555555558E-2</v>
      </c>
      <c r="AA40" s="71">
        <f t="shared" si="35"/>
        <v>8.2866666666666672E-2</v>
      </c>
      <c r="AB40" s="68">
        <f t="shared" si="8"/>
        <v>0.11342222222222223</v>
      </c>
      <c r="AC40" s="72">
        <f t="shared" si="31"/>
        <v>5.4563492063492064E-2</v>
      </c>
      <c r="AD40" s="72">
        <f t="shared" si="31"/>
        <v>0.14797619047619048</v>
      </c>
      <c r="AE40" s="72">
        <f t="shared" si="31"/>
        <v>0.20253968253968255</v>
      </c>
      <c r="AF40" s="106">
        <f t="shared" si="10"/>
        <v>6.7578439259855188</v>
      </c>
      <c r="AG40" s="107">
        <f t="shared" si="10"/>
        <v>4.9373040752351098</v>
      </c>
    </row>
    <row r="41" spans="1:33" x14ac:dyDescent="0.25">
      <c r="A41" s="51">
        <v>2045</v>
      </c>
      <c r="B41" s="58">
        <f t="shared" si="11"/>
        <v>3.6728810889234853E-2</v>
      </c>
      <c r="C41" s="53">
        <f t="shared" si="12"/>
        <v>7.8190243305619078E-2</v>
      </c>
      <c r="D41" s="56">
        <f t="shared" si="0"/>
        <v>0.11491905419485393</v>
      </c>
      <c r="E41" s="72">
        <f t="shared" si="27"/>
        <v>6.5587162302205085E-2</v>
      </c>
      <c r="F41" s="72">
        <f t="shared" si="27"/>
        <v>0.13962543447431977</v>
      </c>
      <c r="G41" s="72">
        <f t="shared" si="27"/>
        <v>0.20521259677652487</v>
      </c>
      <c r="H41" s="58">
        <f t="shared" si="13"/>
        <v>5.2121573404824595E-2</v>
      </c>
      <c r="I41" s="53">
        <f t="shared" si="14"/>
        <v>9.7641526544609669E-2</v>
      </c>
      <c r="J41" s="56">
        <f t="shared" si="15"/>
        <v>0.14976309994943426</v>
      </c>
      <c r="K41" s="72">
        <f t="shared" si="28"/>
        <v>9.3074238222901048E-2</v>
      </c>
      <c r="L41" s="72">
        <f t="shared" si="28"/>
        <v>0.17435986882966012</v>
      </c>
      <c r="M41" s="72">
        <f t="shared" si="28"/>
        <v>0.26743410705256115</v>
      </c>
      <c r="N41" s="58">
        <f t="shared" si="19"/>
        <v>2.6666596808531076E-2</v>
      </c>
      <c r="O41" s="53">
        <f t="shared" si="20"/>
        <v>8.6581475116382145E-2</v>
      </c>
      <c r="P41" s="56">
        <f t="shared" si="16"/>
        <v>0.11324807192491322</v>
      </c>
      <c r="Q41" s="72">
        <f t="shared" si="29"/>
        <v>4.7618922872376915E-2</v>
      </c>
      <c r="R41" s="72">
        <f t="shared" si="29"/>
        <v>0.15460977699353953</v>
      </c>
      <c r="S41" s="72">
        <f t="shared" si="29"/>
        <v>0.20222869986591643</v>
      </c>
      <c r="T41" s="69">
        <f t="shared" si="34"/>
        <v>3.5833333333333342E-2</v>
      </c>
      <c r="U41" s="71">
        <f t="shared" si="34"/>
        <v>0.10453333333333334</v>
      </c>
      <c r="V41" s="68">
        <f t="shared" si="26"/>
        <v>0.1403666666666667</v>
      </c>
      <c r="W41" s="72">
        <f t="shared" si="30"/>
        <v>6.3988095238095247E-2</v>
      </c>
      <c r="X41" s="72">
        <f t="shared" si="30"/>
        <v>0.18666666666666665</v>
      </c>
      <c r="Y41" s="72">
        <f t="shared" si="30"/>
        <v>0.25065476190476194</v>
      </c>
      <c r="Z41" s="69">
        <f t="shared" si="35"/>
        <v>3.0833333333333338E-2</v>
      </c>
      <c r="AA41" s="71">
        <f t="shared" si="35"/>
        <v>8.4533333333333335E-2</v>
      </c>
      <c r="AB41" s="68">
        <f t="shared" si="8"/>
        <v>0.11536666666666667</v>
      </c>
      <c r="AC41" s="72">
        <f t="shared" si="31"/>
        <v>5.5059523809523815E-2</v>
      </c>
      <c r="AD41" s="72">
        <f t="shared" si="31"/>
        <v>0.15095238095238095</v>
      </c>
      <c r="AE41" s="72">
        <f t="shared" si="31"/>
        <v>0.20601190476190476</v>
      </c>
      <c r="AF41" s="106">
        <f t="shared" si="10"/>
        <v>6.624605678233439</v>
      </c>
      <c r="AG41" s="107">
        <f t="shared" si="10"/>
        <v>4.8540884137532503</v>
      </c>
    </row>
    <row r="42" spans="1:33" x14ac:dyDescent="0.25">
      <c r="A42" s="51">
        <v>2046</v>
      </c>
      <c r="B42" s="58">
        <f t="shared" si="11"/>
        <v>3.7083389996108496E-2</v>
      </c>
      <c r="C42" s="53">
        <f t="shared" si="12"/>
        <v>7.9797777734856301E-2</v>
      </c>
      <c r="D42" s="56">
        <f t="shared" si="0"/>
        <v>0.1168811677309648</v>
      </c>
      <c r="E42" s="72">
        <f t="shared" si="27"/>
        <v>6.6220339278765167E-2</v>
      </c>
      <c r="F42" s="72">
        <f t="shared" si="27"/>
        <v>0.14249603166938624</v>
      </c>
      <c r="G42" s="72">
        <f t="shared" si="27"/>
        <v>0.2087163709481514</v>
      </c>
      <c r="H42" s="58">
        <f t="shared" si="13"/>
        <v>5.2923535740548866E-2</v>
      </c>
      <c r="I42" s="53">
        <f t="shared" si="14"/>
        <v>9.9812865145663232E-2</v>
      </c>
      <c r="J42" s="56">
        <f t="shared" si="15"/>
        <v>0.1527364008862121</v>
      </c>
      <c r="K42" s="72">
        <f t="shared" si="28"/>
        <v>9.4506313822408677E-2</v>
      </c>
      <c r="L42" s="72">
        <f t="shared" si="28"/>
        <v>0.17823725918868433</v>
      </c>
      <c r="M42" s="72">
        <f t="shared" si="28"/>
        <v>0.27274357301109303</v>
      </c>
      <c r="N42" s="58">
        <f t="shared" si="19"/>
        <v>2.6666596808531076E-2</v>
      </c>
      <c r="O42" s="53">
        <f t="shared" si="20"/>
        <v>8.848608300212002E-2</v>
      </c>
      <c r="P42" s="56">
        <f t="shared" si="16"/>
        <v>0.1151526798106511</v>
      </c>
      <c r="Q42" s="72">
        <f t="shared" si="29"/>
        <v>4.7618922872376915E-2</v>
      </c>
      <c r="R42" s="72">
        <f t="shared" si="29"/>
        <v>0.15801086250378574</v>
      </c>
      <c r="S42" s="72">
        <f t="shared" si="29"/>
        <v>0.20562978537616264</v>
      </c>
      <c r="T42" s="69">
        <f t="shared" si="34"/>
        <v>3.6111111111111122E-2</v>
      </c>
      <c r="U42" s="71">
        <f t="shared" si="34"/>
        <v>0.1062</v>
      </c>
      <c r="V42" s="68">
        <f t="shared" si="26"/>
        <v>0.14231111111111111</v>
      </c>
      <c r="W42" s="72">
        <f t="shared" si="30"/>
        <v>6.4484126984126991E-2</v>
      </c>
      <c r="X42" s="72">
        <f t="shared" si="30"/>
        <v>0.18964285714285714</v>
      </c>
      <c r="Y42" s="72">
        <f t="shared" si="30"/>
        <v>0.25412698412698409</v>
      </c>
      <c r="Z42" s="69">
        <f t="shared" si="35"/>
        <v>3.1111111111111117E-2</v>
      </c>
      <c r="AA42" s="71">
        <f t="shared" si="35"/>
        <v>8.6199999999999999E-2</v>
      </c>
      <c r="AB42" s="68">
        <f t="shared" si="8"/>
        <v>0.11731111111111112</v>
      </c>
      <c r="AC42" s="72">
        <f t="shared" si="31"/>
        <v>5.5555555555555559E-2</v>
      </c>
      <c r="AD42" s="72">
        <f t="shared" si="31"/>
        <v>0.15392857142857141</v>
      </c>
      <c r="AE42" s="72">
        <f t="shared" si="31"/>
        <v>0.20948412698412697</v>
      </c>
      <c r="AF42" s="106">
        <f t="shared" si="10"/>
        <v>6.4965197215777266</v>
      </c>
      <c r="AG42" s="107">
        <f t="shared" si="10"/>
        <v>4.7736313695775721</v>
      </c>
    </row>
    <row r="43" spans="1:33" x14ac:dyDescent="0.25">
      <c r="A43" s="51">
        <v>2047</v>
      </c>
      <c r="B43" s="58">
        <f t="shared" si="11"/>
        <v>3.7437969102982027E-2</v>
      </c>
      <c r="C43" s="53">
        <f t="shared" si="12"/>
        <v>8.1405312164093968E-2</v>
      </c>
      <c r="D43" s="56">
        <f t="shared" si="0"/>
        <v>0.118843281267076</v>
      </c>
      <c r="E43" s="72">
        <f t="shared" si="27"/>
        <v>6.6853516255325041E-2</v>
      </c>
      <c r="F43" s="72">
        <f t="shared" si="27"/>
        <v>0.14536662886445351</v>
      </c>
      <c r="G43" s="72">
        <f t="shared" si="27"/>
        <v>0.21222014511977855</v>
      </c>
      <c r="H43" s="58">
        <f t="shared" si="13"/>
        <v>5.3725498076272915E-2</v>
      </c>
      <c r="I43" s="53">
        <f t="shared" si="14"/>
        <v>0.1019842037467168</v>
      </c>
      <c r="J43" s="56">
        <f t="shared" si="15"/>
        <v>0.15570970182298971</v>
      </c>
      <c r="K43" s="72">
        <f t="shared" si="28"/>
        <v>9.5938389421915904E-2</v>
      </c>
      <c r="L43" s="72">
        <f t="shared" si="28"/>
        <v>0.18211464954770853</v>
      </c>
      <c r="M43" s="72">
        <f t="shared" si="28"/>
        <v>0.27805303896962447</v>
      </c>
      <c r="N43" s="58">
        <f t="shared" si="19"/>
        <v>2.6666596808531076E-2</v>
      </c>
      <c r="O43" s="53">
        <f t="shared" si="20"/>
        <v>9.039069088785745E-2</v>
      </c>
      <c r="P43" s="56">
        <f t="shared" si="16"/>
        <v>0.11705728769638853</v>
      </c>
      <c r="Q43" s="72">
        <f t="shared" si="29"/>
        <v>4.7618922872376915E-2</v>
      </c>
      <c r="R43" s="72">
        <f t="shared" si="29"/>
        <v>0.16141194801403114</v>
      </c>
      <c r="S43" s="72">
        <f t="shared" si="29"/>
        <v>0.20903087088640807</v>
      </c>
      <c r="T43" s="69">
        <f t="shared" si="34"/>
        <v>3.6388888888888901E-2</v>
      </c>
      <c r="U43" s="71">
        <f t="shared" si="34"/>
        <v>0.10786666666666667</v>
      </c>
      <c r="V43" s="68">
        <f t="shared" si="26"/>
        <v>0.14425555555555558</v>
      </c>
      <c r="W43" s="72">
        <f t="shared" si="30"/>
        <v>6.4980158730158749E-2</v>
      </c>
      <c r="X43" s="72">
        <f t="shared" si="30"/>
        <v>0.19261904761904761</v>
      </c>
      <c r="Y43" s="72">
        <f t="shared" si="30"/>
        <v>0.25759920634920636</v>
      </c>
      <c r="Z43" s="69">
        <f t="shared" si="35"/>
        <v>3.1388888888888897E-2</v>
      </c>
      <c r="AA43" s="71">
        <f t="shared" si="35"/>
        <v>8.7866666666666662E-2</v>
      </c>
      <c r="AB43" s="68">
        <f t="shared" si="8"/>
        <v>0.11925555555555556</v>
      </c>
      <c r="AC43" s="72">
        <f t="shared" si="31"/>
        <v>5.6051587301587311E-2</v>
      </c>
      <c r="AD43" s="72">
        <f t="shared" si="31"/>
        <v>0.15690476190476188</v>
      </c>
      <c r="AE43" s="72">
        <f t="shared" si="31"/>
        <v>0.2129563492063492</v>
      </c>
      <c r="AF43" s="106">
        <f t="shared" si="10"/>
        <v>6.3732928679817915</v>
      </c>
      <c r="AG43" s="107">
        <f t="shared" si="10"/>
        <v>4.6957980061492597</v>
      </c>
    </row>
    <row r="44" spans="1:33" x14ac:dyDescent="0.25">
      <c r="A44" s="51">
        <v>2048</v>
      </c>
      <c r="B44" s="58">
        <f t="shared" si="11"/>
        <v>3.779254820985567E-2</v>
      </c>
      <c r="C44" s="53">
        <f t="shared" si="12"/>
        <v>8.3012846593331191E-2</v>
      </c>
      <c r="D44" s="56">
        <f t="shared" si="0"/>
        <v>0.12080539480318686</v>
      </c>
      <c r="E44" s="72">
        <f t="shared" si="27"/>
        <v>6.7486693231885123E-2</v>
      </c>
      <c r="F44" s="72">
        <f t="shared" si="27"/>
        <v>0.14823722605951997</v>
      </c>
      <c r="G44" s="72">
        <f t="shared" si="27"/>
        <v>0.21572391929140508</v>
      </c>
      <c r="H44" s="58">
        <f t="shared" si="13"/>
        <v>5.4527460411996964E-2</v>
      </c>
      <c r="I44" s="53">
        <f t="shared" si="14"/>
        <v>0.10415554234777036</v>
      </c>
      <c r="J44" s="56">
        <f t="shared" si="15"/>
        <v>0.15868300275976732</v>
      </c>
      <c r="K44" s="72">
        <f t="shared" si="28"/>
        <v>9.7370465021423144E-2</v>
      </c>
      <c r="L44" s="72">
        <f t="shared" si="28"/>
        <v>0.18599203990673277</v>
      </c>
      <c r="M44" s="72">
        <f t="shared" si="28"/>
        <v>0.2833625049281559</v>
      </c>
      <c r="N44" s="58">
        <f t="shared" si="19"/>
        <v>2.6666596808531076E-2</v>
      </c>
      <c r="O44" s="53">
        <f t="shared" si="20"/>
        <v>9.229529877359488E-2</v>
      </c>
      <c r="P44" s="56">
        <f t="shared" si="16"/>
        <v>0.11896189558212596</v>
      </c>
      <c r="Q44" s="72">
        <f t="shared" si="29"/>
        <v>4.7618922872376915E-2</v>
      </c>
      <c r="R44" s="72">
        <f t="shared" si="29"/>
        <v>0.16481303352427656</v>
      </c>
      <c r="S44" s="72">
        <f t="shared" si="29"/>
        <v>0.21243195639665347</v>
      </c>
      <c r="T44" s="69">
        <f t="shared" si="34"/>
        <v>3.6666666666666681E-2</v>
      </c>
      <c r="U44" s="71">
        <f t="shared" si="34"/>
        <v>0.10953333333333333</v>
      </c>
      <c r="V44" s="68">
        <f t="shared" si="26"/>
        <v>0.1462</v>
      </c>
      <c r="W44" s="72">
        <f t="shared" si="30"/>
        <v>6.5476190476190493E-2</v>
      </c>
      <c r="X44" s="72">
        <f t="shared" si="30"/>
        <v>0.19559523809523807</v>
      </c>
      <c r="Y44" s="72">
        <f t="shared" si="30"/>
        <v>0.26107142857142857</v>
      </c>
      <c r="Z44" s="69">
        <f t="shared" si="35"/>
        <v>3.1666666666666676E-2</v>
      </c>
      <c r="AA44" s="71">
        <f t="shared" si="35"/>
        <v>8.9533333333333326E-2</v>
      </c>
      <c r="AB44" s="68">
        <f t="shared" si="8"/>
        <v>0.1212</v>
      </c>
      <c r="AC44" s="72">
        <f t="shared" si="31"/>
        <v>5.6547619047619062E-2</v>
      </c>
      <c r="AD44" s="72">
        <f t="shared" si="31"/>
        <v>0.15988095238095235</v>
      </c>
      <c r="AE44" s="72">
        <f t="shared" si="31"/>
        <v>0.21642857142857141</v>
      </c>
      <c r="AF44" s="106">
        <f t="shared" si="10"/>
        <v>6.2546537602382735</v>
      </c>
      <c r="AG44" s="107">
        <f t="shared" si="10"/>
        <v>4.6204620462046204</v>
      </c>
    </row>
    <row r="45" spans="1:33" x14ac:dyDescent="0.25">
      <c r="A45" s="51">
        <v>2049</v>
      </c>
      <c r="B45" s="58">
        <f t="shared" si="11"/>
        <v>3.8147127316729312E-2</v>
      </c>
      <c r="C45" s="53">
        <f t="shared" si="12"/>
        <v>8.4620381022568414E-2</v>
      </c>
      <c r="D45" s="56">
        <f t="shared" si="0"/>
        <v>0.12276750833929773</v>
      </c>
      <c r="E45" s="72">
        <f t="shared" si="27"/>
        <v>6.8119870208445191E-2</v>
      </c>
      <c r="F45" s="72">
        <f t="shared" si="27"/>
        <v>0.15110782325458644</v>
      </c>
      <c r="G45" s="72">
        <f t="shared" si="27"/>
        <v>0.21922769346303164</v>
      </c>
      <c r="H45" s="58">
        <f t="shared" si="13"/>
        <v>5.5329422747721013E-2</v>
      </c>
      <c r="I45" s="53">
        <f t="shared" si="14"/>
        <v>0.10632688094882392</v>
      </c>
      <c r="J45" s="56">
        <f t="shared" si="15"/>
        <v>0.16165630369654493</v>
      </c>
      <c r="K45" s="72">
        <f t="shared" si="28"/>
        <v>9.8802540620930371E-2</v>
      </c>
      <c r="L45" s="72">
        <f t="shared" si="28"/>
        <v>0.18986943026575698</v>
      </c>
      <c r="M45" s="72">
        <f t="shared" si="28"/>
        <v>0.28867197088668733</v>
      </c>
      <c r="N45" s="58">
        <f t="shared" si="19"/>
        <v>2.6666596808531076E-2</v>
      </c>
      <c r="O45" s="53">
        <f t="shared" si="20"/>
        <v>9.4199906659332311E-2</v>
      </c>
      <c r="P45" s="56">
        <f t="shared" si="16"/>
        <v>0.12086650346786339</v>
      </c>
      <c r="Q45" s="72">
        <f t="shared" si="29"/>
        <v>4.7618922872376915E-2</v>
      </c>
      <c r="R45" s="72">
        <f t="shared" si="29"/>
        <v>0.16821411903452196</v>
      </c>
      <c r="S45" s="72">
        <f t="shared" si="29"/>
        <v>0.21583304190689889</v>
      </c>
      <c r="T45" s="69">
        <f t="shared" si="34"/>
        <v>3.694444444444446E-2</v>
      </c>
      <c r="U45" s="71">
        <f t="shared" si="34"/>
        <v>0.11119999999999999</v>
      </c>
      <c r="V45" s="68">
        <f t="shared" si="26"/>
        <v>0.14814444444444447</v>
      </c>
      <c r="W45" s="72">
        <f t="shared" si="30"/>
        <v>6.5972222222222238E-2</v>
      </c>
      <c r="X45" s="72">
        <f t="shared" si="30"/>
        <v>0.19857142857142854</v>
      </c>
      <c r="Y45" s="72">
        <f t="shared" si="30"/>
        <v>0.26454365079365083</v>
      </c>
      <c r="Z45" s="69">
        <f t="shared" si="35"/>
        <v>3.1944444444444456E-2</v>
      </c>
      <c r="AA45" s="71">
        <f t="shared" si="35"/>
        <v>9.1199999999999989E-2</v>
      </c>
      <c r="AB45" s="68">
        <f t="shared" si="8"/>
        <v>0.12314444444444445</v>
      </c>
      <c r="AC45" s="72">
        <f t="shared" si="31"/>
        <v>5.7043650793650806E-2</v>
      </c>
      <c r="AD45" s="72">
        <f t="shared" si="31"/>
        <v>0.16285714285714281</v>
      </c>
      <c r="AE45" s="72">
        <f t="shared" si="31"/>
        <v>0.21990079365079362</v>
      </c>
      <c r="AF45" s="106">
        <f t="shared" si="10"/>
        <v>6.1403508771929838</v>
      </c>
      <c r="AG45" s="107">
        <f t="shared" si="10"/>
        <v>4.5475051881259594</v>
      </c>
    </row>
    <row r="46" spans="1:33" x14ac:dyDescent="0.25">
      <c r="A46" s="51">
        <v>2050</v>
      </c>
      <c r="B46" s="58">
        <f t="shared" si="11"/>
        <v>3.8501706423602844E-2</v>
      </c>
      <c r="C46" s="53">
        <f t="shared" si="12"/>
        <v>8.6227915451806081E-2</v>
      </c>
      <c r="D46" s="56">
        <f t="shared" si="0"/>
        <v>0.12472962187540892</v>
      </c>
      <c r="E46" s="72">
        <f t="shared" si="27"/>
        <v>6.8753047185005078E-2</v>
      </c>
      <c r="F46" s="72">
        <f t="shared" si="27"/>
        <v>0.15397842044965371</v>
      </c>
      <c r="G46" s="72">
        <f t="shared" si="27"/>
        <v>0.22273146763465879</v>
      </c>
      <c r="H46" s="58">
        <f t="shared" si="13"/>
        <v>5.6131385083445062E-2</v>
      </c>
      <c r="I46" s="53">
        <f t="shared" si="14"/>
        <v>0.10849821954987748</v>
      </c>
      <c r="J46" s="56">
        <f t="shared" si="15"/>
        <v>0.16462960463332255</v>
      </c>
      <c r="K46" s="72">
        <f t="shared" si="28"/>
        <v>0.1002346162204376</v>
      </c>
      <c r="L46" s="72">
        <f t="shared" si="28"/>
        <v>0.19374682062478121</v>
      </c>
      <c r="M46" s="72">
        <f t="shared" si="28"/>
        <v>0.29398143684521882</v>
      </c>
      <c r="N46" s="58">
        <f t="shared" si="19"/>
        <v>2.6666596808531076E-2</v>
      </c>
      <c r="O46" s="53">
        <f t="shared" si="20"/>
        <v>9.6104514545069741E-2</v>
      </c>
      <c r="P46" s="56">
        <f t="shared" si="16"/>
        <v>0.12277111135360082</v>
      </c>
      <c r="Q46" s="72">
        <f t="shared" si="29"/>
        <v>4.7618922872376915E-2</v>
      </c>
      <c r="R46" s="72">
        <f t="shared" si="29"/>
        <v>0.17161520454476739</v>
      </c>
      <c r="S46" s="72">
        <f t="shared" si="29"/>
        <v>0.21923412741714429</v>
      </c>
      <c r="T46" s="69">
        <f t="shared" si="34"/>
        <v>3.722222222222224E-2</v>
      </c>
      <c r="U46" s="71">
        <f t="shared" si="34"/>
        <v>0.11286666666666666</v>
      </c>
      <c r="V46" s="68">
        <f>SUM(T46:U46)</f>
        <v>0.15008888888888888</v>
      </c>
      <c r="W46" s="72">
        <f t="shared" si="30"/>
        <v>6.6468253968253996E-2</v>
      </c>
      <c r="X46" s="72">
        <f t="shared" si="30"/>
        <v>0.201547619047619</v>
      </c>
      <c r="Y46" s="72">
        <f t="shared" si="30"/>
        <v>0.26801587301587299</v>
      </c>
      <c r="Z46" s="69">
        <f t="shared" si="35"/>
        <v>3.2222222222222235E-2</v>
      </c>
      <c r="AA46" s="71">
        <f t="shared" si="35"/>
        <v>9.2866666666666653E-2</v>
      </c>
      <c r="AB46" s="68">
        <f>SUM(Z46:AA46)</f>
        <v>0.12508888888888889</v>
      </c>
      <c r="AC46" s="72">
        <f t="shared" si="31"/>
        <v>5.7539682539682557E-2</v>
      </c>
      <c r="AD46" s="72">
        <f t="shared" si="31"/>
        <v>0.1658333333333333</v>
      </c>
      <c r="AE46" s="72">
        <f t="shared" si="31"/>
        <v>0.22337301587301586</v>
      </c>
      <c r="AF46" s="106">
        <f t="shared" si="10"/>
        <v>6.0301507537688455</v>
      </c>
      <c r="AG46" s="107">
        <f t="shared" si="10"/>
        <v>4.4768164860543616</v>
      </c>
    </row>
    <row r="47" spans="1:33" x14ac:dyDescent="0.25">
      <c r="A47" s="89">
        <v>2051</v>
      </c>
      <c r="B47" s="90">
        <f t="shared" si="11"/>
        <v>3.8856285530476486E-2</v>
      </c>
      <c r="C47" s="91">
        <f t="shared" si="12"/>
        <v>8.7835449881043304E-2</v>
      </c>
      <c r="D47" s="92">
        <f t="shared" si="0"/>
        <v>0.12669173541151979</v>
      </c>
      <c r="E47" s="92">
        <f t="shared" si="27"/>
        <v>6.9386224161565146E-2</v>
      </c>
      <c r="F47" s="92">
        <f t="shared" si="27"/>
        <v>0.15684901764472017</v>
      </c>
      <c r="G47" s="92">
        <f t="shared" si="27"/>
        <v>0.22623524180628532</v>
      </c>
      <c r="H47" s="90">
        <f t="shared" si="13"/>
        <v>5.6933347419169333E-2</v>
      </c>
      <c r="I47" s="91">
        <f t="shared" si="14"/>
        <v>0.11066955815093105</v>
      </c>
      <c r="J47" s="92">
        <f t="shared" si="15"/>
        <v>0.16760290557010038</v>
      </c>
      <c r="K47" s="92">
        <f t="shared" si="28"/>
        <v>0.10166669181994523</v>
      </c>
      <c r="L47" s="92">
        <f t="shared" si="28"/>
        <v>0.19762421098380542</v>
      </c>
      <c r="M47" s="92">
        <f t="shared" si="28"/>
        <v>0.29929090280375065</v>
      </c>
      <c r="N47" s="90">
        <f t="shared" si="19"/>
        <v>2.6666596808531076E-2</v>
      </c>
      <c r="O47" s="91">
        <f t="shared" si="20"/>
        <v>9.8009122430807616E-2</v>
      </c>
      <c r="P47" s="92">
        <f t="shared" si="16"/>
        <v>0.12467571923933869</v>
      </c>
      <c r="Q47" s="92">
        <f t="shared" si="29"/>
        <v>4.7618922872376915E-2</v>
      </c>
      <c r="R47" s="92">
        <f t="shared" si="29"/>
        <v>0.1750162900550136</v>
      </c>
      <c r="S47" s="92">
        <f t="shared" si="29"/>
        <v>0.2226352129273905</v>
      </c>
      <c r="T47" s="93">
        <f t="shared" si="34"/>
        <v>3.7500000000000019E-2</v>
      </c>
      <c r="U47" s="94">
        <f t="shared" si="34"/>
        <v>0.11453333333333332</v>
      </c>
      <c r="V47" s="95">
        <f t="shared" si="26"/>
        <v>0.15203333333333335</v>
      </c>
      <c r="W47" s="92">
        <f t="shared" si="30"/>
        <v>6.696428571428574E-2</v>
      </c>
      <c r="X47" s="92">
        <f t="shared" si="30"/>
        <v>0.20452380952380947</v>
      </c>
      <c r="Y47" s="92">
        <f t="shared" si="30"/>
        <v>0.27148809523809525</v>
      </c>
      <c r="Z47" s="93">
        <f t="shared" si="35"/>
        <v>3.2500000000000015E-2</v>
      </c>
      <c r="AA47" s="94">
        <f t="shared" si="35"/>
        <v>9.4533333333333316E-2</v>
      </c>
      <c r="AB47" s="95">
        <f t="shared" si="8"/>
        <v>0.12703333333333333</v>
      </c>
      <c r="AC47" s="92">
        <f t="shared" si="31"/>
        <v>5.8035714285714309E-2</v>
      </c>
      <c r="AD47" s="92">
        <f t="shared" si="31"/>
        <v>0.16880952380952377</v>
      </c>
      <c r="AE47" s="92">
        <f t="shared" si="31"/>
        <v>0.22684523809523807</v>
      </c>
      <c r="AF47" s="106">
        <f t="shared" si="10"/>
        <v>5.9238363892806785</v>
      </c>
      <c r="AG47" s="107">
        <f t="shared" si="10"/>
        <v>4.4082917869325637</v>
      </c>
    </row>
    <row r="48" spans="1:33" x14ac:dyDescent="0.25">
      <c r="A48" s="96">
        <v>2052</v>
      </c>
      <c r="B48" s="97">
        <f t="shared" si="11"/>
        <v>3.9210864637350018E-2</v>
      </c>
      <c r="C48" s="98">
        <f t="shared" si="12"/>
        <v>8.9442984310280971E-2</v>
      </c>
      <c r="D48" s="99">
        <f t="shared" si="0"/>
        <v>0.12865384894763099</v>
      </c>
      <c r="E48" s="99">
        <f t="shared" si="27"/>
        <v>7.001940113812502E-2</v>
      </c>
      <c r="F48" s="99">
        <f t="shared" si="27"/>
        <v>0.15971961483978744</v>
      </c>
      <c r="G48" s="99">
        <f t="shared" si="27"/>
        <v>0.22973901597791246</v>
      </c>
      <c r="H48" s="97">
        <f t="shared" si="13"/>
        <v>5.7735309754893382E-2</v>
      </c>
      <c r="I48" s="98">
        <f t="shared" si="14"/>
        <v>0.11284089675198461</v>
      </c>
      <c r="J48" s="99">
        <f t="shared" si="15"/>
        <v>0.17057620650687799</v>
      </c>
      <c r="K48" s="99">
        <f t="shared" si="28"/>
        <v>0.10309876741945245</v>
      </c>
      <c r="L48" s="99">
        <f t="shared" si="28"/>
        <v>0.20150160134282963</v>
      </c>
      <c r="M48" s="99">
        <f t="shared" si="28"/>
        <v>0.30460036876228208</v>
      </c>
      <c r="N48" s="97">
        <f t="shared" si="19"/>
        <v>2.6666596808531076E-2</v>
      </c>
      <c r="O48" s="98">
        <f t="shared" si="20"/>
        <v>9.9913730316545046E-2</v>
      </c>
      <c r="P48" s="99">
        <f t="shared" si="16"/>
        <v>0.12658032712507611</v>
      </c>
      <c r="Q48" s="99">
        <f t="shared" si="29"/>
        <v>4.7618922872376915E-2</v>
      </c>
      <c r="R48" s="99">
        <f t="shared" si="29"/>
        <v>0.178417375565259</v>
      </c>
      <c r="S48" s="99">
        <f t="shared" si="29"/>
        <v>0.2260362984376359</v>
      </c>
      <c r="T48" s="100">
        <f t="shared" si="34"/>
        <v>3.7777777777777799E-2</v>
      </c>
      <c r="U48" s="101">
        <f t="shared" si="34"/>
        <v>0.11619999999999998</v>
      </c>
      <c r="V48" s="102">
        <f t="shared" si="26"/>
        <v>0.15397777777777777</v>
      </c>
      <c r="W48" s="99">
        <f t="shared" si="30"/>
        <v>6.7460317460317498E-2</v>
      </c>
      <c r="X48" s="99">
        <f t="shared" si="30"/>
        <v>0.20749999999999996</v>
      </c>
      <c r="Y48" s="99">
        <f t="shared" si="30"/>
        <v>0.2749603174603174</v>
      </c>
      <c r="Z48" s="100">
        <f t="shared" si="35"/>
        <v>3.2777777777777795E-2</v>
      </c>
      <c r="AA48" s="101">
        <f t="shared" si="35"/>
        <v>9.619999999999998E-2</v>
      </c>
      <c r="AB48" s="102">
        <f t="shared" si="8"/>
        <v>0.12897777777777777</v>
      </c>
      <c r="AC48" s="99">
        <f t="shared" si="31"/>
        <v>5.8531746031746053E-2</v>
      </c>
      <c r="AD48" s="99">
        <f t="shared" si="31"/>
        <v>0.17178571428571424</v>
      </c>
      <c r="AE48" s="99">
        <f t="shared" si="31"/>
        <v>0.23031746031746028</v>
      </c>
      <c r="AF48" s="106">
        <f t="shared" si="10"/>
        <v>5.8212058212058233</v>
      </c>
      <c r="AG48" s="107">
        <f t="shared" si="10"/>
        <v>4.341833218470021</v>
      </c>
    </row>
    <row r="49" spans="1:33" x14ac:dyDescent="0.25">
      <c r="A49" s="96">
        <v>2053</v>
      </c>
      <c r="B49" s="97">
        <f t="shared" si="11"/>
        <v>3.9565443744223661E-2</v>
      </c>
      <c r="C49" s="98">
        <f t="shared" si="12"/>
        <v>9.1050518739518194E-2</v>
      </c>
      <c r="D49" s="99">
        <f t="shared" si="0"/>
        <v>0.13061596248374185</v>
      </c>
      <c r="E49" s="99">
        <f t="shared" ref="E49:G56" si="36">B49/$B$3</f>
        <v>7.0652578114685102E-2</v>
      </c>
      <c r="F49" s="99">
        <f t="shared" si="36"/>
        <v>0.16259021203485391</v>
      </c>
      <c r="G49" s="99">
        <f t="shared" si="36"/>
        <v>0.233242790149539</v>
      </c>
      <c r="H49" s="97">
        <f t="shared" si="13"/>
        <v>5.8537272090617432E-2</v>
      </c>
      <c r="I49" s="98">
        <f t="shared" si="14"/>
        <v>0.11501223535303728</v>
      </c>
      <c r="J49" s="99">
        <f t="shared" si="15"/>
        <v>0.17354950744365472</v>
      </c>
      <c r="K49" s="99">
        <f t="shared" ref="K49:M56" si="37">H49/$B$3</f>
        <v>0.10453084301895969</v>
      </c>
      <c r="L49" s="99">
        <f t="shared" si="37"/>
        <v>0.20537899170185228</v>
      </c>
      <c r="M49" s="99">
        <f t="shared" si="37"/>
        <v>0.30990983472081196</v>
      </c>
      <c r="N49" s="97">
        <f t="shared" si="19"/>
        <v>2.6666596808531076E-2</v>
      </c>
      <c r="O49" s="98">
        <f t="shared" si="20"/>
        <v>0.10181833820228248</v>
      </c>
      <c r="P49" s="99">
        <f t="shared" si="16"/>
        <v>0.12848493501081354</v>
      </c>
      <c r="Q49" s="99">
        <f t="shared" ref="Q49:S56" si="38">N49/$B$3</f>
        <v>4.7618922872376915E-2</v>
      </c>
      <c r="R49" s="99">
        <f t="shared" si="38"/>
        <v>0.1818184610755044</v>
      </c>
      <c r="S49" s="99">
        <f t="shared" si="38"/>
        <v>0.2294373839478813</v>
      </c>
      <c r="T49" s="100">
        <f t="shared" si="34"/>
        <v>3.8055555555555579E-2</v>
      </c>
      <c r="U49" s="101">
        <f t="shared" si="34"/>
        <v>0.11786666666666665</v>
      </c>
      <c r="V49" s="102">
        <f t="shared" si="26"/>
        <v>0.15592222222222224</v>
      </c>
      <c r="W49" s="99">
        <f t="shared" ref="W49:Y56" si="39">T49/$B$3</f>
        <v>6.7956349206349242E-2</v>
      </c>
      <c r="X49" s="99">
        <f t="shared" si="39"/>
        <v>0.21047619047619043</v>
      </c>
      <c r="Y49" s="99">
        <f t="shared" si="39"/>
        <v>0.27843253968253967</v>
      </c>
      <c r="Z49" s="100">
        <f t="shared" si="35"/>
        <v>3.3055555555555574E-2</v>
      </c>
      <c r="AA49" s="101">
        <f t="shared" si="35"/>
        <v>9.7866666666666643E-2</v>
      </c>
      <c r="AB49" s="102">
        <f t="shared" si="8"/>
        <v>0.13092222222222222</v>
      </c>
      <c r="AC49" s="99">
        <f t="shared" ref="AC49:AE56" si="40">Z49/$B$3</f>
        <v>5.9027777777777804E-2</v>
      </c>
      <c r="AD49" s="99">
        <f t="shared" si="40"/>
        <v>0.1747619047619047</v>
      </c>
      <c r="AE49" s="99">
        <f t="shared" si="40"/>
        <v>0.23378968253968252</v>
      </c>
      <c r="AF49" s="106">
        <f t="shared" si="10"/>
        <v>5.7220708446866508</v>
      </c>
      <c r="AG49" s="107">
        <f t="shared" si="10"/>
        <v>4.2773487227361455</v>
      </c>
    </row>
    <row r="50" spans="1:33" x14ac:dyDescent="0.25">
      <c r="A50" s="96">
        <v>2054</v>
      </c>
      <c r="B50" s="97">
        <f t="shared" si="11"/>
        <v>3.9920022851097192E-2</v>
      </c>
      <c r="C50" s="98">
        <f t="shared" si="12"/>
        <v>9.2658053168755417E-2</v>
      </c>
      <c r="D50" s="99">
        <f t="shared" si="0"/>
        <v>0.13257807601985261</v>
      </c>
      <c r="E50" s="99">
        <f t="shared" si="36"/>
        <v>7.1285755091244976E-2</v>
      </c>
      <c r="F50" s="99">
        <f t="shared" si="36"/>
        <v>0.16546080922992037</v>
      </c>
      <c r="G50" s="99">
        <f t="shared" si="36"/>
        <v>0.23674656432116534</v>
      </c>
      <c r="H50" s="97">
        <f t="shared" si="13"/>
        <v>5.9339234426341481E-2</v>
      </c>
      <c r="I50" s="98">
        <f t="shared" si="14"/>
        <v>0.11718357395409085</v>
      </c>
      <c r="J50" s="99">
        <f t="shared" si="15"/>
        <v>0.17652280838043233</v>
      </c>
      <c r="K50" s="99">
        <f t="shared" si="37"/>
        <v>0.10596291861846692</v>
      </c>
      <c r="L50" s="99">
        <f t="shared" si="37"/>
        <v>0.20925638206087649</v>
      </c>
      <c r="M50" s="99">
        <f t="shared" si="37"/>
        <v>0.31521930067934339</v>
      </c>
      <c r="N50" s="97">
        <f t="shared" si="19"/>
        <v>2.6666596808531076E-2</v>
      </c>
      <c r="O50" s="98">
        <f t="shared" si="20"/>
        <v>0.10372294608801991</v>
      </c>
      <c r="P50" s="99">
        <f t="shared" si="16"/>
        <v>0.13038954289655097</v>
      </c>
      <c r="Q50" s="99">
        <f t="shared" si="38"/>
        <v>4.7618922872376915E-2</v>
      </c>
      <c r="R50" s="99">
        <f t="shared" si="38"/>
        <v>0.18521954658574982</v>
      </c>
      <c r="S50" s="99">
        <f t="shared" si="38"/>
        <v>0.2328384694581267</v>
      </c>
      <c r="T50" s="100">
        <f t="shared" si="34"/>
        <v>3.8333333333333358E-2</v>
      </c>
      <c r="U50" s="101">
        <f t="shared" si="34"/>
        <v>0.11953333333333331</v>
      </c>
      <c r="V50" s="102">
        <f t="shared" si="26"/>
        <v>0.15786666666666666</v>
      </c>
      <c r="W50" s="99">
        <f t="shared" si="39"/>
        <v>6.8452380952380987E-2</v>
      </c>
      <c r="X50" s="99">
        <f t="shared" si="39"/>
        <v>0.21345238095238089</v>
      </c>
      <c r="Y50" s="99">
        <f t="shared" si="39"/>
        <v>0.28190476190476188</v>
      </c>
      <c r="Z50" s="100">
        <f t="shared" si="35"/>
        <v>3.3333333333333354E-2</v>
      </c>
      <c r="AA50" s="101">
        <f t="shared" si="35"/>
        <v>9.9533333333333307E-2</v>
      </c>
      <c r="AB50" s="102">
        <f t="shared" si="8"/>
        <v>0.13286666666666666</v>
      </c>
      <c r="AC50" s="99">
        <f t="shared" si="40"/>
        <v>5.9523809523809555E-2</v>
      </c>
      <c r="AD50" s="99">
        <f t="shared" si="40"/>
        <v>0.17773809523809517</v>
      </c>
      <c r="AE50" s="99">
        <f t="shared" si="40"/>
        <v>0.23726190476190473</v>
      </c>
      <c r="AF50" s="106">
        <f t="shared" si="10"/>
        <v>5.6262558606831901</v>
      </c>
      <c r="AG50" s="107">
        <f t="shared" si="10"/>
        <v>4.214751630707477</v>
      </c>
    </row>
    <row r="51" spans="1:33" x14ac:dyDescent="0.25">
      <c r="A51" s="96">
        <v>2055</v>
      </c>
      <c r="B51" s="97">
        <f t="shared" si="11"/>
        <v>4.0274601957970835E-2</v>
      </c>
      <c r="C51" s="98">
        <f t="shared" si="12"/>
        <v>9.4265587597993084E-2</v>
      </c>
      <c r="D51" s="99">
        <f t="shared" si="0"/>
        <v>0.13454018955596392</v>
      </c>
      <c r="E51" s="99">
        <f t="shared" si="36"/>
        <v>7.1918932067805058E-2</v>
      </c>
      <c r="F51" s="99">
        <f t="shared" si="36"/>
        <v>0.16833140642498765</v>
      </c>
      <c r="G51" s="99">
        <f t="shared" si="36"/>
        <v>0.24025033849279268</v>
      </c>
      <c r="H51" s="97">
        <f t="shared" si="13"/>
        <v>6.014119676206553E-2</v>
      </c>
      <c r="I51" s="98">
        <f t="shared" si="14"/>
        <v>0.11935491255514441</v>
      </c>
      <c r="J51" s="99">
        <f t="shared" si="15"/>
        <v>0.17949610931720994</v>
      </c>
      <c r="K51" s="99">
        <f t="shared" si="37"/>
        <v>0.10739499421797415</v>
      </c>
      <c r="L51" s="99">
        <f t="shared" si="37"/>
        <v>0.21313377241990072</v>
      </c>
      <c r="M51" s="99">
        <f t="shared" si="37"/>
        <v>0.32052876663787488</v>
      </c>
      <c r="N51" s="97">
        <f t="shared" si="19"/>
        <v>2.6666596808531076E-2</v>
      </c>
      <c r="O51" s="98">
        <f t="shared" si="20"/>
        <v>0.10562755397375734</v>
      </c>
      <c r="P51" s="99">
        <f t="shared" si="16"/>
        <v>0.1322941507822884</v>
      </c>
      <c r="Q51" s="99">
        <f t="shared" si="38"/>
        <v>4.7618922872376915E-2</v>
      </c>
      <c r="R51" s="99">
        <f t="shared" si="38"/>
        <v>0.18862063209599522</v>
      </c>
      <c r="S51" s="99">
        <f t="shared" si="38"/>
        <v>0.23623955496837212</v>
      </c>
      <c r="T51" s="100">
        <f t="shared" si="34"/>
        <v>3.8611111111111138E-2</v>
      </c>
      <c r="U51" s="101">
        <f t="shared" si="34"/>
        <v>0.12119999999999997</v>
      </c>
      <c r="V51" s="102">
        <f t="shared" si="26"/>
        <v>0.15981111111111113</v>
      </c>
      <c r="W51" s="99">
        <f t="shared" si="39"/>
        <v>6.8948412698412745E-2</v>
      </c>
      <c r="X51" s="99">
        <f t="shared" si="39"/>
        <v>0.21642857142857136</v>
      </c>
      <c r="Y51" s="99">
        <f t="shared" si="39"/>
        <v>0.28537698412698415</v>
      </c>
      <c r="Z51" s="100">
        <f t="shared" si="35"/>
        <v>3.3611111111111133E-2</v>
      </c>
      <c r="AA51" s="101">
        <f t="shared" si="35"/>
        <v>0.10119999999999997</v>
      </c>
      <c r="AB51" s="102">
        <f t="shared" si="8"/>
        <v>0.1348111111111111</v>
      </c>
      <c r="AC51" s="99">
        <f t="shared" si="40"/>
        <v>6.0019841269841306E-2</v>
      </c>
      <c r="AD51" s="99">
        <f t="shared" si="40"/>
        <v>0.18071428571428563</v>
      </c>
      <c r="AE51" s="99">
        <f t="shared" si="40"/>
        <v>0.24073412698412694</v>
      </c>
      <c r="AF51" s="106">
        <f t="shared" si="10"/>
        <v>5.5335968379446667</v>
      </c>
      <c r="AG51" s="107">
        <f t="shared" si="10"/>
        <v>4.1539602736338921</v>
      </c>
    </row>
    <row r="52" spans="1:33" x14ac:dyDescent="0.25">
      <c r="A52" s="96">
        <v>2056</v>
      </c>
      <c r="B52" s="97">
        <f t="shared" si="11"/>
        <v>4.0629181064844477E-2</v>
      </c>
      <c r="C52" s="98">
        <f t="shared" si="12"/>
        <v>9.5873122027230306E-2</v>
      </c>
      <c r="D52" s="99">
        <f t="shared" si="0"/>
        <v>0.13650230309207478</v>
      </c>
      <c r="E52" s="99">
        <f t="shared" si="36"/>
        <v>7.2552109044365126E-2</v>
      </c>
      <c r="F52" s="99">
        <f t="shared" si="36"/>
        <v>0.17120200362005411</v>
      </c>
      <c r="G52" s="99">
        <f t="shared" si="36"/>
        <v>0.24375411266441924</v>
      </c>
      <c r="H52" s="97">
        <f t="shared" si="13"/>
        <v>6.0943159097789801E-2</v>
      </c>
      <c r="I52" s="98">
        <f t="shared" si="14"/>
        <v>0.12152625115619797</v>
      </c>
      <c r="J52" s="99">
        <f t="shared" si="15"/>
        <v>0.18246941025398777</v>
      </c>
      <c r="K52" s="99">
        <f t="shared" si="37"/>
        <v>0.10882706981748178</v>
      </c>
      <c r="L52" s="99">
        <f t="shared" si="37"/>
        <v>0.21701116277892493</v>
      </c>
      <c r="M52" s="99">
        <f t="shared" si="37"/>
        <v>0.32583823259640671</v>
      </c>
      <c r="N52" s="97">
        <f t="shared" si="19"/>
        <v>2.6666596808531076E-2</v>
      </c>
      <c r="O52" s="98">
        <f t="shared" si="20"/>
        <v>0.10753216185949521</v>
      </c>
      <c r="P52" s="99">
        <f t="shared" si="16"/>
        <v>0.13419875866802627</v>
      </c>
      <c r="Q52" s="99">
        <f t="shared" si="38"/>
        <v>4.7618922872376915E-2</v>
      </c>
      <c r="R52" s="99">
        <f t="shared" si="38"/>
        <v>0.19202171760624143</v>
      </c>
      <c r="S52" s="99">
        <f t="shared" si="38"/>
        <v>0.23964064047861833</v>
      </c>
      <c r="T52" s="100">
        <f t="shared" si="34"/>
        <v>3.8888888888888917E-2</v>
      </c>
      <c r="U52" s="101">
        <f t="shared" si="34"/>
        <v>0.12286666666666664</v>
      </c>
      <c r="V52" s="102">
        <f t="shared" si="26"/>
        <v>0.16175555555555554</v>
      </c>
      <c r="W52" s="99">
        <f t="shared" si="39"/>
        <v>6.9444444444444489E-2</v>
      </c>
      <c r="X52" s="99">
        <f t="shared" si="39"/>
        <v>0.21940476190476182</v>
      </c>
      <c r="Y52" s="99">
        <f t="shared" si="39"/>
        <v>0.2888492063492063</v>
      </c>
      <c r="Z52" s="100">
        <f t="shared" si="35"/>
        <v>3.3888888888888913E-2</v>
      </c>
      <c r="AA52" s="101">
        <f t="shared" si="35"/>
        <v>0.10286666666666663</v>
      </c>
      <c r="AB52" s="102">
        <f t="shared" si="8"/>
        <v>0.13675555555555555</v>
      </c>
      <c r="AC52" s="99">
        <f t="shared" si="40"/>
        <v>6.0515873015873051E-2</v>
      </c>
      <c r="AD52" s="99">
        <f t="shared" si="40"/>
        <v>0.18369047619047613</v>
      </c>
      <c r="AE52" s="99">
        <f t="shared" si="40"/>
        <v>0.24420634920634918</v>
      </c>
      <c r="AF52" s="106">
        <f t="shared" si="10"/>
        <v>5.4439403758911231</v>
      </c>
      <c r="AG52" s="107">
        <f t="shared" si="10"/>
        <v>4.0948976275593116</v>
      </c>
    </row>
    <row r="53" spans="1:33" x14ac:dyDescent="0.25">
      <c r="A53" s="96">
        <v>2057</v>
      </c>
      <c r="B53" s="97">
        <f t="shared" si="11"/>
        <v>4.0983760171718009E-2</v>
      </c>
      <c r="C53" s="98">
        <f t="shared" si="12"/>
        <v>9.7480656456467973E-2</v>
      </c>
      <c r="D53" s="99">
        <f t="shared" si="0"/>
        <v>0.13846441662818598</v>
      </c>
      <c r="E53" s="99">
        <f t="shared" si="36"/>
        <v>7.3185286020925014E-2</v>
      </c>
      <c r="F53" s="99">
        <f t="shared" si="36"/>
        <v>0.17407260081512135</v>
      </c>
      <c r="G53" s="99">
        <f t="shared" si="36"/>
        <v>0.24725788683604638</v>
      </c>
      <c r="H53" s="97">
        <f t="shared" si="13"/>
        <v>6.174512143351385E-2</v>
      </c>
      <c r="I53" s="98">
        <f t="shared" si="14"/>
        <v>0.12369758975725154</v>
      </c>
      <c r="J53" s="99">
        <f t="shared" si="15"/>
        <v>0.18544271119076539</v>
      </c>
      <c r="K53" s="99">
        <f t="shared" si="37"/>
        <v>0.110259145416989</v>
      </c>
      <c r="L53" s="99">
        <f t="shared" si="37"/>
        <v>0.22088855313794914</v>
      </c>
      <c r="M53" s="99">
        <f t="shared" si="37"/>
        <v>0.33114769855493814</v>
      </c>
      <c r="N53" s="97">
        <f t="shared" si="19"/>
        <v>2.6666596808531076E-2</v>
      </c>
      <c r="O53" s="98">
        <f t="shared" si="20"/>
        <v>0.10943676974523264</v>
      </c>
      <c r="P53" s="99">
        <f t="shared" si="16"/>
        <v>0.1361033665537637</v>
      </c>
      <c r="Q53" s="99">
        <f t="shared" si="38"/>
        <v>4.7618922872376915E-2</v>
      </c>
      <c r="R53" s="99">
        <f t="shared" si="38"/>
        <v>0.19542280311648685</v>
      </c>
      <c r="S53" s="99">
        <f t="shared" si="38"/>
        <v>0.24304172598886373</v>
      </c>
      <c r="T53" s="100">
        <f t="shared" si="34"/>
        <v>3.9166666666666697E-2</v>
      </c>
      <c r="U53" s="101">
        <f t="shared" si="34"/>
        <v>0.1245333333333333</v>
      </c>
      <c r="V53" s="102">
        <f t="shared" si="26"/>
        <v>0.16370000000000001</v>
      </c>
      <c r="W53" s="99">
        <f t="shared" si="39"/>
        <v>6.9940476190476233E-2</v>
      </c>
      <c r="X53" s="99">
        <f t="shared" si="39"/>
        <v>0.22238095238095229</v>
      </c>
      <c r="Y53" s="99">
        <f t="shared" si="39"/>
        <v>0.29232142857142857</v>
      </c>
      <c r="Z53" s="100">
        <f t="shared" si="35"/>
        <v>3.4166666666666692E-2</v>
      </c>
      <c r="AA53" s="101">
        <f t="shared" si="35"/>
        <v>0.1045333333333333</v>
      </c>
      <c r="AB53" s="102">
        <f t="shared" si="8"/>
        <v>0.13869999999999999</v>
      </c>
      <c r="AC53" s="99">
        <f t="shared" si="40"/>
        <v>6.1011904761904802E-2</v>
      </c>
      <c r="AD53" s="99">
        <f t="shared" si="40"/>
        <v>0.18666666666666659</v>
      </c>
      <c r="AE53" s="99">
        <f t="shared" si="40"/>
        <v>0.24767857142857139</v>
      </c>
      <c r="AF53" s="106">
        <f t="shared" si="10"/>
        <v>5.3571428571428594</v>
      </c>
      <c r="AG53" s="107">
        <f t="shared" si="10"/>
        <v>4.0374909877433316</v>
      </c>
    </row>
    <row r="54" spans="1:33" x14ac:dyDescent="0.25">
      <c r="A54" s="96">
        <v>2058</v>
      </c>
      <c r="B54" s="97">
        <f t="shared" si="11"/>
        <v>4.1338339278591651E-2</v>
      </c>
      <c r="C54" s="98">
        <f t="shared" si="12"/>
        <v>9.9088190885705196E-2</v>
      </c>
      <c r="D54" s="99">
        <f t="shared" si="0"/>
        <v>0.14042653016429685</v>
      </c>
      <c r="E54" s="99">
        <f t="shared" si="36"/>
        <v>7.3818462997485082E-2</v>
      </c>
      <c r="F54" s="99">
        <f t="shared" si="36"/>
        <v>0.17694319801018785</v>
      </c>
      <c r="G54" s="99">
        <f t="shared" si="36"/>
        <v>0.25076166100767294</v>
      </c>
      <c r="H54" s="97">
        <f t="shared" si="13"/>
        <v>6.2547083769237899E-2</v>
      </c>
      <c r="I54" s="98">
        <f t="shared" si="14"/>
        <v>0.1258689283583051</v>
      </c>
      <c r="J54" s="99">
        <f t="shared" si="15"/>
        <v>0.188416012127543</v>
      </c>
      <c r="K54" s="99">
        <f t="shared" si="37"/>
        <v>0.11169122101649624</v>
      </c>
      <c r="L54" s="99">
        <f t="shared" si="37"/>
        <v>0.22476594349697337</v>
      </c>
      <c r="M54" s="99">
        <f t="shared" si="37"/>
        <v>0.33645716451346963</v>
      </c>
      <c r="N54" s="97">
        <f t="shared" si="19"/>
        <v>2.6666596808531076E-2</v>
      </c>
      <c r="O54" s="98">
        <f t="shared" si="20"/>
        <v>0.11134137763097007</v>
      </c>
      <c r="P54" s="99">
        <f t="shared" si="16"/>
        <v>0.13800797443950114</v>
      </c>
      <c r="Q54" s="99">
        <f t="shared" si="38"/>
        <v>4.7618922872376915E-2</v>
      </c>
      <c r="R54" s="99">
        <f t="shared" si="38"/>
        <v>0.19882388862673225</v>
      </c>
      <c r="S54" s="99">
        <f t="shared" si="38"/>
        <v>0.24644281149910915</v>
      </c>
      <c r="T54" s="100">
        <f t="shared" si="34"/>
        <v>3.9444444444444476E-2</v>
      </c>
      <c r="U54" s="101">
        <f t="shared" si="34"/>
        <v>0.12619999999999998</v>
      </c>
      <c r="V54" s="102">
        <f t="shared" si="26"/>
        <v>0.16564444444444446</v>
      </c>
      <c r="W54" s="99">
        <f t="shared" si="39"/>
        <v>7.0436507936507992E-2</v>
      </c>
      <c r="X54" s="99">
        <f t="shared" si="39"/>
        <v>0.22535714285714281</v>
      </c>
      <c r="Y54" s="99">
        <f t="shared" si="39"/>
        <v>0.29579365079365078</v>
      </c>
      <c r="Z54" s="100">
        <f t="shared" si="35"/>
        <v>3.4444444444444472E-2</v>
      </c>
      <c r="AA54" s="101">
        <f t="shared" si="35"/>
        <v>0.10619999999999996</v>
      </c>
      <c r="AB54" s="102">
        <f t="shared" si="8"/>
        <v>0.14064444444444443</v>
      </c>
      <c r="AC54" s="99">
        <f t="shared" si="40"/>
        <v>6.1507936507936553E-2</v>
      </c>
      <c r="AD54" s="99">
        <f t="shared" si="40"/>
        <v>0.18964285714285706</v>
      </c>
      <c r="AE54" s="99">
        <f t="shared" si="40"/>
        <v>0.25115079365079362</v>
      </c>
      <c r="AF54" s="106">
        <f t="shared" si="10"/>
        <v>5.2730696798493435</v>
      </c>
      <c r="AG54" s="107">
        <f t="shared" si="10"/>
        <v>3.9816716700900621</v>
      </c>
    </row>
    <row r="55" spans="1:33" x14ac:dyDescent="0.25">
      <c r="A55" s="96">
        <v>2059</v>
      </c>
      <c r="B55" s="97">
        <f t="shared" si="11"/>
        <v>4.1692918385465183E-2</v>
      </c>
      <c r="C55" s="98">
        <f t="shared" si="12"/>
        <v>0.10069572531494242</v>
      </c>
      <c r="D55" s="99">
        <f t="shared" si="0"/>
        <v>0.1423886437004076</v>
      </c>
      <c r="E55" s="99">
        <f t="shared" si="36"/>
        <v>7.4451639974044956E-2</v>
      </c>
      <c r="F55" s="99">
        <f t="shared" si="36"/>
        <v>0.17981379520525431</v>
      </c>
      <c r="G55" s="99">
        <f t="shared" si="36"/>
        <v>0.25426543517929928</v>
      </c>
      <c r="H55" s="97">
        <f t="shared" si="13"/>
        <v>6.3349046104961948E-2</v>
      </c>
      <c r="I55" s="98">
        <f t="shared" si="14"/>
        <v>0.12804026695935866</v>
      </c>
      <c r="J55" s="99">
        <f t="shared" si="15"/>
        <v>0.19138931306432061</v>
      </c>
      <c r="K55" s="99">
        <f t="shared" si="37"/>
        <v>0.11312329661600347</v>
      </c>
      <c r="L55" s="99">
        <f t="shared" si="37"/>
        <v>0.22864333385599758</v>
      </c>
      <c r="M55" s="99">
        <f t="shared" si="37"/>
        <v>0.34176663047200107</v>
      </c>
      <c r="N55" s="97">
        <f t="shared" si="19"/>
        <v>2.6666596808531076E-2</v>
      </c>
      <c r="O55" s="98">
        <f t="shared" si="20"/>
        <v>0.1132459855167075</v>
      </c>
      <c r="P55" s="99">
        <f t="shared" si="16"/>
        <v>0.13991258232523857</v>
      </c>
      <c r="Q55" s="99">
        <f t="shared" si="38"/>
        <v>4.7618922872376915E-2</v>
      </c>
      <c r="R55" s="99">
        <f t="shared" si="38"/>
        <v>0.20222497413697765</v>
      </c>
      <c r="S55" s="99">
        <f t="shared" si="38"/>
        <v>0.24984389700935455</v>
      </c>
      <c r="T55" s="100">
        <f t="shared" ref="T55:U55" si="41">(T$56-T$38)/($A$56-$A$38) + T54</f>
        <v>3.9722222222222256E-2</v>
      </c>
      <c r="U55" s="101">
        <f t="shared" si="41"/>
        <v>0.12786666666666666</v>
      </c>
      <c r="V55" s="102">
        <f t="shared" si="26"/>
        <v>0.1675888888888889</v>
      </c>
      <c r="W55" s="99">
        <f t="shared" si="39"/>
        <v>7.0932539682539736E-2</v>
      </c>
      <c r="X55" s="99">
        <f t="shared" si="39"/>
        <v>0.2283333333333333</v>
      </c>
      <c r="Y55" s="99">
        <f t="shared" si="39"/>
        <v>0.29926587301587299</v>
      </c>
      <c r="Z55" s="100">
        <f t="shared" ref="Z55:AA55" si="42">(Z$56-Z$38)/($A$56-$A$38) + Z54</f>
        <v>3.4722222222222252E-2</v>
      </c>
      <c r="AA55" s="101">
        <f t="shared" si="42"/>
        <v>0.10786666666666662</v>
      </c>
      <c r="AB55" s="102">
        <f t="shared" si="8"/>
        <v>0.14258888888888888</v>
      </c>
      <c r="AC55" s="99">
        <f t="shared" si="40"/>
        <v>6.2003968253968297E-2</v>
      </c>
      <c r="AD55" s="99">
        <f t="shared" si="40"/>
        <v>0.19261904761904752</v>
      </c>
      <c r="AE55" s="99">
        <f t="shared" si="40"/>
        <v>0.25462301587301583</v>
      </c>
      <c r="AF55" s="106">
        <f t="shared" si="10"/>
        <v>5.191594561186653</v>
      </c>
      <c r="AG55" s="107">
        <f t="shared" si="10"/>
        <v>3.9273747370061565</v>
      </c>
    </row>
    <row r="56" spans="1:33" x14ac:dyDescent="0.25">
      <c r="A56" s="96">
        <v>2060</v>
      </c>
      <c r="B56" s="97">
        <f t="shared" si="11"/>
        <v>4.2047497492338826E-2</v>
      </c>
      <c r="C56" s="98">
        <f t="shared" si="12"/>
        <v>0.10230325974418009</v>
      </c>
      <c r="D56" s="99">
        <f t="shared" si="0"/>
        <v>0.14435075723651891</v>
      </c>
      <c r="E56" s="99">
        <f t="shared" si="36"/>
        <v>7.5084816950605038E-2</v>
      </c>
      <c r="F56" s="99">
        <f t="shared" si="36"/>
        <v>0.18268439240032155</v>
      </c>
      <c r="G56" s="99">
        <f t="shared" si="36"/>
        <v>0.25776920935092662</v>
      </c>
      <c r="H56" s="97">
        <f t="shared" si="13"/>
        <v>6.4151008440686219E-2</v>
      </c>
      <c r="I56" s="98">
        <f t="shared" si="14"/>
        <v>0.13021160556041222</v>
      </c>
      <c r="J56" s="99">
        <f t="shared" si="15"/>
        <v>0.19436261400109844</v>
      </c>
      <c r="K56" s="99">
        <f t="shared" si="37"/>
        <v>0.1145553722155111</v>
      </c>
      <c r="L56" s="99">
        <f t="shared" si="37"/>
        <v>0.23252072421502182</v>
      </c>
      <c r="M56" s="99">
        <f t="shared" si="37"/>
        <v>0.34707609643053289</v>
      </c>
      <c r="N56" s="97">
        <f t="shared" si="19"/>
        <v>2.6666596808531076E-2</v>
      </c>
      <c r="O56" s="98">
        <f t="shared" si="20"/>
        <v>0.11515059340244493</v>
      </c>
      <c r="P56" s="99">
        <f t="shared" si="16"/>
        <v>0.141817190210976</v>
      </c>
      <c r="Q56" s="99">
        <f t="shared" si="38"/>
        <v>4.7618922872376915E-2</v>
      </c>
      <c r="R56" s="99">
        <f t="shared" si="38"/>
        <v>0.20562605964722308</v>
      </c>
      <c r="S56" s="99">
        <f t="shared" si="38"/>
        <v>0.25324498251959998</v>
      </c>
      <c r="T56" s="81">
        <v>0.04</v>
      </c>
      <c r="U56" s="70">
        <v>0.13</v>
      </c>
      <c r="V56" s="102">
        <f t="shared" si="26"/>
        <v>0.17</v>
      </c>
      <c r="W56" s="99">
        <f t="shared" si="39"/>
        <v>7.1428571428571425E-2</v>
      </c>
      <c r="X56" s="99">
        <f t="shared" si="39"/>
        <v>0.23214285714285712</v>
      </c>
      <c r="Y56" s="99">
        <f t="shared" si="39"/>
        <v>0.30357142857142855</v>
      </c>
      <c r="Z56" s="81">
        <v>3.5000000000000003E-2</v>
      </c>
      <c r="AA56" s="70">
        <v>0.11</v>
      </c>
      <c r="AB56" s="102">
        <f t="shared" si="8"/>
        <v>0.14500000000000002</v>
      </c>
      <c r="AC56" s="99">
        <f t="shared" si="40"/>
        <v>6.25E-2</v>
      </c>
      <c r="AD56" s="99">
        <f t="shared" si="40"/>
        <v>0.19642857142857142</v>
      </c>
      <c r="AE56" s="99">
        <f t="shared" si="40"/>
        <v>0.25892857142857145</v>
      </c>
      <c r="AF56" s="106">
        <f t="shared" si="10"/>
        <v>5.0909090909090908</v>
      </c>
      <c r="AG56" s="107">
        <f t="shared" si="10"/>
        <v>3.8620689655172411</v>
      </c>
    </row>
    <row r="59" spans="1:33" x14ac:dyDescent="0.25">
      <c r="A59" s="78" t="s">
        <v>630</v>
      </c>
      <c r="B59" s="10"/>
      <c r="C59" s="10"/>
      <c r="D59" s="10"/>
      <c r="E59" s="10"/>
      <c r="F59" s="10"/>
      <c r="G59" s="10"/>
      <c r="H59" s="10"/>
      <c r="I59" s="10"/>
      <c r="J59" s="10"/>
      <c r="K59" s="10"/>
      <c r="L59" s="10"/>
      <c r="M59" s="10"/>
      <c r="N59" s="10"/>
      <c r="O59" s="10"/>
    </row>
    <row r="60" spans="1:33" x14ac:dyDescent="0.25">
      <c r="A60" s="79" t="s">
        <v>625</v>
      </c>
      <c r="B60" s="10"/>
      <c r="C60" s="10"/>
      <c r="D60" s="10"/>
      <c r="E60" s="10"/>
      <c r="F60" s="10"/>
      <c r="G60" s="10"/>
      <c r="H60" s="10"/>
      <c r="I60" s="10"/>
      <c r="J60" s="10"/>
      <c r="K60" s="10"/>
      <c r="L60" s="10"/>
      <c r="M60" s="10"/>
      <c r="N60" s="10"/>
      <c r="O60" s="10"/>
    </row>
    <row r="61" spans="1:33" x14ac:dyDescent="0.25">
      <c r="A61" s="79" t="s">
        <v>626</v>
      </c>
      <c r="B61" s="10"/>
      <c r="C61" s="10"/>
      <c r="D61" s="10"/>
      <c r="E61" s="10"/>
      <c r="F61" s="10"/>
      <c r="G61" s="10"/>
      <c r="H61" s="10"/>
      <c r="I61" s="10"/>
      <c r="J61" s="10"/>
      <c r="K61" s="10"/>
      <c r="L61" s="10"/>
      <c r="M61" s="10"/>
      <c r="N61" s="10"/>
      <c r="O61" s="10"/>
    </row>
    <row r="62" spans="1:33" x14ac:dyDescent="0.25">
      <c r="A62" s="80" t="s">
        <v>631</v>
      </c>
      <c r="B62" s="10"/>
      <c r="C62" s="10"/>
      <c r="D62" s="10"/>
      <c r="E62" s="10"/>
      <c r="F62" s="10"/>
      <c r="G62" s="10"/>
      <c r="H62" s="10"/>
      <c r="I62" s="10"/>
      <c r="J62" s="10"/>
      <c r="K62" s="10"/>
      <c r="L62" s="10"/>
      <c r="M62" s="10"/>
      <c r="N62" s="10"/>
      <c r="O62" s="10"/>
    </row>
    <row r="63" spans="1:33" x14ac:dyDescent="0.25">
      <c r="A63" s="10"/>
      <c r="B63" s="10"/>
      <c r="C63" s="10"/>
      <c r="D63" s="10"/>
      <c r="E63" s="10"/>
      <c r="F63" s="10"/>
      <c r="G63" s="10"/>
      <c r="H63" s="10"/>
      <c r="I63" s="10"/>
      <c r="J63" s="10"/>
      <c r="K63" s="10"/>
      <c r="L63" s="10"/>
      <c r="M63" s="10"/>
      <c r="N63" s="10"/>
      <c r="O63" s="10"/>
    </row>
    <row r="64" spans="1:33" x14ac:dyDescent="0.25">
      <c r="A64" s="10"/>
      <c r="B64" s="10"/>
      <c r="C64" s="10"/>
      <c r="D64" s="10"/>
      <c r="E64" s="10"/>
      <c r="F64" s="10"/>
      <c r="G64" s="10"/>
      <c r="H64" s="10"/>
      <c r="I64" s="10"/>
      <c r="J64" s="10"/>
      <c r="K64" s="10"/>
      <c r="L64" s="10"/>
      <c r="M64" s="10"/>
      <c r="N64" s="10"/>
      <c r="O64" s="10"/>
    </row>
  </sheetData>
  <mergeCells count="10">
    <mergeCell ref="E5:G5"/>
    <mergeCell ref="K5:M5"/>
    <mergeCell ref="Q5:S5"/>
    <mergeCell ref="W5:Y5"/>
    <mergeCell ref="AC5:AE5"/>
    <mergeCell ref="B4:G4"/>
    <mergeCell ref="H4:M4"/>
    <mergeCell ref="N4:S4"/>
    <mergeCell ref="T4:Y4"/>
    <mergeCell ref="Z4:AE4"/>
  </mergeCells>
  <hyperlinks>
    <hyperlink ref="A62" r:id="rId1" xr:uid="{95018774-39E8-47A8-80E3-2D559D359D11}"/>
  </hyperlinks>
  <pageMargins left="0.7" right="0.7" top="0.75" bottom="0.75" header="0.3" footer="0.3"/>
  <pageSetup orientation="portrait" horizontalDpi="300" verticalDpi="3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GU139"/>
  <sheetViews>
    <sheetView zoomScale="70" zoomScaleNormal="70" workbookViewId="0">
      <pane xSplit="1" ySplit="2" topLeftCell="B3" activePane="bottomRight" state="frozen"/>
      <selection activeCell="B2" sqref="B2"/>
      <selection pane="topRight" activeCell="B2" sqref="B2"/>
      <selection pane="bottomLeft" activeCell="B2" sqref="B2"/>
      <selection pane="bottomRight" activeCell="B2" sqref="B2"/>
    </sheetView>
  </sheetViews>
  <sheetFormatPr defaultRowHeight="15" outlineLevelCol="1" x14ac:dyDescent="0.25"/>
  <cols>
    <col min="1" max="1" width="2.7109375" style="1" customWidth="1"/>
    <col min="2" max="12" width="9.140625" style="1"/>
    <col min="13" max="13" width="3.7109375" style="1" customWidth="1"/>
    <col min="14" max="24" width="9.140625" style="1" hidden="1" customWidth="1" outlineLevel="1"/>
    <col min="25" max="25" width="3.7109375" style="1" hidden="1" customWidth="1" outlineLevel="1"/>
    <col min="26" max="49" width="9.140625" style="1" hidden="1" customWidth="1" outlineLevel="1"/>
    <col min="50" max="50" width="7.85546875" style="1" customWidth="1" collapsed="1"/>
    <col min="51" max="51" width="22.140625" style="1" customWidth="1"/>
    <col min="52" max="73" width="9.140625" style="1"/>
    <col min="74" max="74" width="3.7109375" style="1" customWidth="1"/>
    <col min="75" max="87" width="9.140625" style="1"/>
    <col min="88" max="88" width="16.5703125" style="1" customWidth="1"/>
    <col min="89" max="98" width="13.7109375" style="1" customWidth="1"/>
    <col min="99" max="100" width="9.140625" style="1"/>
    <col min="101" max="101" width="16.5703125" style="1" customWidth="1"/>
    <col min="102" max="111" width="13.7109375" style="1" customWidth="1"/>
    <col min="112" max="113" width="9.140625" style="1"/>
    <col min="114" max="114" width="16.5703125" style="1" customWidth="1"/>
    <col min="115" max="124" width="13.7109375" style="1" customWidth="1"/>
    <col min="125" max="126" width="9.140625" style="1"/>
    <col min="127" max="127" width="19.28515625" style="1" customWidth="1"/>
    <col min="128" max="137" width="14.42578125" style="1" customWidth="1"/>
    <col min="138" max="139" width="9.140625" style="1"/>
    <col min="140" max="140" width="19.28515625" style="1" customWidth="1"/>
    <col min="141" max="150" width="14.42578125" style="1" customWidth="1"/>
    <col min="151" max="153" width="9.140625" style="1"/>
    <col min="154" max="154" width="19.28515625" style="1" customWidth="1"/>
    <col min="155" max="164" width="14.42578125" style="1" customWidth="1"/>
    <col min="165" max="166" width="9.140625" style="1"/>
    <col min="167" max="167" width="19.28515625" style="1" customWidth="1"/>
    <col min="168" max="177" width="14.42578125" style="1" customWidth="1"/>
    <col min="178" max="179" width="9.140625" style="1"/>
    <col min="180" max="180" width="19.28515625" style="1" customWidth="1"/>
    <col min="181" max="190" width="14.42578125" style="1" customWidth="1"/>
    <col min="191" max="192" width="9.140625" style="1"/>
    <col min="193" max="193" width="19.28515625" style="1" customWidth="1"/>
    <col min="194" max="203" width="14.42578125" style="1" customWidth="1"/>
    <col min="204" max="16384" width="9.140625" style="1"/>
  </cols>
  <sheetData>
    <row r="1" spans="2:203" s="23" customFormat="1" ht="23.25" x14ac:dyDescent="0.35">
      <c r="B1" s="33" t="s">
        <v>601</v>
      </c>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K1" s="33" t="s">
        <v>602</v>
      </c>
      <c r="BL1" s="33"/>
      <c r="BM1" s="33"/>
      <c r="BN1" s="33"/>
      <c r="BO1" s="33"/>
      <c r="BP1" s="33"/>
      <c r="BQ1" s="33"/>
      <c r="BR1" s="33"/>
      <c r="BS1" s="33"/>
      <c r="BT1" s="33"/>
      <c r="BU1" s="33"/>
      <c r="BV1" s="33"/>
      <c r="BW1" s="33"/>
      <c r="BX1" s="33"/>
      <c r="BY1" s="33"/>
      <c r="BZ1" s="33"/>
      <c r="CA1" s="33"/>
      <c r="CB1" s="33"/>
      <c r="CC1" s="33"/>
      <c r="CD1" s="33"/>
      <c r="CE1" s="33"/>
      <c r="CF1" s="33"/>
      <c r="CG1" s="33"/>
      <c r="CH1" s="33"/>
      <c r="CI1" s="33" t="s">
        <v>603</v>
      </c>
      <c r="CJ1" s="33"/>
      <c r="CK1" s="33"/>
      <c r="CL1" s="33"/>
      <c r="CM1" s="33"/>
      <c r="CN1" s="33"/>
      <c r="CO1" s="33"/>
      <c r="CP1" s="33"/>
      <c r="CQ1" s="33"/>
      <c r="CR1" s="33"/>
      <c r="CS1" s="33"/>
      <c r="CT1" s="33"/>
      <c r="CU1" s="33"/>
      <c r="CV1" s="33" t="s">
        <v>604</v>
      </c>
      <c r="CW1" s="33"/>
      <c r="CX1" s="33"/>
      <c r="CY1" s="33"/>
      <c r="CZ1" s="33"/>
      <c r="DA1" s="33"/>
      <c r="DB1" s="33"/>
      <c r="DC1" s="33"/>
      <c r="DD1" s="33"/>
      <c r="DE1" s="33"/>
      <c r="DF1" s="33"/>
      <c r="DG1" s="33"/>
      <c r="DH1" s="33"/>
      <c r="DI1" s="33" t="s">
        <v>605</v>
      </c>
      <c r="DJ1" s="33"/>
      <c r="DK1" s="33"/>
      <c r="DL1" s="33"/>
      <c r="DM1" s="33"/>
      <c r="DN1" s="33"/>
      <c r="DO1" s="33"/>
      <c r="DP1" s="33"/>
      <c r="DQ1" s="33"/>
      <c r="DR1" s="33"/>
      <c r="DS1" s="33"/>
      <c r="DT1" s="33"/>
      <c r="DV1" s="34" t="s">
        <v>606</v>
      </c>
      <c r="DW1" s="34"/>
      <c r="DX1" s="34"/>
      <c r="DY1" s="34"/>
      <c r="DZ1" s="34"/>
      <c r="EA1" s="34"/>
      <c r="EB1" s="34"/>
      <c r="EC1" s="34"/>
      <c r="ED1" s="34"/>
      <c r="EE1" s="34"/>
      <c r="EF1" s="34"/>
      <c r="EG1" s="34"/>
      <c r="EI1" s="34" t="s">
        <v>607</v>
      </c>
      <c r="EJ1" s="34"/>
      <c r="EK1" s="34"/>
      <c r="EL1" s="34"/>
      <c r="EM1" s="34"/>
      <c r="EN1" s="34"/>
      <c r="EO1" s="34"/>
      <c r="EP1" s="34"/>
      <c r="EQ1" s="34"/>
      <c r="ER1" s="34"/>
      <c r="ES1" s="34"/>
      <c r="ET1" s="34"/>
      <c r="EW1" s="35" t="s">
        <v>608</v>
      </c>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row>
    <row r="4" spans="2:203" x14ac:dyDescent="0.25">
      <c r="CI4" s="10"/>
      <c r="CJ4" s="10"/>
      <c r="CK4" s="10"/>
      <c r="CL4" s="10"/>
      <c r="CM4" s="10"/>
      <c r="CN4" s="10"/>
      <c r="CO4" s="10"/>
      <c r="CP4" s="36" t="s">
        <v>609</v>
      </c>
      <c r="CQ4" s="10"/>
      <c r="CR4" s="10"/>
      <c r="CS4" s="10"/>
      <c r="CT4" s="10"/>
      <c r="CV4" s="10"/>
      <c r="CW4" s="10"/>
      <c r="CX4" s="10"/>
      <c r="CY4" s="10"/>
      <c r="CZ4" s="10"/>
      <c r="DA4" s="10"/>
      <c r="DB4" s="10"/>
      <c r="DC4" s="36" t="s">
        <v>610</v>
      </c>
      <c r="DD4" s="10"/>
      <c r="DE4" s="10"/>
      <c r="DF4" s="10"/>
      <c r="DG4" s="10"/>
      <c r="DI4" s="10"/>
      <c r="DJ4" s="10"/>
      <c r="DK4" s="10"/>
      <c r="DL4" s="10"/>
      <c r="DM4" s="10"/>
      <c r="DN4" s="10"/>
      <c r="DO4" s="10"/>
      <c r="DP4" s="36" t="s">
        <v>611</v>
      </c>
      <c r="DQ4" s="10"/>
      <c r="DR4" s="10"/>
      <c r="DS4" s="10"/>
      <c r="DT4" s="10"/>
      <c r="DV4" s="15"/>
      <c r="DW4" s="17" t="s">
        <v>612</v>
      </c>
      <c r="DX4" s="10"/>
      <c r="DY4" s="10"/>
      <c r="DZ4" s="10"/>
      <c r="EA4" s="10"/>
      <c r="EB4" s="10"/>
      <c r="EC4" s="36" t="s">
        <v>613</v>
      </c>
      <c r="ED4" s="10"/>
      <c r="EE4" s="10"/>
      <c r="EF4" s="10"/>
      <c r="EG4" s="10"/>
      <c r="EI4" s="15"/>
      <c r="EJ4" s="17" t="s">
        <v>614</v>
      </c>
      <c r="EK4" s="10"/>
      <c r="EL4" s="10"/>
      <c r="EM4" s="10"/>
      <c r="EN4" s="10"/>
      <c r="EO4" s="10"/>
      <c r="EP4" s="36" t="s">
        <v>613</v>
      </c>
      <c r="EQ4" s="10"/>
      <c r="ER4" s="10"/>
      <c r="ES4" s="10"/>
      <c r="ET4" s="10"/>
      <c r="EW4" s="15">
        <v>100</v>
      </c>
      <c r="EX4" s="37" t="str">
        <f>VLOOKUP(EW4, lu_WrkType, 2, FALSE)</f>
        <v>Total Workers</v>
      </c>
      <c r="EY4" s="10"/>
      <c r="EZ4" s="10"/>
      <c r="FA4" s="10"/>
      <c r="FB4" s="10"/>
      <c r="FC4" s="10"/>
      <c r="FD4" s="36" t="s">
        <v>613</v>
      </c>
      <c r="FE4" s="10"/>
      <c r="FF4" s="10"/>
      <c r="FG4" s="10"/>
      <c r="FH4" s="10"/>
      <c r="FJ4" s="15">
        <v>700</v>
      </c>
      <c r="FK4" s="37" t="str">
        <f>VLOOKUP(FJ4, lu_WrkType, 2, FALSE)</f>
        <v>Worked at home</v>
      </c>
      <c r="FL4" s="10"/>
      <c r="FM4" s="10"/>
      <c r="FN4" s="10"/>
      <c r="FO4" s="10"/>
      <c r="FP4" s="10"/>
      <c r="FQ4" s="36" t="s">
        <v>613</v>
      </c>
      <c r="FR4" s="10"/>
      <c r="FS4" s="10"/>
      <c r="FT4" s="10"/>
      <c r="FU4" s="10"/>
      <c r="FW4" s="15">
        <v>712</v>
      </c>
      <c r="FX4" s="37" t="str">
        <f>VLOOKUP(FW4, lu_WrkType, 2, FALSE)</f>
        <v>Self-employed in own incorporated business workers</v>
      </c>
      <c r="FY4" s="10"/>
      <c r="FZ4" s="10"/>
      <c r="GA4" s="10"/>
      <c r="GB4" s="10"/>
      <c r="GC4" s="10"/>
      <c r="GD4" s="36" t="s">
        <v>613</v>
      </c>
      <c r="GE4" s="10"/>
      <c r="GF4" s="10"/>
      <c r="GG4" s="10"/>
      <c r="GH4" s="10"/>
      <c r="GJ4" s="15">
        <v>760</v>
      </c>
      <c r="GK4" s="37" t="str">
        <f>VLOOKUP(GJ4, lu_WrkType, 2, FALSE)</f>
        <v>Self-employed in own not incorporated business workers</v>
      </c>
      <c r="GL4" s="10"/>
      <c r="GM4" s="10"/>
      <c r="GN4" s="10"/>
      <c r="GO4" s="10"/>
      <c r="GP4" s="10"/>
      <c r="GQ4" s="36" t="s">
        <v>613</v>
      </c>
      <c r="GR4" s="10"/>
      <c r="GS4" s="10"/>
      <c r="GT4" s="10"/>
      <c r="GU4" s="10"/>
    </row>
    <row r="5" spans="2:203" x14ac:dyDescent="0.25">
      <c r="AX5" s="15">
        <v>101</v>
      </c>
      <c r="AY5" s="37" t="str">
        <f>VLOOKUP(AX5, lu_CoName, 2, FALSE)</f>
        <v>Wasatch Front</v>
      </c>
      <c r="AZ5" s="10"/>
      <c r="BA5" s="10"/>
      <c r="BB5" s="10"/>
      <c r="BC5" s="10"/>
      <c r="BD5" s="10"/>
      <c r="BE5" s="10"/>
      <c r="BF5" s="10"/>
      <c r="BG5" s="10"/>
      <c r="BH5" s="10"/>
      <c r="BI5" s="10"/>
      <c r="CI5" s="10"/>
      <c r="CJ5" s="10"/>
      <c r="CK5" s="10"/>
      <c r="CL5" s="10"/>
      <c r="CM5" s="10"/>
      <c r="CN5" s="10"/>
      <c r="CO5" s="10"/>
      <c r="CP5" s="10"/>
      <c r="CQ5" s="10"/>
      <c r="CR5" s="10"/>
      <c r="CS5" s="10"/>
      <c r="CT5" s="10"/>
      <c r="CV5" s="10"/>
      <c r="CW5" s="10"/>
      <c r="CX5" s="10"/>
      <c r="CY5" s="10"/>
      <c r="CZ5" s="10"/>
      <c r="DA5" s="10"/>
      <c r="DB5" s="10"/>
      <c r="DC5" s="10"/>
      <c r="DD5" s="10"/>
      <c r="DE5" s="10"/>
      <c r="DF5" s="10"/>
      <c r="DG5" s="10"/>
      <c r="DI5" s="10"/>
      <c r="DJ5" s="10"/>
      <c r="DK5" s="10"/>
      <c r="DL5" s="10"/>
      <c r="DM5" s="10"/>
      <c r="DN5" s="10"/>
      <c r="DO5" s="10"/>
      <c r="DP5" s="10"/>
      <c r="DQ5" s="10"/>
      <c r="DR5" s="10"/>
      <c r="DS5" s="10"/>
      <c r="DT5" s="10"/>
      <c r="DV5" s="10"/>
      <c r="DW5" s="17" t="s">
        <v>615</v>
      </c>
      <c r="DX5" s="10"/>
      <c r="DY5" s="10"/>
      <c r="DZ5" s="10"/>
      <c r="EA5" s="10"/>
      <c r="EB5" s="10"/>
      <c r="EC5" s="10"/>
      <c r="ED5" s="10"/>
      <c r="EE5" s="10"/>
      <c r="EF5" s="10"/>
      <c r="EG5" s="10"/>
      <c r="EI5" s="10"/>
      <c r="EJ5" s="17" t="s">
        <v>616</v>
      </c>
      <c r="EK5" s="10"/>
      <c r="EL5" s="10"/>
      <c r="EM5" s="10"/>
      <c r="EN5" s="10"/>
      <c r="EO5" s="10"/>
      <c r="EP5" s="10"/>
      <c r="EQ5" s="10"/>
      <c r="ER5" s="10"/>
      <c r="ES5" s="10"/>
      <c r="ET5" s="10"/>
      <c r="EW5" s="10"/>
      <c r="EX5" s="10"/>
      <c r="EY5" s="10"/>
      <c r="EZ5" s="10"/>
      <c r="FA5" s="10"/>
      <c r="FB5" s="10"/>
      <c r="FC5" s="10"/>
      <c r="FD5" s="10"/>
      <c r="FE5" s="10"/>
      <c r="FF5" s="10"/>
      <c r="FG5" s="10"/>
      <c r="FH5" s="10"/>
      <c r="FJ5" s="10"/>
      <c r="FK5" s="10"/>
      <c r="FL5" s="10"/>
      <c r="FM5" s="10"/>
      <c r="FN5" s="10"/>
      <c r="FO5" s="10"/>
      <c r="FP5" s="10"/>
      <c r="FQ5" s="10"/>
      <c r="FR5" s="10"/>
      <c r="FS5" s="10"/>
      <c r="FT5" s="10"/>
      <c r="FU5" s="10"/>
      <c r="FW5" s="10"/>
      <c r="FX5" s="10"/>
      <c r="FY5" s="10"/>
      <c r="FZ5" s="10"/>
      <c r="GA5" s="10"/>
      <c r="GB5" s="10"/>
      <c r="GC5" s="10"/>
      <c r="GD5" s="10"/>
      <c r="GE5" s="10"/>
      <c r="GF5" s="10"/>
      <c r="GG5" s="10"/>
      <c r="GH5" s="10"/>
      <c r="GJ5" s="10"/>
      <c r="GK5" s="10"/>
      <c r="GL5" s="10"/>
      <c r="GM5" s="10"/>
      <c r="GN5" s="10"/>
      <c r="GO5" s="10"/>
      <c r="GP5" s="10"/>
      <c r="GQ5" s="10"/>
      <c r="GR5" s="10"/>
      <c r="GS5" s="10"/>
      <c r="GT5" s="10"/>
      <c r="GU5" s="10"/>
    </row>
    <row r="6" spans="2:203" x14ac:dyDescent="0.25">
      <c r="AX6" s="10"/>
      <c r="AY6" s="38"/>
      <c r="AZ6" s="2">
        <v>2010</v>
      </c>
      <c r="BA6" s="2">
        <v>2011</v>
      </c>
      <c r="BB6" s="2">
        <v>2012</v>
      </c>
      <c r="BC6" s="2">
        <v>2013</v>
      </c>
      <c r="BD6" s="2">
        <v>2014</v>
      </c>
      <c r="BE6" s="2">
        <v>2015</v>
      </c>
      <c r="BF6" s="2">
        <v>2016</v>
      </c>
      <c r="BG6" s="2">
        <v>2017</v>
      </c>
      <c r="BH6" s="2">
        <v>2018</v>
      </c>
      <c r="BI6" s="2">
        <v>2019</v>
      </c>
      <c r="CI6" s="10"/>
      <c r="CJ6" s="38"/>
      <c r="CK6" s="2">
        <v>2010</v>
      </c>
      <c r="CL6" s="2">
        <v>2011</v>
      </c>
      <c r="CM6" s="2">
        <v>2012</v>
      </c>
      <c r="CN6" s="2">
        <v>2013</v>
      </c>
      <c r="CO6" s="2">
        <v>2014</v>
      </c>
      <c r="CP6" s="2">
        <v>2015</v>
      </c>
      <c r="CQ6" s="2">
        <v>2016</v>
      </c>
      <c r="CR6" s="2">
        <v>2017</v>
      </c>
      <c r="CS6" s="2">
        <v>2018</v>
      </c>
      <c r="CT6" s="2">
        <v>2019</v>
      </c>
      <c r="CV6" s="10"/>
      <c r="CW6" s="38"/>
      <c r="CX6" s="2">
        <v>2010</v>
      </c>
      <c r="CY6" s="2">
        <v>2011</v>
      </c>
      <c r="CZ6" s="2">
        <v>2012</v>
      </c>
      <c r="DA6" s="2">
        <v>2013</v>
      </c>
      <c r="DB6" s="2">
        <v>2014</v>
      </c>
      <c r="DC6" s="2">
        <v>2015</v>
      </c>
      <c r="DD6" s="2">
        <v>2016</v>
      </c>
      <c r="DE6" s="2">
        <v>2017</v>
      </c>
      <c r="DF6" s="2">
        <v>2018</v>
      </c>
      <c r="DG6" s="2">
        <v>2019</v>
      </c>
      <c r="DI6" s="10"/>
      <c r="DJ6" s="38"/>
      <c r="DK6" s="2">
        <v>2010</v>
      </c>
      <c r="DL6" s="2">
        <v>2011</v>
      </c>
      <c r="DM6" s="2">
        <v>2012</v>
      </c>
      <c r="DN6" s="2">
        <v>2013</v>
      </c>
      <c r="DO6" s="2">
        <v>2014</v>
      </c>
      <c r="DP6" s="2">
        <v>2015</v>
      </c>
      <c r="DQ6" s="2">
        <v>2016</v>
      </c>
      <c r="DR6" s="2">
        <v>2017</v>
      </c>
      <c r="DS6" s="2">
        <v>2018</v>
      </c>
      <c r="DT6" s="2">
        <v>2019</v>
      </c>
      <c r="DV6" s="10"/>
      <c r="DW6" s="38"/>
      <c r="DX6" s="2">
        <v>2010</v>
      </c>
      <c r="DY6" s="2">
        <v>2011</v>
      </c>
      <c r="DZ6" s="2">
        <v>2012</v>
      </c>
      <c r="EA6" s="2">
        <v>2013</v>
      </c>
      <c r="EB6" s="2">
        <v>2014</v>
      </c>
      <c r="EC6" s="2">
        <v>2015</v>
      </c>
      <c r="ED6" s="2">
        <v>2016</v>
      </c>
      <c r="EE6" s="2">
        <v>2017</v>
      </c>
      <c r="EF6" s="2">
        <v>2018</v>
      </c>
      <c r="EG6" s="2">
        <v>2019</v>
      </c>
      <c r="EI6" s="10"/>
      <c r="EJ6" s="38"/>
      <c r="EK6" s="2">
        <v>2010</v>
      </c>
      <c r="EL6" s="2">
        <v>2011</v>
      </c>
      <c r="EM6" s="2">
        <v>2012</v>
      </c>
      <c r="EN6" s="2">
        <v>2013</v>
      </c>
      <c r="EO6" s="2">
        <v>2014</v>
      </c>
      <c r="EP6" s="2">
        <v>2015</v>
      </c>
      <c r="EQ6" s="2">
        <v>2016</v>
      </c>
      <c r="ER6" s="2">
        <v>2017</v>
      </c>
      <c r="ES6" s="2">
        <v>2018</v>
      </c>
      <c r="ET6" s="2">
        <v>2019</v>
      </c>
      <c r="EW6" s="10"/>
      <c r="EX6" s="38"/>
      <c r="EY6" s="2">
        <v>2010</v>
      </c>
      <c r="EZ6" s="2">
        <v>2011</v>
      </c>
      <c r="FA6" s="2">
        <v>2012</v>
      </c>
      <c r="FB6" s="2">
        <v>2013</v>
      </c>
      <c r="FC6" s="2">
        <v>2014</v>
      </c>
      <c r="FD6" s="2">
        <v>2015</v>
      </c>
      <c r="FE6" s="2">
        <v>2016</v>
      </c>
      <c r="FF6" s="2">
        <v>2017</v>
      </c>
      <c r="FG6" s="2">
        <v>2018</v>
      </c>
      <c r="FH6" s="2">
        <v>2019</v>
      </c>
      <c r="FJ6" s="10"/>
      <c r="FK6" s="38"/>
      <c r="FL6" s="2">
        <v>2010</v>
      </c>
      <c r="FM6" s="2">
        <v>2011</v>
      </c>
      <c r="FN6" s="2">
        <v>2012</v>
      </c>
      <c r="FO6" s="2">
        <v>2013</v>
      </c>
      <c r="FP6" s="2">
        <v>2014</v>
      </c>
      <c r="FQ6" s="2">
        <v>2015</v>
      </c>
      <c r="FR6" s="2">
        <v>2016</v>
      </c>
      <c r="FS6" s="2">
        <v>2017</v>
      </c>
      <c r="FT6" s="2">
        <v>2018</v>
      </c>
      <c r="FU6" s="2">
        <v>2019</v>
      </c>
      <c r="FW6" s="10"/>
      <c r="FX6" s="38"/>
      <c r="FY6" s="2">
        <v>2010</v>
      </c>
      <c r="FZ6" s="2">
        <v>2011</v>
      </c>
      <c r="GA6" s="2">
        <v>2012</v>
      </c>
      <c r="GB6" s="2">
        <v>2013</v>
      </c>
      <c r="GC6" s="2">
        <v>2014</v>
      </c>
      <c r="GD6" s="2">
        <v>2015</v>
      </c>
      <c r="GE6" s="2">
        <v>2016</v>
      </c>
      <c r="GF6" s="2">
        <v>2017</v>
      </c>
      <c r="GG6" s="2">
        <v>2018</v>
      </c>
      <c r="GH6" s="2">
        <v>2019</v>
      </c>
      <c r="GJ6" s="10"/>
      <c r="GK6" s="38"/>
      <c r="GL6" s="2">
        <v>2010</v>
      </c>
      <c r="GM6" s="2">
        <v>2011</v>
      </c>
      <c r="GN6" s="2">
        <v>2012</v>
      </c>
      <c r="GO6" s="2">
        <v>2013</v>
      </c>
      <c r="GP6" s="2">
        <v>2014</v>
      </c>
      <c r="GQ6" s="2">
        <v>2015</v>
      </c>
      <c r="GR6" s="2">
        <v>2016</v>
      </c>
      <c r="GS6" s="2">
        <v>2017</v>
      </c>
      <c r="GT6" s="2">
        <v>2018</v>
      </c>
      <c r="GU6" s="2">
        <v>2019</v>
      </c>
    </row>
    <row r="7" spans="2:203" x14ac:dyDescent="0.25">
      <c r="AX7" s="15"/>
      <c r="AY7" s="39" t="s">
        <v>617</v>
      </c>
      <c r="AZ7" s="40">
        <f>INDEX($DK$7:$DT$13, MATCH(AY5, $DJ$7:$DJ$13,0), MATCH(AZ$6, $DK$6:$DT$6, 0))</f>
        <v>2.4156392907763485E-2</v>
      </c>
      <c r="BA7" s="40">
        <f>INDEX($DK$7:$DT$13, MATCH(AY5, $DJ$7:$DJ$13,0), MATCH(BA$6, $DK$6:$DT$6, 0))</f>
        <v>2.3616540846589377E-2</v>
      </c>
      <c r="BB7" s="40">
        <f>INDEX($DK$7:$DT$13, MATCH(AY5, $DJ$7:$DJ$13,0), MATCH(BB$6, $DK$6:$DT$6, 0))</f>
        <v>2.2667213106249643E-2</v>
      </c>
      <c r="BC7" s="40">
        <f>INDEX($DK$7:$DT$13, MATCH(AY5, $DJ$7:$DJ$13,0), MATCH(BC$6, $DK$6:$DT$6, 0))</f>
        <v>2.2171769202822853E-2</v>
      </c>
      <c r="BD7" s="40">
        <f>INDEX($DK$7:$DT$13, MATCH(AY5, $DJ$7:$DJ$13,0), MATCH(BD$6, $DK$6:$DT$6, 0))</f>
        <v>2.2228967542460221E-2</v>
      </c>
      <c r="BE7" s="40">
        <f>INDEX($DK$7:$DT$13, MATCH(AY5, $DJ$7:$DJ$13,0), MATCH(BE$6, $DK$6:$DT$6, 0))</f>
        <v>2.2692701491573073E-2</v>
      </c>
      <c r="BF7" s="40">
        <f>INDEX($DK$7:$DT$13, MATCH(AY5, $DJ$7:$DJ$13,0), MATCH(BF$6, $DK$6:$DT$6, 0))</f>
        <v>2.3436385187778377E-2</v>
      </c>
      <c r="BG7" s="40">
        <f>INDEX($DK$7:$DT$13, MATCH(AY5, $DJ$7:$DJ$13,0), MATCH(BG$6, $DK$6:$DT$6, 0))</f>
        <v>2.5113206167155351E-2</v>
      </c>
      <c r="BH7" s="40">
        <f>INDEX($DK$7:$DT$13, MATCH(AY5, $DJ$7:$DJ$13,0), MATCH(BH$6, $DK$6:$DT$6, 0))</f>
        <v>2.6391708034978915E-2</v>
      </c>
      <c r="BI7" s="40">
        <f>INDEX($DK$7:$DT$13, MATCH(AY5, $DJ$7:$DJ$13,0), MATCH(BI$6, $DK$6:$DT$6, 0))</f>
        <v>2.6666596808531076E-2</v>
      </c>
      <c r="CI7" s="15">
        <v>101</v>
      </c>
      <c r="CJ7" s="37" t="str">
        <f t="shared" ref="CJ7:CJ13" si="0">VLOOKUP(CI7, lu_CoName, 2, FALSE)</f>
        <v>Wasatch Front</v>
      </c>
      <c r="CK7" s="41">
        <f>CX7 + DK7</f>
        <v>4.6040702805337896E-2</v>
      </c>
      <c r="CL7" s="41">
        <f>CY7 + DL7</f>
        <v>4.6933978161229441E-2</v>
      </c>
      <c r="CM7" s="41">
        <f t="shared" ref="CM7:CT13" si="1">CZ7 + DM7</f>
        <v>4.5984965994511393E-2</v>
      </c>
      <c r="CN7" s="41">
        <f t="shared" si="1"/>
        <v>4.7455799003953109E-2</v>
      </c>
      <c r="CO7" s="41">
        <f t="shared" si="1"/>
        <v>4.8848667956120903E-2</v>
      </c>
      <c r="CP7" s="41">
        <f t="shared" si="1"/>
        <v>5.1658858698950476E-2</v>
      </c>
      <c r="CQ7" s="41">
        <f t="shared" si="1"/>
        <v>5.3139977130593444E-2</v>
      </c>
      <c r="CR7" s="41">
        <f t="shared" si="1"/>
        <v>5.719422761961987E-2</v>
      </c>
      <c r="CS7" s="41">
        <f t="shared" si="1"/>
        <v>6.0327375996327488E-2</v>
      </c>
      <c r="CT7" s="41">
        <f t="shared" si="1"/>
        <v>6.3161360068041822E-2</v>
      </c>
      <c r="CV7" s="9">
        <f>$CI7</f>
        <v>101</v>
      </c>
      <c r="CW7" s="21" t="str">
        <f>$CJ7</f>
        <v>Wasatch Front</v>
      </c>
      <c r="CX7" s="42">
        <f>IFERROR(DX7/EY7, 0)</f>
        <v>2.1884309897574412E-2</v>
      </c>
      <c r="CY7" s="42">
        <f>IFERROR(DY7/EZ7, 0)</f>
        <v>2.3317437314640064E-2</v>
      </c>
      <c r="CZ7" s="42">
        <f t="shared" ref="CZ7:DG13" si="2">IFERROR(DZ7/FA7, 0)</f>
        <v>2.3317752888261753E-2</v>
      </c>
      <c r="DA7" s="42">
        <f t="shared" si="2"/>
        <v>2.5284029801130252E-2</v>
      </c>
      <c r="DB7" s="42">
        <f t="shared" si="2"/>
        <v>2.6619700413660685E-2</v>
      </c>
      <c r="DC7" s="42">
        <f t="shared" si="2"/>
        <v>2.8966157207377403E-2</v>
      </c>
      <c r="DD7" s="42">
        <f t="shared" si="2"/>
        <v>2.9703591942815067E-2</v>
      </c>
      <c r="DE7" s="42">
        <f t="shared" si="2"/>
        <v>3.2081021452464518E-2</v>
      </c>
      <c r="DF7" s="42">
        <f t="shared" si="2"/>
        <v>3.3935667961348573E-2</v>
      </c>
      <c r="DG7" s="42">
        <f t="shared" si="2"/>
        <v>3.6494763259510746E-2</v>
      </c>
      <c r="DI7" s="9">
        <f>$CI7</f>
        <v>101</v>
      </c>
      <c r="DJ7" s="21" t="str">
        <f>$CJ7</f>
        <v>Wasatch Front</v>
      </c>
      <c r="DK7" s="42">
        <f>IFERROR(EK7/EY7, 0)</f>
        <v>2.4156392907763485E-2</v>
      </c>
      <c r="DL7" s="42">
        <f>IFERROR(EL7/EZ7, 0)</f>
        <v>2.3616540846589377E-2</v>
      </c>
      <c r="DM7" s="42">
        <f t="shared" ref="DM7:DT13" si="3">IFERROR(EM7/FA7, 0)</f>
        <v>2.2667213106249643E-2</v>
      </c>
      <c r="DN7" s="42">
        <f t="shared" si="3"/>
        <v>2.2171769202822853E-2</v>
      </c>
      <c r="DO7" s="42">
        <f t="shared" si="3"/>
        <v>2.2228967542460221E-2</v>
      </c>
      <c r="DP7" s="42">
        <f t="shared" si="3"/>
        <v>2.2692701491573073E-2</v>
      </c>
      <c r="DQ7" s="42">
        <f t="shared" si="3"/>
        <v>2.3436385187778377E-2</v>
      </c>
      <c r="DR7" s="42">
        <f t="shared" si="3"/>
        <v>2.5113206167155351E-2</v>
      </c>
      <c r="DS7" s="42">
        <f t="shared" si="3"/>
        <v>2.6391708034978915E-2</v>
      </c>
      <c r="DT7" s="42">
        <f t="shared" si="3"/>
        <v>2.6666596808531076E-2</v>
      </c>
      <c r="DV7" s="9">
        <f>$CI7</f>
        <v>101</v>
      </c>
      <c r="DW7" s="21" t="str">
        <f>$CJ7</f>
        <v>Wasatch Front</v>
      </c>
      <c r="DX7" s="43">
        <f>SUM(DX8:DX11)</f>
        <v>20458</v>
      </c>
      <c r="DY7" s="43">
        <f>SUM(DY8:DY11)</f>
        <v>22140</v>
      </c>
      <c r="DZ7" s="43">
        <f t="shared" ref="DZ7:EG7" si="4">SUM(DZ8:DZ11)</f>
        <v>22474</v>
      </c>
      <c r="EA7" s="43">
        <f t="shared" si="4"/>
        <v>24567</v>
      </c>
      <c r="EB7" s="43">
        <f t="shared" si="4"/>
        <v>26397</v>
      </c>
      <c r="EC7" s="43">
        <f t="shared" si="4"/>
        <v>29592</v>
      </c>
      <c r="ED7" s="43">
        <f t="shared" si="4"/>
        <v>31224</v>
      </c>
      <c r="EE7" s="43">
        <f t="shared" si="4"/>
        <v>34651</v>
      </c>
      <c r="EF7" s="43">
        <f t="shared" si="4"/>
        <v>37701</v>
      </c>
      <c r="EG7" s="43">
        <f t="shared" si="4"/>
        <v>41793</v>
      </c>
      <c r="EI7" s="9">
        <f>$CI7</f>
        <v>101</v>
      </c>
      <c r="EJ7" s="21" t="str">
        <f>$CJ7</f>
        <v>Wasatch Front</v>
      </c>
      <c r="EK7" s="43">
        <f>SUM(EK8:EK11)</f>
        <v>22582</v>
      </c>
      <c r="EL7" s="43">
        <f>SUM(EL8:EL11)</f>
        <v>22424</v>
      </c>
      <c r="EM7" s="43">
        <f t="shared" ref="EM7:ET7" si="5">SUM(EM8:EM11)</f>
        <v>21847</v>
      </c>
      <c r="EN7" s="43">
        <f t="shared" si="5"/>
        <v>21543</v>
      </c>
      <c r="EO7" s="43">
        <f t="shared" si="5"/>
        <v>22043</v>
      </c>
      <c r="EP7" s="43">
        <f t="shared" si="5"/>
        <v>23183</v>
      </c>
      <c r="EQ7" s="43">
        <f t="shared" si="5"/>
        <v>24636</v>
      </c>
      <c r="ER7" s="43">
        <f t="shared" si="5"/>
        <v>27125</v>
      </c>
      <c r="ES7" s="43">
        <f t="shared" si="5"/>
        <v>29320</v>
      </c>
      <c r="ET7" s="43">
        <f t="shared" si="5"/>
        <v>30538</v>
      </c>
      <c r="EW7" s="9">
        <f t="shared" ref="EW7:EW13" si="6">$CI7</f>
        <v>101</v>
      </c>
      <c r="EX7" s="21" t="str">
        <f>$CJ7</f>
        <v>Wasatch Front</v>
      </c>
      <c r="EY7" s="43">
        <f>SUM(EY8:EY11)</f>
        <v>934825</v>
      </c>
      <c r="EZ7" s="43">
        <f>SUM(EZ8:EZ11)</f>
        <v>949504</v>
      </c>
      <c r="FA7" s="43">
        <f t="shared" ref="FA7:FH7" si="7">SUM(FA8:FA11)</f>
        <v>963815</v>
      </c>
      <c r="FB7" s="43">
        <f t="shared" si="7"/>
        <v>971641</v>
      </c>
      <c r="FC7" s="43">
        <f t="shared" si="7"/>
        <v>991634</v>
      </c>
      <c r="FD7" s="43">
        <f t="shared" si="7"/>
        <v>1021606</v>
      </c>
      <c r="FE7" s="43">
        <f t="shared" si="7"/>
        <v>1051186</v>
      </c>
      <c r="FF7" s="43">
        <f t="shared" si="7"/>
        <v>1080109</v>
      </c>
      <c r="FG7" s="43">
        <f t="shared" si="7"/>
        <v>1110955</v>
      </c>
      <c r="FH7" s="43">
        <f t="shared" si="7"/>
        <v>1145178</v>
      </c>
      <c r="FJ7" s="9">
        <f t="shared" ref="FJ7:FJ13" si="8">$CI7</f>
        <v>101</v>
      </c>
      <c r="FK7" s="21" t="str">
        <f>$CJ7</f>
        <v>Wasatch Front</v>
      </c>
      <c r="FL7" s="43">
        <f>SUM(FL8:FL11)</f>
        <v>43040</v>
      </c>
      <c r="FM7" s="43">
        <f>SUM(FM8:FM11)</f>
        <v>44564</v>
      </c>
      <c r="FN7" s="43">
        <f t="shared" ref="FN7:FU7" si="9">SUM(FN8:FN11)</f>
        <v>44321</v>
      </c>
      <c r="FO7" s="43">
        <f t="shared" si="9"/>
        <v>46110</v>
      </c>
      <c r="FP7" s="43">
        <f t="shared" si="9"/>
        <v>48440</v>
      </c>
      <c r="FQ7" s="43">
        <f t="shared" si="9"/>
        <v>52775</v>
      </c>
      <c r="FR7" s="43">
        <f t="shared" si="9"/>
        <v>55860</v>
      </c>
      <c r="FS7" s="43">
        <f t="shared" si="9"/>
        <v>61776</v>
      </c>
      <c r="FT7" s="43">
        <f t="shared" si="9"/>
        <v>67021</v>
      </c>
      <c r="FU7" s="43">
        <f t="shared" si="9"/>
        <v>72331</v>
      </c>
      <c r="FW7" s="9">
        <f t="shared" ref="FW7:FW13" si="10">$CI7</f>
        <v>101</v>
      </c>
      <c r="FX7" s="21" t="str">
        <f>$CJ7</f>
        <v>Wasatch Front</v>
      </c>
      <c r="FY7" s="43">
        <f>SUM(FY8:FY11)</f>
        <v>6818</v>
      </c>
      <c r="FZ7" s="43">
        <f>SUM(FZ8:FZ11)</f>
        <v>6858</v>
      </c>
      <c r="GA7" s="43">
        <f t="shared" ref="GA7:GH7" si="11">SUM(GA8:GA11)</f>
        <v>6765</v>
      </c>
      <c r="GB7" s="43">
        <f t="shared" si="11"/>
        <v>6729</v>
      </c>
      <c r="GC7" s="43">
        <f t="shared" si="11"/>
        <v>7273</v>
      </c>
      <c r="GD7" s="43">
        <f t="shared" si="11"/>
        <v>8231</v>
      </c>
      <c r="GE7" s="43">
        <f t="shared" si="11"/>
        <v>8891</v>
      </c>
      <c r="GF7" s="43">
        <f t="shared" si="11"/>
        <v>10376</v>
      </c>
      <c r="GG7" s="43">
        <f t="shared" si="11"/>
        <v>11410</v>
      </c>
      <c r="GH7" s="43">
        <f t="shared" si="11"/>
        <v>11780</v>
      </c>
      <c r="GJ7" s="9">
        <f t="shared" ref="GJ7:GJ13" si="12">$CI7</f>
        <v>101</v>
      </c>
      <c r="GK7" s="21" t="str">
        <f>$CJ7</f>
        <v>Wasatch Front</v>
      </c>
      <c r="GL7" s="43">
        <f>SUM(GL8:GL11)</f>
        <v>15764</v>
      </c>
      <c r="GM7" s="43">
        <f>SUM(GM8:GM11)</f>
        <v>15566</v>
      </c>
      <c r="GN7" s="43">
        <f t="shared" ref="GN7:GU7" si="13">SUM(GN8:GN11)</f>
        <v>15082</v>
      </c>
      <c r="GO7" s="43">
        <f t="shared" si="13"/>
        <v>14814</v>
      </c>
      <c r="GP7" s="43">
        <f t="shared" si="13"/>
        <v>14770</v>
      </c>
      <c r="GQ7" s="43">
        <f t="shared" si="13"/>
        <v>14952</v>
      </c>
      <c r="GR7" s="43">
        <f t="shared" si="13"/>
        <v>15745</v>
      </c>
      <c r="GS7" s="43">
        <f t="shared" si="13"/>
        <v>16749</v>
      </c>
      <c r="GT7" s="43">
        <f t="shared" si="13"/>
        <v>17910</v>
      </c>
      <c r="GU7" s="43">
        <f t="shared" si="13"/>
        <v>18758</v>
      </c>
    </row>
    <row r="8" spans="2:203" x14ac:dyDescent="0.25">
      <c r="AX8" s="15"/>
      <c r="AY8" s="39" t="s">
        <v>618</v>
      </c>
      <c r="AZ8" s="40">
        <f>INDEX($CX$7:$DG$13, MATCH(AY5, $CW$7:$CW$13,0), MATCH(AZ$6, $CX$6:$DG$6, 0))</f>
        <v>2.1884309897574412E-2</v>
      </c>
      <c r="BA8" s="40">
        <f>INDEX($CX$7:$DG$13, MATCH(AY5, $CW$7:$CW$13,0), MATCH(BA$6, $CX$6:$DG$6, 0))</f>
        <v>2.3317437314640064E-2</v>
      </c>
      <c r="BB8" s="40">
        <f>INDEX($CX$7:$DG$13, MATCH(AY5, $CW$7:$CW$13,0), MATCH(BB$6, $CX$6:$DG$6, 0))</f>
        <v>2.3317752888261753E-2</v>
      </c>
      <c r="BC8" s="40">
        <f>INDEX($CX$7:$DG$13, MATCH(AY5, $CW$7:$CW$13,0), MATCH(BC$6, $CX$6:$DG$6, 0))</f>
        <v>2.5284029801130252E-2</v>
      </c>
      <c r="BD8" s="40">
        <f>INDEX($CX$7:$DG$13, MATCH(AY5, $CW$7:$CW$13,0), MATCH(BD$6, $CX$6:$DG$6, 0))</f>
        <v>2.6619700413660685E-2</v>
      </c>
      <c r="BE8" s="40">
        <f>INDEX($CX$7:$DG$13, MATCH(AY5, $CW$7:$CW$13,0), MATCH(BE$6, $CX$6:$DG$6, 0))</f>
        <v>2.8966157207377403E-2</v>
      </c>
      <c r="BF8" s="40">
        <f>INDEX($CX$7:$DG$13, MATCH(AY5, $CW$7:$CW$13,0), MATCH(BF$6, $CX$6:$DG$6, 0))</f>
        <v>2.9703591942815067E-2</v>
      </c>
      <c r="BG8" s="40">
        <f>INDEX($CX$7:$DG$13, MATCH(AY5, $CW$7:$CW$13,0), MATCH(BG$6, $CX$6:$DG$6, 0))</f>
        <v>3.2081021452464518E-2</v>
      </c>
      <c r="BH8" s="40">
        <f>INDEX($CX$7:$DG$13, MATCH(AY5, $CW$7:$CW$13,0), MATCH(BH$6, $CX$6:$DG$6, 0))</f>
        <v>3.3935667961348573E-2</v>
      </c>
      <c r="BI8" s="40">
        <f>INDEX($CX$7:$DG$13, MATCH(AY5, $CW$7:$CW$13,0), MATCH(BI$6, $CX$6:$DG$6, 0))</f>
        <v>3.6494763259510746E-2</v>
      </c>
      <c r="CI8" s="15">
        <v>57</v>
      </c>
      <c r="CJ8" s="37" t="str">
        <f t="shared" si="0"/>
        <v>Weber</v>
      </c>
      <c r="CK8" s="44">
        <f t="shared" ref="CK8:CL13" si="14">CX8 + DK8</f>
        <v>3.1489477574201577E-2</v>
      </c>
      <c r="CL8" s="44">
        <f t="shared" si="14"/>
        <v>3.4236569958111238E-2</v>
      </c>
      <c r="CM8" s="44">
        <f t="shared" si="1"/>
        <v>3.2300392701271288E-2</v>
      </c>
      <c r="CN8" s="44">
        <f t="shared" si="1"/>
        <v>3.3006032235352326E-2</v>
      </c>
      <c r="CO8" s="44">
        <f t="shared" si="1"/>
        <v>3.572294663010428E-2</v>
      </c>
      <c r="CP8" s="44">
        <f t="shared" si="1"/>
        <v>4.1130466022458248E-2</v>
      </c>
      <c r="CQ8" s="44">
        <f t="shared" si="1"/>
        <v>4.1244982444167064E-2</v>
      </c>
      <c r="CR8" s="44">
        <f t="shared" si="1"/>
        <v>4.6252189141856394E-2</v>
      </c>
      <c r="CS8" s="44">
        <f t="shared" si="1"/>
        <v>4.8962571023330473E-2</v>
      </c>
      <c r="CT8" s="44">
        <f t="shared" si="1"/>
        <v>5.4330715151115538E-2</v>
      </c>
      <c r="CV8" s="9">
        <f t="shared" ref="CV8:CV13" si="15">$CI8</f>
        <v>57</v>
      </c>
      <c r="CW8" s="21" t="str">
        <f t="shared" ref="CW8:CW13" si="16">$CJ8</f>
        <v>Weber</v>
      </c>
      <c r="CX8" s="40">
        <f t="shared" ref="CX8:CY13" si="17">IFERROR(DX8/EY8, 0)</f>
        <v>1.4684716225152682E-2</v>
      </c>
      <c r="CY8" s="40">
        <f t="shared" si="17"/>
        <v>1.655235128520156E-2</v>
      </c>
      <c r="CZ8" s="40">
        <f t="shared" si="2"/>
        <v>1.6069374055092279E-2</v>
      </c>
      <c r="DA8" s="40">
        <f t="shared" si="2"/>
        <v>1.7601948583281003E-2</v>
      </c>
      <c r="DB8" s="40">
        <f t="shared" si="2"/>
        <v>1.8449083142126961E-2</v>
      </c>
      <c r="DC8" s="40">
        <f t="shared" si="2"/>
        <v>2.2089777720460221E-2</v>
      </c>
      <c r="DD8" s="40">
        <f t="shared" si="2"/>
        <v>2.2162555339038603E-2</v>
      </c>
      <c r="DE8" s="40">
        <f t="shared" si="2"/>
        <v>2.447460595446585E-2</v>
      </c>
      <c r="DF8" s="40">
        <f t="shared" si="2"/>
        <v>2.716085032655869E-2</v>
      </c>
      <c r="DG8" s="40">
        <f t="shared" si="2"/>
        <v>3.1508847697620558E-2</v>
      </c>
      <c r="DI8" s="9">
        <f t="shared" ref="DI8:DI13" si="18">$CI8</f>
        <v>57</v>
      </c>
      <c r="DJ8" s="21" t="str">
        <f t="shared" ref="DJ8:DJ13" si="19">$CJ8</f>
        <v>Weber</v>
      </c>
      <c r="DK8" s="40">
        <f t="shared" ref="DK8:DL13" si="20">IFERROR(EK8/EY8, 0)</f>
        <v>1.6804761349048899E-2</v>
      </c>
      <c r="DL8" s="40">
        <f t="shared" si="20"/>
        <v>1.7684218672909674E-2</v>
      </c>
      <c r="DM8" s="40">
        <f t="shared" si="3"/>
        <v>1.6231018646179006E-2</v>
      </c>
      <c r="DN8" s="40">
        <f t="shared" si="3"/>
        <v>1.5404083652071321E-2</v>
      </c>
      <c r="DO8" s="40">
        <f t="shared" si="3"/>
        <v>1.7273863487977315E-2</v>
      </c>
      <c r="DP8" s="40">
        <f t="shared" si="3"/>
        <v>1.9040688301998027E-2</v>
      </c>
      <c r="DQ8" s="40">
        <f t="shared" si="3"/>
        <v>1.9082427105128457E-2</v>
      </c>
      <c r="DR8" s="40">
        <f t="shared" si="3"/>
        <v>2.1777583187390544E-2</v>
      </c>
      <c r="DS8" s="40">
        <f t="shared" si="3"/>
        <v>2.1801720696771783E-2</v>
      </c>
      <c r="DT8" s="40">
        <f t="shared" si="3"/>
        <v>2.2821867453494984E-2</v>
      </c>
      <c r="DV8" s="9">
        <f t="shared" ref="DV8:DV13" si="21">$CI8</f>
        <v>57</v>
      </c>
      <c r="DW8" s="21" t="str">
        <f t="shared" ref="DW8:DW13" si="22">$CJ8</f>
        <v>Weber</v>
      </c>
      <c r="DX8" s="45">
        <f t="shared" ref="DX8" si="23">DX45</f>
        <v>1510</v>
      </c>
      <c r="DY8" s="45">
        <f t="shared" ref="DY8:EG8" si="24">DY45</f>
        <v>1711</v>
      </c>
      <c r="DZ8" s="45">
        <f t="shared" si="24"/>
        <v>1690</v>
      </c>
      <c r="EA8" s="45">
        <f t="shared" si="24"/>
        <v>1850</v>
      </c>
      <c r="EB8" s="45">
        <f t="shared" si="24"/>
        <v>1978</v>
      </c>
      <c r="EC8" s="45">
        <f t="shared" si="24"/>
        <v>2398</v>
      </c>
      <c r="ED8" s="45">
        <f t="shared" si="24"/>
        <v>2468</v>
      </c>
      <c r="EE8" s="45">
        <f t="shared" si="24"/>
        <v>2795</v>
      </c>
      <c r="EF8" s="45">
        <f t="shared" si="24"/>
        <v>3198</v>
      </c>
      <c r="EG8" s="45">
        <f t="shared" si="24"/>
        <v>3823</v>
      </c>
      <c r="EI8" s="9">
        <f t="shared" ref="EI8:EI13" si="25">$CI8</f>
        <v>57</v>
      </c>
      <c r="EJ8" s="21" t="str">
        <f t="shared" ref="EJ8:EJ13" si="26">$CJ8</f>
        <v>Weber</v>
      </c>
      <c r="EK8" s="45">
        <f t="shared" ref="EK8" si="27">EK45</f>
        <v>1728</v>
      </c>
      <c r="EL8" s="45">
        <f t="shared" ref="EL8:ET8" si="28">EL45</f>
        <v>1828</v>
      </c>
      <c r="EM8" s="45">
        <f t="shared" si="28"/>
        <v>1707</v>
      </c>
      <c r="EN8" s="45">
        <f t="shared" si="28"/>
        <v>1619</v>
      </c>
      <c r="EO8" s="45">
        <f t="shared" si="28"/>
        <v>1852</v>
      </c>
      <c r="EP8" s="45">
        <f t="shared" si="28"/>
        <v>2067</v>
      </c>
      <c r="EQ8" s="45">
        <f t="shared" si="28"/>
        <v>2125</v>
      </c>
      <c r="ER8" s="45">
        <f t="shared" si="28"/>
        <v>2487</v>
      </c>
      <c r="ES8" s="45">
        <f t="shared" si="28"/>
        <v>2567</v>
      </c>
      <c r="ET8" s="45">
        <f t="shared" si="28"/>
        <v>2769</v>
      </c>
      <c r="EW8" s="9">
        <f t="shared" si="6"/>
        <v>57</v>
      </c>
      <c r="EX8" s="21" t="str">
        <f t="shared" ref="EX8:EX13" si="29">$CJ8</f>
        <v>Weber</v>
      </c>
      <c r="EY8" s="45">
        <f t="shared" ref="EY8:FH8" si="30">EY45</f>
        <v>102828</v>
      </c>
      <c r="EZ8" s="45">
        <f t="shared" si="30"/>
        <v>103369</v>
      </c>
      <c r="FA8" s="45">
        <f t="shared" si="30"/>
        <v>105169</v>
      </c>
      <c r="FB8" s="45">
        <f t="shared" si="30"/>
        <v>105102</v>
      </c>
      <c r="FC8" s="45">
        <f t="shared" si="30"/>
        <v>107214</v>
      </c>
      <c r="FD8" s="45">
        <f t="shared" si="30"/>
        <v>108557</v>
      </c>
      <c r="FE8" s="45">
        <f t="shared" si="30"/>
        <v>111359</v>
      </c>
      <c r="FF8" s="45">
        <f t="shared" si="30"/>
        <v>114200</v>
      </c>
      <c r="FG8" s="45">
        <f t="shared" si="30"/>
        <v>117743</v>
      </c>
      <c r="FH8" s="45">
        <f t="shared" si="30"/>
        <v>121331</v>
      </c>
      <c r="FJ8" s="9">
        <f t="shared" si="8"/>
        <v>57</v>
      </c>
      <c r="FK8" s="21" t="str">
        <f t="shared" ref="FK8:FK13" si="31">$CJ8</f>
        <v>Weber</v>
      </c>
      <c r="FL8" s="45">
        <f t="shared" ref="FL8:FU8" si="32">FL45</f>
        <v>3238</v>
      </c>
      <c r="FM8" s="45">
        <f t="shared" si="32"/>
        <v>3539</v>
      </c>
      <c r="FN8" s="45">
        <f t="shared" si="32"/>
        <v>3397</v>
      </c>
      <c r="FO8" s="45">
        <f t="shared" si="32"/>
        <v>3469</v>
      </c>
      <c r="FP8" s="45">
        <f t="shared" si="32"/>
        <v>3830</v>
      </c>
      <c r="FQ8" s="45">
        <f t="shared" si="32"/>
        <v>4465</v>
      </c>
      <c r="FR8" s="45">
        <f t="shared" si="32"/>
        <v>4593</v>
      </c>
      <c r="FS8" s="45">
        <f t="shared" si="32"/>
        <v>5282</v>
      </c>
      <c r="FT8" s="45">
        <f t="shared" si="32"/>
        <v>5765</v>
      </c>
      <c r="FU8" s="45">
        <f t="shared" si="32"/>
        <v>6592</v>
      </c>
      <c r="FW8" s="9">
        <f t="shared" si="10"/>
        <v>57</v>
      </c>
      <c r="FX8" s="21" t="str">
        <f t="shared" ref="FX8:FX13" si="33">$CJ8</f>
        <v>Weber</v>
      </c>
      <c r="FY8" s="45">
        <f t="shared" ref="FY8:GH8" si="34">FY45</f>
        <v>537</v>
      </c>
      <c r="FZ8" s="45">
        <f t="shared" si="34"/>
        <v>582</v>
      </c>
      <c r="GA8" s="45">
        <f t="shared" si="34"/>
        <v>573</v>
      </c>
      <c r="GB8" s="45">
        <f t="shared" si="34"/>
        <v>534</v>
      </c>
      <c r="GC8" s="45">
        <f t="shared" si="34"/>
        <v>666</v>
      </c>
      <c r="GD8" s="45">
        <f t="shared" si="34"/>
        <v>846</v>
      </c>
      <c r="GE8" s="45">
        <f t="shared" si="34"/>
        <v>923</v>
      </c>
      <c r="GF8" s="45">
        <f t="shared" si="34"/>
        <v>1103</v>
      </c>
      <c r="GG8" s="45">
        <f t="shared" si="34"/>
        <v>1229</v>
      </c>
      <c r="GH8" s="45">
        <f t="shared" si="34"/>
        <v>1324</v>
      </c>
      <c r="GJ8" s="9">
        <f t="shared" si="12"/>
        <v>57</v>
      </c>
      <c r="GK8" s="21" t="str">
        <f t="shared" ref="GK8:GK13" si="35">$CJ8</f>
        <v>Weber</v>
      </c>
      <c r="GL8" s="45">
        <f t="shared" ref="GL8" si="36">GL45</f>
        <v>1191</v>
      </c>
      <c r="GM8" s="45">
        <f t="shared" ref="GM8:GU8" si="37">GM45</f>
        <v>1246</v>
      </c>
      <c r="GN8" s="45">
        <f t="shared" si="37"/>
        <v>1134</v>
      </c>
      <c r="GO8" s="45">
        <f t="shared" si="37"/>
        <v>1085</v>
      </c>
      <c r="GP8" s="45">
        <f t="shared" si="37"/>
        <v>1186</v>
      </c>
      <c r="GQ8" s="45">
        <f t="shared" si="37"/>
        <v>1221</v>
      </c>
      <c r="GR8" s="45">
        <f t="shared" si="37"/>
        <v>1202</v>
      </c>
      <c r="GS8" s="45">
        <f t="shared" si="37"/>
        <v>1384</v>
      </c>
      <c r="GT8" s="45">
        <f t="shared" si="37"/>
        <v>1338</v>
      </c>
      <c r="GU8" s="45">
        <f t="shared" si="37"/>
        <v>1445</v>
      </c>
    </row>
    <row r="9" spans="2:203" x14ac:dyDescent="0.25">
      <c r="AX9" s="15"/>
      <c r="AY9" s="39" t="s">
        <v>619</v>
      </c>
      <c r="AZ9" s="41">
        <f>SUM(AZ7:AZ8)</f>
        <v>4.6040702805337896E-2</v>
      </c>
      <c r="BA9" s="41">
        <f t="shared" ref="BA9:BI9" si="38">SUM(BA7:BA8)</f>
        <v>4.6933978161229441E-2</v>
      </c>
      <c r="BB9" s="41">
        <f t="shared" si="38"/>
        <v>4.5984965994511393E-2</v>
      </c>
      <c r="BC9" s="41">
        <f t="shared" si="38"/>
        <v>4.7455799003953109E-2</v>
      </c>
      <c r="BD9" s="41">
        <f t="shared" si="38"/>
        <v>4.8848667956120903E-2</v>
      </c>
      <c r="BE9" s="41">
        <f t="shared" si="38"/>
        <v>5.1658858698950476E-2</v>
      </c>
      <c r="BF9" s="41">
        <f t="shared" si="38"/>
        <v>5.3139977130593444E-2</v>
      </c>
      <c r="BG9" s="41">
        <f t="shared" si="38"/>
        <v>5.719422761961987E-2</v>
      </c>
      <c r="BH9" s="41">
        <f t="shared" si="38"/>
        <v>6.0327375996327488E-2</v>
      </c>
      <c r="BI9" s="41">
        <f t="shared" si="38"/>
        <v>6.3161360068041822E-2</v>
      </c>
      <c r="CI9" s="15">
        <v>11</v>
      </c>
      <c r="CJ9" s="37" t="str">
        <f t="shared" si="0"/>
        <v>Davis</v>
      </c>
      <c r="CK9" s="44">
        <f t="shared" si="14"/>
        <v>4.4575680975922571E-2</v>
      </c>
      <c r="CL9" s="44">
        <f t="shared" si="14"/>
        <v>4.7153855126560132E-2</v>
      </c>
      <c r="CM9" s="44">
        <f t="shared" si="1"/>
        <v>4.5106260975522346E-2</v>
      </c>
      <c r="CN9" s="44">
        <f t="shared" si="1"/>
        <v>4.7290962297923116E-2</v>
      </c>
      <c r="CO9" s="44">
        <f t="shared" si="1"/>
        <v>4.9455061731831909E-2</v>
      </c>
      <c r="CP9" s="44">
        <f t="shared" si="1"/>
        <v>5.2148088150923019E-2</v>
      </c>
      <c r="CQ9" s="44">
        <f t="shared" si="1"/>
        <v>5.1999209538238583E-2</v>
      </c>
      <c r="CR9" s="44">
        <f t="shared" si="1"/>
        <v>5.548349813792218E-2</v>
      </c>
      <c r="CS9" s="44">
        <f t="shared" si="1"/>
        <v>5.8273372245144409E-2</v>
      </c>
      <c r="CT9" s="44">
        <f t="shared" si="1"/>
        <v>5.8858595812499241E-2</v>
      </c>
      <c r="CV9" s="9">
        <f t="shared" si="15"/>
        <v>11</v>
      </c>
      <c r="CW9" s="21" t="str">
        <f t="shared" si="16"/>
        <v>Davis</v>
      </c>
      <c r="CX9" s="40">
        <f t="shared" si="17"/>
        <v>2.0632470602271288E-2</v>
      </c>
      <c r="CY9" s="40">
        <f t="shared" si="17"/>
        <v>2.5479703720984487E-2</v>
      </c>
      <c r="CZ9" s="40">
        <f t="shared" si="2"/>
        <v>2.3610364476937963E-2</v>
      </c>
      <c r="DA9" s="40">
        <f t="shared" si="2"/>
        <v>2.5847373355683722E-2</v>
      </c>
      <c r="DB9" s="40">
        <f t="shared" si="2"/>
        <v>2.831869493200451E-2</v>
      </c>
      <c r="DC9" s="40">
        <f t="shared" si="2"/>
        <v>3.1001316189126254E-2</v>
      </c>
      <c r="DD9" s="40">
        <f t="shared" si="2"/>
        <v>3.0590870166655688E-2</v>
      </c>
      <c r="DE9" s="40">
        <f t="shared" si="2"/>
        <v>3.4743803775523309E-2</v>
      </c>
      <c r="DF9" s="40">
        <f t="shared" si="2"/>
        <v>3.547977256717319E-2</v>
      </c>
      <c r="DG9" s="40">
        <f t="shared" si="2"/>
        <v>3.6449018820638224E-2</v>
      </c>
      <c r="DI9" s="9">
        <f t="shared" si="18"/>
        <v>11</v>
      </c>
      <c r="DJ9" s="21" t="str">
        <f t="shared" si="19"/>
        <v>Davis</v>
      </c>
      <c r="DK9" s="40">
        <f t="shared" si="20"/>
        <v>2.3943210373651283E-2</v>
      </c>
      <c r="DL9" s="40">
        <f t="shared" si="20"/>
        <v>2.1674151405575645E-2</v>
      </c>
      <c r="DM9" s="40">
        <f t="shared" si="3"/>
        <v>2.1495896498584383E-2</v>
      </c>
      <c r="DN9" s="40">
        <f t="shared" si="3"/>
        <v>2.1443588942239394E-2</v>
      </c>
      <c r="DO9" s="40">
        <f t="shared" si="3"/>
        <v>2.1136366799827402E-2</v>
      </c>
      <c r="DP9" s="40">
        <f t="shared" si="3"/>
        <v>2.1146771961796765E-2</v>
      </c>
      <c r="DQ9" s="40">
        <f t="shared" si="3"/>
        <v>2.1408339371582898E-2</v>
      </c>
      <c r="DR9" s="40">
        <f t="shared" si="3"/>
        <v>2.0739694362398871E-2</v>
      </c>
      <c r="DS9" s="40">
        <f t="shared" si="3"/>
        <v>2.2793599677971219E-2</v>
      </c>
      <c r="DT9" s="40">
        <f t="shared" si="3"/>
        <v>2.2409576991861017E-2</v>
      </c>
      <c r="DV9" s="9">
        <f t="shared" si="21"/>
        <v>11</v>
      </c>
      <c r="DW9" s="21" t="str">
        <f t="shared" si="22"/>
        <v>Davis</v>
      </c>
      <c r="DX9" s="45">
        <f t="shared" ref="DX9" si="39">DX22</f>
        <v>2767</v>
      </c>
      <c r="DY9" s="45">
        <f t="shared" ref="DY9:EG9" si="40">DY22</f>
        <v>3495</v>
      </c>
      <c r="DZ9" s="45">
        <f t="shared" si="40"/>
        <v>3294</v>
      </c>
      <c r="EA9" s="45">
        <f t="shared" si="40"/>
        <v>3639</v>
      </c>
      <c r="EB9" s="45">
        <f t="shared" si="40"/>
        <v>4069</v>
      </c>
      <c r="EC9" s="45">
        <f t="shared" si="40"/>
        <v>4593</v>
      </c>
      <c r="ED9" s="45">
        <f t="shared" si="40"/>
        <v>4644</v>
      </c>
      <c r="EE9" s="45">
        <f t="shared" si="40"/>
        <v>5411</v>
      </c>
      <c r="EF9" s="45">
        <f t="shared" si="40"/>
        <v>5641</v>
      </c>
      <c r="EG9" s="45">
        <f t="shared" si="40"/>
        <v>5992</v>
      </c>
      <c r="EI9" s="9">
        <f t="shared" si="25"/>
        <v>11</v>
      </c>
      <c r="EJ9" s="21" t="str">
        <f t="shared" si="26"/>
        <v>Davis</v>
      </c>
      <c r="EK9" s="45">
        <f t="shared" ref="EK9" si="41">EK22</f>
        <v>3211</v>
      </c>
      <c r="EL9" s="45">
        <f t="shared" ref="EL9:ET9" si="42">EL22</f>
        <v>2973</v>
      </c>
      <c r="EM9" s="45">
        <f t="shared" si="42"/>
        <v>2999</v>
      </c>
      <c r="EN9" s="45">
        <f t="shared" si="42"/>
        <v>3019</v>
      </c>
      <c r="EO9" s="45">
        <f t="shared" si="42"/>
        <v>3037</v>
      </c>
      <c r="EP9" s="45">
        <f t="shared" si="42"/>
        <v>3133</v>
      </c>
      <c r="EQ9" s="45">
        <f t="shared" si="42"/>
        <v>3250</v>
      </c>
      <c r="ER9" s="45">
        <f t="shared" si="42"/>
        <v>3230</v>
      </c>
      <c r="ES9" s="45">
        <f t="shared" si="42"/>
        <v>3624</v>
      </c>
      <c r="ET9" s="45">
        <f t="shared" si="42"/>
        <v>3684</v>
      </c>
      <c r="EW9" s="9">
        <f t="shared" si="6"/>
        <v>11</v>
      </c>
      <c r="EX9" s="21" t="str">
        <f t="shared" si="29"/>
        <v>Davis</v>
      </c>
      <c r="EY9" s="45">
        <f t="shared" ref="EY9:FH9" si="43">EY22</f>
        <v>134109</v>
      </c>
      <c r="EZ9" s="45">
        <f t="shared" si="43"/>
        <v>137168</v>
      </c>
      <c r="FA9" s="45">
        <f t="shared" si="43"/>
        <v>139515</v>
      </c>
      <c r="FB9" s="45">
        <f t="shared" si="43"/>
        <v>140788</v>
      </c>
      <c r="FC9" s="45">
        <f t="shared" si="43"/>
        <v>143686</v>
      </c>
      <c r="FD9" s="45">
        <f t="shared" si="43"/>
        <v>148155</v>
      </c>
      <c r="FE9" s="45">
        <f t="shared" si="43"/>
        <v>151810</v>
      </c>
      <c r="FF9" s="45">
        <f t="shared" si="43"/>
        <v>155740</v>
      </c>
      <c r="FG9" s="45">
        <f t="shared" si="43"/>
        <v>158992</v>
      </c>
      <c r="FH9" s="45">
        <f t="shared" si="43"/>
        <v>164394</v>
      </c>
      <c r="FJ9" s="9">
        <f t="shared" si="8"/>
        <v>11</v>
      </c>
      <c r="FK9" s="21" t="str">
        <f t="shared" si="31"/>
        <v>Davis</v>
      </c>
      <c r="FL9" s="45">
        <f t="shared" ref="FL9:FU9" si="44">FL22</f>
        <v>5978</v>
      </c>
      <c r="FM9" s="45">
        <f t="shared" si="44"/>
        <v>6468</v>
      </c>
      <c r="FN9" s="45">
        <f t="shared" si="44"/>
        <v>6293</v>
      </c>
      <c r="FO9" s="45">
        <f t="shared" si="44"/>
        <v>6658</v>
      </c>
      <c r="FP9" s="45">
        <f t="shared" si="44"/>
        <v>7106</v>
      </c>
      <c r="FQ9" s="45">
        <f t="shared" si="44"/>
        <v>7726</v>
      </c>
      <c r="FR9" s="45">
        <f t="shared" si="44"/>
        <v>7894</v>
      </c>
      <c r="FS9" s="45">
        <f t="shared" si="44"/>
        <v>8641</v>
      </c>
      <c r="FT9" s="45">
        <f t="shared" si="44"/>
        <v>9265</v>
      </c>
      <c r="FU9" s="45">
        <f t="shared" si="44"/>
        <v>9676</v>
      </c>
      <c r="FW9" s="9">
        <f t="shared" si="10"/>
        <v>11</v>
      </c>
      <c r="FX9" s="21" t="str">
        <f t="shared" si="33"/>
        <v>Davis</v>
      </c>
      <c r="FY9" s="45">
        <f t="shared" ref="FY9:GH9" si="45">FY22</f>
        <v>879</v>
      </c>
      <c r="FZ9" s="45">
        <f t="shared" si="45"/>
        <v>805</v>
      </c>
      <c r="GA9" s="45">
        <f t="shared" si="45"/>
        <v>781</v>
      </c>
      <c r="GB9" s="45">
        <f t="shared" si="45"/>
        <v>798</v>
      </c>
      <c r="GC9" s="45">
        <f t="shared" si="45"/>
        <v>832</v>
      </c>
      <c r="GD9" s="45">
        <f t="shared" si="45"/>
        <v>957</v>
      </c>
      <c r="GE9" s="45">
        <f t="shared" si="45"/>
        <v>1053</v>
      </c>
      <c r="GF9" s="45">
        <f t="shared" si="45"/>
        <v>1218</v>
      </c>
      <c r="GG9" s="45">
        <f t="shared" si="45"/>
        <v>1423</v>
      </c>
      <c r="GH9" s="45">
        <f t="shared" si="45"/>
        <v>1626</v>
      </c>
      <c r="GJ9" s="9">
        <f t="shared" si="12"/>
        <v>11</v>
      </c>
      <c r="GK9" s="21" t="str">
        <f t="shared" si="35"/>
        <v>Davis</v>
      </c>
      <c r="GL9" s="45">
        <f t="shared" ref="GL9" si="46">GL22</f>
        <v>2332</v>
      </c>
      <c r="GM9" s="45">
        <f t="shared" ref="GM9:GU9" si="47">GM22</f>
        <v>2168</v>
      </c>
      <c r="GN9" s="45">
        <f t="shared" si="47"/>
        <v>2218</v>
      </c>
      <c r="GO9" s="45">
        <f t="shared" si="47"/>
        <v>2221</v>
      </c>
      <c r="GP9" s="45">
        <f t="shared" si="47"/>
        <v>2205</v>
      </c>
      <c r="GQ9" s="45">
        <f t="shared" si="47"/>
        <v>2176</v>
      </c>
      <c r="GR9" s="45">
        <f t="shared" si="47"/>
        <v>2197</v>
      </c>
      <c r="GS9" s="45">
        <f t="shared" si="47"/>
        <v>2012</v>
      </c>
      <c r="GT9" s="45">
        <f t="shared" si="47"/>
        <v>2201</v>
      </c>
      <c r="GU9" s="45">
        <f t="shared" si="47"/>
        <v>2058</v>
      </c>
    </row>
    <row r="10" spans="2:203" x14ac:dyDescent="0.25">
      <c r="CI10" s="15">
        <v>35</v>
      </c>
      <c r="CJ10" s="37" t="str">
        <f t="shared" si="0"/>
        <v>Salt Lake</v>
      </c>
      <c r="CK10" s="44">
        <f t="shared" si="14"/>
        <v>4.2931883777140939E-2</v>
      </c>
      <c r="CL10" s="44">
        <f t="shared" si="14"/>
        <v>4.3507812310356268E-2</v>
      </c>
      <c r="CM10" s="44">
        <f t="shared" si="1"/>
        <v>4.3455383205654799E-2</v>
      </c>
      <c r="CN10" s="44">
        <f t="shared" si="1"/>
        <v>4.4799270072992697E-2</v>
      </c>
      <c r="CO10" s="44">
        <f t="shared" si="1"/>
        <v>4.6272278307471798E-2</v>
      </c>
      <c r="CP10" s="44">
        <f t="shared" si="1"/>
        <v>4.943392229623661E-2</v>
      </c>
      <c r="CQ10" s="44">
        <f t="shared" si="1"/>
        <v>5.1318901487338614E-2</v>
      </c>
      <c r="CR10" s="44">
        <f t="shared" si="1"/>
        <v>5.5654606403053759E-2</v>
      </c>
      <c r="CS10" s="44">
        <f t="shared" si="1"/>
        <v>5.9187541387893047E-2</v>
      </c>
      <c r="CT10" s="44">
        <f t="shared" si="1"/>
        <v>6.2058519817078397E-2</v>
      </c>
      <c r="CV10" s="9">
        <f t="shared" si="15"/>
        <v>35</v>
      </c>
      <c r="CW10" s="21" t="str">
        <f t="shared" si="16"/>
        <v>Salt Lake</v>
      </c>
      <c r="CX10" s="40">
        <f t="shared" si="17"/>
        <v>2.0160525430124525E-2</v>
      </c>
      <c r="CY10" s="40">
        <f t="shared" si="17"/>
        <v>2.0714152783059707E-2</v>
      </c>
      <c r="CZ10" s="40">
        <f t="shared" si="2"/>
        <v>2.1753700810086769E-2</v>
      </c>
      <c r="DA10" s="40">
        <f t="shared" si="2"/>
        <v>2.3663122818152967E-2</v>
      </c>
      <c r="DB10" s="40">
        <f t="shared" si="2"/>
        <v>2.4920935377329097E-2</v>
      </c>
      <c r="DC10" s="40">
        <f t="shared" si="2"/>
        <v>2.7333628382186614E-2</v>
      </c>
      <c r="DD10" s="40">
        <f t="shared" si="2"/>
        <v>2.839816840761417E-2</v>
      </c>
      <c r="DE10" s="40">
        <f t="shared" si="2"/>
        <v>3.0665065095259385E-2</v>
      </c>
      <c r="DF10" s="40">
        <f t="shared" si="2"/>
        <v>3.2427029960882404E-2</v>
      </c>
      <c r="DG10" s="40">
        <f t="shared" si="2"/>
        <v>3.4882723651845166E-2</v>
      </c>
      <c r="DI10" s="9">
        <f t="shared" si="18"/>
        <v>35</v>
      </c>
      <c r="DJ10" s="21" t="str">
        <f t="shared" si="19"/>
        <v>Salt Lake</v>
      </c>
      <c r="DK10" s="40">
        <f t="shared" si="20"/>
        <v>2.2771358347016411E-2</v>
      </c>
      <c r="DL10" s="40">
        <f t="shared" si="20"/>
        <v>2.2793659527296561E-2</v>
      </c>
      <c r="DM10" s="40">
        <f t="shared" si="3"/>
        <v>2.170168239556803E-2</v>
      </c>
      <c r="DN10" s="40">
        <f t="shared" si="3"/>
        <v>2.1136147254839734E-2</v>
      </c>
      <c r="DO10" s="40">
        <f t="shared" si="3"/>
        <v>2.1351342930142705E-2</v>
      </c>
      <c r="DP10" s="40">
        <f t="shared" si="3"/>
        <v>2.2100293914049999E-2</v>
      </c>
      <c r="DQ10" s="40">
        <f t="shared" si="3"/>
        <v>2.2920733079724448E-2</v>
      </c>
      <c r="DR10" s="40">
        <f t="shared" si="3"/>
        <v>2.4989541307794374E-2</v>
      </c>
      <c r="DS10" s="40">
        <f t="shared" si="3"/>
        <v>2.6760511427010639E-2</v>
      </c>
      <c r="DT10" s="40">
        <f t="shared" si="3"/>
        <v>2.7175796165233232E-2</v>
      </c>
      <c r="DV10" s="9">
        <f t="shared" si="21"/>
        <v>35</v>
      </c>
      <c r="DW10" s="21" t="str">
        <f t="shared" si="22"/>
        <v>Salt Lake</v>
      </c>
      <c r="DX10" s="45">
        <f t="shared" ref="DX10" si="48">DX34</f>
        <v>9884</v>
      </c>
      <c r="DY10" s="45">
        <f t="shared" ref="DY10:EG10" si="49">DY34</f>
        <v>10240</v>
      </c>
      <c r="DZ10" s="45">
        <f t="shared" si="49"/>
        <v>10873</v>
      </c>
      <c r="EA10" s="45">
        <f t="shared" si="49"/>
        <v>11930</v>
      </c>
      <c r="EB10" s="45">
        <f t="shared" si="49"/>
        <v>12797</v>
      </c>
      <c r="EC10" s="45">
        <f t="shared" si="49"/>
        <v>14452</v>
      </c>
      <c r="ED10" s="45">
        <f t="shared" si="49"/>
        <v>15393</v>
      </c>
      <c r="EE10" s="45">
        <f t="shared" si="49"/>
        <v>17079</v>
      </c>
      <c r="EF10" s="45">
        <f t="shared" si="49"/>
        <v>18461</v>
      </c>
      <c r="EG10" s="45">
        <f t="shared" si="49"/>
        <v>20336</v>
      </c>
      <c r="EI10" s="9">
        <f t="shared" si="25"/>
        <v>35</v>
      </c>
      <c r="EJ10" s="21" t="str">
        <f t="shared" si="26"/>
        <v>Salt Lake</v>
      </c>
      <c r="EK10" s="45">
        <f t="shared" ref="EK10" si="50">EK34</f>
        <v>11164</v>
      </c>
      <c r="EL10" s="45">
        <f t="shared" ref="EL10:ET10" si="51">EL34</f>
        <v>11268</v>
      </c>
      <c r="EM10" s="45">
        <f t="shared" si="51"/>
        <v>10847</v>
      </c>
      <c r="EN10" s="45">
        <f t="shared" si="51"/>
        <v>10656</v>
      </c>
      <c r="EO10" s="45">
        <f t="shared" si="51"/>
        <v>10964</v>
      </c>
      <c r="EP10" s="45">
        <f t="shared" si="51"/>
        <v>11685</v>
      </c>
      <c r="EQ10" s="45">
        <f t="shared" si="51"/>
        <v>12424</v>
      </c>
      <c r="ER10" s="45">
        <f t="shared" si="51"/>
        <v>13918</v>
      </c>
      <c r="ES10" s="45">
        <f t="shared" si="51"/>
        <v>15235</v>
      </c>
      <c r="ET10" s="45">
        <f t="shared" si="51"/>
        <v>15843</v>
      </c>
      <c r="EW10" s="9">
        <f t="shared" si="6"/>
        <v>35</v>
      </c>
      <c r="EX10" s="21" t="str">
        <f t="shared" si="29"/>
        <v>Salt Lake</v>
      </c>
      <c r="EY10" s="45">
        <f t="shared" ref="EY10:FH10" si="52">EY34</f>
        <v>490265</v>
      </c>
      <c r="EZ10" s="45">
        <f t="shared" si="52"/>
        <v>494348</v>
      </c>
      <c r="FA10" s="45">
        <f t="shared" si="52"/>
        <v>499823</v>
      </c>
      <c r="FB10" s="45">
        <f t="shared" si="52"/>
        <v>504160</v>
      </c>
      <c r="FC10" s="45">
        <f t="shared" si="52"/>
        <v>513504</v>
      </c>
      <c r="FD10" s="45">
        <f t="shared" si="52"/>
        <v>528726</v>
      </c>
      <c r="FE10" s="45">
        <f t="shared" si="52"/>
        <v>542042</v>
      </c>
      <c r="FF10" s="45">
        <f t="shared" si="52"/>
        <v>556953</v>
      </c>
      <c r="FG10" s="45">
        <f t="shared" si="52"/>
        <v>569309</v>
      </c>
      <c r="FH10" s="45">
        <f t="shared" si="52"/>
        <v>582982</v>
      </c>
      <c r="FJ10" s="9">
        <f t="shared" si="8"/>
        <v>35</v>
      </c>
      <c r="FK10" s="21" t="str">
        <f t="shared" si="31"/>
        <v>Salt Lake</v>
      </c>
      <c r="FL10" s="45">
        <f t="shared" ref="FL10:FU10" si="53">FL34</f>
        <v>21048</v>
      </c>
      <c r="FM10" s="45">
        <f t="shared" si="53"/>
        <v>21508</v>
      </c>
      <c r="FN10" s="45">
        <f t="shared" si="53"/>
        <v>21720</v>
      </c>
      <c r="FO10" s="45">
        <f t="shared" si="53"/>
        <v>22586</v>
      </c>
      <c r="FP10" s="45">
        <f t="shared" si="53"/>
        <v>23761</v>
      </c>
      <c r="FQ10" s="45">
        <f t="shared" si="53"/>
        <v>26137</v>
      </c>
      <c r="FR10" s="45">
        <f t="shared" si="53"/>
        <v>27817</v>
      </c>
      <c r="FS10" s="45">
        <f t="shared" si="53"/>
        <v>30997</v>
      </c>
      <c r="FT10" s="45">
        <f t="shared" si="53"/>
        <v>33696</v>
      </c>
      <c r="FU10" s="45">
        <f t="shared" si="53"/>
        <v>36179</v>
      </c>
      <c r="FW10" s="9">
        <f t="shared" si="10"/>
        <v>35</v>
      </c>
      <c r="FX10" s="21" t="str">
        <f t="shared" si="33"/>
        <v>Salt Lake</v>
      </c>
      <c r="FY10" s="45">
        <f t="shared" ref="FY10:GH10" si="54">FY34</f>
        <v>3397</v>
      </c>
      <c r="FZ10" s="45">
        <f t="shared" si="54"/>
        <v>3406</v>
      </c>
      <c r="GA10" s="45">
        <f t="shared" si="54"/>
        <v>3293</v>
      </c>
      <c r="GB10" s="45">
        <f t="shared" si="54"/>
        <v>3194</v>
      </c>
      <c r="GC10" s="45">
        <f t="shared" si="54"/>
        <v>3560</v>
      </c>
      <c r="GD10" s="45">
        <f t="shared" si="54"/>
        <v>4111</v>
      </c>
      <c r="GE10" s="45">
        <f t="shared" si="54"/>
        <v>4474</v>
      </c>
      <c r="GF10" s="45">
        <f t="shared" si="54"/>
        <v>5127</v>
      </c>
      <c r="GG10" s="45">
        <f t="shared" si="54"/>
        <v>5687</v>
      </c>
      <c r="GH10" s="45">
        <f t="shared" si="54"/>
        <v>5565</v>
      </c>
      <c r="GJ10" s="9">
        <f t="shared" si="12"/>
        <v>35</v>
      </c>
      <c r="GK10" s="21" t="str">
        <f t="shared" si="35"/>
        <v>Salt Lake</v>
      </c>
      <c r="GL10" s="45">
        <f t="shared" ref="GL10" si="55">GL34</f>
        <v>7767</v>
      </c>
      <c r="GM10" s="45">
        <f t="shared" ref="GM10:GU10" si="56">GM34</f>
        <v>7862</v>
      </c>
      <c r="GN10" s="45">
        <f t="shared" si="56"/>
        <v>7554</v>
      </c>
      <c r="GO10" s="45">
        <f t="shared" si="56"/>
        <v>7462</v>
      </c>
      <c r="GP10" s="45">
        <f t="shared" si="56"/>
        <v>7404</v>
      </c>
      <c r="GQ10" s="45">
        <f t="shared" si="56"/>
        <v>7574</v>
      </c>
      <c r="GR10" s="45">
        <f t="shared" si="56"/>
        <v>7950</v>
      </c>
      <c r="GS10" s="45">
        <f t="shared" si="56"/>
        <v>8791</v>
      </c>
      <c r="GT10" s="45">
        <f t="shared" si="56"/>
        <v>9548</v>
      </c>
      <c r="GU10" s="45">
        <f t="shared" si="56"/>
        <v>10278</v>
      </c>
    </row>
    <row r="11" spans="2:203" x14ac:dyDescent="0.25">
      <c r="AX11" s="15">
        <v>57</v>
      </c>
      <c r="AY11" s="37" t="str">
        <f>VLOOKUP(AX11, lu_CoName, 2, FALSE)</f>
        <v>Weber</v>
      </c>
      <c r="AZ11" s="10"/>
      <c r="BA11" s="10"/>
      <c r="BB11" s="10"/>
      <c r="BC11" s="10"/>
      <c r="BD11" s="10"/>
      <c r="BE11" s="10"/>
      <c r="BF11" s="10"/>
      <c r="BG11" s="10"/>
      <c r="BH11" s="10"/>
      <c r="BI11" s="10"/>
      <c r="CI11" s="15">
        <v>49</v>
      </c>
      <c r="CJ11" s="37" t="str">
        <f t="shared" si="0"/>
        <v>Utah</v>
      </c>
      <c r="CK11" s="44">
        <f t="shared" si="14"/>
        <v>6.1534608400803381E-2</v>
      </c>
      <c r="CL11" s="44">
        <f t="shared" si="14"/>
        <v>6.0800767872369176E-2</v>
      </c>
      <c r="CM11" s="44">
        <f t="shared" si="1"/>
        <v>5.8871541393838801E-2</v>
      </c>
      <c r="CN11" s="44">
        <f t="shared" si="1"/>
        <v>6.045823160687934E-2</v>
      </c>
      <c r="CO11" s="44">
        <f t="shared" si="1"/>
        <v>6.0480570347225281E-2</v>
      </c>
      <c r="CP11" s="44">
        <f t="shared" si="1"/>
        <v>6.1172555130246269E-2</v>
      </c>
      <c r="CQ11" s="44">
        <f t="shared" si="1"/>
        <v>6.3242199410509195E-2</v>
      </c>
      <c r="CR11" s="44">
        <f t="shared" si="1"/>
        <v>6.6567673448755221E-2</v>
      </c>
      <c r="CS11" s="44">
        <f t="shared" si="1"/>
        <v>6.9060929897210757E-2</v>
      </c>
      <c r="CT11" s="44">
        <f t="shared" si="1"/>
        <v>7.1920743947828158E-2</v>
      </c>
      <c r="CV11" s="9">
        <f t="shared" si="15"/>
        <v>49</v>
      </c>
      <c r="CW11" s="21" t="str">
        <f t="shared" si="16"/>
        <v>Utah</v>
      </c>
      <c r="CX11" s="40">
        <f t="shared" si="17"/>
        <v>3.0329009791786075E-2</v>
      </c>
      <c r="CY11" s="40">
        <f t="shared" si="17"/>
        <v>3.1190155578024313E-2</v>
      </c>
      <c r="CZ11" s="40">
        <f t="shared" si="2"/>
        <v>3.0172177941525161E-2</v>
      </c>
      <c r="DA11" s="40">
        <f t="shared" si="2"/>
        <v>3.2257627791742446E-2</v>
      </c>
      <c r="DB11" s="40">
        <f t="shared" si="2"/>
        <v>3.3239449016415089E-2</v>
      </c>
      <c r="DC11" s="40">
        <f t="shared" si="2"/>
        <v>3.4505098065783682E-2</v>
      </c>
      <c r="DD11" s="40">
        <f t="shared" si="2"/>
        <v>3.5446691736965137E-2</v>
      </c>
      <c r="DE11" s="40">
        <f t="shared" si="2"/>
        <v>3.6988184001010997E-2</v>
      </c>
      <c r="DF11" s="40">
        <f t="shared" si="2"/>
        <v>3.926224279097508E-2</v>
      </c>
      <c r="DG11" s="40">
        <f t="shared" si="2"/>
        <v>4.2109298986150449E-2</v>
      </c>
      <c r="DI11" s="9">
        <f t="shared" si="18"/>
        <v>49</v>
      </c>
      <c r="DJ11" s="21" t="str">
        <f t="shared" si="19"/>
        <v>Utah</v>
      </c>
      <c r="DK11" s="40">
        <f t="shared" si="20"/>
        <v>3.1205598609017306E-2</v>
      </c>
      <c r="DL11" s="40">
        <f t="shared" si="20"/>
        <v>2.9610612294344862E-2</v>
      </c>
      <c r="DM11" s="40">
        <f t="shared" si="3"/>
        <v>2.869936345231364E-2</v>
      </c>
      <c r="DN11" s="40">
        <f t="shared" si="3"/>
        <v>2.8200603815136897E-2</v>
      </c>
      <c r="DO11" s="40">
        <f t="shared" si="3"/>
        <v>2.7241121330810192E-2</v>
      </c>
      <c r="DP11" s="40">
        <f t="shared" si="3"/>
        <v>2.6667457064462587E-2</v>
      </c>
      <c r="DQ11" s="40">
        <f t="shared" si="3"/>
        <v>2.7795507673544058E-2</v>
      </c>
      <c r="DR11" s="40">
        <f t="shared" si="3"/>
        <v>2.9579489447744217E-2</v>
      </c>
      <c r="DS11" s="40">
        <f t="shared" si="3"/>
        <v>2.9798687106235681E-2</v>
      </c>
      <c r="DT11" s="40">
        <f t="shared" si="3"/>
        <v>2.9811444961677716E-2</v>
      </c>
      <c r="DV11" s="9">
        <f t="shared" si="21"/>
        <v>49</v>
      </c>
      <c r="DW11" s="21" t="str">
        <f t="shared" si="22"/>
        <v>Utah</v>
      </c>
      <c r="DX11" s="45">
        <f t="shared" ref="DX11" si="57">DX41</f>
        <v>6297</v>
      </c>
      <c r="DY11" s="45">
        <f t="shared" ref="DY11:EG11" si="58">DY41</f>
        <v>6694</v>
      </c>
      <c r="DZ11" s="45">
        <f t="shared" si="58"/>
        <v>6617</v>
      </c>
      <c r="EA11" s="45">
        <f t="shared" si="58"/>
        <v>7148</v>
      </c>
      <c r="EB11" s="45">
        <f t="shared" si="58"/>
        <v>7553</v>
      </c>
      <c r="EC11" s="45">
        <f t="shared" si="58"/>
        <v>8149</v>
      </c>
      <c r="ED11" s="45">
        <f t="shared" si="58"/>
        <v>8719</v>
      </c>
      <c r="EE11" s="45">
        <f t="shared" si="58"/>
        <v>9366</v>
      </c>
      <c r="EF11" s="45">
        <f t="shared" si="58"/>
        <v>10401</v>
      </c>
      <c r="EG11" s="45">
        <f t="shared" si="58"/>
        <v>11642</v>
      </c>
      <c r="EI11" s="9">
        <f t="shared" si="25"/>
        <v>49</v>
      </c>
      <c r="EJ11" s="21" t="str">
        <f t="shared" si="26"/>
        <v>Utah</v>
      </c>
      <c r="EK11" s="45">
        <f t="shared" ref="EK11" si="59">EK41</f>
        <v>6479</v>
      </c>
      <c r="EL11" s="45">
        <f t="shared" ref="EL11:ET11" si="60">EL41</f>
        <v>6355</v>
      </c>
      <c r="EM11" s="45">
        <f t="shared" si="60"/>
        <v>6294</v>
      </c>
      <c r="EN11" s="45">
        <f t="shared" si="60"/>
        <v>6249</v>
      </c>
      <c r="EO11" s="45">
        <f t="shared" si="60"/>
        <v>6190</v>
      </c>
      <c r="EP11" s="45">
        <f t="shared" si="60"/>
        <v>6298</v>
      </c>
      <c r="EQ11" s="45">
        <f t="shared" si="60"/>
        <v>6837</v>
      </c>
      <c r="ER11" s="45">
        <f t="shared" si="60"/>
        <v>7490</v>
      </c>
      <c r="ES11" s="45">
        <f t="shared" si="60"/>
        <v>7894</v>
      </c>
      <c r="ET11" s="45">
        <f t="shared" si="60"/>
        <v>8242</v>
      </c>
      <c r="EW11" s="9">
        <f t="shared" si="6"/>
        <v>49</v>
      </c>
      <c r="EX11" s="21" t="str">
        <f>$CJ11</f>
        <v>Utah</v>
      </c>
      <c r="EY11" s="45">
        <f t="shared" ref="EY11:FH11" si="61">EY41</f>
        <v>207623</v>
      </c>
      <c r="EZ11" s="45">
        <f t="shared" si="61"/>
        <v>214619</v>
      </c>
      <c r="FA11" s="45">
        <f t="shared" si="61"/>
        <v>219308</v>
      </c>
      <c r="FB11" s="45">
        <f t="shared" si="61"/>
        <v>221591</v>
      </c>
      <c r="FC11" s="45">
        <f t="shared" si="61"/>
        <v>227230</v>
      </c>
      <c r="FD11" s="45">
        <f t="shared" si="61"/>
        <v>236168</v>
      </c>
      <c r="FE11" s="45">
        <f t="shared" si="61"/>
        <v>245975</v>
      </c>
      <c r="FF11" s="45">
        <f t="shared" si="61"/>
        <v>253216</v>
      </c>
      <c r="FG11" s="45">
        <f t="shared" si="61"/>
        <v>264911</v>
      </c>
      <c r="FH11" s="45">
        <f t="shared" si="61"/>
        <v>276471</v>
      </c>
      <c r="FJ11" s="9">
        <f t="shared" si="8"/>
        <v>49</v>
      </c>
      <c r="FK11" s="21" t="str">
        <f>$CJ11</f>
        <v>Utah</v>
      </c>
      <c r="FL11" s="45">
        <f t="shared" ref="FL11:FU11" si="62">FL41</f>
        <v>12776</v>
      </c>
      <c r="FM11" s="45">
        <f t="shared" si="62"/>
        <v>13049</v>
      </c>
      <c r="FN11" s="45">
        <f t="shared" si="62"/>
        <v>12911</v>
      </c>
      <c r="FO11" s="45">
        <f t="shared" si="62"/>
        <v>13397</v>
      </c>
      <c r="FP11" s="45">
        <f t="shared" si="62"/>
        <v>13743</v>
      </c>
      <c r="FQ11" s="45">
        <f t="shared" si="62"/>
        <v>14447</v>
      </c>
      <c r="FR11" s="45">
        <f t="shared" si="62"/>
        <v>15556</v>
      </c>
      <c r="FS11" s="45">
        <f t="shared" si="62"/>
        <v>16856</v>
      </c>
      <c r="FT11" s="45">
        <f t="shared" si="62"/>
        <v>18295</v>
      </c>
      <c r="FU11" s="45">
        <f t="shared" si="62"/>
        <v>19884</v>
      </c>
      <c r="FW11" s="9">
        <f t="shared" si="10"/>
        <v>49</v>
      </c>
      <c r="FX11" s="21" t="str">
        <f>$CJ11</f>
        <v>Utah</v>
      </c>
      <c r="FY11" s="45">
        <f t="shared" ref="FY11:GH11" si="63">FY41</f>
        <v>2005</v>
      </c>
      <c r="FZ11" s="45">
        <f t="shared" si="63"/>
        <v>2065</v>
      </c>
      <c r="GA11" s="45">
        <f t="shared" si="63"/>
        <v>2118</v>
      </c>
      <c r="GB11" s="45">
        <f t="shared" si="63"/>
        <v>2203</v>
      </c>
      <c r="GC11" s="45">
        <f t="shared" si="63"/>
        <v>2215</v>
      </c>
      <c r="GD11" s="45">
        <f t="shared" si="63"/>
        <v>2317</v>
      </c>
      <c r="GE11" s="45">
        <f t="shared" si="63"/>
        <v>2441</v>
      </c>
      <c r="GF11" s="45">
        <f t="shared" si="63"/>
        <v>2928</v>
      </c>
      <c r="GG11" s="45">
        <f t="shared" si="63"/>
        <v>3071</v>
      </c>
      <c r="GH11" s="45">
        <f t="shared" si="63"/>
        <v>3265</v>
      </c>
      <c r="GJ11" s="9">
        <f t="shared" si="12"/>
        <v>49</v>
      </c>
      <c r="GK11" s="21" t="str">
        <f>$CJ11</f>
        <v>Utah</v>
      </c>
      <c r="GL11" s="45">
        <f t="shared" ref="GL11" si="64">GL41</f>
        <v>4474</v>
      </c>
      <c r="GM11" s="45">
        <f t="shared" ref="GM11:GU11" si="65">GM41</f>
        <v>4290</v>
      </c>
      <c r="GN11" s="45">
        <f t="shared" si="65"/>
        <v>4176</v>
      </c>
      <c r="GO11" s="45">
        <f t="shared" si="65"/>
        <v>4046</v>
      </c>
      <c r="GP11" s="45">
        <f t="shared" si="65"/>
        <v>3975</v>
      </c>
      <c r="GQ11" s="45">
        <f t="shared" si="65"/>
        <v>3981</v>
      </c>
      <c r="GR11" s="45">
        <f t="shared" si="65"/>
        <v>4396</v>
      </c>
      <c r="GS11" s="45">
        <f t="shared" si="65"/>
        <v>4562</v>
      </c>
      <c r="GT11" s="45">
        <f t="shared" si="65"/>
        <v>4823</v>
      </c>
      <c r="GU11" s="45">
        <f t="shared" si="65"/>
        <v>4977</v>
      </c>
    </row>
    <row r="12" spans="2:203" x14ac:dyDescent="0.25">
      <c r="AX12" s="10"/>
      <c r="AY12" s="38"/>
      <c r="AZ12" s="2">
        <v>2010</v>
      </c>
      <c r="BA12" s="2">
        <v>2011</v>
      </c>
      <c r="BB12" s="2">
        <v>2012</v>
      </c>
      <c r="BC12" s="2">
        <v>2013</v>
      </c>
      <c r="BD12" s="2">
        <v>2014</v>
      </c>
      <c r="BE12" s="2">
        <v>2015</v>
      </c>
      <c r="BF12" s="2">
        <v>2016</v>
      </c>
      <c r="BG12" s="2">
        <v>2017</v>
      </c>
      <c r="BH12" s="2">
        <v>2018</v>
      </c>
      <c r="BI12" s="2">
        <v>2019</v>
      </c>
      <c r="CI12" s="15">
        <v>1049</v>
      </c>
      <c r="CJ12" s="37" t="str">
        <f t="shared" si="0"/>
        <v>State of Utah</v>
      </c>
      <c r="CK12" s="41">
        <f t="shared" si="14"/>
        <v>4.824796714234892E-2</v>
      </c>
      <c r="CL12" s="41">
        <f t="shared" si="14"/>
        <v>4.8146251420070105E-2</v>
      </c>
      <c r="CM12" s="41">
        <f t="shared" si="1"/>
        <v>4.7170407587715971E-2</v>
      </c>
      <c r="CN12" s="41">
        <f t="shared" si="1"/>
        <v>4.8242531662858947E-2</v>
      </c>
      <c r="CO12" s="41">
        <f t="shared" si="1"/>
        <v>4.8818052721095066E-2</v>
      </c>
      <c r="CP12" s="41">
        <f t="shared" si="1"/>
        <v>5.1301418848072343E-2</v>
      </c>
      <c r="CQ12" s="41">
        <f t="shared" si="1"/>
        <v>5.3654325724151158E-2</v>
      </c>
      <c r="CR12" s="41">
        <f t="shared" si="1"/>
        <v>5.7712072667975789E-2</v>
      </c>
      <c r="CS12" s="41">
        <f t="shared" si="1"/>
        <v>6.1576175978970929E-2</v>
      </c>
      <c r="CT12" s="41">
        <f t="shared" si="1"/>
        <v>6.5641118536447871E-2</v>
      </c>
      <c r="CV12" s="9">
        <f t="shared" si="15"/>
        <v>1049</v>
      </c>
      <c r="CW12" s="21" t="str">
        <f t="shared" si="16"/>
        <v>State of Utah</v>
      </c>
      <c r="CX12" s="42">
        <f t="shared" si="17"/>
        <v>2.2286051848242873E-2</v>
      </c>
      <c r="CY12" s="42">
        <f t="shared" si="17"/>
        <v>2.3168413427178156E-2</v>
      </c>
      <c r="CZ12" s="42">
        <f t="shared" si="2"/>
        <v>2.3240780373065369E-2</v>
      </c>
      <c r="DA12" s="42">
        <f t="shared" si="2"/>
        <v>2.4825237853603997E-2</v>
      </c>
      <c r="DB12" s="42">
        <f t="shared" si="2"/>
        <v>2.5823245600011854E-2</v>
      </c>
      <c r="DC12" s="42">
        <f t="shared" si="2"/>
        <v>2.7876940233828102E-2</v>
      </c>
      <c r="DD12" s="42">
        <f t="shared" si="2"/>
        <v>2.9189599964585578E-2</v>
      </c>
      <c r="DE12" s="42">
        <f t="shared" si="2"/>
        <v>3.1481465532090809E-2</v>
      </c>
      <c r="DF12" s="42">
        <f t="shared" si="2"/>
        <v>3.3619729825511147E-2</v>
      </c>
      <c r="DG12" s="42">
        <f t="shared" si="2"/>
        <v>3.6790902681975761E-2</v>
      </c>
      <c r="DI12" s="9">
        <f t="shared" si="18"/>
        <v>1049</v>
      </c>
      <c r="DJ12" s="21" t="str">
        <f t="shared" si="19"/>
        <v>State of Utah</v>
      </c>
      <c r="DK12" s="42">
        <f t="shared" si="20"/>
        <v>2.5961915294106047E-2</v>
      </c>
      <c r="DL12" s="42">
        <f t="shared" si="20"/>
        <v>2.4977837992891952E-2</v>
      </c>
      <c r="DM12" s="42">
        <f t="shared" si="3"/>
        <v>2.3929627214650598E-2</v>
      </c>
      <c r="DN12" s="42">
        <f t="shared" si="3"/>
        <v>2.341729380925495E-2</v>
      </c>
      <c r="DO12" s="42">
        <f t="shared" si="3"/>
        <v>2.2994807121083212E-2</v>
      </c>
      <c r="DP12" s="42">
        <f t="shared" si="3"/>
        <v>2.3424478614244241E-2</v>
      </c>
      <c r="DQ12" s="42">
        <f t="shared" si="3"/>
        <v>2.4464725759565584E-2</v>
      </c>
      <c r="DR12" s="42">
        <f t="shared" si="3"/>
        <v>2.623060713588498E-2</v>
      </c>
      <c r="DS12" s="42">
        <f t="shared" si="3"/>
        <v>2.7956446153459779E-2</v>
      </c>
      <c r="DT12" s="42">
        <f t="shared" si="3"/>
        <v>2.885021585447211E-2</v>
      </c>
      <c r="DV12" s="9">
        <f t="shared" si="21"/>
        <v>1049</v>
      </c>
      <c r="DW12" s="21" t="str">
        <f t="shared" si="22"/>
        <v>State of Utah</v>
      </c>
      <c r="DX12" s="46">
        <f t="shared" ref="DX12" si="66">DX46</f>
        <v>27125</v>
      </c>
      <c r="DY12" s="46">
        <f t="shared" ref="DY12:EG13" si="67">DY46</f>
        <v>28592</v>
      </c>
      <c r="DZ12" s="46">
        <f t="shared" si="67"/>
        <v>29049</v>
      </c>
      <c r="EA12" s="46">
        <f t="shared" si="67"/>
        <v>31262</v>
      </c>
      <c r="EB12" s="46">
        <f t="shared" si="67"/>
        <v>33114</v>
      </c>
      <c r="EC12" s="46">
        <f t="shared" si="67"/>
        <v>36796</v>
      </c>
      <c r="ED12" s="46">
        <f t="shared" si="67"/>
        <v>39563</v>
      </c>
      <c r="EE12" s="46">
        <f t="shared" si="67"/>
        <v>43863</v>
      </c>
      <c r="EF12" s="46">
        <f t="shared" si="67"/>
        <v>48192</v>
      </c>
      <c r="EG12" s="46">
        <f t="shared" si="67"/>
        <v>54431</v>
      </c>
      <c r="EI12" s="9">
        <f t="shared" si="25"/>
        <v>1049</v>
      </c>
      <c r="EJ12" s="21" t="str">
        <f t="shared" si="26"/>
        <v>State of Utah</v>
      </c>
      <c r="EK12" s="46">
        <f t="shared" ref="EK12" si="68">EK46</f>
        <v>31599</v>
      </c>
      <c r="EL12" s="46">
        <f t="shared" ref="EL12:ET13" si="69">EL46</f>
        <v>30825</v>
      </c>
      <c r="EM12" s="46">
        <f t="shared" si="69"/>
        <v>29910</v>
      </c>
      <c r="EN12" s="46">
        <f t="shared" si="69"/>
        <v>29489</v>
      </c>
      <c r="EO12" s="46">
        <f t="shared" si="69"/>
        <v>29487</v>
      </c>
      <c r="EP12" s="46">
        <f t="shared" si="69"/>
        <v>30919</v>
      </c>
      <c r="EQ12" s="46">
        <f t="shared" si="69"/>
        <v>33159</v>
      </c>
      <c r="ER12" s="46">
        <f t="shared" si="69"/>
        <v>36547</v>
      </c>
      <c r="ES12" s="46">
        <f t="shared" si="69"/>
        <v>40074</v>
      </c>
      <c r="ET12" s="46">
        <f t="shared" si="69"/>
        <v>42683</v>
      </c>
      <c r="EW12" s="9">
        <f t="shared" si="6"/>
        <v>1049</v>
      </c>
      <c r="EX12" s="21" t="str">
        <f t="shared" si="29"/>
        <v>State of Utah</v>
      </c>
      <c r="EY12" s="46">
        <f t="shared" ref="EY12:FH13" si="70">EY46</f>
        <v>1217129</v>
      </c>
      <c r="EZ12" s="46">
        <f t="shared" si="70"/>
        <v>1234094</v>
      </c>
      <c r="FA12" s="46">
        <f t="shared" si="70"/>
        <v>1249915</v>
      </c>
      <c r="FB12" s="46">
        <f t="shared" si="70"/>
        <v>1259283</v>
      </c>
      <c r="FC12" s="46">
        <f t="shared" si="70"/>
        <v>1282333</v>
      </c>
      <c r="FD12" s="46">
        <f t="shared" si="70"/>
        <v>1319944</v>
      </c>
      <c r="FE12" s="46">
        <f t="shared" si="70"/>
        <v>1355380</v>
      </c>
      <c r="FF12" s="46">
        <f t="shared" si="70"/>
        <v>1393296</v>
      </c>
      <c r="FG12" s="46">
        <f t="shared" si="70"/>
        <v>1433444</v>
      </c>
      <c r="FH12" s="46">
        <f t="shared" si="70"/>
        <v>1479469</v>
      </c>
      <c r="FJ12" s="9">
        <f t="shared" si="8"/>
        <v>1049</v>
      </c>
      <c r="FK12" s="21" t="str">
        <f t="shared" si="31"/>
        <v>State of Utah</v>
      </c>
      <c r="FL12" s="46">
        <f t="shared" ref="FL12:FU13" si="71">FL46</f>
        <v>58724</v>
      </c>
      <c r="FM12" s="46">
        <f t="shared" si="71"/>
        <v>59417</v>
      </c>
      <c r="FN12" s="46">
        <f t="shared" si="71"/>
        <v>58959</v>
      </c>
      <c r="FO12" s="46">
        <f t="shared" si="71"/>
        <v>60751</v>
      </c>
      <c r="FP12" s="46">
        <f t="shared" si="71"/>
        <v>62601</v>
      </c>
      <c r="FQ12" s="46">
        <f t="shared" si="71"/>
        <v>67715</v>
      </c>
      <c r="FR12" s="46">
        <f t="shared" si="71"/>
        <v>72722</v>
      </c>
      <c r="FS12" s="46">
        <f t="shared" si="71"/>
        <v>80410</v>
      </c>
      <c r="FT12" s="46">
        <f t="shared" si="71"/>
        <v>88266</v>
      </c>
      <c r="FU12" s="46">
        <f t="shared" si="71"/>
        <v>97114</v>
      </c>
      <c r="FW12" s="9">
        <f t="shared" si="10"/>
        <v>1049</v>
      </c>
      <c r="FX12" s="21" t="str">
        <f t="shared" si="33"/>
        <v>State of Utah</v>
      </c>
      <c r="FY12" s="46">
        <f t="shared" ref="FY12:GH13" si="72">FY46</f>
        <v>9643</v>
      </c>
      <c r="FZ12" s="46">
        <f t="shared" si="72"/>
        <v>9471</v>
      </c>
      <c r="GA12" s="46">
        <f t="shared" si="72"/>
        <v>9504</v>
      </c>
      <c r="GB12" s="46">
        <f t="shared" si="72"/>
        <v>9680</v>
      </c>
      <c r="GC12" s="46">
        <f t="shared" si="72"/>
        <v>10254</v>
      </c>
      <c r="GD12" s="46">
        <f t="shared" si="72"/>
        <v>11439</v>
      </c>
      <c r="GE12" s="46">
        <f t="shared" si="72"/>
        <v>12195</v>
      </c>
      <c r="GF12" s="46">
        <f t="shared" si="72"/>
        <v>13968</v>
      </c>
      <c r="GG12" s="46">
        <f t="shared" si="72"/>
        <v>16082</v>
      </c>
      <c r="GH12" s="46">
        <f t="shared" si="72"/>
        <v>16994</v>
      </c>
      <c r="GJ12" s="9">
        <f t="shared" si="12"/>
        <v>1049</v>
      </c>
      <c r="GK12" s="21" t="str">
        <f t="shared" si="35"/>
        <v>State of Utah</v>
      </c>
      <c r="GL12" s="46">
        <f t="shared" ref="GL12" si="73">GL46</f>
        <v>21956</v>
      </c>
      <c r="GM12" s="46">
        <f t="shared" ref="GM12:GU13" si="74">GM46</f>
        <v>21354</v>
      </c>
      <c r="GN12" s="46">
        <f t="shared" si="74"/>
        <v>20406</v>
      </c>
      <c r="GO12" s="46">
        <f t="shared" si="74"/>
        <v>19809</v>
      </c>
      <c r="GP12" s="46">
        <f t="shared" si="74"/>
        <v>19233</v>
      </c>
      <c r="GQ12" s="46">
        <f t="shared" si="74"/>
        <v>19480</v>
      </c>
      <c r="GR12" s="46">
        <f t="shared" si="74"/>
        <v>20964</v>
      </c>
      <c r="GS12" s="46">
        <f t="shared" si="74"/>
        <v>22579</v>
      </c>
      <c r="GT12" s="46">
        <f t="shared" si="74"/>
        <v>23992</v>
      </c>
      <c r="GU12" s="46">
        <f t="shared" si="74"/>
        <v>25689</v>
      </c>
    </row>
    <row r="13" spans="2:203" x14ac:dyDescent="0.25">
      <c r="AX13" s="15"/>
      <c r="AY13" s="39" t="s">
        <v>617</v>
      </c>
      <c r="AZ13" s="40">
        <f>INDEX($DK$7:$DT$13, MATCH(AY11, $DJ$7:$DJ$13,0), MATCH(AZ$6, $DK$6:$DT$6, 0))</f>
        <v>1.6804761349048899E-2</v>
      </c>
      <c r="BA13" s="40">
        <f>INDEX($DK$7:$DT$13, MATCH(AY11, $DJ$7:$DJ$13,0), MATCH(BA$6, $DK$6:$DT$6, 0))</f>
        <v>1.7684218672909674E-2</v>
      </c>
      <c r="BB13" s="40">
        <f>INDEX($DK$7:$DT$13, MATCH(AY11, $DJ$7:$DJ$13,0), MATCH(BB$6, $DK$6:$DT$6, 0))</f>
        <v>1.6231018646179006E-2</v>
      </c>
      <c r="BC13" s="40">
        <f>INDEX($DK$7:$DT$13, MATCH(AY11, $DJ$7:$DJ$13,0), MATCH(BC$6, $DK$6:$DT$6, 0))</f>
        <v>1.5404083652071321E-2</v>
      </c>
      <c r="BD13" s="40">
        <f>INDEX($DK$7:$DT$13, MATCH(AY11, $DJ$7:$DJ$13,0), MATCH(BD$6, $DK$6:$DT$6, 0))</f>
        <v>1.7273863487977315E-2</v>
      </c>
      <c r="BE13" s="40">
        <f>INDEX($DK$7:$DT$13, MATCH(AY11, $DJ$7:$DJ$13,0), MATCH(BE$6, $DK$6:$DT$6, 0))</f>
        <v>1.9040688301998027E-2</v>
      </c>
      <c r="BF13" s="40">
        <f>INDEX($DK$7:$DT$13, MATCH(AY11, $DJ$7:$DJ$13,0), MATCH(BF$6, $DK$6:$DT$6, 0))</f>
        <v>1.9082427105128457E-2</v>
      </c>
      <c r="BG13" s="40">
        <f>INDEX($DK$7:$DT$13, MATCH(AY11, $DJ$7:$DJ$13,0), MATCH(BG$6, $DK$6:$DT$6, 0))</f>
        <v>2.1777583187390544E-2</v>
      </c>
      <c r="BH13" s="40">
        <f>INDEX($DK$7:$DT$13, MATCH(AY11, $DJ$7:$DJ$13,0), MATCH(BH$6, $DK$6:$DT$6, 0))</f>
        <v>2.1801720696771783E-2</v>
      </c>
      <c r="BI13" s="40">
        <f>INDEX($DK$7:$DT$13, MATCH(AY11, $DJ$7:$DJ$13,0), MATCH(BI$6, $DK$6:$DT$6, 0))</f>
        <v>2.2821867453494984E-2</v>
      </c>
      <c r="CI13" s="15">
        <v>1000</v>
      </c>
      <c r="CJ13" s="37" t="str">
        <f t="shared" si="0"/>
        <v>United States</v>
      </c>
      <c r="CK13" s="41">
        <f t="shared" si="14"/>
        <v>4.1360974847336758E-2</v>
      </c>
      <c r="CL13" s="41">
        <f t="shared" si="14"/>
        <v>4.2224128970445002E-2</v>
      </c>
      <c r="CM13" s="41">
        <f t="shared" si="1"/>
        <v>4.2729812754388356E-2</v>
      </c>
      <c r="CN13" s="41">
        <f t="shared" si="1"/>
        <v>4.3254384276311272E-2</v>
      </c>
      <c r="CO13" s="41">
        <f t="shared" si="1"/>
        <v>4.3665738889821094E-2</v>
      </c>
      <c r="CP13" s="41">
        <f t="shared" si="1"/>
        <v>4.4232594371480236E-2</v>
      </c>
      <c r="CQ13" s="41">
        <f t="shared" si="1"/>
        <v>4.5672811144231405E-2</v>
      </c>
      <c r="CR13" s="41">
        <f t="shared" si="1"/>
        <v>4.7344292413628586E-2</v>
      </c>
      <c r="CS13" s="41">
        <f t="shared" si="1"/>
        <v>4.9298542420945154E-2</v>
      </c>
      <c r="CT13" s="41">
        <f t="shared" si="1"/>
        <v>5.1713985735929162E-2</v>
      </c>
      <c r="CV13" s="9">
        <f t="shared" si="15"/>
        <v>1000</v>
      </c>
      <c r="CW13" s="21" t="str">
        <f t="shared" si="16"/>
        <v>United States</v>
      </c>
      <c r="CX13" s="42">
        <f t="shared" si="17"/>
        <v>2.0312996223080911E-2</v>
      </c>
      <c r="CY13" s="42">
        <f t="shared" si="17"/>
        <v>2.1408024991016086E-2</v>
      </c>
      <c r="CZ13" s="42">
        <f t="shared" si="2"/>
        <v>2.2257295058283531E-2</v>
      </c>
      <c r="DA13" s="42">
        <f t="shared" si="2"/>
        <v>2.306173195851715E-2</v>
      </c>
      <c r="DB13" s="42">
        <f t="shared" si="2"/>
        <v>2.3882178519691086E-2</v>
      </c>
      <c r="DC13" s="42">
        <f t="shared" si="2"/>
        <v>2.4745543956050879E-2</v>
      </c>
      <c r="DD13" s="42">
        <f t="shared" si="2"/>
        <v>2.5975567556780564E-2</v>
      </c>
      <c r="DE13" s="42">
        <f t="shared" si="2"/>
        <v>2.7440342025342481E-2</v>
      </c>
      <c r="DF13" s="42">
        <f t="shared" si="2"/>
        <v>2.90512497210287E-2</v>
      </c>
      <c r="DG13" s="42">
        <f t="shared" si="2"/>
        <v>3.1329076714512627E-2</v>
      </c>
      <c r="DI13" s="9">
        <f t="shared" si="18"/>
        <v>1000</v>
      </c>
      <c r="DJ13" s="21" t="str">
        <f t="shared" si="19"/>
        <v>United States</v>
      </c>
      <c r="DK13" s="42">
        <f t="shared" si="20"/>
        <v>2.1047978624255847E-2</v>
      </c>
      <c r="DL13" s="42">
        <f t="shared" si="20"/>
        <v>2.0816103979428912E-2</v>
      </c>
      <c r="DM13" s="42">
        <f t="shared" si="3"/>
        <v>2.0472517696104826E-2</v>
      </c>
      <c r="DN13" s="42">
        <f t="shared" si="3"/>
        <v>2.0192652317794119E-2</v>
      </c>
      <c r="DO13" s="42">
        <f t="shared" si="3"/>
        <v>1.9783560370130009E-2</v>
      </c>
      <c r="DP13" s="42">
        <f t="shared" si="3"/>
        <v>1.9487050415429353E-2</v>
      </c>
      <c r="DQ13" s="42">
        <f t="shared" si="3"/>
        <v>1.9697243587450841E-2</v>
      </c>
      <c r="DR13" s="42">
        <f t="shared" si="3"/>
        <v>1.9903950388286108E-2</v>
      </c>
      <c r="DS13" s="42">
        <f t="shared" si="3"/>
        <v>2.0247292699916458E-2</v>
      </c>
      <c r="DT13" s="42">
        <f t="shared" si="3"/>
        <v>2.0384909021416535E-2</v>
      </c>
      <c r="DV13" s="9">
        <f t="shared" si="21"/>
        <v>1000</v>
      </c>
      <c r="DW13" s="21" t="str">
        <f t="shared" si="22"/>
        <v>United States</v>
      </c>
      <c r="DX13" s="46">
        <f t="shared" ref="DX13" si="75">DX47</f>
        <v>2828687</v>
      </c>
      <c r="DY13" s="46">
        <f t="shared" si="67"/>
        <v>2986167</v>
      </c>
      <c r="DZ13" s="46">
        <f t="shared" si="67"/>
        <v>3113654</v>
      </c>
      <c r="EA13" s="46">
        <f t="shared" si="67"/>
        <v>3223722</v>
      </c>
      <c r="EB13" s="46">
        <f t="shared" si="67"/>
        <v>3375439</v>
      </c>
      <c r="EC13" s="46">
        <f t="shared" si="67"/>
        <v>3553984</v>
      </c>
      <c r="ED13" s="46">
        <f t="shared" si="67"/>
        <v>3788828</v>
      </c>
      <c r="EE13" s="46">
        <f t="shared" si="67"/>
        <v>4073026</v>
      </c>
      <c r="EF13" s="46">
        <f t="shared" si="67"/>
        <v>4374277</v>
      </c>
      <c r="EG13" s="46">
        <f t="shared" si="67"/>
        <v>4785071</v>
      </c>
      <c r="EI13" s="9">
        <f t="shared" si="25"/>
        <v>1000</v>
      </c>
      <c r="EJ13" s="21" t="str">
        <f t="shared" si="26"/>
        <v>United States</v>
      </c>
      <c r="EK13" s="46">
        <f t="shared" ref="EK13" si="76">EK47</f>
        <v>2931037</v>
      </c>
      <c r="EL13" s="46">
        <f t="shared" si="69"/>
        <v>2903601</v>
      </c>
      <c r="EM13" s="46">
        <f t="shared" si="69"/>
        <v>2863975</v>
      </c>
      <c r="EN13" s="46">
        <f t="shared" si="69"/>
        <v>2822663</v>
      </c>
      <c r="EO13" s="46">
        <f t="shared" si="69"/>
        <v>2796152</v>
      </c>
      <c r="EP13" s="46">
        <f t="shared" si="69"/>
        <v>2798753</v>
      </c>
      <c r="EQ13" s="46">
        <f t="shared" si="69"/>
        <v>2873064</v>
      </c>
      <c r="ER13" s="46">
        <f t="shared" si="69"/>
        <v>2954384</v>
      </c>
      <c r="ES13" s="46">
        <f t="shared" si="69"/>
        <v>3048656</v>
      </c>
      <c r="ET13" s="46">
        <f t="shared" si="69"/>
        <v>3113505</v>
      </c>
      <c r="EW13" s="9">
        <f t="shared" si="6"/>
        <v>1000</v>
      </c>
      <c r="EX13" s="21" t="str">
        <f t="shared" si="29"/>
        <v>United States</v>
      </c>
      <c r="EY13" s="46">
        <f t="shared" si="70"/>
        <v>139255035</v>
      </c>
      <c r="EZ13" s="46">
        <f t="shared" si="70"/>
        <v>139488206</v>
      </c>
      <c r="FA13" s="46">
        <f t="shared" si="70"/>
        <v>139893639</v>
      </c>
      <c r="FB13" s="46">
        <f t="shared" si="70"/>
        <v>139786639</v>
      </c>
      <c r="FC13" s="46">
        <f t="shared" si="70"/>
        <v>141337148</v>
      </c>
      <c r="FD13" s="46">
        <f t="shared" si="70"/>
        <v>143621171</v>
      </c>
      <c r="FE13" s="46">
        <f t="shared" si="70"/>
        <v>145861221</v>
      </c>
      <c r="FF13" s="46">
        <f t="shared" si="70"/>
        <v>148432042</v>
      </c>
      <c r="FG13" s="46">
        <f t="shared" si="70"/>
        <v>150571044</v>
      </c>
      <c r="FH13" s="46">
        <f t="shared" si="70"/>
        <v>152735781</v>
      </c>
      <c r="FJ13" s="9">
        <f t="shared" si="8"/>
        <v>1000</v>
      </c>
      <c r="FK13" s="21" t="str">
        <f t="shared" si="31"/>
        <v>United States</v>
      </c>
      <c r="FL13" s="46">
        <f t="shared" si="71"/>
        <v>5759724</v>
      </c>
      <c r="FM13" s="46">
        <f t="shared" si="71"/>
        <v>5889768</v>
      </c>
      <c r="FN13" s="46">
        <f t="shared" si="71"/>
        <v>5977629</v>
      </c>
      <c r="FO13" s="46">
        <f t="shared" si="71"/>
        <v>6046385</v>
      </c>
      <c r="FP13" s="46">
        <f t="shared" si="71"/>
        <v>6171591</v>
      </c>
      <c r="FQ13" s="46">
        <f t="shared" si="71"/>
        <v>6352737</v>
      </c>
      <c r="FR13" s="46">
        <f t="shared" si="71"/>
        <v>6661892</v>
      </c>
      <c r="FS13" s="46">
        <f t="shared" si="71"/>
        <v>7027410</v>
      </c>
      <c r="FT13" s="46">
        <f t="shared" si="71"/>
        <v>7422933</v>
      </c>
      <c r="FU13" s="46">
        <f t="shared" si="71"/>
        <v>7898576</v>
      </c>
      <c r="FW13" s="9">
        <f t="shared" si="10"/>
        <v>1000</v>
      </c>
      <c r="FX13" s="21" t="str">
        <f t="shared" si="33"/>
        <v>United States</v>
      </c>
      <c r="FY13" s="46">
        <f t="shared" si="72"/>
        <v>815897</v>
      </c>
      <c r="FZ13" s="46">
        <f t="shared" si="72"/>
        <v>825316</v>
      </c>
      <c r="GA13" s="46">
        <f t="shared" si="72"/>
        <v>834222</v>
      </c>
      <c r="GB13" s="46">
        <f t="shared" si="72"/>
        <v>831600</v>
      </c>
      <c r="GC13" s="46">
        <f t="shared" si="72"/>
        <v>835384</v>
      </c>
      <c r="GD13" s="46">
        <f t="shared" si="72"/>
        <v>848753</v>
      </c>
      <c r="GE13" s="46">
        <f t="shared" si="72"/>
        <v>895042</v>
      </c>
      <c r="GF13" s="46">
        <f t="shared" si="72"/>
        <v>939971</v>
      </c>
      <c r="GG13" s="46">
        <f t="shared" si="72"/>
        <v>986852</v>
      </c>
      <c r="GH13" s="46">
        <f t="shared" si="72"/>
        <v>1017531</v>
      </c>
      <c r="GJ13" s="9">
        <f t="shared" si="12"/>
        <v>1000</v>
      </c>
      <c r="GK13" s="21" t="str">
        <f t="shared" si="35"/>
        <v>United States</v>
      </c>
      <c r="GL13" s="46">
        <f t="shared" ref="GL13" si="77">GL47</f>
        <v>2115140</v>
      </c>
      <c r="GM13" s="46">
        <f t="shared" si="74"/>
        <v>2078285</v>
      </c>
      <c r="GN13" s="46">
        <f t="shared" si="74"/>
        <v>2029753</v>
      </c>
      <c r="GO13" s="46">
        <f t="shared" si="74"/>
        <v>1991063</v>
      </c>
      <c r="GP13" s="46">
        <f t="shared" si="74"/>
        <v>1960768</v>
      </c>
      <c r="GQ13" s="46">
        <f t="shared" si="74"/>
        <v>1950000</v>
      </c>
      <c r="GR13" s="46">
        <f t="shared" si="74"/>
        <v>1978022</v>
      </c>
      <c r="GS13" s="46">
        <f t="shared" si="74"/>
        <v>2014413</v>
      </c>
      <c r="GT13" s="46">
        <f t="shared" si="74"/>
        <v>2061804</v>
      </c>
      <c r="GU13" s="46">
        <f t="shared" si="74"/>
        <v>2095974</v>
      </c>
    </row>
    <row r="14" spans="2:203" x14ac:dyDescent="0.25">
      <c r="AX14" s="15"/>
      <c r="AY14" s="39" t="s">
        <v>618</v>
      </c>
      <c r="AZ14" s="40">
        <f>INDEX($CX$7:$DG$13, MATCH(AY11, $CW$7:$CW$13,0), MATCH(AZ$6, $CX$6:$DG$6, 0))</f>
        <v>1.4684716225152682E-2</v>
      </c>
      <c r="BA14" s="40">
        <f>INDEX($CX$7:$DG$13, MATCH(AY11, $CW$7:$CW$13,0), MATCH(BA$6, $CX$6:$DG$6, 0))</f>
        <v>1.655235128520156E-2</v>
      </c>
      <c r="BB14" s="40">
        <f>INDEX($CX$7:$DG$13, MATCH(AY11, $CW$7:$CW$13,0), MATCH(BB$6, $CX$6:$DG$6, 0))</f>
        <v>1.6069374055092279E-2</v>
      </c>
      <c r="BC14" s="40">
        <f>INDEX($CX$7:$DG$13, MATCH(AY11, $CW$7:$CW$13,0), MATCH(BC$6, $CX$6:$DG$6, 0))</f>
        <v>1.7601948583281003E-2</v>
      </c>
      <c r="BD14" s="40">
        <f>INDEX($CX$7:$DG$13, MATCH(AY11, $CW$7:$CW$13,0), MATCH(BD$6, $CX$6:$DG$6, 0))</f>
        <v>1.8449083142126961E-2</v>
      </c>
      <c r="BE14" s="40">
        <f>INDEX($CX$7:$DG$13, MATCH(AY11, $CW$7:$CW$13,0), MATCH(BE$6, $CX$6:$DG$6, 0))</f>
        <v>2.2089777720460221E-2</v>
      </c>
      <c r="BF14" s="40">
        <f>INDEX($CX$7:$DG$13, MATCH(AY11, $CW$7:$CW$13,0), MATCH(BF$6, $CX$6:$DG$6, 0))</f>
        <v>2.2162555339038603E-2</v>
      </c>
      <c r="BG14" s="40">
        <f>INDEX($CX$7:$DG$13, MATCH(AY11, $CW$7:$CW$13,0), MATCH(BG$6, $CX$6:$DG$6, 0))</f>
        <v>2.447460595446585E-2</v>
      </c>
      <c r="BH14" s="40">
        <f>INDEX($CX$7:$DG$13, MATCH(AY11, $CW$7:$CW$13,0), MATCH(BH$6, $CX$6:$DG$6, 0))</f>
        <v>2.716085032655869E-2</v>
      </c>
      <c r="BI14" s="40">
        <f>INDEX($CX$7:$DG$13, MATCH(AY11, $CW$7:$CW$13,0), MATCH(BI$6, $CX$6:$DG$6, 0))</f>
        <v>3.1508847697620558E-2</v>
      </c>
    </row>
    <row r="15" spans="2:203" x14ac:dyDescent="0.25">
      <c r="AX15" s="15"/>
      <c r="AY15" s="39" t="s">
        <v>619</v>
      </c>
      <c r="AZ15" s="41">
        <f>SUM(AZ13:AZ14)</f>
        <v>3.1489477574201577E-2</v>
      </c>
      <c r="BA15" s="41">
        <f t="shared" ref="BA15:BI15" si="78">SUM(BA13:BA14)</f>
        <v>3.4236569958111238E-2</v>
      </c>
      <c r="BB15" s="41">
        <f t="shared" si="78"/>
        <v>3.2300392701271288E-2</v>
      </c>
      <c r="BC15" s="41">
        <f t="shared" si="78"/>
        <v>3.3006032235352326E-2</v>
      </c>
      <c r="BD15" s="41">
        <f t="shared" si="78"/>
        <v>3.572294663010428E-2</v>
      </c>
      <c r="BE15" s="41">
        <f t="shared" si="78"/>
        <v>4.1130466022458248E-2</v>
      </c>
      <c r="BF15" s="41">
        <f t="shared" si="78"/>
        <v>4.1244982444167064E-2</v>
      </c>
      <c r="BG15" s="41">
        <f t="shared" si="78"/>
        <v>4.6252189141856394E-2</v>
      </c>
      <c r="BH15" s="41">
        <f t="shared" si="78"/>
        <v>4.8962571023330473E-2</v>
      </c>
      <c r="BI15" s="41">
        <f t="shared" si="78"/>
        <v>5.4330715151115538E-2</v>
      </c>
      <c r="EW15" s="49">
        <f>EW4 + 0.1</f>
        <v>100.1</v>
      </c>
      <c r="EX15" s="21" t="str">
        <f>EX4</f>
        <v>Total Workers</v>
      </c>
      <c r="EY15" s="10"/>
      <c r="EZ15" s="10"/>
      <c r="FA15" s="10"/>
      <c r="FB15" s="10"/>
      <c r="FC15" s="10"/>
      <c r="FD15" s="36" t="s">
        <v>613</v>
      </c>
      <c r="FE15" s="10"/>
      <c r="FF15" s="10"/>
      <c r="FG15" s="10"/>
      <c r="FH15" s="10"/>
      <c r="FJ15" s="49">
        <f>FJ4 + 0.1</f>
        <v>700.1</v>
      </c>
      <c r="FK15" s="21" t="str">
        <f>FK4</f>
        <v>Worked at home</v>
      </c>
      <c r="FL15" s="10"/>
      <c r="FM15" s="10"/>
      <c r="FN15" s="10"/>
      <c r="FO15" s="10"/>
      <c r="FP15" s="10"/>
      <c r="FQ15" s="36" t="s">
        <v>613</v>
      </c>
      <c r="FR15" s="10"/>
      <c r="FS15" s="10"/>
      <c r="FT15" s="10"/>
      <c r="FU15" s="10"/>
      <c r="FW15" s="49">
        <f>FW4 + 0.1</f>
        <v>712.1</v>
      </c>
      <c r="FX15" s="21" t="str">
        <f>FX4</f>
        <v>Self-employed in own incorporated business workers</v>
      </c>
      <c r="FY15" s="10"/>
      <c r="FZ15" s="10"/>
      <c r="GA15" s="10"/>
      <c r="GB15" s="10"/>
      <c r="GC15" s="10"/>
      <c r="GD15" s="36" t="s">
        <v>613</v>
      </c>
      <c r="GE15" s="10"/>
      <c r="GF15" s="10"/>
      <c r="GG15" s="10"/>
      <c r="GH15" s="10"/>
      <c r="GJ15" s="49">
        <f>GJ4 + 0.1</f>
        <v>760.1</v>
      </c>
      <c r="GK15" s="21" t="str">
        <f>GK4</f>
        <v>Self-employed in own not incorporated business workers</v>
      </c>
      <c r="GL15" s="10"/>
      <c r="GM15" s="10"/>
      <c r="GN15" s="10"/>
      <c r="GO15" s="10"/>
      <c r="GP15" s="10"/>
      <c r="GQ15" s="36" t="s">
        <v>613</v>
      </c>
      <c r="GR15" s="10"/>
      <c r="GS15" s="10"/>
      <c r="GT15" s="10"/>
      <c r="GU15" s="10"/>
    </row>
    <row r="16" spans="2:203" x14ac:dyDescent="0.25">
      <c r="CI16" s="10"/>
      <c r="CJ16" s="38" t="s">
        <v>620</v>
      </c>
      <c r="CK16" s="2">
        <v>2010</v>
      </c>
      <c r="CL16" s="2">
        <v>2011</v>
      </c>
      <c r="CM16" s="2">
        <v>2012</v>
      </c>
      <c r="CN16" s="2">
        <v>2013</v>
      </c>
      <c r="CO16" s="2">
        <v>2014</v>
      </c>
      <c r="CP16" s="2">
        <v>2015</v>
      </c>
      <c r="CQ16" s="2">
        <v>2016</v>
      </c>
      <c r="CR16" s="2">
        <v>2017</v>
      </c>
      <c r="CS16" s="2">
        <v>2018</v>
      </c>
      <c r="CT16" s="2">
        <v>2019</v>
      </c>
      <c r="CV16" s="10"/>
      <c r="CW16" s="38" t="s">
        <v>620</v>
      </c>
      <c r="CX16" s="2">
        <v>2010</v>
      </c>
      <c r="CY16" s="2">
        <v>2011</v>
      </c>
      <c r="CZ16" s="2">
        <v>2012</v>
      </c>
      <c r="DA16" s="2">
        <v>2013</v>
      </c>
      <c r="DB16" s="2">
        <v>2014</v>
      </c>
      <c r="DC16" s="2">
        <v>2015</v>
      </c>
      <c r="DD16" s="2">
        <v>2016</v>
      </c>
      <c r="DE16" s="2">
        <v>2017</v>
      </c>
      <c r="DF16" s="2">
        <v>2018</v>
      </c>
      <c r="DG16" s="2">
        <v>2019</v>
      </c>
      <c r="DI16" s="10"/>
      <c r="DJ16" s="38" t="s">
        <v>620</v>
      </c>
      <c r="DK16" s="2">
        <v>2010</v>
      </c>
      <c r="DL16" s="2">
        <v>2011</v>
      </c>
      <c r="DM16" s="2">
        <v>2012</v>
      </c>
      <c r="DN16" s="2">
        <v>2013</v>
      </c>
      <c r="DO16" s="2">
        <v>2014</v>
      </c>
      <c r="DP16" s="2">
        <v>2015</v>
      </c>
      <c r="DQ16" s="2">
        <v>2016</v>
      </c>
      <c r="DR16" s="2">
        <v>2017</v>
      </c>
      <c r="DS16" s="2">
        <v>2018</v>
      </c>
      <c r="DT16" s="2">
        <v>2019</v>
      </c>
      <c r="DV16" s="10"/>
      <c r="DW16" s="38" t="s">
        <v>620</v>
      </c>
      <c r="DX16" s="2">
        <v>2010</v>
      </c>
      <c r="DY16" s="2">
        <v>2011</v>
      </c>
      <c r="DZ16" s="2">
        <v>2012</v>
      </c>
      <c r="EA16" s="2">
        <v>2013</v>
      </c>
      <c r="EB16" s="2">
        <v>2014</v>
      </c>
      <c r="EC16" s="2">
        <v>2015</v>
      </c>
      <c r="ED16" s="2">
        <v>2016</v>
      </c>
      <c r="EE16" s="2">
        <v>2017</v>
      </c>
      <c r="EF16" s="2">
        <v>2018</v>
      </c>
      <c r="EG16" s="2">
        <v>2019</v>
      </c>
      <c r="EI16" s="10"/>
      <c r="EJ16" s="38" t="s">
        <v>620</v>
      </c>
      <c r="EK16" s="2">
        <v>2010</v>
      </c>
      <c r="EL16" s="2">
        <v>2011</v>
      </c>
      <c r="EM16" s="2">
        <v>2012</v>
      </c>
      <c r="EN16" s="2">
        <v>2013</v>
      </c>
      <c r="EO16" s="2">
        <v>2014</v>
      </c>
      <c r="EP16" s="2">
        <v>2015</v>
      </c>
      <c r="EQ16" s="2">
        <v>2016</v>
      </c>
      <c r="ER16" s="2">
        <v>2017</v>
      </c>
      <c r="ES16" s="2">
        <v>2018</v>
      </c>
      <c r="ET16" s="2">
        <v>2019</v>
      </c>
      <c r="EW16" s="10"/>
      <c r="EX16" s="38" t="s">
        <v>620</v>
      </c>
      <c r="EY16" s="2">
        <v>2010</v>
      </c>
      <c r="EZ16" s="2">
        <v>2011</v>
      </c>
      <c r="FA16" s="2">
        <v>2012</v>
      </c>
      <c r="FB16" s="2">
        <v>2013</v>
      </c>
      <c r="FC16" s="2">
        <v>2014</v>
      </c>
      <c r="FD16" s="2">
        <v>2015</v>
      </c>
      <c r="FE16" s="2">
        <v>2016</v>
      </c>
      <c r="FF16" s="2">
        <v>2017</v>
      </c>
      <c r="FG16" s="2">
        <v>2018</v>
      </c>
      <c r="FH16" s="2">
        <v>2019</v>
      </c>
      <c r="FJ16" s="10"/>
      <c r="FK16" s="38" t="s">
        <v>620</v>
      </c>
      <c r="FL16" s="2">
        <v>2010</v>
      </c>
      <c r="FM16" s="2">
        <v>2011</v>
      </c>
      <c r="FN16" s="2">
        <v>2012</v>
      </c>
      <c r="FO16" s="2">
        <v>2013</v>
      </c>
      <c r="FP16" s="2">
        <v>2014</v>
      </c>
      <c r="FQ16" s="2">
        <v>2015</v>
      </c>
      <c r="FR16" s="2">
        <v>2016</v>
      </c>
      <c r="FS16" s="2">
        <v>2017</v>
      </c>
      <c r="FT16" s="2">
        <v>2018</v>
      </c>
      <c r="FU16" s="2">
        <v>2019</v>
      </c>
      <c r="FW16" s="10"/>
      <c r="FX16" s="38" t="s">
        <v>620</v>
      </c>
      <c r="FY16" s="2">
        <v>2010</v>
      </c>
      <c r="FZ16" s="2">
        <v>2011</v>
      </c>
      <c r="GA16" s="2">
        <v>2012</v>
      </c>
      <c r="GB16" s="2">
        <v>2013</v>
      </c>
      <c r="GC16" s="2">
        <v>2014</v>
      </c>
      <c r="GD16" s="2">
        <v>2015</v>
      </c>
      <c r="GE16" s="2">
        <v>2016</v>
      </c>
      <c r="GF16" s="2">
        <v>2017</v>
      </c>
      <c r="GG16" s="2">
        <v>2018</v>
      </c>
      <c r="GH16" s="2">
        <v>2019</v>
      </c>
      <c r="GJ16" s="10"/>
      <c r="GK16" s="38" t="s">
        <v>620</v>
      </c>
      <c r="GL16" s="2">
        <v>2010</v>
      </c>
      <c r="GM16" s="2">
        <v>2011</v>
      </c>
      <c r="GN16" s="2">
        <v>2012</v>
      </c>
      <c r="GO16" s="2">
        <v>2013</v>
      </c>
      <c r="GP16" s="2">
        <v>2014</v>
      </c>
      <c r="GQ16" s="2">
        <v>2015</v>
      </c>
      <c r="GR16" s="2">
        <v>2016</v>
      </c>
      <c r="GS16" s="2">
        <v>2017</v>
      </c>
      <c r="GT16" s="2">
        <v>2018</v>
      </c>
      <c r="GU16" s="2">
        <v>2019</v>
      </c>
    </row>
    <row r="17" spans="50:203" x14ac:dyDescent="0.25">
      <c r="AX17" s="15">
        <v>11</v>
      </c>
      <c r="AY17" s="37" t="str">
        <f>VLOOKUP(AX17, lu_CoName, 2, FALSE)</f>
        <v>Davis</v>
      </c>
      <c r="AZ17" s="10"/>
      <c r="BA17" s="10"/>
      <c r="BB17" s="10"/>
      <c r="BC17" s="10"/>
      <c r="BD17" s="10"/>
      <c r="BE17" s="10"/>
      <c r="BF17" s="10"/>
      <c r="BG17" s="10"/>
      <c r="BH17" s="10"/>
      <c r="BI17" s="10"/>
      <c r="CI17" s="15">
        <v>1</v>
      </c>
      <c r="CJ17" s="37" t="str">
        <f t="shared" ref="CJ17:CJ47" si="79">VLOOKUP(CI17, lu_CoName, 2, FALSE)</f>
        <v>Beaver</v>
      </c>
      <c r="CK17" s="44">
        <f t="shared" ref="CK17:CK45" si="80">CX17 + DK17</f>
        <v>6.9719471947194717E-2</v>
      </c>
      <c r="CL17" s="44">
        <f t="shared" ref="CL17:CT45" si="81">CY17 + DL17</f>
        <v>5.3738317757009345E-2</v>
      </c>
      <c r="CM17" s="44">
        <f t="shared" si="81"/>
        <v>3.4535686876438987E-2</v>
      </c>
      <c r="CN17" s="44">
        <f t="shared" si="81"/>
        <v>3.3383345836459112E-2</v>
      </c>
      <c r="CO17" s="44">
        <f t="shared" si="81"/>
        <v>2.5906735751295335E-2</v>
      </c>
      <c r="CP17" s="44">
        <f t="shared" si="81"/>
        <v>1.4260869565217393E-2</v>
      </c>
      <c r="CQ17" s="44">
        <f t="shared" si="81"/>
        <v>2.0356234096692113E-2</v>
      </c>
      <c r="CR17" s="44">
        <f t="shared" si="81"/>
        <v>3.4034416826003826E-2</v>
      </c>
      <c r="CS17" s="44">
        <f t="shared" si="81"/>
        <v>4.0118870728083206E-2</v>
      </c>
      <c r="CT17" s="44">
        <f t="shared" si="81"/>
        <v>5.9796916133884923E-2</v>
      </c>
      <c r="CV17" s="9">
        <f t="shared" ref="CV17:CV47" si="82">$CI17*10 + 0</f>
        <v>10</v>
      </c>
      <c r="CW17" s="21" t="str">
        <f>$CJ17</f>
        <v>Beaver</v>
      </c>
      <c r="CX17" s="40">
        <f t="shared" ref="CX17:CX45" si="83">IFERROR(DX17/EY17, 0)</f>
        <v>2.9290429042904291E-2</v>
      </c>
      <c r="CY17" s="40">
        <f t="shared" ref="CY17:DG45" si="84">IFERROR(DY17/EZ17, 0)</f>
        <v>2.6869158878504672E-2</v>
      </c>
      <c r="CZ17" s="40">
        <f t="shared" si="84"/>
        <v>1.3814274750575594E-2</v>
      </c>
      <c r="DA17" s="40">
        <f t="shared" si="84"/>
        <v>1.8379594898724681E-2</v>
      </c>
      <c r="DB17" s="40">
        <f t="shared" si="84"/>
        <v>7.7720207253886009E-3</v>
      </c>
      <c r="DC17" s="40">
        <f t="shared" si="84"/>
        <v>1.7391304347826088E-3</v>
      </c>
      <c r="DD17" s="40">
        <f t="shared" si="84"/>
        <v>1.0905125408942203E-3</v>
      </c>
      <c r="DE17" s="40">
        <f t="shared" si="84"/>
        <v>1.4913957934990439E-2</v>
      </c>
      <c r="DF17" s="40">
        <f t="shared" si="84"/>
        <v>1.9687964338781574E-2</v>
      </c>
      <c r="DG17" s="40">
        <f t="shared" si="84"/>
        <v>2.5197442647611885E-2</v>
      </c>
      <c r="DI17" s="9">
        <f t="shared" ref="DI17:DI47" si="85">$CI17*10 + 0</f>
        <v>10</v>
      </c>
      <c r="DJ17" s="21" t="str">
        <f>$CJ17</f>
        <v>Beaver</v>
      </c>
      <c r="DK17" s="40">
        <f t="shared" ref="DK17:DK45" si="86">IFERROR(EK17/EY17, 0)</f>
        <v>4.0429042904290426E-2</v>
      </c>
      <c r="DL17" s="40">
        <f t="shared" ref="DL17:DT45" si="87">IFERROR(EL17/EZ17, 0)</f>
        <v>2.6869158878504672E-2</v>
      </c>
      <c r="DM17" s="40">
        <f t="shared" si="87"/>
        <v>2.0721412125863391E-2</v>
      </c>
      <c r="DN17" s="40">
        <f t="shared" si="87"/>
        <v>1.5003750937734433E-2</v>
      </c>
      <c r="DO17" s="40">
        <f t="shared" si="87"/>
        <v>1.8134715025906734E-2</v>
      </c>
      <c r="DP17" s="40">
        <f t="shared" si="87"/>
        <v>1.2521739130434783E-2</v>
      </c>
      <c r="DQ17" s="40">
        <f t="shared" si="87"/>
        <v>1.9265721555797893E-2</v>
      </c>
      <c r="DR17" s="40">
        <f t="shared" si="87"/>
        <v>1.9120458891013385E-2</v>
      </c>
      <c r="DS17" s="40">
        <f t="shared" si="87"/>
        <v>2.0430906389301635E-2</v>
      </c>
      <c r="DT17" s="40">
        <f t="shared" si="87"/>
        <v>3.4599473486273034E-2</v>
      </c>
      <c r="DV17" s="9">
        <f t="shared" ref="DV17:DV47" si="88">$CI17*10 + 0</f>
        <v>10</v>
      </c>
      <c r="DW17" s="21" t="str">
        <f>$CJ17</f>
        <v>Beaver</v>
      </c>
      <c r="DX17" s="45">
        <f>FL17 - EK17</f>
        <v>71</v>
      </c>
      <c r="DY17" s="45">
        <f>FM17 - EL17</f>
        <v>69</v>
      </c>
      <c r="DZ17" s="45">
        <f t="shared" ref="DZ17:EG47" si="89">FN17 - EM17</f>
        <v>36</v>
      </c>
      <c r="EA17" s="45">
        <f t="shared" si="89"/>
        <v>49</v>
      </c>
      <c r="EB17" s="45">
        <f t="shared" si="89"/>
        <v>21</v>
      </c>
      <c r="EC17" s="45">
        <f t="shared" si="89"/>
        <v>5</v>
      </c>
      <c r="ED17" s="45">
        <f t="shared" si="89"/>
        <v>3</v>
      </c>
      <c r="EE17" s="45">
        <f t="shared" si="89"/>
        <v>39</v>
      </c>
      <c r="EF17" s="45">
        <f t="shared" si="89"/>
        <v>53</v>
      </c>
      <c r="EG17" s="45">
        <f t="shared" si="89"/>
        <v>67</v>
      </c>
      <c r="EI17" s="9">
        <f t="shared" ref="EI17:EI47" si="90">$CI17*10 + 0</f>
        <v>10</v>
      </c>
      <c r="EJ17" s="21" t="str">
        <f>$CJ17</f>
        <v>Beaver</v>
      </c>
      <c r="EK17" s="45">
        <f>FY17 + GL17</f>
        <v>98</v>
      </c>
      <c r="EL17" s="45">
        <f>FZ17 + GM17</f>
        <v>69</v>
      </c>
      <c r="EM17" s="45">
        <f t="shared" ref="EM17:ET47" si="91">GA17 + GN17</f>
        <v>54</v>
      </c>
      <c r="EN17" s="45">
        <f t="shared" si="91"/>
        <v>40</v>
      </c>
      <c r="EO17" s="45">
        <f t="shared" si="91"/>
        <v>49</v>
      </c>
      <c r="EP17" s="45">
        <f t="shared" si="91"/>
        <v>36</v>
      </c>
      <c r="EQ17" s="45">
        <f t="shared" si="91"/>
        <v>53</v>
      </c>
      <c r="ER17" s="45">
        <f t="shared" si="91"/>
        <v>50</v>
      </c>
      <c r="ES17" s="45">
        <f t="shared" si="91"/>
        <v>55</v>
      </c>
      <c r="ET17" s="45">
        <f t="shared" si="91"/>
        <v>92</v>
      </c>
      <c r="EW17" s="9">
        <f>$CI17</f>
        <v>1</v>
      </c>
      <c r="EX17" s="21" t="str">
        <f>$CJ17</f>
        <v>Beaver</v>
      </c>
      <c r="EY17" s="48">
        <f>INDEX('2010'!$E$7:$EN$37,  MATCH(EW17, '2010'!$A$7:$A$37, 0), MATCH(EW15, '2010'!$E$4:$EN$4, 0) )</f>
        <v>2424</v>
      </c>
      <c r="EZ17" s="48">
        <f>INDEX('2011'!$E$7:$EN$37,  MATCH(EW17, '2011'!$A$7:$A$37, 0), MATCH(EW15, '2011'!$E$4:$EN$4, 0) )</f>
        <v>2568</v>
      </c>
      <c r="FA17" s="48">
        <f>INDEX('2012'!$E$7:$EN$37,  MATCH(EW17, '2012'!$A$7:$A$37, 0), MATCH(EW15, '2012'!$E$4:$EN$4, 0) )</f>
        <v>2606</v>
      </c>
      <c r="FB17" s="48">
        <f>INDEX('2013'!$E$7:$EN$37,  MATCH(EW17, '2013'!$A$7:$A$37, 0), MATCH(EW15, '2013'!$E$4:$EN$4, 0) )</f>
        <v>2666</v>
      </c>
      <c r="FC17" s="48">
        <f>INDEX('2014'!$E$7:$EN$37,  MATCH(EW17, '2014'!$A$7:$A$37, 0), MATCH(EW15, '2014'!$E$4:$EN$4, 0) )</f>
        <v>2702</v>
      </c>
      <c r="FD17" s="48">
        <f>INDEX('2015'!$E$7:$EN$37,  MATCH(EW17, '2015'!$A$7:$A$37, 0), MATCH(EW15, '2015'!$E$4:$EN$4, 0) )</f>
        <v>2875</v>
      </c>
      <c r="FE17" s="48">
        <f>INDEX('2016'!$E$7:$EN$37,  MATCH(EW17, '2016'!$A$7:$A$37, 0), MATCH(EW15, '2016'!$E$4:$EN$4, 0) )</f>
        <v>2751</v>
      </c>
      <c r="FF17" s="48">
        <f>INDEX('2017'!$E$7:$EN$37,  MATCH(EW17, '2017'!$A$7:$A$37, 0), MATCH(EW15, '2017'!$E$4:$EN$4, 0) )</f>
        <v>2615</v>
      </c>
      <c r="FG17" s="48">
        <f>INDEX('2018'!$E$7:$EN$37,  MATCH(EW17, '2018'!$A$7:$A$37, 0), MATCH(EW15, '2018'!$E$4:$EN$4, 0) )</f>
        <v>2692</v>
      </c>
      <c r="FH17" s="48">
        <f>INDEX('2019'!$E$7:$EN$37,  MATCH(EW17, '2019'!$A$7:$A$37, 0), MATCH(EW15, '2019'!$E$4:$EN$4, 0) )</f>
        <v>2659</v>
      </c>
      <c r="FJ17" s="9">
        <f>$CI17</f>
        <v>1</v>
      </c>
      <c r="FK17" s="21" t="str">
        <f>$CJ17</f>
        <v>Beaver</v>
      </c>
      <c r="FL17" s="48">
        <f>INDEX('2010'!$E$7:$EN$37,  MATCH(FJ17, '2010'!$A$7:$A$37, 0), MATCH(FJ15, '2010'!$E$4:$EN$4, 0) )</f>
        <v>169</v>
      </c>
      <c r="FM17" s="48">
        <f>INDEX('2011'!$E$7:$EN$37,  MATCH(FJ17, '2011'!$A$7:$A$37, 0), MATCH(FJ15, '2011'!$E$4:$EN$4, 0) )</f>
        <v>138</v>
      </c>
      <c r="FN17" s="48">
        <f>INDEX('2012'!$E$7:$EN$37,  MATCH(FJ17, '2012'!$A$7:$A$37, 0), MATCH(FJ15, '2012'!$E$4:$EN$4, 0) )</f>
        <v>90</v>
      </c>
      <c r="FO17" s="48">
        <f>INDEX('2013'!$E$7:$EN$37,  MATCH(FJ17, '2013'!$A$7:$A$37, 0), MATCH(FJ15, '2013'!$E$4:$EN$4, 0) )</f>
        <v>89</v>
      </c>
      <c r="FP17" s="48">
        <f>INDEX('2014'!$E$7:$EN$37,  MATCH(FJ17, '2014'!$A$7:$A$37, 0), MATCH(FJ15, '2014'!$E$4:$EN$4, 0) )</f>
        <v>70</v>
      </c>
      <c r="FQ17" s="48">
        <f>INDEX('2015'!$E$7:$EN$37,  MATCH(FJ17, '2015'!$A$7:$A$37, 0), MATCH(FJ15, '2015'!$E$4:$EN$4, 0) )</f>
        <v>41</v>
      </c>
      <c r="FR17" s="48">
        <f>INDEX('2016'!$E$7:$EN$37,  MATCH(FJ17, '2016'!$A$7:$A$37, 0), MATCH(FJ15, '2016'!$E$4:$EN$4, 0) )</f>
        <v>56</v>
      </c>
      <c r="FS17" s="48">
        <f>INDEX('2017'!$E$7:$EN$37,  MATCH(FJ17, '2017'!$A$7:$A$37, 0), MATCH(FJ15, '2017'!$E$4:$EN$4, 0) )</f>
        <v>89</v>
      </c>
      <c r="FT17" s="48">
        <f>INDEX('2018'!$E$7:$EN$37,  MATCH(FJ17, '2018'!$A$7:$A$37, 0), MATCH(FJ15, '2018'!$E$4:$EN$4, 0) )</f>
        <v>108</v>
      </c>
      <c r="FU17" s="48">
        <f>INDEX('2019'!$E$7:$EN$37,  MATCH(FJ17, '2019'!$A$7:$A$37, 0), MATCH(FJ15, '2019'!$E$4:$EN$4, 0) )</f>
        <v>159</v>
      </c>
      <c r="FW17" s="9">
        <f>$CI17</f>
        <v>1</v>
      </c>
      <c r="FX17" s="21" t="str">
        <f>$CJ17</f>
        <v>Beaver</v>
      </c>
      <c r="FY17" s="48">
        <f>INDEX('2010'!$E$7:$EN$37,  MATCH(FW17, '2010'!$A$7:$A$37, 0), MATCH(FW15, '2010'!$E$4:$EN$4, 0) )</f>
        <v>39</v>
      </c>
      <c r="FZ17" s="48">
        <f>INDEX('2011'!$E$7:$EN$37,  MATCH(FW17, '2011'!$A$7:$A$37, 0), MATCH(FW15, '2011'!$E$4:$EN$4, 0) )</f>
        <v>13</v>
      </c>
      <c r="GA17" s="48">
        <f>INDEX('2012'!$E$7:$EN$37,  MATCH(FW17, '2012'!$A$7:$A$37, 0), MATCH(FW15, '2012'!$E$4:$EN$4, 0) )</f>
        <v>12</v>
      </c>
      <c r="GB17" s="48">
        <f>INDEX('2013'!$E$7:$EN$37,  MATCH(FW17, '2013'!$A$7:$A$37, 0), MATCH(FW15, '2013'!$E$4:$EN$4, 0) )</f>
        <v>0</v>
      </c>
      <c r="GC17" s="48">
        <f>INDEX('2014'!$E$7:$EN$37,  MATCH(FW17, '2014'!$A$7:$A$37, 0), MATCH(FW15, '2014'!$E$4:$EN$4, 0) )</f>
        <v>12</v>
      </c>
      <c r="GD17" s="48">
        <f>INDEX('2015'!$E$7:$EN$37,  MATCH(FW17, '2015'!$A$7:$A$37, 0), MATCH(FW15, '2015'!$E$4:$EN$4, 0) )</f>
        <v>12</v>
      </c>
      <c r="GE17" s="48">
        <f>INDEX('2016'!$E$7:$EN$37,  MATCH(FW17, '2016'!$A$7:$A$37, 0), MATCH(FW15, '2016'!$E$4:$EN$4, 0) )</f>
        <v>14</v>
      </c>
      <c r="GF17" s="48">
        <f>INDEX('2017'!$E$7:$EN$37,  MATCH(FW17, '2017'!$A$7:$A$37, 0), MATCH(FW15, '2017'!$E$4:$EN$4, 0) )</f>
        <v>15</v>
      </c>
      <c r="GG17" s="48">
        <f>INDEX('2018'!$E$7:$EN$37,  MATCH(FW17, '2018'!$A$7:$A$37, 0), MATCH(FW15, '2018'!$E$4:$EN$4, 0) )</f>
        <v>35</v>
      </c>
      <c r="GH17" s="48">
        <f>INDEX('2019'!$E$7:$EN$37,  MATCH(FW17, '2019'!$A$7:$A$37, 0), MATCH(FW15, '2019'!$E$4:$EN$4, 0) )</f>
        <v>22</v>
      </c>
      <c r="GJ17" s="9">
        <f>$CI17</f>
        <v>1</v>
      </c>
      <c r="GK17" s="21" t="str">
        <f>$CJ17</f>
        <v>Beaver</v>
      </c>
      <c r="GL17" s="48">
        <f>INDEX('2010'!$E$7:$EN$37,  MATCH(GJ17, '2010'!$A$7:$A$37, 0), MATCH(GJ15, '2010'!$E$4:$EN$4, 0) )</f>
        <v>59</v>
      </c>
      <c r="GM17" s="48">
        <f>INDEX('2011'!$E$7:$EN$37,  MATCH(GJ17, '2011'!$A$7:$A$37, 0), MATCH(GJ15, '2011'!$E$4:$EN$4, 0) )</f>
        <v>56</v>
      </c>
      <c r="GN17" s="48">
        <f>INDEX('2012'!$E$7:$EN$37,  MATCH(GJ17, '2012'!$A$7:$A$37, 0), MATCH(GJ15, '2012'!$E$4:$EN$4, 0) )</f>
        <v>42</v>
      </c>
      <c r="GO17" s="48">
        <f>INDEX('2013'!$E$7:$EN$37,  MATCH(GJ17, '2013'!$A$7:$A$37, 0), MATCH(GJ15, '2013'!$E$4:$EN$4, 0) )</f>
        <v>40</v>
      </c>
      <c r="GP17" s="48">
        <f>INDEX('2014'!$E$7:$EN$37,  MATCH(GJ17, '2014'!$A$7:$A$37, 0), MATCH(GJ15, '2014'!$E$4:$EN$4, 0) )</f>
        <v>37</v>
      </c>
      <c r="GQ17" s="48">
        <f>INDEX('2015'!$E$7:$EN$37,  MATCH(GJ17, '2015'!$A$7:$A$37, 0), MATCH(GJ15, '2015'!$E$4:$EN$4, 0) )</f>
        <v>24</v>
      </c>
      <c r="GR17" s="48">
        <f>INDEX('2016'!$E$7:$EN$37,  MATCH(GJ17, '2016'!$A$7:$A$37, 0), MATCH(GJ15, '2016'!$E$4:$EN$4, 0) )</f>
        <v>39</v>
      </c>
      <c r="GS17" s="48">
        <f>INDEX('2017'!$E$7:$EN$37,  MATCH(GJ17, '2017'!$A$7:$A$37, 0), MATCH(GJ15, '2017'!$E$4:$EN$4, 0) )</f>
        <v>35</v>
      </c>
      <c r="GT17" s="48">
        <f>INDEX('2018'!$E$7:$EN$37,  MATCH(GJ17, '2018'!$A$7:$A$37, 0), MATCH(GJ15, '2018'!$E$4:$EN$4, 0) )</f>
        <v>20</v>
      </c>
      <c r="GU17" s="48">
        <f>INDEX('2019'!$E$7:$EN$37,  MATCH(GJ17, '2019'!$A$7:$A$37, 0), MATCH(GJ15, '2019'!$E$4:$EN$4, 0) )</f>
        <v>70</v>
      </c>
    </row>
    <row r="18" spans="50:203" x14ac:dyDescent="0.25">
      <c r="AX18" s="10"/>
      <c r="AY18" s="38"/>
      <c r="AZ18" s="2">
        <v>2010</v>
      </c>
      <c r="BA18" s="2">
        <v>2011</v>
      </c>
      <c r="BB18" s="2">
        <v>2012</v>
      </c>
      <c r="BC18" s="2">
        <v>2013</v>
      </c>
      <c r="BD18" s="2">
        <v>2014</v>
      </c>
      <c r="BE18" s="2">
        <v>2015</v>
      </c>
      <c r="BF18" s="2">
        <v>2016</v>
      </c>
      <c r="BG18" s="2">
        <v>2017</v>
      </c>
      <c r="BH18" s="2">
        <v>2018</v>
      </c>
      <c r="BI18" s="2">
        <v>2019</v>
      </c>
      <c r="CI18" s="15">
        <v>3</v>
      </c>
      <c r="CJ18" s="37" t="str">
        <f t="shared" si="79"/>
        <v>Box Elder</v>
      </c>
      <c r="CK18" s="44">
        <f t="shared" si="80"/>
        <v>5.0635960686066683E-2</v>
      </c>
      <c r="CL18" s="44">
        <f t="shared" si="81"/>
        <v>4.9246374063892318E-2</v>
      </c>
      <c r="CM18" s="44">
        <f t="shared" si="81"/>
        <v>4.3755653954197019E-2</v>
      </c>
      <c r="CN18" s="44">
        <f t="shared" si="81"/>
        <v>3.9484173505275499E-2</v>
      </c>
      <c r="CO18" s="44">
        <f t="shared" si="81"/>
        <v>3.4524987047242238E-2</v>
      </c>
      <c r="CP18" s="44">
        <f t="shared" si="81"/>
        <v>3.3645035477656127E-2</v>
      </c>
      <c r="CQ18" s="44">
        <f t="shared" si="81"/>
        <v>3.9750221352346335E-2</v>
      </c>
      <c r="CR18" s="44">
        <f t="shared" si="81"/>
        <v>4.000724933170223E-2</v>
      </c>
      <c r="CS18" s="44">
        <f t="shared" si="81"/>
        <v>5.0056982554571749E-2</v>
      </c>
      <c r="CT18" s="44">
        <f t="shared" si="81"/>
        <v>5.2917861359419796E-2</v>
      </c>
      <c r="CV18" s="9">
        <f t="shared" si="82"/>
        <v>30</v>
      </c>
      <c r="CW18" s="21" t="str">
        <f t="shared" ref="CW18:CW47" si="92">$CJ18</f>
        <v>Box Elder</v>
      </c>
      <c r="CX18" s="40">
        <f t="shared" si="83"/>
        <v>1.4839082674889188E-2</v>
      </c>
      <c r="CY18" s="40">
        <f t="shared" si="84"/>
        <v>1.5119916579770595E-2</v>
      </c>
      <c r="CZ18" s="40">
        <f t="shared" si="84"/>
        <v>1.3331428843498548E-2</v>
      </c>
      <c r="DA18" s="40">
        <f t="shared" si="84"/>
        <v>1.1395076201641267E-2</v>
      </c>
      <c r="DB18" s="40">
        <f t="shared" si="84"/>
        <v>1.1257124016767933E-2</v>
      </c>
      <c r="DC18" s="40">
        <f t="shared" si="84"/>
        <v>1.4473004088153753E-2</v>
      </c>
      <c r="DD18" s="40">
        <f t="shared" si="84"/>
        <v>1.700918029731115E-2</v>
      </c>
      <c r="DE18" s="40">
        <f t="shared" si="84"/>
        <v>1.803271260930633E-2</v>
      </c>
      <c r="DF18" s="40">
        <f t="shared" si="84"/>
        <v>2.3669676514420968E-2</v>
      </c>
      <c r="DG18" s="40">
        <f t="shared" si="84"/>
        <v>2.8630460448642266E-2</v>
      </c>
      <c r="DI18" s="9">
        <f t="shared" si="85"/>
        <v>30</v>
      </c>
      <c r="DJ18" s="21" t="str">
        <f t="shared" ref="DJ18:DJ47" si="93">$CJ18</f>
        <v>Box Elder</v>
      </c>
      <c r="DK18" s="40">
        <f t="shared" si="86"/>
        <v>3.5796878011177494E-2</v>
      </c>
      <c r="DL18" s="40">
        <f t="shared" si="87"/>
        <v>3.4126457484121721E-2</v>
      </c>
      <c r="DM18" s="40">
        <f t="shared" si="87"/>
        <v>3.042422511069847E-2</v>
      </c>
      <c r="DN18" s="40">
        <f t="shared" si="87"/>
        <v>2.8089097303634233E-2</v>
      </c>
      <c r="DO18" s="40">
        <f t="shared" si="87"/>
        <v>2.3267863030474307E-2</v>
      </c>
      <c r="DP18" s="40">
        <f t="shared" si="87"/>
        <v>1.9172031389502374E-2</v>
      </c>
      <c r="DQ18" s="40">
        <f t="shared" si="87"/>
        <v>2.2741041055035185E-2</v>
      </c>
      <c r="DR18" s="40">
        <f t="shared" si="87"/>
        <v>2.1974536722395903E-2</v>
      </c>
      <c r="DS18" s="40">
        <f t="shared" si="87"/>
        <v>2.6387306040150785E-2</v>
      </c>
      <c r="DT18" s="40">
        <f t="shared" si="87"/>
        <v>2.4287400910777534E-2</v>
      </c>
      <c r="DV18" s="9">
        <f t="shared" si="88"/>
        <v>30</v>
      </c>
      <c r="DW18" s="21" t="str">
        <f t="shared" ref="DW18:DW47" si="94">$CJ18</f>
        <v>Box Elder</v>
      </c>
      <c r="DX18" s="45">
        <f t="shared" ref="DX18:DY47" si="95">FL18 - EK18</f>
        <v>308</v>
      </c>
      <c r="DY18" s="45">
        <f t="shared" si="95"/>
        <v>319</v>
      </c>
      <c r="DZ18" s="45">
        <f t="shared" si="89"/>
        <v>280</v>
      </c>
      <c r="EA18" s="45">
        <f t="shared" si="89"/>
        <v>243</v>
      </c>
      <c r="EB18" s="45">
        <f t="shared" si="89"/>
        <v>239</v>
      </c>
      <c r="EC18" s="45">
        <f t="shared" si="89"/>
        <v>308</v>
      </c>
      <c r="ED18" s="45">
        <f t="shared" si="89"/>
        <v>365</v>
      </c>
      <c r="EE18" s="45">
        <f t="shared" si="89"/>
        <v>398</v>
      </c>
      <c r="EF18" s="45">
        <f t="shared" si="89"/>
        <v>540</v>
      </c>
      <c r="EG18" s="45">
        <f t="shared" si="89"/>
        <v>679</v>
      </c>
      <c r="EI18" s="9">
        <f t="shared" si="90"/>
        <v>30</v>
      </c>
      <c r="EJ18" s="21" t="str">
        <f t="shared" ref="EJ18:EJ47" si="96">$CJ18</f>
        <v>Box Elder</v>
      </c>
      <c r="EK18" s="45">
        <f t="shared" ref="EK18:EL47" si="97">FY18 + GL18</f>
        <v>743</v>
      </c>
      <c r="EL18" s="45">
        <f t="shared" si="97"/>
        <v>720</v>
      </c>
      <c r="EM18" s="45">
        <f t="shared" si="91"/>
        <v>639</v>
      </c>
      <c r="EN18" s="45">
        <f t="shared" si="91"/>
        <v>599</v>
      </c>
      <c r="EO18" s="45">
        <f t="shared" si="91"/>
        <v>494</v>
      </c>
      <c r="EP18" s="45">
        <f t="shared" si="91"/>
        <v>408</v>
      </c>
      <c r="EQ18" s="45">
        <f t="shared" si="91"/>
        <v>488</v>
      </c>
      <c r="ER18" s="45">
        <f t="shared" si="91"/>
        <v>485</v>
      </c>
      <c r="ES18" s="45">
        <f t="shared" si="91"/>
        <v>602</v>
      </c>
      <c r="ET18" s="45">
        <f t="shared" si="91"/>
        <v>576</v>
      </c>
      <c r="EW18" s="9">
        <f t="shared" ref="EW18:EW47" si="98">$CI18</f>
        <v>3</v>
      </c>
      <c r="EX18" s="21" t="str">
        <f t="shared" ref="EX18:EX47" si="99">$CJ18</f>
        <v>Box Elder</v>
      </c>
      <c r="EY18" s="48">
        <f>INDEX('2010'!$E$7:$EN$37,  MATCH(EW18, '2010'!$A$7:$A$37, 0), MATCH(EW15, '2010'!$E$4:$EN$4, 0) )</f>
        <v>20756</v>
      </c>
      <c r="EZ18" s="48">
        <f>INDEX('2011'!$E$7:$EN$37,  MATCH(EW18, '2011'!$A$7:$A$37, 0), MATCH(EW15, '2011'!$E$4:$EN$4, 0) )</f>
        <v>21098</v>
      </c>
      <c r="FA18" s="48">
        <f>INDEX('2012'!$E$7:$EN$37,  MATCH(EW18, '2012'!$A$7:$A$37, 0), MATCH(EW15, '2012'!$E$4:$EN$4, 0) )</f>
        <v>21003</v>
      </c>
      <c r="FB18" s="48">
        <f>INDEX('2013'!$E$7:$EN$37,  MATCH(EW18, '2013'!$A$7:$A$37, 0), MATCH(EW15, '2013'!$E$4:$EN$4, 0) )</f>
        <v>21325</v>
      </c>
      <c r="FC18" s="48">
        <f>INDEX('2014'!$E$7:$EN$37,  MATCH(EW18, '2014'!$A$7:$A$37, 0), MATCH(EW15, '2014'!$E$4:$EN$4, 0) )</f>
        <v>21231</v>
      </c>
      <c r="FD18" s="48">
        <f>INDEX('2015'!$E$7:$EN$37,  MATCH(EW18, '2015'!$A$7:$A$37, 0), MATCH(EW15, '2015'!$E$4:$EN$4, 0) )</f>
        <v>21281</v>
      </c>
      <c r="FE18" s="48">
        <f>INDEX('2016'!$E$7:$EN$37,  MATCH(EW18, '2016'!$A$7:$A$37, 0), MATCH(EW15, '2016'!$E$4:$EN$4, 0) )</f>
        <v>21459</v>
      </c>
      <c r="FF18" s="48">
        <f>INDEX('2017'!$E$7:$EN$37,  MATCH(EW18, '2017'!$A$7:$A$37, 0), MATCH(EW15, '2017'!$E$4:$EN$4, 0) )</f>
        <v>22071</v>
      </c>
      <c r="FG18" s="48">
        <f>INDEX('2018'!$E$7:$EN$37,  MATCH(EW18, '2018'!$A$7:$A$37, 0), MATCH(EW15, '2018'!$E$4:$EN$4, 0) )</f>
        <v>22814</v>
      </c>
      <c r="FH18" s="48">
        <f>INDEX('2019'!$E$7:$EN$37,  MATCH(EW18, '2019'!$A$7:$A$37, 0), MATCH(EW15, '2019'!$E$4:$EN$4, 0) )</f>
        <v>23716</v>
      </c>
      <c r="FJ18" s="9">
        <f t="shared" ref="FJ18:FJ47" si="100">$CI18</f>
        <v>3</v>
      </c>
      <c r="FK18" s="21" t="str">
        <f t="shared" ref="FK18:FK47" si="101">$CJ18</f>
        <v>Box Elder</v>
      </c>
      <c r="FL18" s="48">
        <f>INDEX('2010'!$E$7:$EN$37,  MATCH(FJ18, '2010'!$A$7:$A$37, 0), MATCH(FJ15, '2010'!$E$4:$EN$4, 0) )</f>
        <v>1051</v>
      </c>
      <c r="FM18" s="48">
        <f>INDEX('2011'!$E$7:$EN$37,  MATCH(FJ18, '2011'!$A$7:$A$37, 0), MATCH(FJ15, '2011'!$E$4:$EN$4, 0) )</f>
        <v>1039</v>
      </c>
      <c r="FN18" s="48">
        <f>INDEX('2012'!$E$7:$EN$37,  MATCH(FJ18, '2012'!$A$7:$A$37, 0), MATCH(FJ15, '2012'!$E$4:$EN$4, 0) )</f>
        <v>919</v>
      </c>
      <c r="FO18" s="48">
        <f>INDEX('2013'!$E$7:$EN$37,  MATCH(FJ18, '2013'!$A$7:$A$37, 0), MATCH(FJ15, '2013'!$E$4:$EN$4, 0) )</f>
        <v>842</v>
      </c>
      <c r="FP18" s="48">
        <f>INDEX('2014'!$E$7:$EN$37,  MATCH(FJ18, '2014'!$A$7:$A$37, 0), MATCH(FJ15, '2014'!$E$4:$EN$4, 0) )</f>
        <v>733</v>
      </c>
      <c r="FQ18" s="48">
        <f>INDEX('2015'!$E$7:$EN$37,  MATCH(FJ18, '2015'!$A$7:$A$37, 0), MATCH(FJ15, '2015'!$E$4:$EN$4, 0) )</f>
        <v>716</v>
      </c>
      <c r="FR18" s="48">
        <f>INDEX('2016'!$E$7:$EN$37,  MATCH(FJ18, '2016'!$A$7:$A$37, 0), MATCH(FJ15, '2016'!$E$4:$EN$4, 0) )</f>
        <v>853</v>
      </c>
      <c r="FS18" s="48">
        <f>INDEX('2017'!$E$7:$EN$37,  MATCH(FJ18, '2017'!$A$7:$A$37, 0), MATCH(FJ15, '2017'!$E$4:$EN$4, 0) )</f>
        <v>883</v>
      </c>
      <c r="FT18" s="48">
        <f>INDEX('2018'!$E$7:$EN$37,  MATCH(FJ18, '2018'!$A$7:$A$37, 0), MATCH(FJ15, '2018'!$E$4:$EN$4, 0) )</f>
        <v>1142</v>
      </c>
      <c r="FU18" s="48">
        <f>INDEX('2019'!$E$7:$EN$37,  MATCH(FJ18, '2019'!$A$7:$A$37, 0), MATCH(FJ15, '2019'!$E$4:$EN$4, 0) )</f>
        <v>1255</v>
      </c>
      <c r="FW18" s="9">
        <f t="shared" ref="FW18:FW47" si="102">$CI18</f>
        <v>3</v>
      </c>
      <c r="FX18" s="21" t="str">
        <f t="shared" ref="FX18:FX47" si="103">$CJ18</f>
        <v>Box Elder</v>
      </c>
      <c r="FY18" s="48">
        <f>INDEX('2010'!$E$7:$EN$37,  MATCH(FW18, '2010'!$A$7:$A$37, 0), MATCH(FW15, '2010'!$E$4:$EN$4, 0) )</f>
        <v>165</v>
      </c>
      <c r="FZ18" s="48">
        <f>INDEX('2011'!$E$7:$EN$37,  MATCH(FW18, '2011'!$A$7:$A$37, 0), MATCH(FW15, '2011'!$E$4:$EN$4, 0) )</f>
        <v>170</v>
      </c>
      <c r="GA18" s="48">
        <f>INDEX('2012'!$E$7:$EN$37,  MATCH(FW18, '2012'!$A$7:$A$37, 0), MATCH(FW15, '2012'!$E$4:$EN$4, 0) )</f>
        <v>151</v>
      </c>
      <c r="GB18" s="48">
        <f>INDEX('2013'!$E$7:$EN$37,  MATCH(FW18, '2013'!$A$7:$A$37, 0), MATCH(FW15, '2013'!$E$4:$EN$4, 0) )</f>
        <v>151</v>
      </c>
      <c r="GC18" s="48">
        <f>INDEX('2014'!$E$7:$EN$37,  MATCH(FW18, '2014'!$A$7:$A$37, 0), MATCH(FW15, '2014'!$E$4:$EN$4, 0) )</f>
        <v>165</v>
      </c>
      <c r="GD18" s="48">
        <f>INDEX('2015'!$E$7:$EN$37,  MATCH(FW18, '2015'!$A$7:$A$37, 0), MATCH(FW15, '2015'!$E$4:$EN$4, 0) )</f>
        <v>146</v>
      </c>
      <c r="GE18" s="48">
        <f>INDEX('2016'!$E$7:$EN$37,  MATCH(FW18, '2016'!$A$7:$A$37, 0), MATCH(FW15, '2016'!$E$4:$EN$4, 0) )</f>
        <v>111</v>
      </c>
      <c r="GF18" s="48">
        <f>INDEX('2017'!$E$7:$EN$37,  MATCH(FW18, '2017'!$A$7:$A$37, 0), MATCH(FW15, '2017'!$E$4:$EN$4, 0) )</f>
        <v>131</v>
      </c>
      <c r="GG18" s="48">
        <f>INDEX('2018'!$E$7:$EN$37,  MATCH(FW18, '2018'!$A$7:$A$37, 0), MATCH(FW15, '2018'!$E$4:$EN$4, 0) )</f>
        <v>166</v>
      </c>
      <c r="GH18" s="48">
        <f>INDEX('2019'!$E$7:$EN$37,  MATCH(FW18, '2019'!$A$7:$A$37, 0), MATCH(FW15, '2019'!$E$4:$EN$4, 0) )</f>
        <v>120</v>
      </c>
      <c r="GJ18" s="9">
        <f t="shared" ref="GJ18:GJ47" si="104">$CI18</f>
        <v>3</v>
      </c>
      <c r="GK18" s="21" t="str">
        <f t="shared" ref="GK18:GK47" si="105">$CJ18</f>
        <v>Box Elder</v>
      </c>
      <c r="GL18" s="48">
        <f>INDEX('2010'!$E$7:$EN$37,  MATCH(GJ18, '2010'!$A$7:$A$37, 0), MATCH(GJ15, '2010'!$E$4:$EN$4, 0) )</f>
        <v>578</v>
      </c>
      <c r="GM18" s="48">
        <f>INDEX('2011'!$E$7:$EN$37,  MATCH(GJ18, '2011'!$A$7:$A$37, 0), MATCH(GJ15, '2011'!$E$4:$EN$4, 0) )</f>
        <v>550</v>
      </c>
      <c r="GN18" s="48">
        <f>INDEX('2012'!$E$7:$EN$37,  MATCH(GJ18, '2012'!$A$7:$A$37, 0), MATCH(GJ15, '2012'!$E$4:$EN$4, 0) )</f>
        <v>488</v>
      </c>
      <c r="GO18" s="48">
        <f>INDEX('2013'!$E$7:$EN$37,  MATCH(GJ18, '2013'!$A$7:$A$37, 0), MATCH(GJ15, '2013'!$E$4:$EN$4, 0) )</f>
        <v>448</v>
      </c>
      <c r="GP18" s="48">
        <f>INDEX('2014'!$E$7:$EN$37,  MATCH(GJ18, '2014'!$A$7:$A$37, 0), MATCH(GJ15, '2014'!$E$4:$EN$4, 0) )</f>
        <v>329</v>
      </c>
      <c r="GQ18" s="48">
        <f>INDEX('2015'!$E$7:$EN$37,  MATCH(GJ18, '2015'!$A$7:$A$37, 0), MATCH(GJ15, '2015'!$E$4:$EN$4, 0) )</f>
        <v>262</v>
      </c>
      <c r="GR18" s="48">
        <f>INDEX('2016'!$E$7:$EN$37,  MATCH(GJ18, '2016'!$A$7:$A$37, 0), MATCH(GJ15, '2016'!$E$4:$EN$4, 0) )</f>
        <v>377</v>
      </c>
      <c r="GS18" s="48">
        <f>INDEX('2017'!$E$7:$EN$37,  MATCH(GJ18, '2017'!$A$7:$A$37, 0), MATCH(GJ15, '2017'!$E$4:$EN$4, 0) )</f>
        <v>354</v>
      </c>
      <c r="GT18" s="48">
        <f>INDEX('2018'!$E$7:$EN$37,  MATCH(GJ18, '2018'!$A$7:$A$37, 0), MATCH(GJ15, '2018'!$E$4:$EN$4, 0) )</f>
        <v>436</v>
      </c>
      <c r="GU18" s="48">
        <f>INDEX('2019'!$E$7:$EN$37,  MATCH(GJ18, '2019'!$A$7:$A$37, 0), MATCH(GJ15, '2019'!$E$4:$EN$4, 0) )</f>
        <v>456</v>
      </c>
    </row>
    <row r="19" spans="50:203" x14ac:dyDescent="0.25">
      <c r="AX19" s="15"/>
      <c r="AY19" s="39" t="s">
        <v>617</v>
      </c>
      <c r="AZ19" s="40">
        <f>INDEX($DK$7:$DT$13, MATCH(AY17, $DJ$7:$DJ$13,0), MATCH(AZ$6, $DK$6:$DT$6, 0))</f>
        <v>2.3943210373651283E-2</v>
      </c>
      <c r="BA19" s="40">
        <f>INDEX($DK$7:$DT$13, MATCH(AY17, $DJ$7:$DJ$13,0), MATCH(BA$6, $DK$6:$DT$6, 0))</f>
        <v>2.1674151405575645E-2</v>
      </c>
      <c r="BB19" s="40">
        <f>INDEX($DK$7:$DT$13, MATCH(AY17, $DJ$7:$DJ$13,0), MATCH(BB$6, $DK$6:$DT$6, 0))</f>
        <v>2.1495896498584383E-2</v>
      </c>
      <c r="BC19" s="40">
        <f>INDEX($DK$7:$DT$13, MATCH(AY17, $DJ$7:$DJ$13,0), MATCH(BC$6, $DK$6:$DT$6, 0))</f>
        <v>2.1443588942239394E-2</v>
      </c>
      <c r="BD19" s="40">
        <f>INDEX($DK$7:$DT$13, MATCH(AY17, $DJ$7:$DJ$13,0), MATCH(BD$6, $DK$6:$DT$6, 0))</f>
        <v>2.1136366799827402E-2</v>
      </c>
      <c r="BE19" s="40">
        <f>INDEX($DK$7:$DT$13, MATCH(AY17, $DJ$7:$DJ$13,0), MATCH(BE$6, $DK$6:$DT$6, 0))</f>
        <v>2.1146771961796765E-2</v>
      </c>
      <c r="BF19" s="40">
        <f>INDEX($DK$7:$DT$13, MATCH(AY17, $DJ$7:$DJ$13,0), MATCH(BF$6, $DK$6:$DT$6, 0))</f>
        <v>2.1408339371582898E-2</v>
      </c>
      <c r="BG19" s="40">
        <f>INDEX($DK$7:$DT$13, MATCH(AY17, $DJ$7:$DJ$13,0), MATCH(BG$6, $DK$6:$DT$6, 0))</f>
        <v>2.0739694362398871E-2</v>
      </c>
      <c r="BH19" s="40">
        <f>INDEX($DK$7:$DT$13, MATCH(AY17, $DJ$7:$DJ$13,0), MATCH(BH$6, $DK$6:$DT$6, 0))</f>
        <v>2.2793599677971219E-2</v>
      </c>
      <c r="BI19" s="40">
        <f>INDEX($DK$7:$DT$13, MATCH(AY17, $DJ$7:$DJ$13,0), MATCH(BI$6, $DK$6:$DT$6, 0))</f>
        <v>2.2409576991861017E-2</v>
      </c>
      <c r="CI19" s="15">
        <v>5</v>
      </c>
      <c r="CJ19" s="37" t="str">
        <f t="shared" si="79"/>
        <v>Cache</v>
      </c>
      <c r="CK19" s="44">
        <f t="shared" si="80"/>
        <v>5.3870467440171196E-2</v>
      </c>
      <c r="CL19" s="44">
        <f t="shared" si="81"/>
        <v>4.5694404175123222E-2</v>
      </c>
      <c r="CM19" s="44">
        <f t="shared" si="81"/>
        <v>4.3328220858895705E-2</v>
      </c>
      <c r="CN19" s="44">
        <f t="shared" si="81"/>
        <v>4.4274954714462772E-2</v>
      </c>
      <c r="CO19" s="44">
        <f t="shared" si="81"/>
        <v>4.1536687274308509E-2</v>
      </c>
      <c r="CP19" s="44">
        <f t="shared" si="81"/>
        <v>4.5870031825919616E-2</v>
      </c>
      <c r="CQ19" s="44">
        <f t="shared" si="81"/>
        <v>5.0949050949050945E-2</v>
      </c>
      <c r="CR19" s="44">
        <f t="shared" si="81"/>
        <v>5.1726899055143327E-2</v>
      </c>
      <c r="CS19" s="44">
        <f t="shared" si="81"/>
        <v>5.5470694241826143E-2</v>
      </c>
      <c r="CT19" s="44">
        <f t="shared" si="81"/>
        <v>6.2955687984818723E-2</v>
      </c>
      <c r="CV19" s="9">
        <f t="shared" si="82"/>
        <v>50</v>
      </c>
      <c r="CW19" s="21" t="str">
        <f t="shared" si="92"/>
        <v>Cache</v>
      </c>
      <c r="CX19" s="40">
        <f t="shared" si="83"/>
        <v>2.7151186760115437E-2</v>
      </c>
      <c r="CY19" s="40">
        <f t="shared" si="84"/>
        <v>2.3059824103604909E-2</v>
      </c>
      <c r="CZ19" s="40">
        <f t="shared" si="84"/>
        <v>2.1587423312883436E-2</v>
      </c>
      <c r="DA19" s="40">
        <f t="shared" si="84"/>
        <v>2.2175612546477264E-2</v>
      </c>
      <c r="DB19" s="40">
        <f t="shared" si="84"/>
        <v>2.126935511315297E-2</v>
      </c>
      <c r="DC19" s="40">
        <f t="shared" si="84"/>
        <v>2.3036784841980608E-2</v>
      </c>
      <c r="DD19" s="40">
        <f t="shared" si="84"/>
        <v>2.5211152483879756E-2</v>
      </c>
      <c r="DE19" s="40">
        <f t="shared" si="84"/>
        <v>2.6157049057812416E-2</v>
      </c>
      <c r="DF19" s="40">
        <f t="shared" si="84"/>
        <v>2.8850939672187419E-2</v>
      </c>
      <c r="DG19" s="40">
        <f t="shared" si="84"/>
        <v>3.4557379232280187E-2</v>
      </c>
      <c r="DI19" s="9">
        <f t="shared" si="85"/>
        <v>50</v>
      </c>
      <c r="DJ19" s="21" t="str">
        <f t="shared" si="93"/>
        <v>Cache</v>
      </c>
      <c r="DK19" s="40">
        <f t="shared" si="86"/>
        <v>2.6719280680055756E-2</v>
      </c>
      <c r="DL19" s="40">
        <f t="shared" si="87"/>
        <v>2.2634580071518313E-2</v>
      </c>
      <c r="DM19" s="40">
        <f t="shared" si="87"/>
        <v>2.1740797546012269E-2</v>
      </c>
      <c r="DN19" s="40">
        <f t="shared" si="87"/>
        <v>2.2099342167985508E-2</v>
      </c>
      <c r="DO19" s="40">
        <f t="shared" si="87"/>
        <v>2.0267332161155539E-2</v>
      </c>
      <c r="DP19" s="40">
        <f t="shared" si="87"/>
        <v>2.2833246983939012E-2</v>
      </c>
      <c r="DQ19" s="40">
        <f t="shared" si="87"/>
        <v>2.5737898465171192E-2</v>
      </c>
      <c r="DR19" s="40">
        <f t="shared" si="87"/>
        <v>2.5569849997330914E-2</v>
      </c>
      <c r="DS19" s="40">
        <f t="shared" si="87"/>
        <v>2.6619754569638721E-2</v>
      </c>
      <c r="DT19" s="40">
        <f t="shared" si="87"/>
        <v>2.8398308752538536E-2</v>
      </c>
      <c r="DV19" s="9">
        <f t="shared" si="88"/>
        <v>50</v>
      </c>
      <c r="DW19" s="21" t="str">
        <f t="shared" si="94"/>
        <v>Cache</v>
      </c>
      <c r="DX19" s="45">
        <f t="shared" si="95"/>
        <v>1383</v>
      </c>
      <c r="DY19" s="45">
        <f t="shared" si="95"/>
        <v>1193</v>
      </c>
      <c r="DZ19" s="45">
        <f t="shared" si="89"/>
        <v>1126</v>
      </c>
      <c r="EA19" s="45">
        <f t="shared" si="89"/>
        <v>1163</v>
      </c>
      <c r="EB19" s="45">
        <f t="shared" si="89"/>
        <v>1125</v>
      </c>
      <c r="EC19" s="45">
        <f t="shared" si="89"/>
        <v>1245</v>
      </c>
      <c r="ED19" s="45">
        <f t="shared" si="89"/>
        <v>1388</v>
      </c>
      <c r="EE19" s="45">
        <f t="shared" si="89"/>
        <v>1470</v>
      </c>
      <c r="EF19" s="45">
        <f t="shared" si="89"/>
        <v>1681</v>
      </c>
      <c r="EG19" s="45">
        <f t="shared" si="89"/>
        <v>2076</v>
      </c>
      <c r="EI19" s="9">
        <f t="shared" si="90"/>
        <v>50</v>
      </c>
      <c r="EJ19" s="21" t="str">
        <f t="shared" si="96"/>
        <v>Cache</v>
      </c>
      <c r="EK19" s="45">
        <f t="shared" si="97"/>
        <v>1361</v>
      </c>
      <c r="EL19" s="45">
        <f t="shared" si="97"/>
        <v>1171</v>
      </c>
      <c r="EM19" s="45">
        <f t="shared" si="91"/>
        <v>1134</v>
      </c>
      <c r="EN19" s="45">
        <f t="shared" si="91"/>
        <v>1159</v>
      </c>
      <c r="EO19" s="45">
        <f t="shared" si="91"/>
        <v>1072</v>
      </c>
      <c r="EP19" s="45">
        <f t="shared" si="91"/>
        <v>1234</v>
      </c>
      <c r="EQ19" s="45">
        <f t="shared" si="91"/>
        <v>1417</v>
      </c>
      <c r="ER19" s="45">
        <f t="shared" si="91"/>
        <v>1437</v>
      </c>
      <c r="ES19" s="45">
        <f t="shared" si="91"/>
        <v>1551</v>
      </c>
      <c r="ET19" s="45">
        <f t="shared" si="91"/>
        <v>1706</v>
      </c>
      <c r="EW19" s="9">
        <f t="shared" si="98"/>
        <v>5</v>
      </c>
      <c r="EX19" s="21" t="str">
        <f t="shared" si="99"/>
        <v>Cache</v>
      </c>
      <c r="EY19" s="48">
        <f>INDEX('2010'!$E$7:$EN$37,  MATCH(EW19, '2010'!$A$7:$A$37, 0), MATCH(EW15, '2010'!$E$4:$EN$4, 0) )</f>
        <v>50937</v>
      </c>
      <c r="EZ19" s="48">
        <f>INDEX('2011'!$E$7:$EN$37,  MATCH(EW19, '2011'!$A$7:$A$37, 0), MATCH(EW15, '2011'!$E$4:$EN$4, 0) )</f>
        <v>51735</v>
      </c>
      <c r="FA19" s="48">
        <f>INDEX('2012'!$E$7:$EN$37,  MATCH(EW19, '2012'!$A$7:$A$37, 0), MATCH(EW15, '2012'!$E$4:$EN$4, 0) )</f>
        <v>52160</v>
      </c>
      <c r="FB19" s="48">
        <f>INDEX('2013'!$E$7:$EN$37,  MATCH(EW19, '2013'!$A$7:$A$37, 0), MATCH(EW15, '2013'!$E$4:$EN$4, 0) )</f>
        <v>52445</v>
      </c>
      <c r="FC19" s="48">
        <f>INDEX('2014'!$E$7:$EN$37,  MATCH(EW19, '2014'!$A$7:$A$37, 0), MATCH(EW15, '2014'!$E$4:$EN$4, 0) )</f>
        <v>52893</v>
      </c>
      <c r="FD19" s="48">
        <f>INDEX('2015'!$E$7:$EN$37,  MATCH(EW19, '2015'!$A$7:$A$37, 0), MATCH(EW15, '2015'!$E$4:$EN$4, 0) )</f>
        <v>54044</v>
      </c>
      <c r="FE19" s="48">
        <f>INDEX('2016'!$E$7:$EN$37,  MATCH(EW19, '2016'!$A$7:$A$37, 0), MATCH(EW15, '2016'!$E$4:$EN$4, 0) )</f>
        <v>55055</v>
      </c>
      <c r="FF19" s="48">
        <f>INDEX('2017'!$E$7:$EN$37,  MATCH(EW19, '2017'!$A$7:$A$37, 0), MATCH(EW15, '2017'!$E$4:$EN$4, 0) )</f>
        <v>56199</v>
      </c>
      <c r="FG19" s="48">
        <f>INDEX('2018'!$E$7:$EN$37,  MATCH(EW19, '2018'!$A$7:$A$37, 0), MATCH(EW15, '2018'!$E$4:$EN$4, 0) )</f>
        <v>58265</v>
      </c>
      <c r="FH19" s="48">
        <f>INDEX('2019'!$E$7:$EN$37,  MATCH(EW19, '2019'!$A$7:$A$37, 0), MATCH(EW15, '2019'!$E$4:$EN$4, 0) )</f>
        <v>60074</v>
      </c>
      <c r="FJ19" s="9">
        <f t="shared" si="100"/>
        <v>5</v>
      </c>
      <c r="FK19" s="21" t="str">
        <f t="shared" si="101"/>
        <v>Cache</v>
      </c>
      <c r="FL19" s="48">
        <f>INDEX('2010'!$E$7:$EN$37,  MATCH(FJ19, '2010'!$A$7:$A$37, 0), MATCH(FJ15, '2010'!$E$4:$EN$4, 0) )</f>
        <v>2744</v>
      </c>
      <c r="FM19" s="48">
        <f>INDEX('2011'!$E$7:$EN$37,  MATCH(FJ19, '2011'!$A$7:$A$37, 0), MATCH(FJ15, '2011'!$E$4:$EN$4, 0) )</f>
        <v>2364</v>
      </c>
      <c r="FN19" s="48">
        <f>INDEX('2012'!$E$7:$EN$37,  MATCH(FJ19, '2012'!$A$7:$A$37, 0), MATCH(FJ15, '2012'!$E$4:$EN$4, 0) )</f>
        <v>2260</v>
      </c>
      <c r="FO19" s="48">
        <f>INDEX('2013'!$E$7:$EN$37,  MATCH(FJ19, '2013'!$A$7:$A$37, 0), MATCH(FJ15, '2013'!$E$4:$EN$4, 0) )</f>
        <v>2322</v>
      </c>
      <c r="FP19" s="48">
        <f>INDEX('2014'!$E$7:$EN$37,  MATCH(FJ19, '2014'!$A$7:$A$37, 0), MATCH(FJ15, '2014'!$E$4:$EN$4, 0) )</f>
        <v>2197</v>
      </c>
      <c r="FQ19" s="48">
        <f>INDEX('2015'!$E$7:$EN$37,  MATCH(FJ19, '2015'!$A$7:$A$37, 0), MATCH(FJ15, '2015'!$E$4:$EN$4, 0) )</f>
        <v>2479</v>
      </c>
      <c r="FR19" s="48">
        <f>INDEX('2016'!$E$7:$EN$37,  MATCH(FJ19, '2016'!$A$7:$A$37, 0), MATCH(FJ15, '2016'!$E$4:$EN$4, 0) )</f>
        <v>2805</v>
      </c>
      <c r="FS19" s="48">
        <f>INDEX('2017'!$E$7:$EN$37,  MATCH(FJ19, '2017'!$A$7:$A$37, 0), MATCH(FJ15, '2017'!$E$4:$EN$4, 0) )</f>
        <v>2907</v>
      </c>
      <c r="FT19" s="48">
        <f>INDEX('2018'!$E$7:$EN$37,  MATCH(FJ19, '2018'!$A$7:$A$37, 0), MATCH(FJ15, '2018'!$E$4:$EN$4, 0) )</f>
        <v>3232</v>
      </c>
      <c r="FU19" s="48">
        <f>INDEX('2019'!$E$7:$EN$37,  MATCH(FJ19, '2019'!$A$7:$A$37, 0), MATCH(FJ15, '2019'!$E$4:$EN$4, 0) )</f>
        <v>3782</v>
      </c>
      <c r="FW19" s="9">
        <f t="shared" si="102"/>
        <v>5</v>
      </c>
      <c r="FX19" s="21" t="str">
        <f t="shared" si="103"/>
        <v>Cache</v>
      </c>
      <c r="FY19" s="48">
        <f>INDEX('2010'!$E$7:$EN$37,  MATCH(FW19, '2010'!$A$7:$A$37, 0), MATCH(FW15, '2010'!$E$4:$EN$4, 0) )</f>
        <v>375</v>
      </c>
      <c r="FZ19" s="48">
        <f>INDEX('2011'!$E$7:$EN$37,  MATCH(FW19, '2011'!$A$7:$A$37, 0), MATCH(FW15, '2011'!$E$4:$EN$4, 0) )</f>
        <v>334</v>
      </c>
      <c r="GA19" s="48">
        <f>INDEX('2012'!$E$7:$EN$37,  MATCH(FW19, '2012'!$A$7:$A$37, 0), MATCH(FW15, '2012'!$E$4:$EN$4, 0) )</f>
        <v>327</v>
      </c>
      <c r="GB19" s="48">
        <f>INDEX('2013'!$E$7:$EN$37,  MATCH(FW19, '2013'!$A$7:$A$37, 0), MATCH(FW15, '2013'!$E$4:$EN$4, 0) )</f>
        <v>331</v>
      </c>
      <c r="GC19" s="48">
        <f>INDEX('2014'!$E$7:$EN$37,  MATCH(FW19, '2014'!$A$7:$A$37, 0), MATCH(FW15, '2014'!$E$4:$EN$4, 0) )</f>
        <v>312</v>
      </c>
      <c r="GD19" s="48">
        <f>INDEX('2015'!$E$7:$EN$37,  MATCH(FW19, '2015'!$A$7:$A$37, 0), MATCH(FW15, '2015'!$E$4:$EN$4, 0) )</f>
        <v>456</v>
      </c>
      <c r="GE19" s="48">
        <f>INDEX('2016'!$E$7:$EN$37,  MATCH(FW19, '2016'!$A$7:$A$37, 0), MATCH(FW15, '2016'!$E$4:$EN$4, 0) )</f>
        <v>565</v>
      </c>
      <c r="GF19" s="48">
        <f>INDEX('2017'!$E$7:$EN$37,  MATCH(FW19, '2017'!$A$7:$A$37, 0), MATCH(FW15, '2017'!$E$4:$EN$4, 0) )</f>
        <v>662</v>
      </c>
      <c r="GG19" s="48">
        <f>INDEX('2018'!$E$7:$EN$37,  MATCH(FW19, '2018'!$A$7:$A$37, 0), MATCH(FW15, '2018'!$E$4:$EN$4, 0) )</f>
        <v>798</v>
      </c>
      <c r="GH19" s="48">
        <f>INDEX('2019'!$E$7:$EN$37,  MATCH(FW19, '2019'!$A$7:$A$37, 0), MATCH(FW15, '2019'!$E$4:$EN$4, 0) )</f>
        <v>893</v>
      </c>
      <c r="GJ19" s="9">
        <f t="shared" si="104"/>
        <v>5</v>
      </c>
      <c r="GK19" s="21" t="str">
        <f t="shared" si="105"/>
        <v>Cache</v>
      </c>
      <c r="GL19" s="48">
        <f>INDEX('2010'!$E$7:$EN$37,  MATCH(GJ19, '2010'!$A$7:$A$37, 0), MATCH(GJ15, '2010'!$E$4:$EN$4, 0) )</f>
        <v>986</v>
      </c>
      <c r="GM19" s="48">
        <f>INDEX('2011'!$E$7:$EN$37,  MATCH(GJ19, '2011'!$A$7:$A$37, 0), MATCH(GJ15, '2011'!$E$4:$EN$4, 0) )</f>
        <v>837</v>
      </c>
      <c r="GN19" s="48">
        <f>INDEX('2012'!$E$7:$EN$37,  MATCH(GJ19, '2012'!$A$7:$A$37, 0), MATCH(GJ15, '2012'!$E$4:$EN$4, 0) )</f>
        <v>807</v>
      </c>
      <c r="GO19" s="48">
        <f>INDEX('2013'!$E$7:$EN$37,  MATCH(GJ19, '2013'!$A$7:$A$37, 0), MATCH(GJ15, '2013'!$E$4:$EN$4, 0) )</f>
        <v>828</v>
      </c>
      <c r="GP19" s="48">
        <f>INDEX('2014'!$E$7:$EN$37,  MATCH(GJ19, '2014'!$A$7:$A$37, 0), MATCH(GJ15, '2014'!$E$4:$EN$4, 0) )</f>
        <v>760</v>
      </c>
      <c r="GQ19" s="48">
        <f>INDEX('2015'!$E$7:$EN$37,  MATCH(GJ19, '2015'!$A$7:$A$37, 0), MATCH(GJ15, '2015'!$E$4:$EN$4, 0) )</f>
        <v>778</v>
      </c>
      <c r="GR19" s="48">
        <f>INDEX('2016'!$E$7:$EN$37,  MATCH(GJ19, '2016'!$A$7:$A$37, 0), MATCH(GJ15, '2016'!$E$4:$EN$4, 0) )</f>
        <v>852</v>
      </c>
      <c r="GS19" s="48">
        <f>INDEX('2017'!$E$7:$EN$37,  MATCH(GJ19, '2017'!$A$7:$A$37, 0), MATCH(GJ15, '2017'!$E$4:$EN$4, 0) )</f>
        <v>775</v>
      </c>
      <c r="GT19" s="48">
        <f>INDEX('2018'!$E$7:$EN$37,  MATCH(GJ19, '2018'!$A$7:$A$37, 0), MATCH(GJ15, '2018'!$E$4:$EN$4, 0) )</f>
        <v>753</v>
      </c>
      <c r="GU19" s="48">
        <f>INDEX('2019'!$E$7:$EN$37,  MATCH(GJ19, '2019'!$A$7:$A$37, 0), MATCH(GJ15, '2019'!$E$4:$EN$4, 0) )</f>
        <v>813</v>
      </c>
    </row>
    <row r="20" spans="50:203" x14ac:dyDescent="0.25">
      <c r="AX20" s="15"/>
      <c r="AY20" s="39" t="s">
        <v>618</v>
      </c>
      <c r="AZ20" s="40">
        <f>INDEX($CX$7:$DG$13, MATCH(AY17, $CW$7:$CW$13,0), MATCH(AZ$6, $CX$6:$DG$6, 0))</f>
        <v>2.0632470602271288E-2</v>
      </c>
      <c r="BA20" s="40">
        <f>INDEX($CX$7:$DG$13, MATCH(AY17, $CW$7:$CW$13,0), MATCH(BA$6, $CX$6:$DG$6, 0))</f>
        <v>2.5479703720984487E-2</v>
      </c>
      <c r="BB20" s="40">
        <f>INDEX($CX$7:$DG$13, MATCH(AY17, $CW$7:$CW$13,0), MATCH(BB$6, $CX$6:$DG$6, 0))</f>
        <v>2.3610364476937963E-2</v>
      </c>
      <c r="BC20" s="40">
        <f>INDEX($CX$7:$DG$13, MATCH(AY17, $CW$7:$CW$13,0), MATCH(BC$6, $CX$6:$DG$6, 0))</f>
        <v>2.5847373355683722E-2</v>
      </c>
      <c r="BD20" s="40">
        <f>INDEX($CX$7:$DG$13, MATCH(AY17, $CW$7:$CW$13,0), MATCH(BD$6, $CX$6:$DG$6, 0))</f>
        <v>2.831869493200451E-2</v>
      </c>
      <c r="BE20" s="40">
        <f>INDEX($CX$7:$DG$13, MATCH(AY17, $CW$7:$CW$13,0), MATCH(BE$6, $CX$6:$DG$6, 0))</f>
        <v>3.1001316189126254E-2</v>
      </c>
      <c r="BF20" s="40">
        <f>INDEX($CX$7:$DG$13, MATCH(AY17, $CW$7:$CW$13,0), MATCH(BF$6, $CX$6:$DG$6, 0))</f>
        <v>3.0590870166655688E-2</v>
      </c>
      <c r="BG20" s="40">
        <f>INDEX($CX$7:$DG$13, MATCH(AY17, $CW$7:$CW$13,0), MATCH(BG$6, $CX$6:$DG$6, 0))</f>
        <v>3.4743803775523309E-2</v>
      </c>
      <c r="BH20" s="40">
        <f>INDEX($CX$7:$DG$13, MATCH(AY17, $CW$7:$CW$13,0), MATCH(BH$6, $CX$6:$DG$6, 0))</f>
        <v>3.547977256717319E-2</v>
      </c>
      <c r="BI20" s="40">
        <f>INDEX($CX$7:$DG$13, MATCH(AY17, $CW$7:$CW$13,0), MATCH(BI$6, $CX$6:$DG$6, 0))</f>
        <v>3.6449018820638224E-2</v>
      </c>
      <c r="CI20" s="15">
        <v>7</v>
      </c>
      <c r="CJ20" s="37" t="str">
        <f t="shared" si="79"/>
        <v>Carbon</v>
      </c>
      <c r="CK20" s="44">
        <f t="shared" si="80"/>
        <v>3.4883720930232558E-2</v>
      </c>
      <c r="CL20" s="44">
        <f t="shared" si="81"/>
        <v>2.6702115362385849E-2</v>
      </c>
      <c r="CM20" s="44">
        <f t="shared" si="81"/>
        <v>2.9777524244152882E-2</v>
      </c>
      <c r="CN20" s="44">
        <f t="shared" si="81"/>
        <v>3.0474040632054177E-2</v>
      </c>
      <c r="CO20" s="44">
        <f t="shared" si="81"/>
        <v>2.9805760214333558E-2</v>
      </c>
      <c r="CP20" s="44">
        <f t="shared" si="81"/>
        <v>2.583434970617585E-2</v>
      </c>
      <c r="CQ20" s="44">
        <f t="shared" si="81"/>
        <v>3.1452253888951967E-2</v>
      </c>
      <c r="CR20" s="44">
        <f t="shared" si="81"/>
        <v>3.3025404157043879E-2</v>
      </c>
      <c r="CS20" s="44">
        <f t="shared" si="81"/>
        <v>4.3817736860505767E-2</v>
      </c>
      <c r="CT20" s="44">
        <f t="shared" si="81"/>
        <v>4.1319361752798288E-2</v>
      </c>
      <c r="CV20" s="9">
        <f t="shared" si="82"/>
        <v>70</v>
      </c>
      <c r="CW20" s="21" t="str">
        <f t="shared" si="92"/>
        <v>Carbon</v>
      </c>
      <c r="CX20" s="40">
        <f t="shared" si="83"/>
        <v>0.02</v>
      </c>
      <c r="CY20" s="40">
        <f t="shared" si="84"/>
        <v>1.4218009478672985E-2</v>
      </c>
      <c r="CZ20" s="40">
        <f t="shared" si="84"/>
        <v>1.4489446662863663E-2</v>
      </c>
      <c r="DA20" s="40">
        <f t="shared" si="84"/>
        <v>1.72686230248307E-2</v>
      </c>
      <c r="DB20" s="40">
        <f t="shared" si="84"/>
        <v>1.4512167894619335E-2</v>
      </c>
      <c r="DC20" s="40">
        <f t="shared" si="84"/>
        <v>1.397050670806076E-2</v>
      </c>
      <c r="DD20" s="40">
        <f t="shared" si="84"/>
        <v>1.9984103553991144E-2</v>
      </c>
      <c r="DE20" s="40">
        <f t="shared" si="84"/>
        <v>1.9399538106235566E-2</v>
      </c>
      <c r="DF20" s="40">
        <f t="shared" si="84"/>
        <v>1.8762382006759119E-2</v>
      </c>
      <c r="DG20" s="40">
        <f t="shared" si="84"/>
        <v>1.5598952131459872E-2</v>
      </c>
      <c r="DI20" s="9">
        <f t="shared" si="85"/>
        <v>70</v>
      </c>
      <c r="DJ20" s="21" t="str">
        <f t="shared" si="93"/>
        <v>Carbon</v>
      </c>
      <c r="DK20" s="40">
        <f t="shared" si="86"/>
        <v>1.4883720930232559E-2</v>
      </c>
      <c r="DL20" s="40">
        <f t="shared" si="87"/>
        <v>1.2484105883712866E-2</v>
      </c>
      <c r="DM20" s="40">
        <f t="shared" si="87"/>
        <v>1.5288077581289219E-2</v>
      </c>
      <c r="DN20" s="40">
        <f t="shared" si="87"/>
        <v>1.3205417607223477E-2</v>
      </c>
      <c r="DO20" s="40">
        <f t="shared" si="87"/>
        <v>1.5293592319714222E-2</v>
      </c>
      <c r="DP20" s="40">
        <f t="shared" si="87"/>
        <v>1.186384299811509E-2</v>
      </c>
      <c r="DQ20" s="40">
        <f t="shared" si="87"/>
        <v>1.1468150334960826E-2</v>
      </c>
      <c r="DR20" s="40">
        <f t="shared" si="87"/>
        <v>1.3625866050808315E-2</v>
      </c>
      <c r="DS20" s="40">
        <f t="shared" si="87"/>
        <v>2.5055354853746648E-2</v>
      </c>
      <c r="DT20" s="40">
        <f t="shared" si="87"/>
        <v>2.5720409621338414E-2</v>
      </c>
      <c r="DV20" s="9">
        <f t="shared" si="88"/>
        <v>70</v>
      </c>
      <c r="DW20" s="21" t="str">
        <f t="shared" si="94"/>
        <v>Carbon</v>
      </c>
      <c r="DX20" s="45">
        <f t="shared" si="95"/>
        <v>172</v>
      </c>
      <c r="DY20" s="45">
        <f t="shared" si="95"/>
        <v>123</v>
      </c>
      <c r="DZ20" s="45">
        <f t="shared" si="89"/>
        <v>127</v>
      </c>
      <c r="EA20" s="45">
        <f t="shared" si="89"/>
        <v>153</v>
      </c>
      <c r="EB20" s="45">
        <f t="shared" si="89"/>
        <v>130</v>
      </c>
      <c r="EC20" s="45">
        <f t="shared" si="89"/>
        <v>126</v>
      </c>
      <c r="ED20" s="45">
        <f t="shared" si="89"/>
        <v>176</v>
      </c>
      <c r="EE20" s="45">
        <f t="shared" si="89"/>
        <v>168</v>
      </c>
      <c r="EF20" s="45">
        <f t="shared" si="89"/>
        <v>161</v>
      </c>
      <c r="EG20" s="45">
        <f t="shared" si="89"/>
        <v>131</v>
      </c>
      <c r="EI20" s="9">
        <f t="shared" si="90"/>
        <v>70</v>
      </c>
      <c r="EJ20" s="21" t="str">
        <f t="shared" si="96"/>
        <v>Carbon</v>
      </c>
      <c r="EK20" s="45">
        <f t="shared" si="97"/>
        <v>128</v>
      </c>
      <c r="EL20" s="45">
        <f t="shared" si="97"/>
        <v>108</v>
      </c>
      <c r="EM20" s="45">
        <f t="shared" si="91"/>
        <v>134</v>
      </c>
      <c r="EN20" s="45">
        <f t="shared" si="91"/>
        <v>117</v>
      </c>
      <c r="EO20" s="45">
        <f t="shared" si="91"/>
        <v>137</v>
      </c>
      <c r="EP20" s="45">
        <f t="shared" si="91"/>
        <v>107</v>
      </c>
      <c r="EQ20" s="45">
        <f t="shared" si="91"/>
        <v>101</v>
      </c>
      <c r="ER20" s="45">
        <f t="shared" si="91"/>
        <v>118</v>
      </c>
      <c r="ES20" s="45">
        <f t="shared" si="91"/>
        <v>215</v>
      </c>
      <c r="ET20" s="45">
        <f t="shared" si="91"/>
        <v>216</v>
      </c>
      <c r="EW20" s="9">
        <f t="shared" si="98"/>
        <v>7</v>
      </c>
      <c r="EX20" s="21" t="str">
        <f t="shared" si="99"/>
        <v>Carbon</v>
      </c>
      <c r="EY20" s="48">
        <f>INDEX('2010'!$E$7:$EN$37,  MATCH(EW20, '2010'!$A$7:$A$37, 0), MATCH(EW15, '2010'!$E$4:$EN$4, 0) )</f>
        <v>8600</v>
      </c>
      <c r="EZ20" s="48">
        <f>INDEX('2011'!$E$7:$EN$37,  MATCH(EW20, '2011'!$A$7:$A$37, 0), MATCH(EW15, '2011'!$E$4:$EN$4, 0) )</f>
        <v>8651</v>
      </c>
      <c r="FA20" s="48">
        <f>INDEX('2012'!$E$7:$EN$37,  MATCH(EW20, '2012'!$A$7:$A$37, 0), MATCH(EW15, '2012'!$E$4:$EN$4, 0) )</f>
        <v>8765</v>
      </c>
      <c r="FB20" s="48">
        <f>INDEX('2013'!$E$7:$EN$37,  MATCH(EW20, '2013'!$A$7:$A$37, 0), MATCH(EW15, '2013'!$E$4:$EN$4, 0) )</f>
        <v>8860</v>
      </c>
      <c r="FC20" s="48">
        <f>INDEX('2014'!$E$7:$EN$37,  MATCH(EW20, '2014'!$A$7:$A$37, 0), MATCH(EW15, '2014'!$E$4:$EN$4, 0) )</f>
        <v>8958</v>
      </c>
      <c r="FD20" s="48">
        <f>INDEX('2015'!$E$7:$EN$37,  MATCH(EW20, '2015'!$A$7:$A$37, 0), MATCH(EW15, '2015'!$E$4:$EN$4, 0) )</f>
        <v>9019</v>
      </c>
      <c r="FE20" s="48">
        <f>INDEX('2016'!$E$7:$EN$37,  MATCH(EW20, '2016'!$A$7:$A$37, 0), MATCH(EW15, '2016'!$E$4:$EN$4, 0) )</f>
        <v>8807</v>
      </c>
      <c r="FF20" s="48">
        <f>INDEX('2017'!$E$7:$EN$37,  MATCH(EW20, '2017'!$A$7:$A$37, 0), MATCH(EW15, '2017'!$E$4:$EN$4, 0) )</f>
        <v>8660</v>
      </c>
      <c r="FG20" s="48">
        <f>INDEX('2018'!$E$7:$EN$37,  MATCH(EW20, '2018'!$A$7:$A$37, 0), MATCH(EW15, '2018'!$E$4:$EN$4, 0) )</f>
        <v>8581</v>
      </c>
      <c r="FH20" s="48">
        <f>INDEX('2019'!$E$7:$EN$37,  MATCH(EW20, '2019'!$A$7:$A$37, 0), MATCH(EW15, '2019'!$E$4:$EN$4, 0) )</f>
        <v>8398</v>
      </c>
      <c r="FJ20" s="9">
        <f t="shared" si="100"/>
        <v>7</v>
      </c>
      <c r="FK20" s="21" t="str">
        <f t="shared" si="101"/>
        <v>Carbon</v>
      </c>
      <c r="FL20" s="48">
        <f>INDEX('2010'!$E$7:$EN$37,  MATCH(FJ20, '2010'!$A$7:$A$37, 0), MATCH(FJ15, '2010'!$E$4:$EN$4, 0) )</f>
        <v>300</v>
      </c>
      <c r="FM20" s="48">
        <f>INDEX('2011'!$E$7:$EN$37,  MATCH(FJ20, '2011'!$A$7:$A$37, 0), MATCH(FJ15, '2011'!$E$4:$EN$4, 0) )</f>
        <v>231</v>
      </c>
      <c r="FN20" s="48">
        <f>INDEX('2012'!$E$7:$EN$37,  MATCH(FJ20, '2012'!$A$7:$A$37, 0), MATCH(FJ15, '2012'!$E$4:$EN$4, 0) )</f>
        <v>261</v>
      </c>
      <c r="FO20" s="48">
        <f>INDEX('2013'!$E$7:$EN$37,  MATCH(FJ20, '2013'!$A$7:$A$37, 0), MATCH(FJ15, '2013'!$E$4:$EN$4, 0) )</f>
        <v>270</v>
      </c>
      <c r="FP20" s="48">
        <f>INDEX('2014'!$E$7:$EN$37,  MATCH(FJ20, '2014'!$A$7:$A$37, 0), MATCH(FJ15, '2014'!$E$4:$EN$4, 0) )</f>
        <v>267</v>
      </c>
      <c r="FQ20" s="48">
        <f>INDEX('2015'!$E$7:$EN$37,  MATCH(FJ20, '2015'!$A$7:$A$37, 0), MATCH(FJ15, '2015'!$E$4:$EN$4, 0) )</f>
        <v>233</v>
      </c>
      <c r="FR20" s="48">
        <f>INDEX('2016'!$E$7:$EN$37,  MATCH(FJ20, '2016'!$A$7:$A$37, 0), MATCH(FJ15, '2016'!$E$4:$EN$4, 0) )</f>
        <v>277</v>
      </c>
      <c r="FS20" s="48">
        <f>INDEX('2017'!$E$7:$EN$37,  MATCH(FJ20, '2017'!$A$7:$A$37, 0), MATCH(FJ15, '2017'!$E$4:$EN$4, 0) )</f>
        <v>286</v>
      </c>
      <c r="FT20" s="48">
        <f>INDEX('2018'!$E$7:$EN$37,  MATCH(FJ20, '2018'!$A$7:$A$37, 0), MATCH(FJ15, '2018'!$E$4:$EN$4, 0) )</f>
        <v>376</v>
      </c>
      <c r="FU20" s="48">
        <f>INDEX('2019'!$E$7:$EN$37,  MATCH(FJ20, '2019'!$A$7:$A$37, 0), MATCH(FJ15, '2019'!$E$4:$EN$4, 0) )</f>
        <v>347</v>
      </c>
      <c r="FW20" s="9">
        <f t="shared" si="102"/>
        <v>7</v>
      </c>
      <c r="FX20" s="21" t="str">
        <f t="shared" si="103"/>
        <v>Carbon</v>
      </c>
      <c r="FY20" s="48">
        <f>INDEX('2010'!$E$7:$EN$37,  MATCH(FW20, '2010'!$A$7:$A$37, 0), MATCH(FW15, '2010'!$E$4:$EN$4, 0) )</f>
        <v>15</v>
      </c>
      <c r="FZ20" s="48">
        <f>INDEX('2011'!$E$7:$EN$37,  MATCH(FW20, '2011'!$A$7:$A$37, 0), MATCH(FW15, '2011'!$E$4:$EN$4, 0) )</f>
        <v>2</v>
      </c>
      <c r="GA20" s="48">
        <f>INDEX('2012'!$E$7:$EN$37,  MATCH(FW20, '2012'!$A$7:$A$37, 0), MATCH(FW15, '2012'!$E$4:$EN$4, 0) )</f>
        <v>10</v>
      </c>
      <c r="GB20" s="48">
        <f>INDEX('2013'!$E$7:$EN$37,  MATCH(FW20, '2013'!$A$7:$A$37, 0), MATCH(FW15, '2013'!$E$4:$EN$4, 0) )</f>
        <v>6</v>
      </c>
      <c r="GC20" s="48">
        <f>INDEX('2014'!$E$7:$EN$37,  MATCH(FW20, '2014'!$A$7:$A$37, 0), MATCH(FW15, '2014'!$E$4:$EN$4, 0) )</f>
        <v>21</v>
      </c>
      <c r="GD20" s="48">
        <f>INDEX('2015'!$E$7:$EN$37,  MATCH(FW20, '2015'!$A$7:$A$37, 0), MATCH(FW15, '2015'!$E$4:$EN$4, 0) )</f>
        <v>21</v>
      </c>
      <c r="GE20" s="48">
        <f>INDEX('2016'!$E$7:$EN$37,  MATCH(FW20, '2016'!$A$7:$A$37, 0), MATCH(FW15, '2016'!$E$4:$EN$4, 0) )</f>
        <v>25</v>
      </c>
      <c r="GF20" s="48">
        <f>INDEX('2017'!$E$7:$EN$37,  MATCH(FW20, '2017'!$A$7:$A$37, 0), MATCH(FW15, '2017'!$E$4:$EN$4, 0) )</f>
        <v>41</v>
      </c>
      <c r="GG20" s="48">
        <f>INDEX('2018'!$E$7:$EN$37,  MATCH(FW20, '2018'!$A$7:$A$37, 0), MATCH(FW15, '2018'!$E$4:$EN$4, 0) )</f>
        <v>109</v>
      </c>
      <c r="GH20" s="48">
        <f>INDEX('2019'!$E$7:$EN$37,  MATCH(FW20, '2019'!$A$7:$A$37, 0), MATCH(FW15, '2019'!$E$4:$EN$4, 0) )</f>
        <v>92</v>
      </c>
      <c r="GJ20" s="9">
        <f t="shared" si="104"/>
        <v>7</v>
      </c>
      <c r="GK20" s="21" t="str">
        <f t="shared" si="105"/>
        <v>Carbon</v>
      </c>
      <c r="GL20" s="48">
        <f>INDEX('2010'!$E$7:$EN$37,  MATCH(GJ20, '2010'!$A$7:$A$37, 0), MATCH(GJ15, '2010'!$E$4:$EN$4, 0) )</f>
        <v>113</v>
      </c>
      <c r="GM20" s="48">
        <f>INDEX('2011'!$E$7:$EN$37,  MATCH(GJ20, '2011'!$A$7:$A$37, 0), MATCH(GJ15, '2011'!$E$4:$EN$4, 0) )</f>
        <v>106</v>
      </c>
      <c r="GN20" s="48">
        <f>INDEX('2012'!$E$7:$EN$37,  MATCH(GJ20, '2012'!$A$7:$A$37, 0), MATCH(GJ15, '2012'!$E$4:$EN$4, 0) )</f>
        <v>124</v>
      </c>
      <c r="GO20" s="48">
        <f>INDEX('2013'!$E$7:$EN$37,  MATCH(GJ20, '2013'!$A$7:$A$37, 0), MATCH(GJ15, '2013'!$E$4:$EN$4, 0) )</f>
        <v>111</v>
      </c>
      <c r="GP20" s="48">
        <f>INDEX('2014'!$E$7:$EN$37,  MATCH(GJ20, '2014'!$A$7:$A$37, 0), MATCH(GJ15, '2014'!$E$4:$EN$4, 0) )</f>
        <v>116</v>
      </c>
      <c r="GQ20" s="48">
        <f>INDEX('2015'!$E$7:$EN$37,  MATCH(GJ20, '2015'!$A$7:$A$37, 0), MATCH(GJ15, '2015'!$E$4:$EN$4, 0) )</f>
        <v>86</v>
      </c>
      <c r="GR20" s="48">
        <f>INDEX('2016'!$E$7:$EN$37,  MATCH(GJ20, '2016'!$A$7:$A$37, 0), MATCH(GJ15, '2016'!$E$4:$EN$4, 0) )</f>
        <v>76</v>
      </c>
      <c r="GS20" s="48">
        <f>INDEX('2017'!$E$7:$EN$37,  MATCH(GJ20, '2017'!$A$7:$A$37, 0), MATCH(GJ15, '2017'!$E$4:$EN$4, 0) )</f>
        <v>77</v>
      </c>
      <c r="GT20" s="48">
        <f>INDEX('2018'!$E$7:$EN$37,  MATCH(GJ20, '2018'!$A$7:$A$37, 0), MATCH(GJ15, '2018'!$E$4:$EN$4, 0) )</f>
        <v>106</v>
      </c>
      <c r="GU20" s="48">
        <f>INDEX('2019'!$E$7:$EN$37,  MATCH(GJ20, '2019'!$A$7:$A$37, 0), MATCH(GJ15, '2019'!$E$4:$EN$4, 0) )</f>
        <v>124</v>
      </c>
    </row>
    <row r="21" spans="50:203" x14ac:dyDescent="0.25">
      <c r="AX21" s="15"/>
      <c r="AY21" s="39" t="s">
        <v>619</v>
      </c>
      <c r="AZ21" s="41">
        <f>SUM(AZ19:AZ20)</f>
        <v>4.4575680975922571E-2</v>
      </c>
      <c r="BA21" s="41">
        <f t="shared" ref="BA21:BI21" si="106">SUM(BA19:BA20)</f>
        <v>4.7153855126560132E-2</v>
      </c>
      <c r="BB21" s="41">
        <f t="shared" si="106"/>
        <v>4.5106260975522346E-2</v>
      </c>
      <c r="BC21" s="41">
        <f t="shared" si="106"/>
        <v>4.7290962297923116E-2</v>
      </c>
      <c r="BD21" s="41">
        <f t="shared" si="106"/>
        <v>4.9455061731831909E-2</v>
      </c>
      <c r="BE21" s="41">
        <f t="shared" si="106"/>
        <v>5.2148088150923019E-2</v>
      </c>
      <c r="BF21" s="41">
        <f t="shared" si="106"/>
        <v>5.1999209538238583E-2</v>
      </c>
      <c r="BG21" s="41">
        <f t="shared" si="106"/>
        <v>5.548349813792218E-2</v>
      </c>
      <c r="BH21" s="41">
        <f t="shared" si="106"/>
        <v>5.8273372245144409E-2</v>
      </c>
      <c r="BI21" s="41">
        <f t="shared" si="106"/>
        <v>5.8858595812499241E-2</v>
      </c>
      <c r="CI21" s="15">
        <v>9</v>
      </c>
      <c r="CJ21" s="37" t="str">
        <f t="shared" si="79"/>
        <v>Daggett</v>
      </c>
      <c r="CK21" s="44">
        <f t="shared" si="80"/>
        <v>9.2261904761904767E-2</v>
      </c>
      <c r="CL21" s="44">
        <f t="shared" si="81"/>
        <v>0.10755813953488372</v>
      </c>
      <c r="CM21" s="44">
        <f t="shared" si="81"/>
        <v>7.8066914498141252E-2</v>
      </c>
      <c r="CN21" s="44">
        <f t="shared" si="81"/>
        <v>0.11864406779661017</v>
      </c>
      <c r="CO21" s="44">
        <f t="shared" si="81"/>
        <v>0.15500000000000003</v>
      </c>
      <c r="CP21" s="44">
        <f t="shared" si="81"/>
        <v>5.5813953488372092E-2</v>
      </c>
      <c r="CQ21" s="44">
        <f t="shared" si="81"/>
        <v>7.8853046594982087E-2</v>
      </c>
      <c r="CR21" s="44">
        <f t="shared" si="81"/>
        <v>8.1272084805653719E-2</v>
      </c>
      <c r="CS21" s="44">
        <f t="shared" si="81"/>
        <v>4.8000000000000001E-2</v>
      </c>
      <c r="CT21" s="44">
        <f t="shared" si="81"/>
        <v>4.2904290429042903E-2</v>
      </c>
      <c r="CV21" s="9">
        <f t="shared" si="82"/>
        <v>90</v>
      </c>
      <c r="CW21" s="21" t="str">
        <f t="shared" si="92"/>
        <v>Daggett</v>
      </c>
      <c r="CX21" s="40">
        <f t="shared" si="83"/>
        <v>0</v>
      </c>
      <c r="CY21" s="40">
        <f t="shared" si="84"/>
        <v>1.4534883720930232E-2</v>
      </c>
      <c r="CZ21" s="40">
        <f t="shared" si="84"/>
        <v>1.1152416356877323E-2</v>
      </c>
      <c r="DA21" s="40">
        <f t="shared" si="84"/>
        <v>8.4745762711864406E-3</v>
      </c>
      <c r="DB21" s="40">
        <f t="shared" si="84"/>
        <v>1.4999999999999999E-2</v>
      </c>
      <c r="DC21" s="40">
        <f t="shared" si="84"/>
        <v>1.8604651162790697E-2</v>
      </c>
      <c r="DD21" s="40">
        <f t="shared" si="84"/>
        <v>1.0752688172043012E-2</v>
      </c>
      <c r="DE21" s="40">
        <f t="shared" si="84"/>
        <v>1.0600706713780919E-2</v>
      </c>
      <c r="DF21" s="40">
        <f t="shared" si="84"/>
        <v>1.2E-2</v>
      </c>
      <c r="DG21" s="40">
        <f t="shared" si="84"/>
        <v>0</v>
      </c>
      <c r="DI21" s="9">
        <f t="shared" si="85"/>
        <v>90</v>
      </c>
      <c r="DJ21" s="21" t="str">
        <f t="shared" si="93"/>
        <v>Daggett</v>
      </c>
      <c r="DK21" s="40">
        <f t="shared" si="86"/>
        <v>9.2261904761904767E-2</v>
      </c>
      <c r="DL21" s="40">
        <f t="shared" si="87"/>
        <v>9.3023255813953487E-2</v>
      </c>
      <c r="DM21" s="40">
        <f t="shared" si="87"/>
        <v>6.6914498141263934E-2</v>
      </c>
      <c r="DN21" s="40">
        <f t="shared" si="87"/>
        <v>0.11016949152542373</v>
      </c>
      <c r="DO21" s="40">
        <f t="shared" si="87"/>
        <v>0.14000000000000001</v>
      </c>
      <c r="DP21" s="40">
        <f t="shared" si="87"/>
        <v>3.7209302325581395E-2</v>
      </c>
      <c r="DQ21" s="40">
        <f t="shared" si="87"/>
        <v>6.8100358422939072E-2</v>
      </c>
      <c r="DR21" s="40">
        <f t="shared" si="87"/>
        <v>7.0671378091872794E-2</v>
      </c>
      <c r="DS21" s="40">
        <f t="shared" si="87"/>
        <v>3.5999999999999997E-2</v>
      </c>
      <c r="DT21" s="40">
        <f t="shared" si="87"/>
        <v>4.2904290429042903E-2</v>
      </c>
      <c r="DV21" s="9">
        <f t="shared" si="88"/>
        <v>90</v>
      </c>
      <c r="DW21" s="21" t="str">
        <f t="shared" si="94"/>
        <v>Daggett</v>
      </c>
      <c r="DX21" s="45">
        <f t="shared" si="95"/>
        <v>0</v>
      </c>
      <c r="DY21" s="45">
        <f t="shared" si="95"/>
        <v>5</v>
      </c>
      <c r="DZ21" s="45">
        <f t="shared" si="89"/>
        <v>3</v>
      </c>
      <c r="EA21" s="45">
        <f t="shared" si="89"/>
        <v>2</v>
      </c>
      <c r="EB21" s="45">
        <f t="shared" si="89"/>
        <v>3</v>
      </c>
      <c r="EC21" s="45">
        <f t="shared" si="89"/>
        <v>4</v>
      </c>
      <c r="ED21" s="45">
        <f t="shared" si="89"/>
        <v>3</v>
      </c>
      <c r="EE21" s="45">
        <f t="shared" si="89"/>
        <v>3</v>
      </c>
      <c r="EF21" s="45">
        <f t="shared" si="89"/>
        <v>3</v>
      </c>
      <c r="EG21" s="45">
        <f t="shared" si="89"/>
        <v>0</v>
      </c>
      <c r="EI21" s="9">
        <f t="shared" si="90"/>
        <v>90</v>
      </c>
      <c r="EJ21" s="21" t="str">
        <f t="shared" si="96"/>
        <v>Daggett</v>
      </c>
      <c r="EK21" s="45">
        <f t="shared" si="97"/>
        <v>31</v>
      </c>
      <c r="EL21" s="45">
        <f t="shared" si="97"/>
        <v>32</v>
      </c>
      <c r="EM21" s="45">
        <f t="shared" si="91"/>
        <v>18</v>
      </c>
      <c r="EN21" s="45">
        <f t="shared" si="91"/>
        <v>26</v>
      </c>
      <c r="EO21" s="45">
        <f t="shared" si="91"/>
        <v>28</v>
      </c>
      <c r="EP21" s="45">
        <f t="shared" si="91"/>
        <v>8</v>
      </c>
      <c r="EQ21" s="45">
        <f t="shared" si="91"/>
        <v>19</v>
      </c>
      <c r="ER21" s="45">
        <f t="shared" si="91"/>
        <v>20</v>
      </c>
      <c r="ES21" s="45">
        <f t="shared" si="91"/>
        <v>9</v>
      </c>
      <c r="ET21" s="45">
        <f t="shared" si="91"/>
        <v>13</v>
      </c>
      <c r="EW21" s="9">
        <f t="shared" si="98"/>
        <v>9</v>
      </c>
      <c r="EX21" s="21" t="str">
        <f t="shared" si="99"/>
        <v>Daggett</v>
      </c>
      <c r="EY21" s="48">
        <f>INDEX('2010'!$E$7:$EN$37,  MATCH(EW21, '2010'!$A$7:$A$37, 0), MATCH(EW15, '2010'!$E$4:$EN$4, 0) )</f>
        <v>336</v>
      </c>
      <c r="EZ21" s="48">
        <f>INDEX('2011'!$E$7:$EN$37,  MATCH(EW21, '2011'!$A$7:$A$37, 0), MATCH(EW15, '2011'!$E$4:$EN$4, 0) )</f>
        <v>344</v>
      </c>
      <c r="FA21" s="48">
        <f>INDEX('2012'!$E$7:$EN$37,  MATCH(EW21, '2012'!$A$7:$A$37, 0), MATCH(EW15, '2012'!$E$4:$EN$4, 0) )</f>
        <v>269</v>
      </c>
      <c r="FB21" s="48">
        <f>INDEX('2013'!$E$7:$EN$37,  MATCH(EW21, '2013'!$A$7:$A$37, 0), MATCH(EW15, '2013'!$E$4:$EN$4, 0) )</f>
        <v>236</v>
      </c>
      <c r="FC21" s="48">
        <f>INDEX('2014'!$E$7:$EN$37,  MATCH(EW21, '2014'!$A$7:$A$37, 0), MATCH(EW15, '2014'!$E$4:$EN$4, 0) )</f>
        <v>200</v>
      </c>
      <c r="FD21" s="48">
        <f>INDEX('2015'!$E$7:$EN$37,  MATCH(EW21, '2015'!$A$7:$A$37, 0), MATCH(EW15, '2015'!$E$4:$EN$4, 0) )</f>
        <v>215</v>
      </c>
      <c r="FE21" s="48">
        <f>INDEX('2016'!$E$7:$EN$37,  MATCH(EW21, '2016'!$A$7:$A$37, 0), MATCH(EW15, '2016'!$E$4:$EN$4, 0) )</f>
        <v>279</v>
      </c>
      <c r="FF21" s="48">
        <f>INDEX('2017'!$E$7:$EN$37,  MATCH(EW21, '2017'!$A$7:$A$37, 0), MATCH(EW15, '2017'!$E$4:$EN$4, 0) )</f>
        <v>283</v>
      </c>
      <c r="FG21" s="48">
        <f>INDEX('2018'!$E$7:$EN$37,  MATCH(EW21, '2018'!$A$7:$A$37, 0), MATCH(EW15, '2018'!$E$4:$EN$4, 0) )</f>
        <v>250</v>
      </c>
      <c r="FH21" s="48">
        <f>INDEX('2019'!$E$7:$EN$37,  MATCH(EW21, '2019'!$A$7:$A$37, 0), MATCH(EW15, '2019'!$E$4:$EN$4, 0) )</f>
        <v>303</v>
      </c>
      <c r="FJ21" s="9">
        <f t="shared" si="100"/>
        <v>9</v>
      </c>
      <c r="FK21" s="21" t="str">
        <f t="shared" si="101"/>
        <v>Daggett</v>
      </c>
      <c r="FL21" s="48">
        <f>INDEX('2010'!$E$7:$EN$37,  MATCH(FJ21, '2010'!$A$7:$A$37, 0), MATCH(FJ15, '2010'!$E$4:$EN$4, 0) )</f>
        <v>31</v>
      </c>
      <c r="FM21" s="48">
        <f>INDEX('2011'!$E$7:$EN$37,  MATCH(FJ21, '2011'!$A$7:$A$37, 0), MATCH(FJ15, '2011'!$E$4:$EN$4, 0) )</f>
        <v>37</v>
      </c>
      <c r="FN21" s="48">
        <f>INDEX('2012'!$E$7:$EN$37,  MATCH(FJ21, '2012'!$A$7:$A$37, 0), MATCH(FJ15, '2012'!$E$4:$EN$4, 0) )</f>
        <v>21</v>
      </c>
      <c r="FO21" s="48">
        <f>INDEX('2013'!$E$7:$EN$37,  MATCH(FJ21, '2013'!$A$7:$A$37, 0), MATCH(FJ15, '2013'!$E$4:$EN$4, 0) )</f>
        <v>28</v>
      </c>
      <c r="FP21" s="48">
        <f>INDEX('2014'!$E$7:$EN$37,  MATCH(FJ21, '2014'!$A$7:$A$37, 0), MATCH(FJ15, '2014'!$E$4:$EN$4, 0) )</f>
        <v>31</v>
      </c>
      <c r="FQ21" s="48">
        <f>INDEX('2015'!$E$7:$EN$37,  MATCH(FJ21, '2015'!$A$7:$A$37, 0), MATCH(FJ15, '2015'!$E$4:$EN$4, 0) )</f>
        <v>12</v>
      </c>
      <c r="FR21" s="48">
        <f>INDEX('2016'!$E$7:$EN$37,  MATCH(FJ21, '2016'!$A$7:$A$37, 0), MATCH(FJ15, '2016'!$E$4:$EN$4, 0) )</f>
        <v>22</v>
      </c>
      <c r="FS21" s="48">
        <f>INDEX('2017'!$E$7:$EN$37,  MATCH(FJ21, '2017'!$A$7:$A$37, 0), MATCH(FJ15, '2017'!$E$4:$EN$4, 0) )</f>
        <v>23</v>
      </c>
      <c r="FT21" s="48">
        <f>INDEX('2018'!$E$7:$EN$37,  MATCH(FJ21, '2018'!$A$7:$A$37, 0), MATCH(FJ15, '2018'!$E$4:$EN$4, 0) )</f>
        <v>12</v>
      </c>
      <c r="FU21" s="48">
        <f>INDEX('2019'!$E$7:$EN$37,  MATCH(FJ21, '2019'!$A$7:$A$37, 0), MATCH(FJ15, '2019'!$E$4:$EN$4, 0) )</f>
        <v>13</v>
      </c>
      <c r="FW21" s="9">
        <f t="shared" si="102"/>
        <v>9</v>
      </c>
      <c r="FX21" s="21" t="str">
        <f t="shared" si="103"/>
        <v>Daggett</v>
      </c>
      <c r="FY21" s="48">
        <f>INDEX('2010'!$E$7:$EN$37,  MATCH(FW21, '2010'!$A$7:$A$37, 0), MATCH(FW15, '2010'!$E$4:$EN$4, 0) )</f>
        <v>31</v>
      </c>
      <c r="FZ21" s="48">
        <f>INDEX('2011'!$E$7:$EN$37,  MATCH(FW21, '2011'!$A$7:$A$37, 0), MATCH(FW15, '2011'!$E$4:$EN$4, 0) )</f>
        <v>32</v>
      </c>
      <c r="GA21" s="48">
        <f>INDEX('2012'!$E$7:$EN$37,  MATCH(FW21, '2012'!$A$7:$A$37, 0), MATCH(FW15, '2012'!$E$4:$EN$4, 0) )</f>
        <v>18</v>
      </c>
      <c r="GB21" s="48">
        <f>INDEX('2013'!$E$7:$EN$37,  MATCH(FW21, '2013'!$A$7:$A$37, 0), MATCH(FW15, '2013'!$E$4:$EN$4, 0) )</f>
        <v>20</v>
      </c>
      <c r="GC21" s="48">
        <f>INDEX('2014'!$E$7:$EN$37,  MATCH(FW21, '2014'!$A$7:$A$37, 0), MATCH(FW15, '2014'!$E$4:$EN$4, 0) )</f>
        <v>22</v>
      </c>
      <c r="GD21" s="48">
        <f>INDEX('2015'!$E$7:$EN$37,  MATCH(FW21, '2015'!$A$7:$A$37, 0), MATCH(FW15, '2015'!$E$4:$EN$4, 0) )</f>
        <v>0</v>
      </c>
      <c r="GE21" s="48">
        <f>INDEX('2016'!$E$7:$EN$37,  MATCH(FW21, '2016'!$A$7:$A$37, 0), MATCH(FW15, '2016'!$E$4:$EN$4, 0) )</f>
        <v>10</v>
      </c>
      <c r="GF21" s="48">
        <f>INDEX('2017'!$E$7:$EN$37,  MATCH(FW21, '2017'!$A$7:$A$37, 0), MATCH(FW15, '2017'!$E$4:$EN$4, 0) )</f>
        <v>11</v>
      </c>
      <c r="GG21" s="48">
        <f>INDEX('2018'!$E$7:$EN$37,  MATCH(FW21, '2018'!$A$7:$A$37, 0), MATCH(FW15, '2018'!$E$4:$EN$4, 0) )</f>
        <v>9</v>
      </c>
      <c r="GH21" s="48">
        <f>INDEX('2019'!$E$7:$EN$37,  MATCH(FW21, '2019'!$A$7:$A$37, 0), MATCH(FW15, '2019'!$E$4:$EN$4, 0) )</f>
        <v>13</v>
      </c>
      <c r="GJ21" s="9">
        <f t="shared" si="104"/>
        <v>9</v>
      </c>
      <c r="GK21" s="21" t="str">
        <f t="shared" si="105"/>
        <v>Daggett</v>
      </c>
      <c r="GL21" s="48">
        <f>INDEX('2010'!$E$7:$EN$37,  MATCH(GJ21, '2010'!$A$7:$A$37, 0), MATCH(GJ15, '2010'!$E$4:$EN$4, 0) )</f>
        <v>0</v>
      </c>
      <c r="GM21" s="48">
        <f>INDEX('2011'!$E$7:$EN$37,  MATCH(GJ21, '2011'!$A$7:$A$37, 0), MATCH(GJ15, '2011'!$E$4:$EN$4, 0) )</f>
        <v>0</v>
      </c>
      <c r="GN21" s="48">
        <f>INDEX('2012'!$E$7:$EN$37,  MATCH(GJ21, '2012'!$A$7:$A$37, 0), MATCH(GJ15, '2012'!$E$4:$EN$4, 0) )</f>
        <v>0</v>
      </c>
      <c r="GO21" s="48">
        <f>INDEX('2013'!$E$7:$EN$37,  MATCH(GJ21, '2013'!$A$7:$A$37, 0), MATCH(GJ15, '2013'!$E$4:$EN$4, 0) )</f>
        <v>6</v>
      </c>
      <c r="GP21" s="48">
        <f>INDEX('2014'!$E$7:$EN$37,  MATCH(GJ21, '2014'!$A$7:$A$37, 0), MATCH(GJ15, '2014'!$E$4:$EN$4, 0) )</f>
        <v>6</v>
      </c>
      <c r="GQ21" s="48">
        <f>INDEX('2015'!$E$7:$EN$37,  MATCH(GJ21, '2015'!$A$7:$A$37, 0), MATCH(GJ15, '2015'!$E$4:$EN$4, 0) )</f>
        <v>8</v>
      </c>
      <c r="GR21" s="48">
        <f>INDEX('2016'!$E$7:$EN$37,  MATCH(GJ21, '2016'!$A$7:$A$37, 0), MATCH(GJ15, '2016'!$E$4:$EN$4, 0) )</f>
        <v>9</v>
      </c>
      <c r="GS21" s="48">
        <f>INDEX('2017'!$E$7:$EN$37,  MATCH(GJ21, '2017'!$A$7:$A$37, 0), MATCH(GJ15, '2017'!$E$4:$EN$4, 0) )</f>
        <v>9</v>
      </c>
      <c r="GT21" s="48">
        <f>INDEX('2018'!$E$7:$EN$37,  MATCH(GJ21, '2018'!$A$7:$A$37, 0), MATCH(GJ15, '2018'!$E$4:$EN$4, 0) )</f>
        <v>0</v>
      </c>
      <c r="GU21" s="48">
        <f>INDEX('2019'!$E$7:$EN$37,  MATCH(GJ21, '2019'!$A$7:$A$37, 0), MATCH(GJ15, '2019'!$E$4:$EN$4, 0) )</f>
        <v>0</v>
      </c>
    </row>
    <row r="22" spans="50:203" x14ac:dyDescent="0.25">
      <c r="CI22" s="15">
        <v>11</v>
      </c>
      <c r="CJ22" s="37" t="str">
        <f t="shared" si="79"/>
        <v>Davis</v>
      </c>
      <c r="CK22" s="44">
        <f t="shared" si="80"/>
        <v>4.4575680975922571E-2</v>
      </c>
      <c r="CL22" s="44">
        <f t="shared" si="81"/>
        <v>4.7153855126560132E-2</v>
      </c>
      <c r="CM22" s="44">
        <f t="shared" si="81"/>
        <v>4.5106260975522346E-2</v>
      </c>
      <c r="CN22" s="44">
        <f t="shared" si="81"/>
        <v>4.7290962297923116E-2</v>
      </c>
      <c r="CO22" s="44">
        <f t="shared" si="81"/>
        <v>4.9455061731831909E-2</v>
      </c>
      <c r="CP22" s="44">
        <f t="shared" si="81"/>
        <v>5.2148088150923019E-2</v>
      </c>
      <c r="CQ22" s="44">
        <f t="shared" si="81"/>
        <v>5.1999209538238583E-2</v>
      </c>
      <c r="CR22" s="44">
        <f t="shared" si="81"/>
        <v>5.548349813792218E-2</v>
      </c>
      <c r="CS22" s="44">
        <f t="shared" si="81"/>
        <v>5.8273372245144409E-2</v>
      </c>
      <c r="CT22" s="44">
        <f t="shared" si="81"/>
        <v>5.8858595812499241E-2</v>
      </c>
      <c r="CV22" s="9">
        <f t="shared" si="82"/>
        <v>110</v>
      </c>
      <c r="CW22" s="21" t="str">
        <f t="shared" si="92"/>
        <v>Davis</v>
      </c>
      <c r="CX22" s="40">
        <f t="shared" si="83"/>
        <v>2.0632470602271288E-2</v>
      </c>
      <c r="CY22" s="40">
        <f t="shared" si="84"/>
        <v>2.5479703720984487E-2</v>
      </c>
      <c r="CZ22" s="40">
        <f t="shared" si="84"/>
        <v>2.3610364476937963E-2</v>
      </c>
      <c r="DA22" s="40">
        <f t="shared" si="84"/>
        <v>2.5847373355683722E-2</v>
      </c>
      <c r="DB22" s="40">
        <f t="shared" si="84"/>
        <v>2.831869493200451E-2</v>
      </c>
      <c r="DC22" s="40">
        <f t="shared" si="84"/>
        <v>3.1001316189126254E-2</v>
      </c>
      <c r="DD22" s="40">
        <f t="shared" si="84"/>
        <v>3.0590870166655688E-2</v>
      </c>
      <c r="DE22" s="40">
        <f t="shared" si="84"/>
        <v>3.4743803775523309E-2</v>
      </c>
      <c r="DF22" s="40">
        <f t="shared" si="84"/>
        <v>3.547977256717319E-2</v>
      </c>
      <c r="DG22" s="40">
        <f t="shared" si="84"/>
        <v>3.6449018820638224E-2</v>
      </c>
      <c r="DI22" s="9">
        <f t="shared" si="85"/>
        <v>110</v>
      </c>
      <c r="DJ22" s="21" t="str">
        <f t="shared" si="93"/>
        <v>Davis</v>
      </c>
      <c r="DK22" s="40">
        <f t="shared" si="86"/>
        <v>2.3943210373651283E-2</v>
      </c>
      <c r="DL22" s="40">
        <f t="shared" si="87"/>
        <v>2.1674151405575645E-2</v>
      </c>
      <c r="DM22" s="40">
        <f t="shared" si="87"/>
        <v>2.1495896498584383E-2</v>
      </c>
      <c r="DN22" s="40">
        <f t="shared" si="87"/>
        <v>2.1443588942239394E-2</v>
      </c>
      <c r="DO22" s="40">
        <f t="shared" si="87"/>
        <v>2.1136366799827402E-2</v>
      </c>
      <c r="DP22" s="40">
        <f t="shared" si="87"/>
        <v>2.1146771961796765E-2</v>
      </c>
      <c r="DQ22" s="40">
        <f t="shared" si="87"/>
        <v>2.1408339371582898E-2</v>
      </c>
      <c r="DR22" s="40">
        <f t="shared" si="87"/>
        <v>2.0739694362398871E-2</v>
      </c>
      <c r="DS22" s="40">
        <f t="shared" si="87"/>
        <v>2.2793599677971219E-2</v>
      </c>
      <c r="DT22" s="40">
        <f t="shared" si="87"/>
        <v>2.2409576991861017E-2</v>
      </c>
      <c r="DV22" s="9">
        <f t="shared" si="88"/>
        <v>110</v>
      </c>
      <c r="DW22" s="21" t="str">
        <f t="shared" si="94"/>
        <v>Davis</v>
      </c>
      <c r="DX22" s="45">
        <f t="shared" si="95"/>
        <v>2767</v>
      </c>
      <c r="DY22" s="45">
        <f t="shared" si="95"/>
        <v>3495</v>
      </c>
      <c r="DZ22" s="45">
        <f t="shared" si="89"/>
        <v>3294</v>
      </c>
      <c r="EA22" s="45">
        <f t="shared" si="89"/>
        <v>3639</v>
      </c>
      <c r="EB22" s="45">
        <f t="shared" si="89"/>
        <v>4069</v>
      </c>
      <c r="EC22" s="45">
        <f t="shared" si="89"/>
        <v>4593</v>
      </c>
      <c r="ED22" s="45">
        <f t="shared" si="89"/>
        <v>4644</v>
      </c>
      <c r="EE22" s="45">
        <f t="shared" si="89"/>
        <v>5411</v>
      </c>
      <c r="EF22" s="45">
        <f t="shared" si="89"/>
        <v>5641</v>
      </c>
      <c r="EG22" s="45">
        <f t="shared" si="89"/>
        <v>5992</v>
      </c>
      <c r="EI22" s="9">
        <f t="shared" si="90"/>
        <v>110</v>
      </c>
      <c r="EJ22" s="21" t="str">
        <f t="shared" si="96"/>
        <v>Davis</v>
      </c>
      <c r="EK22" s="45">
        <f t="shared" si="97"/>
        <v>3211</v>
      </c>
      <c r="EL22" s="45">
        <f t="shared" si="97"/>
        <v>2973</v>
      </c>
      <c r="EM22" s="45">
        <f t="shared" si="91"/>
        <v>2999</v>
      </c>
      <c r="EN22" s="45">
        <f t="shared" si="91"/>
        <v>3019</v>
      </c>
      <c r="EO22" s="45">
        <f t="shared" si="91"/>
        <v>3037</v>
      </c>
      <c r="EP22" s="45">
        <f t="shared" si="91"/>
        <v>3133</v>
      </c>
      <c r="EQ22" s="45">
        <f t="shared" si="91"/>
        <v>3250</v>
      </c>
      <c r="ER22" s="45">
        <f t="shared" si="91"/>
        <v>3230</v>
      </c>
      <c r="ES22" s="45">
        <f t="shared" si="91"/>
        <v>3624</v>
      </c>
      <c r="ET22" s="45">
        <f t="shared" si="91"/>
        <v>3684</v>
      </c>
      <c r="EW22" s="9">
        <f t="shared" si="98"/>
        <v>11</v>
      </c>
      <c r="EX22" s="21" t="str">
        <f t="shared" si="99"/>
        <v>Davis</v>
      </c>
      <c r="EY22" s="48">
        <f>INDEX('2010'!$E$7:$EN$37,  MATCH(EW22, '2010'!$A$7:$A$37, 0), MATCH(EW15, '2010'!$E$4:$EN$4, 0) )</f>
        <v>134109</v>
      </c>
      <c r="EZ22" s="48">
        <f>INDEX('2011'!$E$7:$EN$37,  MATCH(EW22, '2011'!$A$7:$A$37, 0), MATCH(EW15, '2011'!$E$4:$EN$4, 0) )</f>
        <v>137168</v>
      </c>
      <c r="FA22" s="48">
        <f>INDEX('2012'!$E$7:$EN$37,  MATCH(EW22, '2012'!$A$7:$A$37, 0), MATCH(EW15, '2012'!$E$4:$EN$4, 0) )</f>
        <v>139515</v>
      </c>
      <c r="FB22" s="48">
        <f>INDEX('2013'!$E$7:$EN$37,  MATCH(EW22, '2013'!$A$7:$A$37, 0), MATCH(EW15, '2013'!$E$4:$EN$4, 0) )</f>
        <v>140788</v>
      </c>
      <c r="FC22" s="48">
        <f>INDEX('2014'!$E$7:$EN$37,  MATCH(EW22, '2014'!$A$7:$A$37, 0), MATCH(EW15, '2014'!$E$4:$EN$4, 0) )</f>
        <v>143686</v>
      </c>
      <c r="FD22" s="48">
        <f>INDEX('2015'!$E$7:$EN$37,  MATCH(EW22, '2015'!$A$7:$A$37, 0), MATCH(EW15, '2015'!$E$4:$EN$4, 0) )</f>
        <v>148155</v>
      </c>
      <c r="FE22" s="48">
        <f>INDEX('2016'!$E$7:$EN$37,  MATCH(EW22, '2016'!$A$7:$A$37, 0), MATCH(EW15, '2016'!$E$4:$EN$4, 0) )</f>
        <v>151810</v>
      </c>
      <c r="FF22" s="48">
        <f>INDEX('2017'!$E$7:$EN$37,  MATCH(EW22, '2017'!$A$7:$A$37, 0), MATCH(EW15, '2017'!$E$4:$EN$4, 0) )</f>
        <v>155740</v>
      </c>
      <c r="FG22" s="48">
        <f>INDEX('2018'!$E$7:$EN$37,  MATCH(EW22, '2018'!$A$7:$A$37, 0), MATCH(EW15, '2018'!$E$4:$EN$4, 0) )</f>
        <v>158992</v>
      </c>
      <c r="FH22" s="48">
        <f>INDEX('2019'!$E$7:$EN$37,  MATCH(EW22, '2019'!$A$7:$A$37, 0), MATCH(EW15, '2019'!$E$4:$EN$4, 0) )</f>
        <v>164394</v>
      </c>
      <c r="FJ22" s="9">
        <f t="shared" si="100"/>
        <v>11</v>
      </c>
      <c r="FK22" s="21" t="str">
        <f t="shared" si="101"/>
        <v>Davis</v>
      </c>
      <c r="FL22" s="48">
        <f>INDEX('2010'!$E$7:$EN$37,  MATCH(FJ22, '2010'!$A$7:$A$37, 0), MATCH(FJ15, '2010'!$E$4:$EN$4, 0) )</f>
        <v>5978</v>
      </c>
      <c r="FM22" s="48">
        <f>INDEX('2011'!$E$7:$EN$37,  MATCH(FJ22, '2011'!$A$7:$A$37, 0), MATCH(FJ15, '2011'!$E$4:$EN$4, 0) )</f>
        <v>6468</v>
      </c>
      <c r="FN22" s="48">
        <f>INDEX('2012'!$E$7:$EN$37,  MATCH(FJ22, '2012'!$A$7:$A$37, 0), MATCH(FJ15, '2012'!$E$4:$EN$4, 0) )</f>
        <v>6293</v>
      </c>
      <c r="FO22" s="48">
        <f>INDEX('2013'!$E$7:$EN$37,  MATCH(FJ22, '2013'!$A$7:$A$37, 0), MATCH(FJ15, '2013'!$E$4:$EN$4, 0) )</f>
        <v>6658</v>
      </c>
      <c r="FP22" s="48">
        <f>INDEX('2014'!$E$7:$EN$37,  MATCH(FJ22, '2014'!$A$7:$A$37, 0), MATCH(FJ15, '2014'!$E$4:$EN$4, 0) )</f>
        <v>7106</v>
      </c>
      <c r="FQ22" s="48">
        <f>INDEX('2015'!$E$7:$EN$37,  MATCH(FJ22, '2015'!$A$7:$A$37, 0), MATCH(FJ15, '2015'!$E$4:$EN$4, 0) )</f>
        <v>7726</v>
      </c>
      <c r="FR22" s="48">
        <f>INDEX('2016'!$E$7:$EN$37,  MATCH(FJ22, '2016'!$A$7:$A$37, 0), MATCH(FJ15, '2016'!$E$4:$EN$4, 0) )</f>
        <v>7894</v>
      </c>
      <c r="FS22" s="48">
        <f>INDEX('2017'!$E$7:$EN$37,  MATCH(FJ22, '2017'!$A$7:$A$37, 0), MATCH(FJ15, '2017'!$E$4:$EN$4, 0) )</f>
        <v>8641</v>
      </c>
      <c r="FT22" s="48">
        <f>INDEX('2018'!$E$7:$EN$37,  MATCH(FJ22, '2018'!$A$7:$A$37, 0), MATCH(FJ15, '2018'!$E$4:$EN$4, 0) )</f>
        <v>9265</v>
      </c>
      <c r="FU22" s="48">
        <f>INDEX('2019'!$E$7:$EN$37,  MATCH(FJ22, '2019'!$A$7:$A$37, 0), MATCH(FJ15, '2019'!$E$4:$EN$4, 0) )</f>
        <v>9676</v>
      </c>
      <c r="FW22" s="9">
        <f t="shared" si="102"/>
        <v>11</v>
      </c>
      <c r="FX22" s="21" t="str">
        <f t="shared" si="103"/>
        <v>Davis</v>
      </c>
      <c r="FY22" s="48">
        <f>INDEX('2010'!$E$7:$EN$37,  MATCH(FW22, '2010'!$A$7:$A$37, 0), MATCH(FW15, '2010'!$E$4:$EN$4, 0) )</f>
        <v>879</v>
      </c>
      <c r="FZ22" s="48">
        <f>INDEX('2011'!$E$7:$EN$37,  MATCH(FW22, '2011'!$A$7:$A$37, 0), MATCH(FW15, '2011'!$E$4:$EN$4, 0) )</f>
        <v>805</v>
      </c>
      <c r="GA22" s="48">
        <f>INDEX('2012'!$E$7:$EN$37,  MATCH(FW22, '2012'!$A$7:$A$37, 0), MATCH(FW15, '2012'!$E$4:$EN$4, 0) )</f>
        <v>781</v>
      </c>
      <c r="GB22" s="48">
        <f>INDEX('2013'!$E$7:$EN$37,  MATCH(FW22, '2013'!$A$7:$A$37, 0), MATCH(FW15, '2013'!$E$4:$EN$4, 0) )</f>
        <v>798</v>
      </c>
      <c r="GC22" s="48">
        <f>INDEX('2014'!$E$7:$EN$37,  MATCH(FW22, '2014'!$A$7:$A$37, 0), MATCH(FW15, '2014'!$E$4:$EN$4, 0) )</f>
        <v>832</v>
      </c>
      <c r="GD22" s="48">
        <f>INDEX('2015'!$E$7:$EN$37,  MATCH(FW22, '2015'!$A$7:$A$37, 0), MATCH(FW15, '2015'!$E$4:$EN$4, 0) )</f>
        <v>957</v>
      </c>
      <c r="GE22" s="48">
        <f>INDEX('2016'!$E$7:$EN$37,  MATCH(FW22, '2016'!$A$7:$A$37, 0), MATCH(FW15, '2016'!$E$4:$EN$4, 0) )</f>
        <v>1053</v>
      </c>
      <c r="GF22" s="48">
        <f>INDEX('2017'!$E$7:$EN$37,  MATCH(FW22, '2017'!$A$7:$A$37, 0), MATCH(FW15, '2017'!$E$4:$EN$4, 0) )</f>
        <v>1218</v>
      </c>
      <c r="GG22" s="48">
        <f>INDEX('2018'!$E$7:$EN$37,  MATCH(FW22, '2018'!$A$7:$A$37, 0), MATCH(FW15, '2018'!$E$4:$EN$4, 0) )</f>
        <v>1423</v>
      </c>
      <c r="GH22" s="48">
        <f>INDEX('2019'!$E$7:$EN$37,  MATCH(FW22, '2019'!$A$7:$A$37, 0), MATCH(FW15, '2019'!$E$4:$EN$4, 0) )</f>
        <v>1626</v>
      </c>
      <c r="GJ22" s="9">
        <f t="shared" si="104"/>
        <v>11</v>
      </c>
      <c r="GK22" s="21" t="str">
        <f t="shared" si="105"/>
        <v>Davis</v>
      </c>
      <c r="GL22" s="48">
        <f>INDEX('2010'!$E$7:$EN$37,  MATCH(GJ22, '2010'!$A$7:$A$37, 0), MATCH(GJ15, '2010'!$E$4:$EN$4, 0) )</f>
        <v>2332</v>
      </c>
      <c r="GM22" s="48">
        <f>INDEX('2011'!$E$7:$EN$37,  MATCH(GJ22, '2011'!$A$7:$A$37, 0), MATCH(GJ15, '2011'!$E$4:$EN$4, 0) )</f>
        <v>2168</v>
      </c>
      <c r="GN22" s="48">
        <f>INDEX('2012'!$E$7:$EN$37,  MATCH(GJ22, '2012'!$A$7:$A$37, 0), MATCH(GJ15, '2012'!$E$4:$EN$4, 0) )</f>
        <v>2218</v>
      </c>
      <c r="GO22" s="48">
        <f>INDEX('2013'!$E$7:$EN$37,  MATCH(GJ22, '2013'!$A$7:$A$37, 0), MATCH(GJ15, '2013'!$E$4:$EN$4, 0) )</f>
        <v>2221</v>
      </c>
      <c r="GP22" s="48">
        <f>INDEX('2014'!$E$7:$EN$37,  MATCH(GJ22, '2014'!$A$7:$A$37, 0), MATCH(GJ15, '2014'!$E$4:$EN$4, 0) )</f>
        <v>2205</v>
      </c>
      <c r="GQ22" s="48">
        <f>INDEX('2015'!$E$7:$EN$37,  MATCH(GJ22, '2015'!$A$7:$A$37, 0), MATCH(GJ15, '2015'!$E$4:$EN$4, 0) )</f>
        <v>2176</v>
      </c>
      <c r="GR22" s="48">
        <f>INDEX('2016'!$E$7:$EN$37,  MATCH(GJ22, '2016'!$A$7:$A$37, 0), MATCH(GJ15, '2016'!$E$4:$EN$4, 0) )</f>
        <v>2197</v>
      </c>
      <c r="GS22" s="48">
        <f>INDEX('2017'!$E$7:$EN$37,  MATCH(GJ22, '2017'!$A$7:$A$37, 0), MATCH(GJ15, '2017'!$E$4:$EN$4, 0) )</f>
        <v>2012</v>
      </c>
      <c r="GT22" s="48">
        <f>INDEX('2018'!$E$7:$EN$37,  MATCH(GJ22, '2018'!$A$7:$A$37, 0), MATCH(GJ15, '2018'!$E$4:$EN$4, 0) )</f>
        <v>2201</v>
      </c>
      <c r="GU22" s="48">
        <f>INDEX('2019'!$E$7:$EN$37,  MATCH(GJ22, '2019'!$A$7:$A$37, 0), MATCH(GJ15, '2019'!$E$4:$EN$4, 0) )</f>
        <v>2058</v>
      </c>
    </row>
    <row r="23" spans="50:203" x14ac:dyDescent="0.25">
      <c r="AX23" s="15">
        <v>35</v>
      </c>
      <c r="AY23" s="37" t="str">
        <f>VLOOKUP(AX23, lu_CoName, 2, FALSE)</f>
        <v>Salt Lake</v>
      </c>
      <c r="AZ23" s="10"/>
      <c r="BA23" s="10"/>
      <c r="BB23" s="10"/>
      <c r="BC23" s="10"/>
      <c r="BD23" s="10"/>
      <c r="BE23" s="10"/>
      <c r="BF23" s="10"/>
      <c r="BG23" s="10"/>
      <c r="BH23" s="10"/>
      <c r="BI23" s="10"/>
      <c r="CI23" s="15">
        <v>13</v>
      </c>
      <c r="CJ23" s="37" t="str">
        <f t="shared" si="79"/>
        <v>Duchesne</v>
      </c>
      <c r="CK23" s="44">
        <f t="shared" si="80"/>
        <v>5.0149593959253454E-2</v>
      </c>
      <c r="CL23" s="44">
        <f t="shared" si="81"/>
        <v>4.6601406314628432E-2</v>
      </c>
      <c r="CM23" s="44">
        <f t="shared" si="81"/>
        <v>3.5044824775876122E-2</v>
      </c>
      <c r="CN23" s="44">
        <f t="shared" si="81"/>
        <v>3.6593479707252158E-2</v>
      </c>
      <c r="CO23" s="44">
        <f t="shared" si="81"/>
        <v>2.9887757765596448E-2</v>
      </c>
      <c r="CP23" s="44">
        <f t="shared" si="81"/>
        <v>3.080690899716422E-2</v>
      </c>
      <c r="CQ23" s="44">
        <f t="shared" si="81"/>
        <v>4.691326201830133E-2</v>
      </c>
      <c r="CR23" s="44">
        <f t="shared" si="81"/>
        <v>6.6683732241136565E-2</v>
      </c>
      <c r="CS23" s="44">
        <f t="shared" si="81"/>
        <v>8.5141271442986888E-2</v>
      </c>
      <c r="CT23" s="44">
        <f t="shared" si="81"/>
        <v>9.885260370697263E-2</v>
      </c>
      <c r="CV23" s="9">
        <f t="shared" si="82"/>
        <v>130</v>
      </c>
      <c r="CW23" s="21" t="str">
        <f t="shared" si="92"/>
        <v>Duchesne</v>
      </c>
      <c r="CX23" s="40">
        <f t="shared" si="83"/>
        <v>2.2937740418863085E-2</v>
      </c>
      <c r="CY23" s="40">
        <f t="shared" si="84"/>
        <v>2.0405349510547361E-2</v>
      </c>
      <c r="CZ23" s="40">
        <f t="shared" si="84"/>
        <v>1.8065743004618311E-2</v>
      </c>
      <c r="DA23" s="40">
        <f t="shared" si="84"/>
        <v>1.8895542248835662E-2</v>
      </c>
      <c r="DB23" s="40">
        <f t="shared" si="84"/>
        <v>1.4748107543722265E-2</v>
      </c>
      <c r="DC23" s="40">
        <f t="shared" si="84"/>
        <v>1.3663315287445217E-2</v>
      </c>
      <c r="DD23" s="40">
        <f t="shared" si="84"/>
        <v>2.0621214073978607E-2</v>
      </c>
      <c r="DE23" s="40">
        <f t="shared" si="84"/>
        <v>2.7902214258287469E-2</v>
      </c>
      <c r="DF23" s="40">
        <f t="shared" si="84"/>
        <v>3.5822401614530777E-2</v>
      </c>
      <c r="DG23" s="40">
        <f t="shared" si="84"/>
        <v>3.795233892321271E-2</v>
      </c>
      <c r="DI23" s="9">
        <f t="shared" si="85"/>
        <v>130</v>
      </c>
      <c r="DJ23" s="21" t="str">
        <f t="shared" si="93"/>
        <v>Duchesne</v>
      </c>
      <c r="DK23" s="40">
        <f t="shared" si="86"/>
        <v>2.7211853540390369E-2</v>
      </c>
      <c r="DL23" s="40">
        <f t="shared" si="87"/>
        <v>2.6196056804081071E-2</v>
      </c>
      <c r="DM23" s="40">
        <f t="shared" si="87"/>
        <v>1.6979081771257811E-2</v>
      </c>
      <c r="DN23" s="40">
        <f t="shared" si="87"/>
        <v>1.76979374584165E-2</v>
      </c>
      <c r="DO23" s="40">
        <f t="shared" si="87"/>
        <v>1.5139650221874185E-2</v>
      </c>
      <c r="DP23" s="40">
        <f t="shared" si="87"/>
        <v>1.7143593709719001E-2</v>
      </c>
      <c r="DQ23" s="40">
        <f t="shared" si="87"/>
        <v>2.6292047944322723E-2</v>
      </c>
      <c r="DR23" s="40">
        <f t="shared" si="87"/>
        <v>3.8781517982849095E-2</v>
      </c>
      <c r="DS23" s="40">
        <f t="shared" si="87"/>
        <v>4.9318869828456104E-2</v>
      </c>
      <c r="DT23" s="40">
        <f t="shared" si="87"/>
        <v>6.0900264783759928E-2</v>
      </c>
      <c r="DV23" s="9">
        <f t="shared" si="88"/>
        <v>130</v>
      </c>
      <c r="DW23" s="21" t="str">
        <f t="shared" si="94"/>
        <v>Duchesne</v>
      </c>
      <c r="DX23" s="45">
        <f t="shared" si="95"/>
        <v>161</v>
      </c>
      <c r="DY23" s="45">
        <f t="shared" si="95"/>
        <v>148</v>
      </c>
      <c r="DZ23" s="45">
        <f t="shared" si="89"/>
        <v>133</v>
      </c>
      <c r="EA23" s="45">
        <f t="shared" si="89"/>
        <v>142</v>
      </c>
      <c r="EB23" s="45">
        <f t="shared" si="89"/>
        <v>113</v>
      </c>
      <c r="EC23" s="45">
        <f t="shared" si="89"/>
        <v>106</v>
      </c>
      <c r="ED23" s="45">
        <f t="shared" si="89"/>
        <v>160</v>
      </c>
      <c r="EE23" s="45">
        <f t="shared" si="89"/>
        <v>218</v>
      </c>
      <c r="EF23" s="45">
        <f t="shared" si="89"/>
        <v>284</v>
      </c>
      <c r="EG23" s="45">
        <f t="shared" si="89"/>
        <v>301</v>
      </c>
      <c r="EI23" s="9">
        <f t="shared" si="90"/>
        <v>130</v>
      </c>
      <c r="EJ23" s="21" t="str">
        <f t="shared" si="96"/>
        <v>Duchesne</v>
      </c>
      <c r="EK23" s="45">
        <f t="shared" si="97"/>
        <v>191</v>
      </c>
      <c r="EL23" s="45">
        <f t="shared" si="97"/>
        <v>190</v>
      </c>
      <c r="EM23" s="45">
        <f t="shared" si="91"/>
        <v>125</v>
      </c>
      <c r="EN23" s="45">
        <f t="shared" si="91"/>
        <v>133</v>
      </c>
      <c r="EO23" s="45">
        <f t="shared" si="91"/>
        <v>116</v>
      </c>
      <c r="EP23" s="45">
        <f t="shared" si="91"/>
        <v>133</v>
      </c>
      <c r="EQ23" s="45">
        <f t="shared" si="91"/>
        <v>204</v>
      </c>
      <c r="ER23" s="45">
        <f t="shared" si="91"/>
        <v>303</v>
      </c>
      <c r="ES23" s="45">
        <f t="shared" si="91"/>
        <v>391</v>
      </c>
      <c r="ET23" s="45">
        <f t="shared" si="91"/>
        <v>483</v>
      </c>
      <c r="EW23" s="9">
        <f t="shared" si="98"/>
        <v>13</v>
      </c>
      <c r="EX23" s="21" t="str">
        <f t="shared" si="99"/>
        <v>Duchesne</v>
      </c>
      <c r="EY23" s="48">
        <f>INDEX('2010'!$E$7:$EN$37,  MATCH(EW23, '2010'!$A$7:$A$37, 0), MATCH(EW15, '2010'!$E$4:$EN$4, 0) )</f>
        <v>7019</v>
      </c>
      <c r="EZ23" s="48">
        <f>INDEX('2011'!$E$7:$EN$37,  MATCH(EW23, '2011'!$A$7:$A$37, 0), MATCH(EW15, '2011'!$E$4:$EN$4, 0) )</f>
        <v>7253</v>
      </c>
      <c r="FA23" s="48">
        <f>INDEX('2012'!$E$7:$EN$37,  MATCH(EW23, '2012'!$A$7:$A$37, 0), MATCH(EW15, '2012'!$E$4:$EN$4, 0) )</f>
        <v>7362</v>
      </c>
      <c r="FB23" s="48">
        <f>INDEX('2013'!$E$7:$EN$37,  MATCH(EW23, '2013'!$A$7:$A$37, 0), MATCH(EW15, '2013'!$E$4:$EN$4, 0) )</f>
        <v>7515</v>
      </c>
      <c r="FC23" s="48">
        <f>INDEX('2014'!$E$7:$EN$37,  MATCH(EW23, '2014'!$A$7:$A$37, 0), MATCH(EW15, '2014'!$E$4:$EN$4, 0) )</f>
        <v>7662</v>
      </c>
      <c r="FD23" s="48">
        <f>INDEX('2015'!$E$7:$EN$37,  MATCH(EW23, '2015'!$A$7:$A$37, 0), MATCH(EW15, '2015'!$E$4:$EN$4, 0) )</f>
        <v>7758</v>
      </c>
      <c r="FE23" s="48">
        <f>INDEX('2016'!$E$7:$EN$37,  MATCH(EW23, '2016'!$A$7:$A$37, 0), MATCH(EW15, '2016'!$E$4:$EN$4, 0) )</f>
        <v>7759</v>
      </c>
      <c r="FF23" s="48">
        <f>INDEX('2017'!$E$7:$EN$37,  MATCH(EW23, '2017'!$A$7:$A$37, 0), MATCH(EW15, '2017'!$E$4:$EN$4, 0) )</f>
        <v>7813</v>
      </c>
      <c r="FG23" s="48">
        <f>INDEX('2018'!$E$7:$EN$37,  MATCH(EW23, '2018'!$A$7:$A$37, 0), MATCH(EW15, '2018'!$E$4:$EN$4, 0) )</f>
        <v>7928</v>
      </c>
      <c r="FH23" s="48">
        <f>INDEX('2019'!$E$7:$EN$37,  MATCH(EW23, '2019'!$A$7:$A$37, 0), MATCH(EW15, '2019'!$E$4:$EN$4, 0) )</f>
        <v>7931</v>
      </c>
      <c r="FJ23" s="9">
        <f t="shared" si="100"/>
        <v>13</v>
      </c>
      <c r="FK23" s="21" t="str">
        <f t="shared" si="101"/>
        <v>Duchesne</v>
      </c>
      <c r="FL23" s="48">
        <f>INDEX('2010'!$E$7:$EN$37,  MATCH(FJ23, '2010'!$A$7:$A$37, 0), MATCH(FJ15, '2010'!$E$4:$EN$4, 0) )</f>
        <v>352</v>
      </c>
      <c r="FM23" s="48">
        <f>INDEX('2011'!$E$7:$EN$37,  MATCH(FJ23, '2011'!$A$7:$A$37, 0), MATCH(FJ15, '2011'!$E$4:$EN$4, 0) )</f>
        <v>338</v>
      </c>
      <c r="FN23" s="48">
        <f>INDEX('2012'!$E$7:$EN$37,  MATCH(FJ23, '2012'!$A$7:$A$37, 0), MATCH(FJ15, '2012'!$E$4:$EN$4, 0) )</f>
        <v>258</v>
      </c>
      <c r="FO23" s="48">
        <f>INDEX('2013'!$E$7:$EN$37,  MATCH(FJ23, '2013'!$A$7:$A$37, 0), MATCH(FJ15, '2013'!$E$4:$EN$4, 0) )</f>
        <v>275</v>
      </c>
      <c r="FP23" s="48">
        <f>INDEX('2014'!$E$7:$EN$37,  MATCH(FJ23, '2014'!$A$7:$A$37, 0), MATCH(FJ15, '2014'!$E$4:$EN$4, 0) )</f>
        <v>229</v>
      </c>
      <c r="FQ23" s="48">
        <f>INDEX('2015'!$E$7:$EN$37,  MATCH(FJ23, '2015'!$A$7:$A$37, 0), MATCH(FJ15, '2015'!$E$4:$EN$4, 0) )</f>
        <v>239</v>
      </c>
      <c r="FR23" s="48">
        <f>INDEX('2016'!$E$7:$EN$37,  MATCH(FJ23, '2016'!$A$7:$A$37, 0), MATCH(FJ15, '2016'!$E$4:$EN$4, 0) )</f>
        <v>364</v>
      </c>
      <c r="FS23" s="48">
        <f>INDEX('2017'!$E$7:$EN$37,  MATCH(FJ23, '2017'!$A$7:$A$37, 0), MATCH(FJ15, '2017'!$E$4:$EN$4, 0) )</f>
        <v>521</v>
      </c>
      <c r="FT23" s="48">
        <f>INDEX('2018'!$E$7:$EN$37,  MATCH(FJ23, '2018'!$A$7:$A$37, 0), MATCH(FJ15, '2018'!$E$4:$EN$4, 0) )</f>
        <v>675</v>
      </c>
      <c r="FU23" s="48">
        <f>INDEX('2019'!$E$7:$EN$37,  MATCH(FJ23, '2019'!$A$7:$A$37, 0), MATCH(FJ15, '2019'!$E$4:$EN$4, 0) )</f>
        <v>784</v>
      </c>
      <c r="FW23" s="9">
        <f t="shared" si="102"/>
        <v>13</v>
      </c>
      <c r="FX23" s="21" t="str">
        <f t="shared" si="103"/>
        <v>Duchesne</v>
      </c>
      <c r="FY23" s="48">
        <f>INDEX('2010'!$E$7:$EN$37,  MATCH(FW23, '2010'!$A$7:$A$37, 0), MATCH(FW15, '2010'!$E$4:$EN$4, 0) )</f>
        <v>37</v>
      </c>
      <c r="FZ23" s="48">
        <f>INDEX('2011'!$E$7:$EN$37,  MATCH(FW23, '2011'!$A$7:$A$37, 0), MATCH(FW15, '2011'!$E$4:$EN$4, 0) )</f>
        <v>19</v>
      </c>
      <c r="GA23" s="48">
        <f>INDEX('2012'!$E$7:$EN$37,  MATCH(FW23, '2012'!$A$7:$A$37, 0), MATCH(FW15, '2012'!$E$4:$EN$4, 0) )</f>
        <v>28</v>
      </c>
      <c r="GB23" s="48">
        <f>INDEX('2013'!$E$7:$EN$37,  MATCH(FW23, '2013'!$A$7:$A$37, 0), MATCH(FW15, '2013'!$E$4:$EN$4, 0) )</f>
        <v>35</v>
      </c>
      <c r="GC23" s="48">
        <f>INDEX('2014'!$E$7:$EN$37,  MATCH(FW23, '2014'!$A$7:$A$37, 0), MATCH(FW15, '2014'!$E$4:$EN$4, 0) )</f>
        <v>45</v>
      </c>
      <c r="GD23" s="48">
        <f>INDEX('2015'!$E$7:$EN$37,  MATCH(FW23, '2015'!$A$7:$A$37, 0), MATCH(FW15, '2015'!$E$4:$EN$4, 0) )</f>
        <v>71</v>
      </c>
      <c r="GE23" s="48">
        <f>INDEX('2016'!$E$7:$EN$37,  MATCH(FW23, '2016'!$A$7:$A$37, 0), MATCH(FW15, '2016'!$E$4:$EN$4, 0) )</f>
        <v>99</v>
      </c>
      <c r="GF23" s="48">
        <f>INDEX('2017'!$E$7:$EN$37,  MATCH(FW23, '2017'!$A$7:$A$37, 0), MATCH(FW15, '2017'!$E$4:$EN$4, 0) )</f>
        <v>133</v>
      </c>
      <c r="GG23" s="48">
        <f>INDEX('2018'!$E$7:$EN$37,  MATCH(FW23, '2018'!$A$7:$A$37, 0), MATCH(FW15, '2018'!$E$4:$EN$4, 0) )</f>
        <v>156</v>
      </c>
      <c r="GH23" s="48">
        <f>INDEX('2019'!$E$7:$EN$37,  MATCH(FW23, '2019'!$A$7:$A$37, 0), MATCH(FW15, '2019'!$E$4:$EN$4, 0) )</f>
        <v>196</v>
      </c>
      <c r="GJ23" s="9">
        <f t="shared" si="104"/>
        <v>13</v>
      </c>
      <c r="GK23" s="21" t="str">
        <f t="shared" si="105"/>
        <v>Duchesne</v>
      </c>
      <c r="GL23" s="48">
        <f>INDEX('2010'!$E$7:$EN$37,  MATCH(GJ23, '2010'!$A$7:$A$37, 0), MATCH(GJ15, '2010'!$E$4:$EN$4, 0) )</f>
        <v>154</v>
      </c>
      <c r="GM23" s="48">
        <f>INDEX('2011'!$E$7:$EN$37,  MATCH(GJ23, '2011'!$A$7:$A$37, 0), MATCH(GJ15, '2011'!$E$4:$EN$4, 0) )</f>
        <v>171</v>
      </c>
      <c r="GN23" s="48">
        <f>INDEX('2012'!$E$7:$EN$37,  MATCH(GJ23, '2012'!$A$7:$A$37, 0), MATCH(GJ15, '2012'!$E$4:$EN$4, 0) )</f>
        <v>97</v>
      </c>
      <c r="GO23" s="48">
        <f>INDEX('2013'!$E$7:$EN$37,  MATCH(GJ23, '2013'!$A$7:$A$37, 0), MATCH(GJ15, '2013'!$E$4:$EN$4, 0) )</f>
        <v>98</v>
      </c>
      <c r="GP23" s="48">
        <f>INDEX('2014'!$E$7:$EN$37,  MATCH(GJ23, '2014'!$A$7:$A$37, 0), MATCH(GJ15, '2014'!$E$4:$EN$4, 0) )</f>
        <v>71</v>
      </c>
      <c r="GQ23" s="48">
        <f>INDEX('2015'!$E$7:$EN$37,  MATCH(GJ23, '2015'!$A$7:$A$37, 0), MATCH(GJ15, '2015'!$E$4:$EN$4, 0) )</f>
        <v>62</v>
      </c>
      <c r="GR23" s="48">
        <f>INDEX('2016'!$E$7:$EN$37,  MATCH(GJ23, '2016'!$A$7:$A$37, 0), MATCH(GJ15, '2016'!$E$4:$EN$4, 0) )</f>
        <v>105</v>
      </c>
      <c r="GS23" s="48">
        <f>INDEX('2017'!$E$7:$EN$37,  MATCH(GJ23, '2017'!$A$7:$A$37, 0), MATCH(GJ15, '2017'!$E$4:$EN$4, 0) )</f>
        <v>170</v>
      </c>
      <c r="GT23" s="48">
        <f>INDEX('2018'!$E$7:$EN$37,  MATCH(GJ23, '2018'!$A$7:$A$37, 0), MATCH(GJ15, '2018'!$E$4:$EN$4, 0) )</f>
        <v>235</v>
      </c>
      <c r="GU23" s="48">
        <f>INDEX('2019'!$E$7:$EN$37,  MATCH(GJ23, '2019'!$A$7:$A$37, 0), MATCH(GJ15, '2019'!$E$4:$EN$4, 0) )</f>
        <v>287</v>
      </c>
    </row>
    <row r="24" spans="50:203" x14ac:dyDescent="0.25">
      <c r="AX24" s="10"/>
      <c r="AY24" s="38"/>
      <c r="AZ24" s="2">
        <v>2010</v>
      </c>
      <c r="BA24" s="2">
        <v>2011</v>
      </c>
      <c r="BB24" s="2">
        <v>2012</v>
      </c>
      <c r="BC24" s="2">
        <v>2013</v>
      </c>
      <c r="BD24" s="2">
        <v>2014</v>
      </c>
      <c r="BE24" s="2">
        <v>2015</v>
      </c>
      <c r="BF24" s="2">
        <v>2016</v>
      </c>
      <c r="BG24" s="2">
        <v>2017</v>
      </c>
      <c r="BH24" s="2">
        <v>2018</v>
      </c>
      <c r="BI24" s="2">
        <v>2019</v>
      </c>
      <c r="CI24" s="15">
        <v>15</v>
      </c>
      <c r="CJ24" s="37" t="str">
        <f t="shared" si="79"/>
        <v>Emery</v>
      </c>
      <c r="CK24" s="44">
        <f t="shared" si="80"/>
        <v>5.6530214424951264E-2</v>
      </c>
      <c r="CL24" s="44">
        <f t="shared" si="81"/>
        <v>6.0639964197807122E-2</v>
      </c>
      <c r="CM24" s="44">
        <f t="shared" si="81"/>
        <v>6.0759493670886081E-2</v>
      </c>
      <c r="CN24" s="44">
        <f t="shared" si="81"/>
        <v>6.0698382938832902E-2</v>
      </c>
      <c r="CO24" s="44">
        <f t="shared" si="81"/>
        <v>4.5751633986928109E-2</v>
      </c>
      <c r="CP24" s="44">
        <f t="shared" si="81"/>
        <v>5.7916977380064627E-2</v>
      </c>
      <c r="CQ24" s="44">
        <f t="shared" si="81"/>
        <v>6.5846784524724575E-2</v>
      </c>
      <c r="CR24" s="44">
        <f t="shared" si="81"/>
        <v>6.807632800412583E-2</v>
      </c>
      <c r="CS24" s="44">
        <f t="shared" si="81"/>
        <v>7.6923076923076927E-2</v>
      </c>
      <c r="CT24" s="44">
        <f t="shared" si="81"/>
        <v>8.0545548121461655E-2</v>
      </c>
      <c r="CV24" s="9">
        <f t="shared" si="82"/>
        <v>150</v>
      </c>
      <c r="CW24" s="21" t="str">
        <f t="shared" si="92"/>
        <v>Emery</v>
      </c>
      <c r="CX24" s="40">
        <f t="shared" si="83"/>
        <v>2.014294996751137E-2</v>
      </c>
      <c r="CY24" s="40">
        <f t="shared" si="84"/>
        <v>2.4837771313492952E-2</v>
      </c>
      <c r="CZ24" s="40">
        <f t="shared" si="84"/>
        <v>2.5776754890678943E-2</v>
      </c>
      <c r="DA24" s="40">
        <f t="shared" si="84"/>
        <v>2.5076165924537146E-2</v>
      </c>
      <c r="DB24" s="40">
        <f t="shared" si="84"/>
        <v>2.2754780924715567E-2</v>
      </c>
      <c r="DC24" s="40">
        <f t="shared" si="84"/>
        <v>1.6902808849117573E-2</v>
      </c>
      <c r="DD24" s="40">
        <f t="shared" si="84"/>
        <v>1.5116576992057392E-2</v>
      </c>
      <c r="DE24" s="40">
        <f t="shared" si="84"/>
        <v>1.6503352243424446E-2</v>
      </c>
      <c r="DF24" s="40">
        <f t="shared" si="84"/>
        <v>1.7871017871017872E-2</v>
      </c>
      <c r="DG24" s="40">
        <f t="shared" si="84"/>
        <v>2.5476067936181162E-2</v>
      </c>
      <c r="DI24" s="9">
        <f t="shared" si="85"/>
        <v>150</v>
      </c>
      <c r="DJ24" s="21" t="str">
        <f t="shared" si="93"/>
        <v>Emery</v>
      </c>
      <c r="DK24" s="40">
        <f t="shared" si="86"/>
        <v>3.6387264457439894E-2</v>
      </c>
      <c r="DL24" s="40">
        <f t="shared" si="87"/>
        <v>3.5802192884314167E-2</v>
      </c>
      <c r="DM24" s="40">
        <f t="shared" si="87"/>
        <v>3.4982738780207134E-2</v>
      </c>
      <c r="DN24" s="40">
        <f t="shared" si="87"/>
        <v>3.5622217014295757E-2</v>
      </c>
      <c r="DO24" s="40">
        <f t="shared" si="87"/>
        <v>2.2996853062212538E-2</v>
      </c>
      <c r="DP24" s="40">
        <f t="shared" si="87"/>
        <v>4.1014168530947054E-2</v>
      </c>
      <c r="DQ24" s="40">
        <f t="shared" si="87"/>
        <v>5.0730207532667181E-2</v>
      </c>
      <c r="DR24" s="40">
        <f t="shared" si="87"/>
        <v>5.1572975760701391E-2</v>
      </c>
      <c r="DS24" s="40">
        <f t="shared" si="87"/>
        <v>5.9052059052059055E-2</v>
      </c>
      <c r="DT24" s="40">
        <f t="shared" si="87"/>
        <v>5.5069480185280496E-2</v>
      </c>
      <c r="DV24" s="9">
        <f t="shared" si="88"/>
        <v>150</v>
      </c>
      <c r="DW24" s="21" t="str">
        <f t="shared" si="94"/>
        <v>Emery</v>
      </c>
      <c r="DX24" s="45">
        <f t="shared" si="95"/>
        <v>93</v>
      </c>
      <c r="DY24" s="45">
        <f t="shared" si="95"/>
        <v>111</v>
      </c>
      <c r="DZ24" s="45">
        <f t="shared" si="89"/>
        <v>112</v>
      </c>
      <c r="EA24" s="45">
        <f t="shared" si="89"/>
        <v>107</v>
      </c>
      <c r="EB24" s="45">
        <f t="shared" si="89"/>
        <v>94</v>
      </c>
      <c r="EC24" s="45">
        <f t="shared" si="89"/>
        <v>68</v>
      </c>
      <c r="ED24" s="45">
        <f t="shared" si="89"/>
        <v>59</v>
      </c>
      <c r="EE24" s="45">
        <f t="shared" si="89"/>
        <v>64</v>
      </c>
      <c r="EF24" s="45">
        <f t="shared" si="89"/>
        <v>69</v>
      </c>
      <c r="EG24" s="45">
        <f t="shared" si="89"/>
        <v>99</v>
      </c>
      <c r="EI24" s="9">
        <f t="shared" si="90"/>
        <v>150</v>
      </c>
      <c r="EJ24" s="21" t="str">
        <f t="shared" si="96"/>
        <v>Emery</v>
      </c>
      <c r="EK24" s="45">
        <f t="shared" si="97"/>
        <v>168</v>
      </c>
      <c r="EL24" s="45">
        <f t="shared" si="97"/>
        <v>160</v>
      </c>
      <c r="EM24" s="45">
        <f t="shared" si="91"/>
        <v>152</v>
      </c>
      <c r="EN24" s="45">
        <f t="shared" si="91"/>
        <v>152</v>
      </c>
      <c r="EO24" s="45">
        <f t="shared" si="91"/>
        <v>95</v>
      </c>
      <c r="EP24" s="45">
        <f t="shared" si="91"/>
        <v>165</v>
      </c>
      <c r="EQ24" s="45">
        <f t="shared" si="91"/>
        <v>198</v>
      </c>
      <c r="ER24" s="45">
        <f t="shared" si="91"/>
        <v>200</v>
      </c>
      <c r="ES24" s="45">
        <f t="shared" si="91"/>
        <v>228</v>
      </c>
      <c r="ET24" s="45">
        <f t="shared" si="91"/>
        <v>214</v>
      </c>
      <c r="EW24" s="9">
        <f t="shared" si="98"/>
        <v>15</v>
      </c>
      <c r="EX24" s="21" t="str">
        <f t="shared" si="99"/>
        <v>Emery</v>
      </c>
      <c r="EY24" s="48">
        <f>INDEX('2010'!$E$7:$EN$37,  MATCH(EW24, '2010'!$A$7:$A$37, 0), MATCH(EW15, '2010'!$E$4:$EN$4, 0) )</f>
        <v>4617</v>
      </c>
      <c r="EZ24" s="48">
        <f>INDEX('2011'!$E$7:$EN$37,  MATCH(EW24, '2011'!$A$7:$A$37, 0), MATCH(EW15, '2011'!$E$4:$EN$4, 0) )</f>
        <v>4469</v>
      </c>
      <c r="FA24" s="48">
        <f>INDEX('2012'!$E$7:$EN$37,  MATCH(EW24, '2012'!$A$7:$A$37, 0), MATCH(EW15, '2012'!$E$4:$EN$4, 0) )</f>
        <v>4345</v>
      </c>
      <c r="FB24" s="48">
        <f>INDEX('2013'!$E$7:$EN$37,  MATCH(EW24, '2013'!$A$7:$A$37, 0), MATCH(EW15, '2013'!$E$4:$EN$4, 0) )</f>
        <v>4267</v>
      </c>
      <c r="FC24" s="48">
        <f>INDEX('2014'!$E$7:$EN$37,  MATCH(EW24, '2014'!$A$7:$A$37, 0), MATCH(EW15, '2014'!$E$4:$EN$4, 0) )</f>
        <v>4131</v>
      </c>
      <c r="FD24" s="48">
        <f>INDEX('2015'!$E$7:$EN$37,  MATCH(EW24, '2015'!$A$7:$A$37, 0), MATCH(EW15, '2015'!$E$4:$EN$4, 0) )</f>
        <v>4023</v>
      </c>
      <c r="FE24" s="48">
        <f>INDEX('2016'!$E$7:$EN$37,  MATCH(EW24, '2016'!$A$7:$A$37, 0), MATCH(EW15, '2016'!$E$4:$EN$4, 0) )</f>
        <v>3903</v>
      </c>
      <c r="FF24" s="48">
        <f>INDEX('2017'!$E$7:$EN$37,  MATCH(EW24, '2017'!$A$7:$A$37, 0), MATCH(EW15, '2017'!$E$4:$EN$4, 0) )</f>
        <v>3878</v>
      </c>
      <c r="FG24" s="48">
        <f>INDEX('2018'!$E$7:$EN$37,  MATCH(EW24, '2018'!$A$7:$A$37, 0), MATCH(EW15, '2018'!$E$4:$EN$4, 0) )</f>
        <v>3861</v>
      </c>
      <c r="FH24" s="48">
        <f>INDEX('2019'!$E$7:$EN$37,  MATCH(EW24, '2019'!$A$7:$A$37, 0), MATCH(EW15, '2019'!$E$4:$EN$4, 0) )</f>
        <v>3886</v>
      </c>
      <c r="FJ24" s="9">
        <f t="shared" si="100"/>
        <v>15</v>
      </c>
      <c r="FK24" s="21" t="str">
        <f t="shared" si="101"/>
        <v>Emery</v>
      </c>
      <c r="FL24" s="48">
        <f>INDEX('2010'!$E$7:$EN$37,  MATCH(FJ24, '2010'!$A$7:$A$37, 0), MATCH(FJ15, '2010'!$E$4:$EN$4, 0) )</f>
        <v>261</v>
      </c>
      <c r="FM24" s="48">
        <f>INDEX('2011'!$E$7:$EN$37,  MATCH(FJ24, '2011'!$A$7:$A$37, 0), MATCH(FJ15, '2011'!$E$4:$EN$4, 0) )</f>
        <v>271</v>
      </c>
      <c r="FN24" s="48">
        <f>INDEX('2012'!$E$7:$EN$37,  MATCH(FJ24, '2012'!$A$7:$A$37, 0), MATCH(FJ15, '2012'!$E$4:$EN$4, 0) )</f>
        <v>264</v>
      </c>
      <c r="FO24" s="48">
        <f>INDEX('2013'!$E$7:$EN$37,  MATCH(FJ24, '2013'!$A$7:$A$37, 0), MATCH(FJ15, '2013'!$E$4:$EN$4, 0) )</f>
        <v>259</v>
      </c>
      <c r="FP24" s="48">
        <f>INDEX('2014'!$E$7:$EN$37,  MATCH(FJ24, '2014'!$A$7:$A$37, 0), MATCH(FJ15, '2014'!$E$4:$EN$4, 0) )</f>
        <v>189</v>
      </c>
      <c r="FQ24" s="48">
        <f>INDEX('2015'!$E$7:$EN$37,  MATCH(FJ24, '2015'!$A$7:$A$37, 0), MATCH(FJ15, '2015'!$E$4:$EN$4, 0) )</f>
        <v>233</v>
      </c>
      <c r="FR24" s="48">
        <f>INDEX('2016'!$E$7:$EN$37,  MATCH(FJ24, '2016'!$A$7:$A$37, 0), MATCH(FJ15, '2016'!$E$4:$EN$4, 0) )</f>
        <v>257</v>
      </c>
      <c r="FS24" s="48">
        <f>INDEX('2017'!$E$7:$EN$37,  MATCH(FJ24, '2017'!$A$7:$A$37, 0), MATCH(FJ15, '2017'!$E$4:$EN$4, 0) )</f>
        <v>264</v>
      </c>
      <c r="FT24" s="48">
        <f>INDEX('2018'!$E$7:$EN$37,  MATCH(FJ24, '2018'!$A$7:$A$37, 0), MATCH(FJ15, '2018'!$E$4:$EN$4, 0) )</f>
        <v>297</v>
      </c>
      <c r="FU24" s="48">
        <f>INDEX('2019'!$E$7:$EN$37,  MATCH(FJ24, '2019'!$A$7:$A$37, 0), MATCH(FJ15, '2019'!$E$4:$EN$4, 0) )</f>
        <v>313</v>
      </c>
      <c r="FW24" s="9">
        <f t="shared" si="102"/>
        <v>15</v>
      </c>
      <c r="FX24" s="21" t="str">
        <f t="shared" si="103"/>
        <v>Emery</v>
      </c>
      <c r="FY24" s="48">
        <f>INDEX('2010'!$E$7:$EN$37,  MATCH(FW24, '2010'!$A$7:$A$37, 0), MATCH(FW15, '2010'!$E$4:$EN$4, 0) )</f>
        <v>79</v>
      </c>
      <c r="FZ24" s="48">
        <f>INDEX('2011'!$E$7:$EN$37,  MATCH(FW24, '2011'!$A$7:$A$37, 0), MATCH(FW15, '2011'!$E$4:$EN$4, 0) )</f>
        <v>77</v>
      </c>
      <c r="GA24" s="48">
        <f>INDEX('2012'!$E$7:$EN$37,  MATCH(FW24, '2012'!$A$7:$A$37, 0), MATCH(FW15, '2012'!$E$4:$EN$4, 0) )</f>
        <v>89</v>
      </c>
      <c r="GB24" s="48">
        <f>INDEX('2013'!$E$7:$EN$37,  MATCH(FW24, '2013'!$A$7:$A$37, 0), MATCH(FW15, '2013'!$E$4:$EN$4, 0) )</f>
        <v>87</v>
      </c>
      <c r="GC24" s="48">
        <f>INDEX('2014'!$E$7:$EN$37,  MATCH(FW24, '2014'!$A$7:$A$37, 0), MATCH(FW15, '2014'!$E$4:$EN$4, 0) )</f>
        <v>31</v>
      </c>
      <c r="GD24" s="48">
        <f>INDEX('2015'!$E$7:$EN$37,  MATCH(FW24, '2015'!$A$7:$A$37, 0), MATCH(FW15, '2015'!$E$4:$EN$4, 0) )</f>
        <v>28</v>
      </c>
      <c r="GE24" s="48">
        <f>INDEX('2016'!$E$7:$EN$37,  MATCH(FW24, '2016'!$A$7:$A$37, 0), MATCH(FW15, '2016'!$E$4:$EN$4, 0) )</f>
        <v>29</v>
      </c>
      <c r="GF24" s="48">
        <f>INDEX('2017'!$E$7:$EN$37,  MATCH(FW24, '2017'!$A$7:$A$37, 0), MATCH(FW15, '2017'!$E$4:$EN$4, 0) )</f>
        <v>13</v>
      </c>
      <c r="GG24" s="48">
        <f>INDEX('2018'!$E$7:$EN$37,  MATCH(FW24, '2018'!$A$7:$A$37, 0), MATCH(FW15, '2018'!$E$4:$EN$4, 0) )</f>
        <v>42</v>
      </c>
      <c r="GH24" s="48">
        <f>INDEX('2019'!$E$7:$EN$37,  MATCH(FW24, '2019'!$A$7:$A$37, 0), MATCH(FW15, '2019'!$E$4:$EN$4, 0) )</f>
        <v>41</v>
      </c>
      <c r="GJ24" s="9">
        <f t="shared" si="104"/>
        <v>15</v>
      </c>
      <c r="GK24" s="21" t="str">
        <f t="shared" si="105"/>
        <v>Emery</v>
      </c>
      <c r="GL24" s="48">
        <f>INDEX('2010'!$E$7:$EN$37,  MATCH(GJ24, '2010'!$A$7:$A$37, 0), MATCH(GJ15, '2010'!$E$4:$EN$4, 0) )</f>
        <v>89</v>
      </c>
      <c r="GM24" s="48">
        <f>INDEX('2011'!$E$7:$EN$37,  MATCH(GJ24, '2011'!$A$7:$A$37, 0), MATCH(GJ15, '2011'!$E$4:$EN$4, 0) )</f>
        <v>83</v>
      </c>
      <c r="GN24" s="48">
        <f>INDEX('2012'!$E$7:$EN$37,  MATCH(GJ24, '2012'!$A$7:$A$37, 0), MATCH(GJ15, '2012'!$E$4:$EN$4, 0) )</f>
        <v>63</v>
      </c>
      <c r="GO24" s="48">
        <f>INDEX('2013'!$E$7:$EN$37,  MATCH(GJ24, '2013'!$A$7:$A$37, 0), MATCH(GJ15, '2013'!$E$4:$EN$4, 0) )</f>
        <v>65</v>
      </c>
      <c r="GP24" s="48">
        <f>INDEX('2014'!$E$7:$EN$37,  MATCH(GJ24, '2014'!$A$7:$A$37, 0), MATCH(GJ15, '2014'!$E$4:$EN$4, 0) )</f>
        <v>64</v>
      </c>
      <c r="GQ24" s="48">
        <f>INDEX('2015'!$E$7:$EN$37,  MATCH(GJ24, '2015'!$A$7:$A$37, 0), MATCH(GJ15, '2015'!$E$4:$EN$4, 0) )</f>
        <v>137</v>
      </c>
      <c r="GR24" s="48">
        <f>INDEX('2016'!$E$7:$EN$37,  MATCH(GJ24, '2016'!$A$7:$A$37, 0), MATCH(GJ15, '2016'!$E$4:$EN$4, 0) )</f>
        <v>169</v>
      </c>
      <c r="GS24" s="48">
        <f>INDEX('2017'!$E$7:$EN$37,  MATCH(GJ24, '2017'!$A$7:$A$37, 0), MATCH(GJ15, '2017'!$E$4:$EN$4, 0) )</f>
        <v>187</v>
      </c>
      <c r="GT24" s="48">
        <f>INDEX('2018'!$E$7:$EN$37,  MATCH(GJ24, '2018'!$A$7:$A$37, 0), MATCH(GJ15, '2018'!$E$4:$EN$4, 0) )</f>
        <v>186</v>
      </c>
      <c r="GU24" s="48">
        <f>INDEX('2019'!$E$7:$EN$37,  MATCH(GJ24, '2019'!$A$7:$A$37, 0), MATCH(GJ15, '2019'!$E$4:$EN$4, 0) )</f>
        <v>173</v>
      </c>
    </row>
    <row r="25" spans="50:203" x14ac:dyDescent="0.25">
      <c r="AX25" s="15"/>
      <c r="AY25" s="39" t="s">
        <v>617</v>
      </c>
      <c r="AZ25" s="40">
        <f>INDEX($DK$7:$DT$13, MATCH(AY23, $DJ$7:$DJ$13,0), MATCH(AZ$6, $DK$6:$DT$6, 0))</f>
        <v>2.2771358347016411E-2</v>
      </c>
      <c r="BA25" s="40">
        <f>INDEX($DK$7:$DT$13, MATCH(AY23, $DJ$7:$DJ$13,0), MATCH(BA$6, $DK$6:$DT$6, 0))</f>
        <v>2.2793659527296561E-2</v>
      </c>
      <c r="BB25" s="40">
        <f>INDEX($DK$7:$DT$13, MATCH(AY23, $DJ$7:$DJ$13,0), MATCH(BB$6, $DK$6:$DT$6, 0))</f>
        <v>2.170168239556803E-2</v>
      </c>
      <c r="BC25" s="40">
        <f>INDEX($DK$7:$DT$13, MATCH(AY23, $DJ$7:$DJ$13,0), MATCH(BC$6, $DK$6:$DT$6, 0))</f>
        <v>2.1136147254839734E-2</v>
      </c>
      <c r="BD25" s="40">
        <f>INDEX($DK$7:$DT$13, MATCH(AY23, $DJ$7:$DJ$13,0), MATCH(BD$6, $DK$6:$DT$6, 0))</f>
        <v>2.1351342930142705E-2</v>
      </c>
      <c r="BE25" s="40">
        <f>INDEX($DK$7:$DT$13, MATCH(AY23, $DJ$7:$DJ$13,0), MATCH(BE$6, $DK$6:$DT$6, 0))</f>
        <v>2.2100293914049999E-2</v>
      </c>
      <c r="BF25" s="40">
        <f>INDEX($DK$7:$DT$13, MATCH(AY23, $DJ$7:$DJ$13,0), MATCH(BF$6, $DK$6:$DT$6, 0))</f>
        <v>2.2920733079724448E-2</v>
      </c>
      <c r="BG25" s="40">
        <f>INDEX($DK$7:$DT$13, MATCH(AY23, $DJ$7:$DJ$13,0), MATCH(BG$6, $DK$6:$DT$6, 0))</f>
        <v>2.4989541307794374E-2</v>
      </c>
      <c r="BH25" s="40">
        <f>INDEX($DK$7:$DT$13, MATCH(AY23, $DJ$7:$DJ$13,0), MATCH(BH$6, $DK$6:$DT$6, 0))</f>
        <v>2.6760511427010639E-2</v>
      </c>
      <c r="BI25" s="40">
        <f>INDEX($DK$7:$DT$13, MATCH(AY23, $DJ$7:$DJ$13,0), MATCH(BI$6, $DK$6:$DT$6, 0))</f>
        <v>2.7175796165233232E-2</v>
      </c>
      <c r="CI25" s="15">
        <v>17</v>
      </c>
      <c r="CJ25" s="37" t="str">
        <f t="shared" si="79"/>
        <v>Garfield</v>
      </c>
      <c r="CK25" s="44">
        <f t="shared" si="80"/>
        <v>9.4887683965917902E-2</v>
      </c>
      <c r="CL25" s="44">
        <f t="shared" si="81"/>
        <v>9.2115848753016899E-2</v>
      </c>
      <c r="CM25" s="44">
        <f t="shared" si="81"/>
        <v>5.9123777116120796E-2</v>
      </c>
      <c r="CN25" s="44">
        <f t="shared" si="81"/>
        <v>4.8144876325088341E-2</v>
      </c>
      <c r="CO25" s="44">
        <f t="shared" si="81"/>
        <v>5.3949903660886318E-2</v>
      </c>
      <c r="CP25" s="44">
        <f t="shared" si="81"/>
        <v>4.4730077120822623E-2</v>
      </c>
      <c r="CQ25" s="44">
        <f t="shared" si="81"/>
        <v>6.4985451018428703E-2</v>
      </c>
      <c r="CR25" s="44">
        <f t="shared" si="81"/>
        <v>7.2610294117647065E-2</v>
      </c>
      <c r="CS25" s="44">
        <f t="shared" si="81"/>
        <v>7.7558513079394209E-2</v>
      </c>
      <c r="CT25" s="44">
        <f t="shared" si="81"/>
        <v>8.1491712707182321E-2</v>
      </c>
      <c r="CV25" s="9">
        <f t="shared" si="82"/>
        <v>170</v>
      </c>
      <c r="CW25" s="21" t="str">
        <f t="shared" si="92"/>
        <v>Garfield</v>
      </c>
      <c r="CX25" s="40">
        <f t="shared" si="83"/>
        <v>4.0278853601859024E-2</v>
      </c>
      <c r="CY25" s="40">
        <f t="shared" si="84"/>
        <v>3.7409493161705554E-2</v>
      </c>
      <c r="CZ25" s="40">
        <f t="shared" si="84"/>
        <v>1.7864738409187581E-2</v>
      </c>
      <c r="DA25" s="40">
        <f t="shared" si="84"/>
        <v>2.2084805653710248E-2</v>
      </c>
      <c r="DB25" s="40">
        <f t="shared" si="84"/>
        <v>2.3603082851637765E-2</v>
      </c>
      <c r="DC25" s="40">
        <f t="shared" si="84"/>
        <v>2.0051413881748071E-2</v>
      </c>
      <c r="DD25" s="40">
        <f t="shared" si="84"/>
        <v>4.4616876818622697E-2</v>
      </c>
      <c r="DE25" s="40">
        <f t="shared" si="84"/>
        <v>4.4117647058823532E-2</v>
      </c>
      <c r="DF25" s="40">
        <f t="shared" si="84"/>
        <v>4.6810463515374025E-2</v>
      </c>
      <c r="DG25" s="40">
        <f t="shared" si="84"/>
        <v>4.834254143646409E-2</v>
      </c>
      <c r="DI25" s="9">
        <f t="shared" si="85"/>
        <v>170</v>
      </c>
      <c r="DJ25" s="21" t="str">
        <f t="shared" si="93"/>
        <v>Garfield</v>
      </c>
      <c r="DK25" s="40">
        <f t="shared" si="86"/>
        <v>5.460883036405887E-2</v>
      </c>
      <c r="DL25" s="40">
        <f t="shared" si="87"/>
        <v>5.4706355591311345E-2</v>
      </c>
      <c r="DM25" s="40">
        <f t="shared" si="87"/>
        <v>4.1259038706933218E-2</v>
      </c>
      <c r="DN25" s="40">
        <f t="shared" si="87"/>
        <v>2.6060070671378093E-2</v>
      </c>
      <c r="DO25" s="40">
        <f t="shared" si="87"/>
        <v>3.0346820809248554E-2</v>
      </c>
      <c r="DP25" s="40">
        <f t="shared" si="87"/>
        <v>2.4678663239074552E-2</v>
      </c>
      <c r="DQ25" s="40">
        <f t="shared" si="87"/>
        <v>2.0368574199806012E-2</v>
      </c>
      <c r="DR25" s="40">
        <f t="shared" si="87"/>
        <v>2.8492647058823529E-2</v>
      </c>
      <c r="DS25" s="40">
        <f t="shared" si="87"/>
        <v>3.0748049564020191E-2</v>
      </c>
      <c r="DT25" s="40">
        <f t="shared" si="87"/>
        <v>3.3149171270718231E-2</v>
      </c>
      <c r="DV25" s="9">
        <f t="shared" si="88"/>
        <v>170</v>
      </c>
      <c r="DW25" s="21" t="str">
        <f t="shared" si="94"/>
        <v>Garfield</v>
      </c>
      <c r="DX25" s="45">
        <f t="shared" si="95"/>
        <v>104</v>
      </c>
      <c r="DY25" s="45">
        <f t="shared" si="95"/>
        <v>93</v>
      </c>
      <c r="DZ25" s="45">
        <f t="shared" si="89"/>
        <v>42</v>
      </c>
      <c r="EA25" s="45">
        <f t="shared" si="89"/>
        <v>50</v>
      </c>
      <c r="EB25" s="45">
        <f t="shared" si="89"/>
        <v>49</v>
      </c>
      <c r="EC25" s="45">
        <f t="shared" si="89"/>
        <v>39</v>
      </c>
      <c r="ED25" s="45">
        <f t="shared" si="89"/>
        <v>92</v>
      </c>
      <c r="EE25" s="45">
        <f t="shared" si="89"/>
        <v>96</v>
      </c>
      <c r="EF25" s="45">
        <f t="shared" si="89"/>
        <v>102</v>
      </c>
      <c r="EG25" s="45">
        <f t="shared" si="89"/>
        <v>105</v>
      </c>
      <c r="EI25" s="9">
        <f t="shared" si="90"/>
        <v>170</v>
      </c>
      <c r="EJ25" s="21" t="str">
        <f t="shared" si="96"/>
        <v>Garfield</v>
      </c>
      <c r="EK25" s="45">
        <f t="shared" si="97"/>
        <v>141</v>
      </c>
      <c r="EL25" s="45">
        <f t="shared" si="97"/>
        <v>136</v>
      </c>
      <c r="EM25" s="45">
        <f t="shared" si="91"/>
        <v>97</v>
      </c>
      <c r="EN25" s="45">
        <f t="shared" si="91"/>
        <v>59</v>
      </c>
      <c r="EO25" s="45">
        <f t="shared" si="91"/>
        <v>63</v>
      </c>
      <c r="EP25" s="45">
        <f t="shared" si="91"/>
        <v>48</v>
      </c>
      <c r="EQ25" s="45">
        <f t="shared" si="91"/>
        <v>42</v>
      </c>
      <c r="ER25" s="45">
        <f t="shared" si="91"/>
        <v>62</v>
      </c>
      <c r="ES25" s="45">
        <f t="shared" si="91"/>
        <v>67</v>
      </c>
      <c r="ET25" s="45">
        <f t="shared" si="91"/>
        <v>72</v>
      </c>
      <c r="EW25" s="9">
        <f t="shared" si="98"/>
        <v>17</v>
      </c>
      <c r="EX25" s="21" t="str">
        <f t="shared" si="99"/>
        <v>Garfield</v>
      </c>
      <c r="EY25" s="48">
        <f>INDEX('2010'!$E$7:$EN$37,  MATCH(EW25, '2010'!$A$7:$A$37, 0), MATCH(EW15, '2010'!$E$4:$EN$4, 0) )</f>
        <v>2582</v>
      </c>
      <c r="EZ25" s="48">
        <f>INDEX('2011'!$E$7:$EN$37,  MATCH(EW25, '2011'!$A$7:$A$37, 0), MATCH(EW15, '2011'!$E$4:$EN$4, 0) )</f>
        <v>2486</v>
      </c>
      <c r="FA25" s="48">
        <f>INDEX('2012'!$E$7:$EN$37,  MATCH(EW25, '2012'!$A$7:$A$37, 0), MATCH(EW15, '2012'!$E$4:$EN$4, 0) )</f>
        <v>2351</v>
      </c>
      <c r="FB25" s="48">
        <f>INDEX('2013'!$E$7:$EN$37,  MATCH(EW25, '2013'!$A$7:$A$37, 0), MATCH(EW15, '2013'!$E$4:$EN$4, 0) )</f>
        <v>2264</v>
      </c>
      <c r="FC25" s="48">
        <f>INDEX('2014'!$E$7:$EN$37,  MATCH(EW25, '2014'!$A$7:$A$37, 0), MATCH(EW15, '2014'!$E$4:$EN$4, 0) )</f>
        <v>2076</v>
      </c>
      <c r="FD25" s="48">
        <f>INDEX('2015'!$E$7:$EN$37,  MATCH(EW25, '2015'!$A$7:$A$37, 0), MATCH(EW15, '2015'!$E$4:$EN$4, 0) )</f>
        <v>1945</v>
      </c>
      <c r="FE25" s="48">
        <f>INDEX('2016'!$E$7:$EN$37,  MATCH(EW25, '2016'!$A$7:$A$37, 0), MATCH(EW15, '2016'!$E$4:$EN$4, 0) )</f>
        <v>2062</v>
      </c>
      <c r="FF25" s="48">
        <f>INDEX('2017'!$E$7:$EN$37,  MATCH(EW25, '2017'!$A$7:$A$37, 0), MATCH(EW15, '2017'!$E$4:$EN$4, 0) )</f>
        <v>2176</v>
      </c>
      <c r="FG25" s="48">
        <f>INDEX('2018'!$E$7:$EN$37,  MATCH(EW25, '2018'!$A$7:$A$37, 0), MATCH(EW15, '2018'!$E$4:$EN$4, 0) )</f>
        <v>2179</v>
      </c>
      <c r="FH25" s="48">
        <f>INDEX('2019'!$E$7:$EN$37,  MATCH(EW25, '2019'!$A$7:$A$37, 0), MATCH(EW15, '2019'!$E$4:$EN$4, 0) )</f>
        <v>2172</v>
      </c>
      <c r="FJ25" s="9">
        <f t="shared" si="100"/>
        <v>17</v>
      </c>
      <c r="FK25" s="21" t="str">
        <f t="shared" si="101"/>
        <v>Garfield</v>
      </c>
      <c r="FL25" s="48">
        <f>INDEX('2010'!$E$7:$EN$37,  MATCH(FJ25, '2010'!$A$7:$A$37, 0), MATCH(FJ15, '2010'!$E$4:$EN$4, 0) )</f>
        <v>245</v>
      </c>
      <c r="FM25" s="48">
        <f>INDEX('2011'!$E$7:$EN$37,  MATCH(FJ25, '2011'!$A$7:$A$37, 0), MATCH(FJ15, '2011'!$E$4:$EN$4, 0) )</f>
        <v>229</v>
      </c>
      <c r="FN25" s="48">
        <f>INDEX('2012'!$E$7:$EN$37,  MATCH(FJ25, '2012'!$A$7:$A$37, 0), MATCH(FJ15, '2012'!$E$4:$EN$4, 0) )</f>
        <v>139</v>
      </c>
      <c r="FO25" s="48">
        <f>INDEX('2013'!$E$7:$EN$37,  MATCH(FJ25, '2013'!$A$7:$A$37, 0), MATCH(FJ15, '2013'!$E$4:$EN$4, 0) )</f>
        <v>109</v>
      </c>
      <c r="FP25" s="48">
        <f>INDEX('2014'!$E$7:$EN$37,  MATCH(FJ25, '2014'!$A$7:$A$37, 0), MATCH(FJ15, '2014'!$E$4:$EN$4, 0) )</f>
        <v>112</v>
      </c>
      <c r="FQ25" s="48">
        <f>INDEX('2015'!$E$7:$EN$37,  MATCH(FJ25, '2015'!$A$7:$A$37, 0), MATCH(FJ15, '2015'!$E$4:$EN$4, 0) )</f>
        <v>87</v>
      </c>
      <c r="FR25" s="48">
        <f>INDEX('2016'!$E$7:$EN$37,  MATCH(FJ25, '2016'!$A$7:$A$37, 0), MATCH(FJ15, '2016'!$E$4:$EN$4, 0) )</f>
        <v>134</v>
      </c>
      <c r="FS25" s="48">
        <f>INDEX('2017'!$E$7:$EN$37,  MATCH(FJ25, '2017'!$A$7:$A$37, 0), MATCH(FJ15, '2017'!$E$4:$EN$4, 0) )</f>
        <v>158</v>
      </c>
      <c r="FT25" s="48">
        <f>INDEX('2018'!$E$7:$EN$37,  MATCH(FJ25, '2018'!$A$7:$A$37, 0), MATCH(FJ15, '2018'!$E$4:$EN$4, 0) )</f>
        <v>169</v>
      </c>
      <c r="FU25" s="48">
        <f>INDEX('2019'!$E$7:$EN$37,  MATCH(FJ25, '2019'!$A$7:$A$37, 0), MATCH(FJ15, '2019'!$E$4:$EN$4, 0) )</f>
        <v>177</v>
      </c>
      <c r="FW25" s="9">
        <f t="shared" si="102"/>
        <v>17</v>
      </c>
      <c r="FX25" s="21" t="str">
        <f t="shared" si="103"/>
        <v>Garfield</v>
      </c>
      <c r="FY25" s="48">
        <f>INDEX('2010'!$E$7:$EN$37,  MATCH(FW25, '2010'!$A$7:$A$37, 0), MATCH(FW15, '2010'!$E$4:$EN$4, 0) )</f>
        <v>35</v>
      </c>
      <c r="FZ25" s="48">
        <f>INDEX('2011'!$E$7:$EN$37,  MATCH(FW25, '2011'!$A$7:$A$37, 0), MATCH(FW15, '2011'!$E$4:$EN$4, 0) )</f>
        <v>37</v>
      </c>
      <c r="GA25" s="48">
        <f>INDEX('2012'!$E$7:$EN$37,  MATCH(FW25, '2012'!$A$7:$A$37, 0), MATCH(FW15, '2012'!$E$4:$EN$4, 0) )</f>
        <v>10</v>
      </c>
      <c r="GB25" s="48">
        <f>INDEX('2013'!$E$7:$EN$37,  MATCH(FW25, '2013'!$A$7:$A$37, 0), MATCH(FW15, '2013'!$E$4:$EN$4, 0) )</f>
        <v>6</v>
      </c>
      <c r="GC25" s="48">
        <f>INDEX('2014'!$E$7:$EN$37,  MATCH(FW25, '2014'!$A$7:$A$37, 0), MATCH(FW15, '2014'!$E$4:$EN$4, 0) )</f>
        <v>16</v>
      </c>
      <c r="GD25" s="48">
        <f>INDEX('2015'!$E$7:$EN$37,  MATCH(FW25, '2015'!$A$7:$A$37, 0), MATCH(FW15, '2015'!$E$4:$EN$4, 0) )</f>
        <v>16</v>
      </c>
      <c r="GE25" s="48">
        <f>INDEX('2016'!$E$7:$EN$37,  MATCH(FW25, '2016'!$A$7:$A$37, 0), MATCH(FW15, '2016'!$E$4:$EN$4, 0) )</f>
        <v>12</v>
      </c>
      <c r="GF25" s="48">
        <f>INDEX('2017'!$E$7:$EN$37,  MATCH(FW25, '2017'!$A$7:$A$37, 0), MATCH(FW15, '2017'!$E$4:$EN$4, 0) )</f>
        <v>24</v>
      </c>
      <c r="GG25" s="48">
        <f>INDEX('2018'!$E$7:$EN$37,  MATCH(FW25, '2018'!$A$7:$A$37, 0), MATCH(FW15, '2018'!$E$4:$EN$4, 0) )</f>
        <v>26</v>
      </c>
      <c r="GH25" s="48">
        <f>INDEX('2019'!$E$7:$EN$37,  MATCH(FW25, '2019'!$A$7:$A$37, 0), MATCH(FW15, '2019'!$E$4:$EN$4, 0) )</f>
        <v>31</v>
      </c>
      <c r="GJ25" s="9">
        <f t="shared" si="104"/>
        <v>17</v>
      </c>
      <c r="GK25" s="21" t="str">
        <f t="shared" si="105"/>
        <v>Garfield</v>
      </c>
      <c r="GL25" s="48">
        <f>INDEX('2010'!$E$7:$EN$37,  MATCH(GJ25, '2010'!$A$7:$A$37, 0), MATCH(GJ15, '2010'!$E$4:$EN$4, 0) )</f>
        <v>106</v>
      </c>
      <c r="GM25" s="48">
        <f>INDEX('2011'!$E$7:$EN$37,  MATCH(GJ25, '2011'!$A$7:$A$37, 0), MATCH(GJ15, '2011'!$E$4:$EN$4, 0) )</f>
        <v>99</v>
      </c>
      <c r="GN25" s="48">
        <f>INDEX('2012'!$E$7:$EN$37,  MATCH(GJ25, '2012'!$A$7:$A$37, 0), MATCH(GJ15, '2012'!$E$4:$EN$4, 0) )</f>
        <v>87</v>
      </c>
      <c r="GO25" s="48">
        <f>INDEX('2013'!$E$7:$EN$37,  MATCH(GJ25, '2013'!$A$7:$A$37, 0), MATCH(GJ15, '2013'!$E$4:$EN$4, 0) )</f>
        <v>53</v>
      </c>
      <c r="GP25" s="48">
        <f>INDEX('2014'!$E$7:$EN$37,  MATCH(GJ25, '2014'!$A$7:$A$37, 0), MATCH(GJ15, '2014'!$E$4:$EN$4, 0) )</f>
        <v>47</v>
      </c>
      <c r="GQ25" s="48">
        <f>INDEX('2015'!$E$7:$EN$37,  MATCH(GJ25, '2015'!$A$7:$A$37, 0), MATCH(GJ15, '2015'!$E$4:$EN$4, 0) )</f>
        <v>32</v>
      </c>
      <c r="GR25" s="48">
        <f>INDEX('2016'!$E$7:$EN$37,  MATCH(GJ25, '2016'!$A$7:$A$37, 0), MATCH(GJ15, '2016'!$E$4:$EN$4, 0) )</f>
        <v>30</v>
      </c>
      <c r="GS25" s="48">
        <f>INDEX('2017'!$E$7:$EN$37,  MATCH(GJ25, '2017'!$A$7:$A$37, 0), MATCH(GJ15, '2017'!$E$4:$EN$4, 0) )</f>
        <v>38</v>
      </c>
      <c r="GT25" s="48">
        <f>INDEX('2018'!$E$7:$EN$37,  MATCH(GJ25, '2018'!$A$7:$A$37, 0), MATCH(GJ15, '2018'!$E$4:$EN$4, 0) )</f>
        <v>41</v>
      </c>
      <c r="GU25" s="48">
        <f>INDEX('2019'!$E$7:$EN$37,  MATCH(GJ25, '2019'!$A$7:$A$37, 0), MATCH(GJ15, '2019'!$E$4:$EN$4, 0) )</f>
        <v>41</v>
      </c>
    </row>
    <row r="26" spans="50:203" x14ac:dyDescent="0.25">
      <c r="AX26" s="15"/>
      <c r="AY26" s="39" t="s">
        <v>618</v>
      </c>
      <c r="AZ26" s="40">
        <f>INDEX($CX$7:$DG$13, MATCH(AY23, $CW$7:$CW$13,0), MATCH(AZ$6, $CX$6:$DG$6, 0))</f>
        <v>2.0160525430124525E-2</v>
      </c>
      <c r="BA26" s="40">
        <f>INDEX($CX$7:$DG$13, MATCH(AY23, $CW$7:$CW$13,0), MATCH(BA$6, $CX$6:$DG$6, 0))</f>
        <v>2.0714152783059707E-2</v>
      </c>
      <c r="BB26" s="40">
        <f>INDEX($CX$7:$DG$13, MATCH(AY23, $CW$7:$CW$13,0), MATCH(BB$6, $CX$6:$DG$6, 0))</f>
        <v>2.1753700810086769E-2</v>
      </c>
      <c r="BC26" s="40">
        <f>INDEX($CX$7:$DG$13, MATCH(AY23, $CW$7:$CW$13,0), MATCH(BC$6, $CX$6:$DG$6, 0))</f>
        <v>2.3663122818152967E-2</v>
      </c>
      <c r="BD26" s="40">
        <f>INDEX($CX$7:$DG$13, MATCH(AY23, $CW$7:$CW$13,0), MATCH(BD$6, $CX$6:$DG$6, 0))</f>
        <v>2.4920935377329097E-2</v>
      </c>
      <c r="BE26" s="40">
        <f>INDEX($CX$7:$DG$13, MATCH(AY23, $CW$7:$CW$13,0), MATCH(BE$6, $CX$6:$DG$6, 0))</f>
        <v>2.7333628382186614E-2</v>
      </c>
      <c r="BF26" s="40">
        <f>INDEX($CX$7:$DG$13, MATCH(AY23, $CW$7:$CW$13,0), MATCH(BF$6, $CX$6:$DG$6, 0))</f>
        <v>2.839816840761417E-2</v>
      </c>
      <c r="BG26" s="40">
        <f>INDEX($CX$7:$DG$13, MATCH(AY23, $CW$7:$CW$13,0), MATCH(BG$6, $CX$6:$DG$6, 0))</f>
        <v>3.0665065095259385E-2</v>
      </c>
      <c r="BH26" s="40">
        <f>INDEX($CX$7:$DG$13, MATCH(AY23, $CW$7:$CW$13,0), MATCH(BH$6, $CX$6:$DG$6, 0))</f>
        <v>3.2427029960882404E-2</v>
      </c>
      <c r="BI26" s="40">
        <f>INDEX($CX$7:$DG$13, MATCH(AY23, $CW$7:$CW$13,0), MATCH(BI$6, $CX$6:$DG$6, 0))</f>
        <v>3.4882723651845166E-2</v>
      </c>
      <c r="CI26" s="15">
        <v>19</v>
      </c>
      <c r="CJ26" s="37" t="str">
        <f t="shared" si="79"/>
        <v>Grand</v>
      </c>
      <c r="CK26" s="44">
        <f t="shared" si="80"/>
        <v>3.6960036960036961E-2</v>
      </c>
      <c r="CL26" s="44">
        <f t="shared" si="81"/>
        <v>3.6499766027140848E-2</v>
      </c>
      <c r="CM26" s="44">
        <f t="shared" si="81"/>
        <v>5.7263814616755788E-2</v>
      </c>
      <c r="CN26" s="44">
        <f t="shared" si="81"/>
        <v>5.5139987176747167E-2</v>
      </c>
      <c r="CO26" s="44">
        <f t="shared" si="81"/>
        <v>7.1382498387443566E-2</v>
      </c>
      <c r="CP26" s="44">
        <f t="shared" si="81"/>
        <v>6.9752421959095812E-2</v>
      </c>
      <c r="CQ26" s="44">
        <f t="shared" si="81"/>
        <v>8.0482456140350878E-2</v>
      </c>
      <c r="CR26" s="44">
        <f t="shared" si="81"/>
        <v>0.10387630662020907</v>
      </c>
      <c r="CS26" s="44">
        <f t="shared" si="81"/>
        <v>8.7077449721865638E-2</v>
      </c>
      <c r="CT26" s="44">
        <f t="shared" si="81"/>
        <v>8.4295136026380876E-2</v>
      </c>
      <c r="CV26" s="9">
        <f t="shared" si="82"/>
        <v>190</v>
      </c>
      <c r="CW26" s="21" t="str">
        <f t="shared" si="92"/>
        <v>Grand</v>
      </c>
      <c r="CX26" s="40">
        <f t="shared" si="83"/>
        <v>1.5477015477015478E-2</v>
      </c>
      <c r="CY26" s="40">
        <f t="shared" si="84"/>
        <v>2.4801123069723912E-2</v>
      </c>
      <c r="CZ26" s="40">
        <f t="shared" si="84"/>
        <v>4.3894830659536539E-2</v>
      </c>
      <c r="DA26" s="40">
        <f t="shared" si="84"/>
        <v>3.4622782645864499E-2</v>
      </c>
      <c r="DB26" s="40">
        <f t="shared" si="84"/>
        <v>3.3326166415824553E-2</v>
      </c>
      <c r="DC26" s="40">
        <f t="shared" si="84"/>
        <v>3.4230355220667384E-2</v>
      </c>
      <c r="DD26" s="40">
        <f t="shared" si="84"/>
        <v>2.8728070175438596E-2</v>
      </c>
      <c r="DE26" s="40">
        <f t="shared" si="84"/>
        <v>3.3536585365853661E-2</v>
      </c>
      <c r="DF26" s="40">
        <f t="shared" si="84"/>
        <v>3.359007274283269E-2</v>
      </c>
      <c r="DG26" s="40">
        <f t="shared" si="84"/>
        <v>4.0189612530915089E-2</v>
      </c>
      <c r="DI26" s="9">
        <f t="shared" si="85"/>
        <v>190</v>
      </c>
      <c r="DJ26" s="21" t="str">
        <f t="shared" si="93"/>
        <v>Grand</v>
      </c>
      <c r="DK26" s="40">
        <f t="shared" si="86"/>
        <v>2.1483021483021482E-2</v>
      </c>
      <c r="DL26" s="40">
        <f t="shared" si="87"/>
        <v>1.169864295741694E-2</v>
      </c>
      <c r="DM26" s="40">
        <f t="shared" si="87"/>
        <v>1.3368983957219251E-2</v>
      </c>
      <c r="DN26" s="40">
        <f t="shared" si="87"/>
        <v>2.0517204530882668E-2</v>
      </c>
      <c r="DO26" s="40">
        <f t="shared" si="87"/>
        <v>3.8056331971619006E-2</v>
      </c>
      <c r="DP26" s="40">
        <f t="shared" si="87"/>
        <v>3.5522066738428421E-2</v>
      </c>
      <c r="DQ26" s="40">
        <f t="shared" si="87"/>
        <v>5.1754385964912282E-2</v>
      </c>
      <c r="DR26" s="40">
        <f t="shared" si="87"/>
        <v>7.0339721254355406E-2</v>
      </c>
      <c r="DS26" s="40">
        <f t="shared" si="87"/>
        <v>5.3487376979032948E-2</v>
      </c>
      <c r="DT26" s="40">
        <f t="shared" si="87"/>
        <v>4.4105523495465787E-2</v>
      </c>
      <c r="DV26" s="9">
        <f t="shared" si="88"/>
        <v>190</v>
      </c>
      <c r="DW26" s="21" t="str">
        <f t="shared" si="94"/>
        <v>Grand</v>
      </c>
      <c r="DX26" s="45">
        <f t="shared" si="95"/>
        <v>67</v>
      </c>
      <c r="DY26" s="45">
        <f t="shared" si="95"/>
        <v>106</v>
      </c>
      <c r="DZ26" s="45">
        <f t="shared" si="89"/>
        <v>197</v>
      </c>
      <c r="EA26" s="45">
        <f t="shared" si="89"/>
        <v>162</v>
      </c>
      <c r="EB26" s="45">
        <f t="shared" si="89"/>
        <v>155</v>
      </c>
      <c r="EC26" s="45">
        <f t="shared" si="89"/>
        <v>159</v>
      </c>
      <c r="ED26" s="45">
        <f t="shared" si="89"/>
        <v>131</v>
      </c>
      <c r="EE26" s="45">
        <f t="shared" si="89"/>
        <v>154</v>
      </c>
      <c r="EF26" s="45">
        <f t="shared" si="89"/>
        <v>157</v>
      </c>
      <c r="EG26" s="45">
        <f t="shared" si="89"/>
        <v>195</v>
      </c>
      <c r="EI26" s="9">
        <f t="shared" si="90"/>
        <v>190</v>
      </c>
      <c r="EJ26" s="21" t="str">
        <f t="shared" si="96"/>
        <v>Grand</v>
      </c>
      <c r="EK26" s="45">
        <f t="shared" si="97"/>
        <v>93</v>
      </c>
      <c r="EL26" s="45">
        <f t="shared" si="97"/>
        <v>50</v>
      </c>
      <c r="EM26" s="45">
        <f t="shared" si="91"/>
        <v>60</v>
      </c>
      <c r="EN26" s="45">
        <f t="shared" si="91"/>
        <v>96</v>
      </c>
      <c r="EO26" s="45">
        <f t="shared" si="91"/>
        <v>177</v>
      </c>
      <c r="EP26" s="45">
        <f t="shared" si="91"/>
        <v>165</v>
      </c>
      <c r="EQ26" s="45">
        <f t="shared" si="91"/>
        <v>236</v>
      </c>
      <c r="ER26" s="45">
        <f t="shared" si="91"/>
        <v>323</v>
      </c>
      <c r="ES26" s="45">
        <f t="shared" si="91"/>
        <v>250</v>
      </c>
      <c r="ET26" s="45">
        <f t="shared" si="91"/>
        <v>214</v>
      </c>
      <c r="EW26" s="9">
        <f t="shared" si="98"/>
        <v>19</v>
      </c>
      <c r="EX26" s="21" t="str">
        <f t="shared" si="99"/>
        <v>Grand</v>
      </c>
      <c r="EY26" s="48">
        <f>INDEX('2010'!$E$7:$EN$37,  MATCH(EW26, '2010'!$A$7:$A$37, 0), MATCH(EW15, '2010'!$E$4:$EN$4, 0) )</f>
        <v>4329</v>
      </c>
      <c r="EZ26" s="48">
        <f>INDEX('2011'!$E$7:$EN$37,  MATCH(EW26, '2011'!$A$7:$A$37, 0), MATCH(EW15, '2011'!$E$4:$EN$4, 0) )</f>
        <v>4274</v>
      </c>
      <c r="FA26" s="48">
        <f>INDEX('2012'!$E$7:$EN$37,  MATCH(EW26, '2012'!$A$7:$A$37, 0), MATCH(EW15, '2012'!$E$4:$EN$4, 0) )</f>
        <v>4488</v>
      </c>
      <c r="FB26" s="48">
        <f>INDEX('2013'!$E$7:$EN$37,  MATCH(EW26, '2013'!$A$7:$A$37, 0), MATCH(EW15, '2013'!$E$4:$EN$4, 0) )</f>
        <v>4679</v>
      </c>
      <c r="FC26" s="48">
        <f>INDEX('2014'!$E$7:$EN$37,  MATCH(EW26, '2014'!$A$7:$A$37, 0), MATCH(EW15, '2014'!$E$4:$EN$4, 0) )</f>
        <v>4651</v>
      </c>
      <c r="FD26" s="48">
        <f>INDEX('2015'!$E$7:$EN$37,  MATCH(EW26, '2015'!$A$7:$A$37, 0), MATCH(EW15, '2015'!$E$4:$EN$4, 0) )</f>
        <v>4645</v>
      </c>
      <c r="FE26" s="48">
        <f>INDEX('2016'!$E$7:$EN$37,  MATCH(EW26, '2016'!$A$7:$A$37, 0), MATCH(EW15, '2016'!$E$4:$EN$4, 0) )</f>
        <v>4560</v>
      </c>
      <c r="FF26" s="48">
        <f>INDEX('2017'!$E$7:$EN$37,  MATCH(EW26, '2017'!$A$7:$A$37, 0), MATCH(EW15, '2017'!$E$4:$EN$4, 0) )</f>
        <v>4592</v>
      </c>
      <c r="FG26" s="48">
        <f>INDEX('2018'!$E$7:$EN$37,  MATCH(EW26, '2018'!$A$7:$A$37, 0), MATCH(EW15, '2018'!$E$4:$EN$4, 0) )</f>
        <v>4674</v>
      </c>
      <c r="FH26" s="48">
        <f>INDEX('2019'!$E$7:$EN$37,  MATCH(EW26, '2019'!$A$7:$A$37, 0), MATCH(EW15, '2019'!$E$4:$EN$4, 0) )</f>
        <v>4852</v>
      </c>
      <c r="FJ26" s="9">
        <f t="shared" si="100"/>
        <v>19</v>
      </c>
      <c r="FK26" s="21" t="str">
        <f t="shared" si="101"/>
        <v>Grand</v>
      </c>
      <c r="FL26" s="48">
        <f>INDEX('2010'!$E$7:$EN$37,  MATCH(FJ26, '2010'!$A$7:$A$37, 0), MATCH(FJ15, '2010'!$E$4:$EN$4, 0) )</f>
        <v>160</v>
      </c>
      <c r="FM26" s="48">
        <f>INDEX('2011'!$E$7:$EN$37,  MATCH(FJ26, '2011'!$A$7:$A$37, 0), MATCH(FJ15, '2011'!$E$4:$EN$4, 0) )</f>
        <v>156</v>
      </c>
      <c r="FN26" s="48">
        <f>INDEX('2012'!$E$7:$EN$37,  MATCH(FJ26, '2012'!$A$7:$A$37, 0), MATCH(FJ15, '2012'!$E$4:$EN$4, 0) )</f>
        <v>257</v>
      </c>
      <c r="FO26" s="48">
        <f>INDEX('2013'!$E$7:$EN$37,  MATCH(FJ26, '2013'!$A$7:$A$37, 0), MATCH(FJ15, '2013'!$E$4:$EN$4, 0) )</f>
        <v>258</v>
      </c>
      <c r="FP26" s="48">
        <f>INDEX('2014'!$E$7:$EN$37,  MATCH(FJ26, '2014'!$A$7:$A$37, 0), MATCH(FJ15, '2014'!$E$4:$EN$4, 0) )</f>
        <v>332</v>
      </c>
      <c r="FQ26" s="48">
        <f>INDEX('2015'!$E$7:$EN$37,  MATCH(FJ26, '2015'!$A$7:$A$37, 0), MATCH(FJ15, '2015'!$E$4:$EN$4, 0) )</f>
        <v>324</v>
      </c>
      <c r="FR26" s="48">
        <f>INDEX('2016'!$E$7:$EN$37,  MATCH(FJ26, '2016'!$A$7:$A$37, 0), MATCH(FJ15, '2016'!$E$4:$EN$4, 0) )</f>
        <v>367</v>
      </c>
      <c r="FS26" s="48">
        <f>INDEX('2017'!$E$7:$EN$37,  MATCH(FJ26, '2017'!$A$7:$A$37, 0), MATCH(FJ15, '2017'!$E$4:$EN$4, 0) )</f>
        <v>477</v>
      </c>
      <c r="FT26" s="48">
        <f>INDEX('2018'!$E$7:$EN$37,  MATCH(FJ26, '2018'!$A$7:$A$37, 0), MATCH(FJ15, '2018'!$E$4:$EN$4, 0) )</f>
        <v>407</v>
      </c>
      <c r="FU26" s="48">
        <f>INDEX('2019'!$E$7:$EN$37,  MATCH(FJ26, '2019'!$A$7:$A$37, 0), MATCH(FJ15, '2019'!$E$4:$EN$4, 0) )</f>
        <v>409</v>
      </c>
      <c r="FW26" s="9">
        <f t="shared" si="102"/>
        <v>19</v>
      </c>
      <c r="FX26" s="21" t="str">
        <f t="shared" si="103"/>
        <v>Grand</v>
      </c>
      <c r="FY26" s="48">
        <f>INDEX('2010'!$E$7:$EN$37,  MATCH(FW26, '2010'!$A$7:$A$37, 0), MATCH(FW15, '2010'!$E$4:$EN$4, 0) )</f>
        <v>37</v>
      </c>
      <c r="FZ26" s="48">
        <f>INDEX('2011'!$E$7:$EN$37,  MATCH(FW26, '2011'!$A$7:$A$37, 0), MATCH(FW15, '2011'!$E$4:$EN$4, 0) )</f>
        <v>19</v>
      </c>
      <c r="GA26" s="48">
        <f>INDEX('2012'!$E$7:$EN$37,  MATCH(FW26, '2012'!$A$7:$A$37, 0), MATCH(FW15, '2012'!$E$4:$EN$4, 0) )</f>
        <v>30</v>
      </c>
      <c r="GB26" s="48">
        <f>INDEX('2013'!$E$7:$EN$37,  MATCH(FW26, '2013'!$A$7:$A$37, 0), MATCH(FW15, '2013'!$E$4:$EN$4, 0) )</f>
        <v>27</v>
      </c>
      <c r="GC26" s="48">
        <f>INDEX('2014'!$E$7:$EN$37,  MATCH(FW26, '2014'!$A$7:$A$37, 0), MATCH(FW15, '2014'!$E$4:$EN$4, 0) )</f>
        <v>37</v>
      </c>
      <c r="GD26" s="48">
        <f>INDEX('2015'!$E$7:$EN$37,  MATCH(FW26, '2015'!$A$7:$A$37, 0), MATCH(FW15, '2015'!$E$4:$EN$4, 0) )</f>
        <v>42</v>
      </c>
      <c r="GE26" s="48">
        <f>INDEX('2016'!$E$7:$EN$37,  MATCH(FW26, '2016'!$A$7:$A$37, 0), MATCH(FW15, '2016'!$E$4:$EN$4, 0) )</f>
        <v>52</v>
      </c>
      <c r="GF26" s="48">
        <f>INDEX('2017'!$E$7:$EN$37,  MATCH(FW26, '2017'!$A$7:$A$37, 0), MATCH(FW15, '2017'!$E$4:$EN$4, 0) )</f>
        <v>31</v>
      </c>
      <c r="GG26" s="48">
        <f>INDEX('2018'!$E$7:$EN$37,  MATCH(FW26, '2018'!$A$7:$A$37, 0), MATCH(FW15, '2018'!$E$4:$EN$4, 0) )</f>
        <v>26</v>
      </c>
      <c r="GH26" s="48">
        <f>INDEX('2019'!$E$7:$EN$37,  MATCH(FW26, '2019'!$A$7:$A$37, 0), MATCH(FW15, '2019'!$E$4:$EN$4, 0) )</f>
        <v>69</v>
      </c>
      <c r="GJ26" s="9">
        <f t="shared" si="104"/>
        <v>19</v>
      </c>
      <c r="GK26" s="21" t="str">
        <f t="shared" si="105"/>
        <v>Grand</v>
      </c>
      <c r="GL26" s="48">
        <f>INDEX('2010'!$E$7:$EN$37,  MATCH(GJ26, '2010'!$A$7:$A$37, 0), MATCH(GJ15, '2010'!$E$4:$EN$4, 0) )</f>
        <v>56</v>
      </c>
      <c r="GM26" s="48">
        <f>INDEX('2011'!$E$7:$EN$37,  MATCH(GJ26, '2011'!$A$7:$A$37, 0), MATCH(GJ15, '2011'!$E$4:$EN$4, 0) )</f>
        <v>31</v>
      </c>
      <c r="GN26" s="48">
        <f>INDEX('2012'!$E$7:$EN$37,  MATCH(GJ26, '2012'!$A$7:$A$37, 0), MATCH(GJ15, '2012'!$E$4:$EN$4, 0) )</f>
        <v>30</v>
      </c>
      <c r="GO26" s="48">
        <f>INDEX('2013'!$E$7:$EN$37,  MATCH(GJ26, '2013'!$A$7:$A$37, 0), MATCH(GJ15, '2013'!$E$4:$EN$4, 0) )</f>
        <v>69</v>
      </c>
      <c r="GP26" s="48">
        <f>INDEX('2014'!$E$7:$EN$37,  MATCH(GJ26, '2014'!$A$7:$A$37, 0), MATCH(GJ15, '2014'!$E$4:$EN$4, 0) )</f>
        <v>140</v>
      </c>
      <c r="GQ26" s="48">
        <f>INDEX('2015'!$E$7:$EN$37,  MATCH(GJ26, '2015'!$A$7:$A$37, 0), MATCH(GJ15, '2015'!$E$4:$EN$4, 0) )</f>
        <v>123</v>
      </c>
      <c r="GR26" s="48">
        <f>INDEX('2016'!$E$7:$EN$37,  MATCH(GJ26, '2016'!$A$7:$A$37, 0), MATCH(GJ15, '2016'!$E$4:$EN$4, 0) )</f>
        <v>184</v>
      </c>
      <c r="GS26" s="48">
        <f>INDEX('2017'!$E$7:$EN$37,  MATCH(GJ26, '2017'!$A$7:$A$37, 0), MATCH(GJ15, '2017'!$E$4:$EN$4, 0) )</f>
        <v>292</v>
      </c>
      <c r="GT26" s="48">
        <f>INDEX('2018'!$E$7:$EN$37,  MATCH(GJ26, '2018'!$A$7:$A$37, 0), MATCH(GJ15, '2018'!$E$4:$EN$4, 0) )</f>
        <v>224</v>
      </c>
      <c r="GU26" s="48">
        <f>INDEX('2019'!$E$7:$EN$37,  MATCH(GJ26, '2019'!$A$7:$A$37, 0), MATCH(GJ15, '2019'!$E$4:$EN$4, 0) )</f>
        <v>145</v>
      </c>
    </row>
    <row r="27" spans="50:203" x14ac:dyDescent="0.25">
      <c r="AX27" s="15"/>
      <c r="AY27" s="39" t="s">
        <v>619</v>
      </c>
      <c r="AZ27" s="41">
        <f>SUM(AZ25:AZ26)</f>
        <v>4.2931883777140939E-2</v>
      </c>
      <c r="BA27" s="41">
        <f t="shared" ref="BA27:BI27" si="107">SUM(BA25:BA26)</f>
        <v>4.3507812310356268E-2</v>
      </c>
      <c r="BB27" s="41">
        <f t="shared" si="107"/>
        <v>4.3455383205654799E-2</v>
      </c>
      <c r="BC27" s="41">
        <f t="shared" si="107"/>
        <v>4.4799270072992697E-2</v>
      </c>
      <c r="BD27" s="41">
        <f t="shared" si="107"/>
        <v>4.6272278307471798E-2</v>
      </c>
      <c r="BE27" s="41">
        <f t="shared" si="107"/>
        <v>4.943392229623661E-2</v>
      </c>
      <c r="BF27" s="41">
        <f t="shared" si="107"/>
        <v>5.1318901487338614E-2</v>
      </c>
      <c r="BG27" s="41">
        <f t="shared" si="107"/>
        <v>5.5654606403053759E-2</v>
      </c>
      <c r="BH27" s="41">
        <f t="shared" si="107"/>
        <v>5.9187541387893047E-2</v>
      </c>
      <c r="BI27" s="41">
        <f t="shared" si="107"/>
        <v>6.2058519817078397E-2</v>
      </c>
      <c r="CI27" s="15">
        <v>21</v>
      </c>
      <c r="CJ27" s="37" t="str">
        <f t="shared" si="79"/>
        <v>Iron</v>
      </c>
      <c r="CK27" s="44">
        <f t="shared" si="80"/>
        <v>3.8719365045315597E-2</v>
      </c>
      <c r="CL27" s="44">
        <f t="shared" si="81"/>
        <v>3.8372030091465066E-2</v>
      </c>
      <c r="CM27" s="44">
        <f t="shared" si="81"/>
        <v>3.0106480730771309E-2</v>
      </c>
      <c r="CN27" s="44">
        <f t="shared" si="81"/>
        <v>2.6051560379918591E-2</v>
      </c>
      <c r="CO27" s="44">
        <f t="shared" si="81"/>
        <v>2.1567567567567565E-2</v>
      </c>
      <c r="CP27" s="44">
        <f t="shared" si="81"/>
        <v>2.78251874838376E-2</v>
      </c>
      <c r="CQ27" s="44">
        <f t="shared" si="81"/>
        <v>3.0721732968923977E-2</v>
      </c>
      <c r="CR27" s="44">
        <f t="shared" si="81"/>
        <v>3.508941517641373E-2</v>
      </c>
      <c r="CS27" s="44">
        <f t="shared" si="81"/>
        <v>4.8457941718226039E-2</v>
      </c>
      <c r="CT27" s="44">
        <f t="shared" si="81"/>
        <v>6.4120908603112148E-2</v>
      </c>
      <c r="CV27" s="9">
        <f t="shared" si="82"/>
        <v>210</v>
      </c>
      <c r="CW27" s="21" t="str">
        <f t="shared" si="92"/>
        <v>Iron</v>
      </c>
      <c r="CX27" s="40">
        <f t="shared" si="83"/>
        <v>1.0725585885128975E-2</v>
      </c>
      <c r="CY27" s="40">
        <f t="shared" si="84"/>
        <v>1.0878389348920279E-2</v>
      </c>
      <c r="CZ27" s="40">
        <f t="shared" si="84"/>
        <v>1.021566401816118E-2</v>
      </c>
      <c r="DA27" s="40">
        <f t="shared" si="84"/>
        <v>7.8154681139755763E-3</v>
      </c>
      <c r="DB27" s="40">
        <f t="shared" si="84"/>
        <v>7.189189189189189E-3</v>
      </c>
      <c r="DC27" s="40">
        <f t="shared" si="84"/>
        <v>9.4129816395138351E-3</v>
      </c>
      <c r="DD27" s="40">
        <f t="shared" si="84"/>
        <v>1.4171474845632149E-2</v>
      </c>
      <c r="DE27" s="40">
        <f t="shared" si="84"/>
        <v>1.8704688255195747E-2</v>
      </c>
      <c r="DF27" s="40">
        <f t="shared" si="84"/>
        <v>2.4890190336749635E-2</v>
      </c>
      <c r="DG27" s="40">
        <f t="shared" si="84"/>
        <v>3.2552316222500446E-2</v>
      </c>
      <c r="DI27" s="9">
        <f t="shared" si="85"/>
        <v>210</v>
      </c>
      <c r="DJ27" s="21" t="str">
        <f t="shared" si="93"/>
        <v>Iron</v>
      </c>
      <c r="DK27" s="40">
        <f t="shared" si="86"/>
        <v>2.7993779160186624E-2</v>
      </c>
      <c r="DL27" s="40">
        <f t="shared" si="87"/>
        <v>2.7493640742544786E-2</v>
      </c>
      <c r="DM27" s="40">
        <f t="shared" si="87"/>
        <v>1.9890816712610129E-2</v>
      </c>
      <c r="DN27" s="40">
        <f t="shared" si="87"/>
        <v>1.8236092265943013E-2</v>
      </c>
      <c r="DO27" s="40">
        <f t="shared" si="87"/>
        <v>1.4378378378378378E-2</v>
      </c>
      <c r="DP27" s="40">
        <f t="shared" si="87"/>
        <v>1.8412205844323765E-2</v>
      </c>
      <c r="DQ27" s="40">
        <f t="shared" si="87"/>
        <v>1.655025812329183E-2</v>
      </c>
      <c r="DR27" s="40">
        <f t="shared" si="87"/>
        <v>1.6384726921217979E-2</v>
      </c>
      <c r="DS27" s="40">
        <f t="shared" si="87"/>
        <v>2.3567751381476407E-2</v>
      </c>
      <c r="DT27" s="40">
        <f t="shared" si="87"/>
        <v>3.1568592380611694E-2</v>
      </c>
      <c r="DV27" s="9">
        <f t="shared" si="88"/>
        <v>210</v>
      </c>
      <c r="DW27" s="21" t="str">
        <f t="shared" si="94"/>
        <v>Iron</v>
      </c>
      <c r="DX27" s="45">
        <f t="shared" si="95"/>
        <v>200</v>
      </c>
      <c r="DY27" s="45">
        <f t="shared" si="95"/>
        <v>201</v>
      </c>
      <c r="DZ27" s="45">
        <f t="shared" si="89"/>
        <v>189</v>
      </c>
      <c r="EA27" s="45">
        <f t="shared" si="89"/>
        <v>144</v>
      </c>
      <c r="EB27" s="45">
        <f t="shared" si="89"/>
        <v>133</v>
      </c>
      <c r="EC27" s="45">
        <f t="shared" si="89"/>
        <v>182</v>
      </c>
      <c r="ED27" s="45">
        <f t="shared" si="89"/>
        <v>280</v>
      </c>
      <c r="EE27" s="45">
        <f t="shared" si="89"/>
        <v>387</v>
      </c>
      <c r="EF27" s="45">
        <f t="shared" si="89"/>
        <v>527</v>
      </c>
      <c r="EG27" s="45">
        <f t="shared" si="89"/>
        <v>728</v>
      </c>
      <c r="EI27" s="9">
        <f t="shared" si="90"/>
        <v>210</v>
      </c>
      <c r="EJ27" s="21" t="str">
        <f t="shared" si="96"/>
        <v>Iron</v>
      </c>
      <c r="EK27" s="45">
        <f t="shared" si="97"/>
        <v>522</v>
      </c>
      <c r="EL27" s="45">
        <f t="shared" si="97"/>
        <v>508</v>
      </c>
      <c r="EM27" s="45">
        <f t="shared" si="91"/>
        <v>368</v>
      </c>
      <c r="EN27" s="45">
        <f t="shared" si="91"/>
        <v>336</v>
      </c>
      <c r="EO27" s="45">
        <f t="shared" si="91"/>
        <v>266</v>
      </c>
      <c r="EP27" s="45">
        <f t="shared" si="91"/>
        <v>356</v>
      </c>
      <c r="EQ27" s="45">
        <f t="shared" si="91"/>
        <v>327</v>
      </c>
      <c r="ER27" s="45">
        <f t="shared" si="91"/>
        <v>339</v>
      </c>
      <c r="ES27" s="45">
        <f t="shared" si="91"/>
        <v>499</v>
      </c>
      <c r="ET27" s="45">
        <f t="shared" si="91"/>
        <v>706</v>
      </c>
      <c r="EW27" s="9">
        <f t="shared" si="98"/>
        <v>21</v>
      </c>
      <c r="EX27" s="21" t="str">
        <f t="shared" si="99"/>
        <v>Iron</v>
      </c>
      <c r="EY27" s="48">
        <f>INDEX('2010'!$E$7:$EN$37,  MATCH(EW27, '2010'!$A$7:$A$37, 0), MATCH(EW15, '2010'!$E$4:$EN$4, 0) )</f>
        <v>18647</v>
      </c>
      <c r="EZ27" s="48">
        <f>INDEX('2011'!$E$7:$EN$37,  MATCH(EW27, '2011'!$A$7:$A$37, 0), MATCH(EW15, '2011'!$E$4:$EN$4, 0) )</f>
        <v>18477</v>
      </c>
      <c r="FA27" s="48">
        <f>INDEX('2012'!$E$7:$EN$37,  MATCH(EW27, '2012'!$A$7:$A$37, 0), MATCH(EW15, '2012'!$E$4:$EN$4, 0) )</f>
        <v>18501</v>
      </c>
      <c r="FB27" s="48">
        <f>INDEX('2013'!$E$7:$EN$37,  MATCH(EW27, '2013'!$A$7:$A$37, 0), MATCH(EW15, '2013'!$E$4:$EN$4, 0) )</f>
        <v>18425</v>
      </c>
      <c r="FC27" s="48">
        <f>INDEX('2014'!$E$7:$EN$37,  MATCH(EW27, '2014'!$A$7:$A$37, 0), MATCH(EW15, '2014'!$E$4:$EN$4, 0) )</f>
        <v>18500</v>
      </c>
      <c r="FD27" s="48">
        <f>INDEX('2015'!$E$7:$EN$37,  MATCH(EW27, '2015'!$A$7:$A$37, 0), MATCH(EW15, '2015'!$E$4:$EN$4, 0) )</f>
        <v>19335</v>
      </c>
      <c r="FE27" s="48">
        <f>INDEX('2016'!$E$7:$EN$37,  MATCH(EW27, '2016'!$A$7:$A$37, 0), MATCH(EW15, '2016'!$E$4:$EN$4, 0) )</f>
        <v>19758</v>
      </c>
      <c r="FF27" s="48">
        <f>INDEX('2017'!$E$7:$EN$37,  MATCH(EW27, '2017'!$A$7:$A$37, 0), MATCH(EW15, '2017'!$E$4:$EN$4, 0) )</f>
        <v>20690</v>
      </c>
      <c r="FG27" s="48">
        <f>INDEX('2018'!$E$7:$EN$37,  MATCH(EW27, '2018'!$A$7:$A$37, 0), MATCH(EW15, '2018'!$E$4:$EN$4, 0) )</f>
        <v>21173</v>
      </c>
      <c r="FH27" s="48">
        <f>INDEX('2019'!$E$7:$EN$37,  MATCH(EW27, '2019'!$A$7:$A$37, 0), MATCH(EW15, '2019'!$E$4:$EN$4, 0) )</f>
        <v>22364</v>
      </c>
      <c r="FJ27" s="9">
        <f t="shared" si="100"/>
        <v>21</v>
      </c>
      <c r="FK27" s="21" t="str">
        <f t="shared" si="101"/>
        <v>Iron</v>
      </c>
      <c r="FL27" s="48">
        <f>INDEX('2010'!$E$7:$EN$37,  MATCH(FJ27, '2010'!$A$7:$A$37, 0), MATCH(FJ15, '2010'!$E$4:$EN$4, 0) )</f>
        <v>722</v>
      </c>
      <c r="FM27" s="48">
        <f>INDEX('2011'!$E$7:$EN$37,  MATCH(FJ27, '2011'!$A$7:$A$37, 0), MATCH(FJ15, '2011'!$E$4:$EN$4, 0) )</f>
        <v>709</v>
      </c>
      <c r="FN27" s="48">
        <f>INDEX('2012'!$E$7:$EN$37,  MATCH(FJ27, '2012'!$A$7:$A$37, 0), MATCH(FJ15, '2012'!$E$4:$EN$4, 0) )</f>
        <v>557</v>
      </c>
      <c r="FO27" s="48">
        <f>INDEX('2013'!$E$7:$EN$37,  MATCH(FJ27, '2013'!$A$7:$A$37, 0), MATCH(FJ15, '2013'!$E$4:$EN$4, 0) )</f>
        <v>480</v>
      </c>
      <c r="FP27" s="48">
        <f>INDEX('2014'!$E$7:$EN$37,  MATCH(FJ27, '2014'!$A$7:$A$37, 0), MATCH(FJ15, '2014'!$E$4:$EN$4, 0) )</f>
        <v>399</v>
      </c>
      <c r="FQ27" s="48">
        <f>INDEX('2015'!$E$7:$EN$37,  MATCH(FJ27, '2015'!$A$7:$A$37, 0), MATCH(FJ15, '2015'!$E$4:$EN$4, 0) )</f>
        <v>538</v>
      </c>
      <c r="FR27" s="48">
        <f>INDEX('2016'!$E$7:$EN$37,  MATCH(FJ27, '2016'!$A$7:$A$37, 0), MATCH(FJ15, '2016'!$E$4:$EN$4, 0) )</f>
        <v>607</v>
      </c>
      <c r="FS27" s="48">
        <f>INDEX('2017'!$E$7:$EN$37,  MATCH(FJ27, '2017'!$A$7:$A$37, 0), MATCH(FJ15, '2017'!$E$4:$EN$4, 0) )</f>
        <v>726</v>
      </c>
      <c r="FT27" s="48">
        <f>INDEX('2018'!$E$7:$EN$37,  MATCH(FJ27, '2018'!$A$7:$A$37, 0), MATCH(FJ15, '2018'!$E$4:$EN$4, 0) )</f>
        <v>1026</v>
      </c>
      <c r="FU27" s="48">
        <f>INDEX('2019'!$E$7:$EN$37,  MATCH(FJ27, '2019'!$A$7:$A$37, 0), MATCH(FJ15, '2019'!$E$4:$EN$4, 0) )</f>
        <v>1434</v>
      </c>
      <c r="FW27" s="9">
        <f t="shared" si="102"/>
        <v>21</v>
      </c>
      <c r="FX27" s="21" t="str">
        <f t="shared" si="103"/>
        <v>Iron</v>
      </c>
      <c r="FY27" s="48">
        <f>INDEX('2010'!$E$7:$EN$37,  MATCH(FW27, '2010'!$A$7:$A$37, 0), MATCH(FW15, '2010'!$E$4:$EN$4, 0) )</f>
        <v>74</v>
      </c>
      <c r="FZ27" s="48">
        <f>INDEX('2011'!$E$7:$EN$37,  MATCH(FW27, '2011'!$A$7:$A$37, 0), MATCH(FW15, '2011'!$E$4:$EN$4, 0) )</f>
        <v>89</v>
      </c>
      <c r="GA27" s="48">
        <f>INDEX('2012'!$E$7:$EN$37,  MATCH(FW27, '2012'!$A$7:$A$37, 0), MATCH(FW15, '2012'!$E$4:$EN$4, 0) )</f>
        <v>66</v>
      </c>
      <c r="GB27" s="48">
        <f>INDEX('2013'!$E$7:$EN$37,  MATCH(FW27, '2013'!$A$7:$A$37, 0), MATCH(FW15, '2013'!$E$4:$EN$4, 0) )</f>
        <v>49</v>
      </c>
      <c r="GC27" s="48">
        <f>INDEX('2014'!$E$7:$EN$37,  MATCH(FW27, '2014'!$A$7:$A$37, 0), MATCH(FW15, '2014'!$E$4:$EN$4, 0) )</f>
        <v>31</v>
      </c>
      <c r="GD27" s="48">
        <f>INDEX('2015'!$E$7:$EN$37,  MATCH(FW27, '2015'!$A$7:$A$37, 0), MATCH(FW15, '2015'!$E$4:$EN$4, 0) )</f>
        <v>113</v>
      </c>
      <c r="GE27" s="48">
        <f>INDEX('2016'!$E$7:$EN$37,  MATCH(FW27, '2016'!$A$7:$A$37, 0), MATCH(FW15, '2016'!$E$4:$EN$4, 0) )</f>
        <v>92</v>
      </c>
      <c r="GF27" s="48">
        <f>INDEX('2017'!$E$7:$EN$37,  MATCH(FW27, '2017'!$A$7:$A$37, 0), MATCH(FW15, '2017'!$E$4:$EN$4, 0) )</f>
        <v>108</v>
      </c>
      <c r="GG27" s="48">
        <f>INDEX('2018'!$E$7:$EN$37,  MATCH(FW27, '2018'!$A$7:$A$37, 0), MATCH(FW15, '2018'!$E$4:$EN$4, 0) )</f>
        <v>290</v>
      </c>
      <c r="GH27" s="48">
        <f>INDEX('2019'!$E$7:$EN$37,  MATCH(FW27, '2019'!$A$7:$A$37, 0), MATCH(FW15, '2019'!$E$4:$EN$4, 0) )</f>
        <v>375</v>
      </c>
      <c r="GJ27" s="9">
        <f t="shared" si="104"/>
        <v>21</v>
      </c>
      <c r="GK27" s="21" t="str">
        <f t="shared" si="105"/>
        <v>Iron</v>
      </c>
      <c r="GL27" s="48">
        <f>INDEX('2010'!$E$7:$EN$37,  MATCH(GJ27, '2010'!$A$7:$A$37, 0), MATCH(GJ15, '2010'!$E$4:$EN$4, 0) )</f>
        <v>448</v>
      </c>
      <c r="GM27" s="48">
        <f>INDEX('2011'!$E$7:$EN$37,  MATCH(GJ27, '2011'!$A$7:$A$37, 0), MATCH(GJ15, '2011'!$E$4:$EN$4, 0) )</f>
        <v>419</v>
      </c>
      <c r="GN27" s="48">
        <f>INDEX('2012'!$E$7:$EN$37,  MATCH(GJ27, '2012'!$A$7:$A$37, 0), MATCH(GJ15, '2012'!$E$4:$EN$4, 0) )</f>
        <v>302</v>
      </c>
      <c r="GO27" s="48">
        <f>INDEX('2013'!$E$7:$EN$37,  MATCH(GJ27, '2013'!$A$7:$A$37, 0), MATCH(GJ15, '2013'!$E$4:$EN$4, 0) )</f>
        <v>287</v>
      </c>
      <c r="GP27" s="48">
        <f>INDEX('2014'!$E$7:$EN$37,  MATCH(GJ27, '2014'!$A$7:$A$37, 0), MATCH(GJ15, '2014'!$E$4:$EN$4, 0) )</f>
        <v>235</v>
      </c>
      <c r="GQ27" s="48">
        <f>INDEX('2015'!$E$7:$EN$37,  MATCH(GJ27, '2015'!$A$7:$A$37, 0), MATCH(GJ15, '2015'!$E$4:$EN$4, 0) )</f>
        <v>243</v>
      </c>
      <c r="GR27" s="48">
        <f>INDEX('2016'!$E$7:$EN$37,  MATCH(GJ27, '2016'!$A$7:$A$37, 0), MATCH(GJ15, '2016'!$E$4:$EN$4, 0) )</f>
        <v>235</v>
      </c>
      <c r="GS27" s="48">
        <f>INDEX('2017'!$E$7:$EN$37,  MATCH(GJ27, '2017'!$A$7:$A$37, 0), MATCH(GJ15, '2017'!$E$4:$EN$4, 0) )</f>
        <v>231</v>
      </c>
      <c r="GT27" s="48">
        <f>INDEX('2018'!$E$7:$EN$37,  MATCH(GJ27, '2018'!$A$7:$A$37, 0), MATCH(GJ15, '2018'!$E$4:$EN$4, 0) )</f>
        <v>209</v>
      </c>
      <c r="GU27" s="48">
        <f>INDEX('2019'!$E$7:$EN$37,  MATCH(GJ27, '2019'!$A$7:$A$37, 0), MATCH(GJ15, '2019'!$E$4:$EN$4, 0) )</f>
        <v>331</v>
      </c>
    </row>
    <row r="28" spans="50:203" x14ac:dyDescent="0.25">
      <c r="CI28" s="15">
        <v>23</v>
      </c>
      <c r="CJ28" s="37" t="str">
        <f t="shared" si="79"/>
        <v>Juab</v>
      </c>
      <c r="CK28" s="44">
        <f t="shared" si="80"/>
        <v>5.2783803326102677E-2</v>
      </c>
      <c r="CL28" s="44">
        <f t="shared" si="81"/>
        <v>4.4870296798317368E-2</v>
      </c>
      <c r="CM28" s="44">
        <f t="shared" si="81"/>
        <v>4.0954832670255091E-2</v>
      </c>
      <c r="CN28" s="44">
        <f t="shared" si="81"/>
        <v>4.2553191489361701E-2</v>
      </c>
      <c r="CO28" s="44">
        <f t="shared" si="81"/>
        <v>4.4155844155844157E-2</v>
      </c>
      <c r="CP28" s="44">
        <f t="shared" si="81"/>
        <v>4.8929663608562692E-2</v>
      </c>
      <c r="CQ28" s="44">
        <f t="shared" si="81"/>
        <v>5.403475363008807E-2</v>
      </c>
      <c r="CR28" s="44">
        <f t="shared" si="81"/>
        <v>6.8748595821163785E-2</v>
      </c>
      <c r="CS28" s="44">
        <f t="shared" si="81"/>
        <v>5.7510006319780912E-2</v>
      </c>
      <c r="CT28" s="44">
        <f t="shared" si="81"/>
        <v>6.2274005624748892E-2</v>
      </c>
      <c r="CV28" s="9">
        <f t="shared" si="82"/>
        <v>230</v>
      </c>
      <c r="CW28" s="21" t="str">
        <f t="shared" si="92"/>
        <v>Juab</v>
      </c>
      <c r="CX28" s="40">
        <f t="shared" si="83"/>
        <v>3.5430224150397684E-2</v>
      </c>
      <c r="CY28" s="40">
        <f t="shared" si="84"/>
        <v>3.2250525823790607E-2</v>
      </c>
      <c r="CZ28" s="40">
        <f t="shared" si="84"/>
        <v>2.5977065293704658E-2</v>
      </c>
      <c r="DA28" s="40">
        <f t="shared" si="84"/>
        <v>2.6420388122515782E-2</v>
      </c>
      <c r="DB28" s="40">
        <f t="shared" si="84"/>
        <v>2.7390791027154665E-2</v>
      </c>
      <c r="DC28" s="40">
        <f t="shared" si="84"/>
        <v>2.9875323453305104E-2</v>
      </c>
      <c r="DD28" s="40">
        <f t="shared" si="84"/>
        <v>3.0945013092120922E-2</v>
      </c>
      <c r="DE28" s="40">
        <f t="shared" si="84"/>
        <v>4.425971691754662E-2</v>
      </c>
      <c r="DF28" s="40">
        <f t="shared" si="84"/>
        <v>3.8550663576995998E-2</v>
      </c>
      <c r="DG28" s="40">
        <f t="shared" si="84"/>
        <v>3.1337886701486538E-2</v>
      </c>
      <c r="DI28" s="9">
        <f t="shared" si="85"/>
        <v>230</v>
      </c>
      <c r="DJ28" s="21" t="str">
        <f t="shared" si="93"/>
        <v>Juab</v>
      </c>
      <c r="DK28" s="40">
        <f t="shared" si="86"/>
        <v>1.735357917570499E-2</v>
      </c>
      <c r="DL28" s="40">
        <f t="shared" si="87"/>
        <v>1.2619770974526759E-2</v>
      </c>
      <c r="DM28" s="40">
        <f t="shared" si="87"/>
        <v>1.4977767376550433E-2</v>
      </c>
      <c r="DN28" s="40">
        <f t="shared" si="87"/>
        <v>1.6132803366845919E-2</v>
      </c>
      <c r="DO28" s="40">
        <f t="shared" si="87"/>
        <v>1.6765053128689492E-2</v>
      </c>
      <c r="DP28" s="40">
        <f t="shared" si="87"/>
        <v>1.9054340155257588E-2</v>
      </c>
      <c r="DQ28" s="40">
        <f t="shared" si="87"/>
        <v>2.3089740537967151E-2</v>
      </c>
      <c r="DR28" s="40">
        <f t="shared" si="87"/>
        <v>2.4488878903617166E-2</v>
      </c>
      <c r="DS28" s="40">
        <f t="shared" si="87"/>
        <v>1.8959342742784917E-2</v>
      </c>
      <c r="DT28" s="40">
        <f t="shared" si="87"/>
        <v>3.0936118923262354E-2</v>
      </c>
      <c r="DV28" s="9">
        <f t="shared" si="88"/>
        <v>230</v>
      </c>
      <c r="DW28" s="21" t="str">
        <f t="shared" si="94"/>
        <v>Juab</v>
      </c>
      <c r="DX28" s="45">
        <f t="shared" si="95"/>
        <v>147</v>
      </c>
      <c r="DY28" s="45">
        <f t="shared" si="95"/>
        <v>138</v>
      </c>
      <c r="DZ28" s="45">
        <f t="shared" si="89"/>
        <v>111</v>
      </c>
      <c r="EA28" s="45">
        <f t="shared" si="89"/>
        <v>113</v>
      </c>
      <c r="EB28" s="45">
        <f t="shared" si="89"/>
        <v>116</v>
      </c>
      <c r="EC28" s="45">
        <f t="shared" si="89"/>
        <v>127</v>
      </c>
      <c r="ED28" s="45">
        <f t="shared" si="89"/>
        <v>130</v>
      </c>
      <c r="EE28" s="45">
        <f t="shared" si="89"/>
        <v>197</v>
      </c>
      <c r="EF28" s="45">
        <f t="shared" si="89"/>
        <v>183</v>
      </c>
      <c r="EG28" s="45">
        <f t="shared" si="89"/>
        <v>156</v>
      </c>
      <c r="EI28" s="9">
        <f t="shared" si="90"/>
        <v>230</v>
      </c>
      <c r="EJ28" s="21" t="str">
        <f t="shared" si="96"/>
        <v>Juab</v>
      </c>
      <c r="EK28" s="45">
        <f t="shared" si="97"/>
        <v>72</v>
      </c>
      <c r="EL28" s="45">
        <f t="shared" si="97"/>
        <v>54</v>
      </c>
      <c r="EM28" s="45">
        <f t="shared" si="91"/>
        <v>64</v>
      </c>
      <c r="EN28" s="45">
        <f t="shared" si="91"/>
        <v>69</v>
      </c>
      <c r="EO28" s="45">
        <f t="shared" si="91"/>
        <v>71</v>
      </c>
      <c r="EP28" s="45">
        <f t="shared" si="91"/>
        <v>81</v>
      </c>
      <c r="EQ28" s="45">
        <f t="shared" si="91"/>
        <v>97</v>
      </c>
      <c r="ER28" s="45">
        <f t="shared" si="91"/>
        <v>109</v>
      </c>
      <c r="ES28" s="45">
        <f t="shared" si="91"/>
        <v>90</v>
      </c>
      <c r="ET28" s="45">
        <f t="shared" si="91"/>
        <v>154</v>
      </c>
      <c r="EW28" s="9">
        <f t="shared" si="98"/>
        <v>23</v>
      </c>
      <c r="EX28" s="21" t="str">
        <f t="shared" si="99"/>
        <v>Juab</v>
      </c>
      <c r="EY28" s="48">
        <f>INDEX('2010'!$E$7:$EN$37,  MATCH(EW28, '2010'!$A$7:$A$37, 0), MATCH(EW15, '2010'!$E$4:$EN$4, 0) )</f>
        <v>4149</v>
      </c>
      <c r="EZ28" s="48">
        <f>INDEX('2011'!$E$7:$EN$37,  MATCH(EW28, '2011'!$A$7:$A$37, 0), MATCH(EW15, '2011'!$E$4:$EN$4, 0) )</f>
        <v>4279</v>
      </c>
      <c r="FA28" s="48">
        <f>INDEX('2012'!$E$7:$EN$37,  MATCH(EW28, '2012'!$A$7:$A$37, 0), MATCH(EW15, '2012'!$E$4:$EN$4, 0) )</f>
        <v>4273</v>
      </c>
      <c r="FB28" s="48">
        <f>INDEX('2013'!$E$7:$EN$37,  MATCH(EW28, '2013'!$A$7:$A$37, 0), MATCH(EW15, '2013'!$E$4:$EN$4, 0) )</f>
        <v>4277</v>
      </c>
      <c r="FC28" s="48">
        <f>INDEX('2014'!$E$7:$EN$37,  MATCH(EW28, '2014'!$A$7:$A$37, 0), MATCH(EW15, '2014'!$E$4:$EN$4, 0) )</f>
        <v>4235</v>
      </c>
      <c r="FD28" s="48">
        <f>INDEX('2015'!$E$7:$EN$37,  MATCH(EW28, '2015'!$A$7:$A$37, 0), MATCH(EW15, '2015'!$E$4:$EN$4, 0) )</f>
        <v>4251</v>
      </c>
      <c r="FE28" s="48">
        <f>INDEX('2016'!$E$7:$EN$37,  MATCH(EW28, '2016'!$A$7:$A$37, 0), MATCH(EW15, '2016'!$E$4:$EN$4, 0) )</f>
        <v>4201</v>
      </c>
      <c r="FF28" s="48">
        <f>INDEX('2017'!$E$7:$EN$37,  MATCH(EW28, '2017'!$A$7:$A$37, 0), MATCH(EW15, '2017'!$E$4:$EN$4, 0) )</f>
        <v>4451</v>
      </c>
      <c r="FG28" s="48">
        <f>INDEX('2018'!$E$7:$EN$37,  MATCH(EW28, '2018'!$A$7:$A$37, 0), MATCH(EW15, '2018'!$E$4:$EN$4, 0) )</f>
        <v>4747</v>
      </c>
      <c r="FH28" s="48">
        <f>INDEX('2019'!$E$7:$EN$37,  MATCH(EW28, '2019'!$A$7:$A$37, 0), MATCH(EW15, '2019'!$E$4:$EN$4, 0) )</f>
        <v>4978</v>
      </c>
      <c r="FJ28" s="9">
        <f t="shared" si="100"/>
        <v>23</v>
      </c>
      <c r="FK28" s="21" t="str">
        <f t="shared" si="101"/>
        <v>Juab</v>
      </c>
      <c r="FL28" s="48">
        <f>INDEX('2010'!$E$7:$EN$37,  MATCH(FJ28, '2010'!$A$7:$A$37, 0), MATCH(FJ15, '2010'!$E$4:$EN$4, 0) )</f>
        <v>219</v>
      </c>
      <c r="FM28" s="48">
        <f>INDEX('2011'!$E$7:$EN$37,  MATCH(FJ28, '2011'!$A$7:$A$37, 0), MATCH(FJ15, '2011'!$E$4:$EN$4, 0) )</f>
        <v>192</v>
      </c>
      <c r="FN28" s="48">
        <f>INDEX('2012'!$E$7:$EN$37,  MATCH(FJ28, '2012'!$A$7:$A$37, 0), MATCH(FJ15, '2012'!$E$4:$EN$4, 0) )</f>
        <v>175</v>
      </c>
      <c r="FO28" s="48">
        <f>INDEX('2013'!$E$7:$EN$37,  MATCH(FJ28, '2013'!$A$7:$A$37, 0), MATCH(FJ15, '2013'!$E$4:$EN$4, 0) )</f>
        <v>182</v>
      </c>
      <c r="FP28" s="48">
        <f>INDEX('2014'!$E$7:$EN$37,  MATCH(FJ28, '2014'!$A$7:$A$37, 0), MATCH(FJ15, '2014'!$E$4:$EN$4, 0) )</f>
        <v>187</v>
      </c>
      <c r="FQ28" s="48">
        <f>INDEX('2015'!$E$7:$EN$37,  MATCH(FJ28, '2015'!$A$7:$A$37, 0), MATCH(FJ15, '2015'!$E$4:$EN$4, 0) )</f>
        <v>208</v>
      </c>
      <c r="FR28" s="48">
        <f>INDEX('2016'!$E$7:$EN$37,  MATCH(FJ28, '2016'!$A$7:$A$37, 0), MATCH(FJ15, '2016'!$E$4:$EN$4, 0) )</f>
        <v>227</v>
      </c>
      <c r="FS28" s="48">
        <f>INDEX('2017'!$E$7:$EN$37,  MATCH(FJ28, '2017'!$A$7:$A$37, 0), MATCH(FJ15, '2017'!$E$4:$EN$4, 0) )</f>
        <v>306</v>
      </c>
      <c r="FT28" s="48">
        <f>INDEX('2018'!$E$7:$EN$37,  MATCH(FJ28, '2018'!$A$7:$A$37, 0), MATCH(FJ15, '2018'!$E$4:$EN$4, 0) )</f>
        <v>273</v>
      </c>
      <c r="FU28" s="48">
        <f>INDEX('2019'!$E$7:$EN$37,  MATCH(FJ28, '2019'!$A$7:$A$37, 0), MATCH(FJ15, '2019'!$E$4:$EN$4, 0) )</f>
        <v>310</v>
      </c>
      <c r="FW28" s="9">
        <f t="shared" si="102"/>
        <v>23</v>
      </c>
      <c r="FX28" s="21" t="str">
        <f t="shared" si="103"/>
        <v>Juab</v>
      </c>
      <c r="FY28" s="48">
        <f>INDEX('2010'!$E$7:$EN$37,  MATCH(FW28, '2010'!$A$7:$A$37, 0), MATCH(FW15, '2010'!$E$4:$EN$4, 0) )</f>
        <v>31</v>
      </c>
      <c r="FZ28" s="48">
        <f>INDEX('2011'!$E$7:$EN$37,  MATCH(FW28, '2011'!$A$7:$A$37, 0), MATCH(FW15, '2011'!$E$4:$EN$4, 0) )</f>
        <v>31</v>
      </c>
      <c r="GA28" s="48">
        <f>INDEX('2012'!$E$7:$EN$37,  MATCH(FW28, '2012'!$A$7:$A$37, 0), MATCH(FW15, '2012'!$E$4:$EN$4, 0) )</f>
        <v>35</v>
      </c>
      <c r="GB28" s="48">
        <f>INDEX('2013'!$E$7:$EN$37,  MATCH(FW28, '2013'!$A$7:$A$37, 0), MATCH(FW15, '2013'!$E$4:$EN$4, 0) )</f>
        <v>27</v>
      </c>
      <c r="GC28" s="48">
        <f>INDEX('2014'!$E$7:$EN$37,  MATCH(FW28, '2014'!$A$7:$A$37, 0), MATCH(FW15, '2014'!$E$4:$EN$4, 0) )</f>
        <v>26</v>
      </c>
      <c r="GD28" s="48">
        <f>INDEX('2015'!$E$7:$EN$37,  MATCH(FW28, '2015'!$A$7:$A$37, 0), MATCH(FW15, '2015'!$E$4:$EN$4, 0) )</f>
        <v>11</v>
      </c>
      <c r="GE28" s="48">
        <f>INDEX('2016'!$E$7:$EN$37,  MATCH(FW28, '2016'!$A$7:$A$37, 0), MATCH(FW15, '2016'!$E$4:$EN$4, 0) )</f>
        <v>11</v>
      </c>
      <c r="GF28" s="48">
        <f>INDEX('2017'!$E$7:$EN$37,  MATCH(FW28, '2017'!$A$7:$A$37, 0), MATCH(FW15, '2017'!$E$4:$EN$4, 0) )</f>
        <v>15</v>
      </c>
      <c r="GG28" s="48">
        <f>INDEX('2018'!$E$7:$EN$37,  MATCH(FW28, '2018'!$A$7:$A$37, 0), MATCH(FW15, '2018'!$E$4:$EN$4, 0) )</f>
        <v>14</v>
      </c>
      <c r="GH28" s="48">
        <f>INDEX('2019'!$E$7:$EN$37,  MATCH(FW28, '2019'!$A$7:$A$37, 0), MATCH(FW15, '2019'!$E$4:$EN$4, 0) )</f>
        <v>24</v>
      </c>
      <c r="GJ28" s="9">
        <f t="shared" si="104"/>
        <v>23</v>
      </c>
      <c r="GK28" s="21" t="str">
        <f t="shared" si="105"/>
        <v>Juab</v>
      </c>
      <c r="GL28" s="48">
        <f>INDEX('2010'!$E$7:$EN$37,  MATCH(GJ28, '2010'!$A$7:$A$37, 0), MATCH(GJ15, '2010'!$E$4:$EN$4, 0) )</f>
        <v>41</v>
      </c>
      <c r="GM28" s="48">
        <f>INDEX('2011'!$E$7:$EN$37,  MATCH(GJ28, '2011'!$A$7:$A$37, 0), MATCH(GJ15, '2011'!$E$4:$EN$4, 0) )</f>
        <v>23</v>
      </c>
      <c r="GN28" s="48">
        <f>INDEX('2012'!$E$7:$EN$37,  MATCH(GJ28, '2012'!$A$7:$A$37, 0), MATCH(GJ15, '2012'!$E$4:$EN$4, 0) )</f>
        <v>29</v>
      </c>
      <c r="GO28" s="48">
        <f>INDEX('2013'!$E$7:$EN$37,  MATCH(GJ28, '2013'!$A$7:$A$37, 0), MATCH(GJ15, '2013'!$E$4:$EN$4, 0) )</f>
        <v>42</v>
      </c>
      <c r="GP28" s="48">
        <f>INDEX('2014'!$E$7:$EN$37,  MATCH(GJ28, '2014'!$A$7:$A$37, 0), MATCH(GJ15, '2014'!$E$4:$EN$4, 0) )</f>
        <v>45</v>
      </c>
      <c r="GQ28" s="48">
        <f>INDEX('2015'!$E$7:$EN$37,  MATCH(GJ28, '2015'!$A$7:$A$37, 0), MATCH(GJ15, '2015'!$E$4:$EN$4, 0) )</f>
        <v>70</v>
      </c>
      <c r="GR28" s="48">
        <f>INDEX('2016'!$E$7:$EN$37,  MATCH(GJ28, '2016'!$A$7:$A$37, 0), MATCH(GJ15, '2016'!$E$4:$EN$4, 0) )</f>
        <v>86</v>
      </c>
      <c r="GS28" s="48">
        <f>INDEX('2017'!$E$7:$EN$37,  MATCH(GJ28, '2017'!$A$7:$A$37, 0), MATCH(GJ15, '2017'!$E$4:$EN$4, 0) )</f>
        <v>94</v>
      </c>
      <c r="GT28" s="48">
        <f>INDEX('2018'!$E$7:$EN$37,  MATCH(GJ28, '2018'!$A$7:$A$37, 0), MATCH(GJ15, '2018'!$E$4:$EN$4, 0) )</f>
        <v>76</v>
      </c>
      <c r="GU28" s="48">
        <f>INDEX('2019'!$E$7:$EN$37,  MATCH(GJ28, '2019'!$A$7:$A$37, 0), MATCH(GJ15, '2019'!$E$4:$EN$4, 0) )</f>
        <v>130</v>
      </c>
    </row>
    <row r="29" spans="50:203" x14ac:dyDescent="0.25">
      <c r="AX29" s="15">
        <v>49</v>
      </c>
      <c r="AY29" s="37" t="str">
        <f>VLOOKUP(AX29, lu_CoName, 2, FALSE)</f>
        <v>Utah</v>
      </c>
      <c r="AZ29" s="10"/>
      <c r="BA29" s="10"/>
      <c r="BB29" s="10"/>
      <c r="BC29" s="10"/>
      <c r="BD29" s="10"/>
      <c r="BE29" s="10"/>
      <c r="BF29" s="10"/>
      <c r="BG29" s="10"/>
      <c r="BH29" s="10"/>
      <c r="BI29" s="10"/>
      <c r="CI29" s="15">
        <v>25</v>
      </c>
      <c r="CJ29" s="37" t="str">
        <f t="shared" si="79"/>
        <v>Kane</v>
      </c>
      <c r="CK29" s="44">
        <f t="shared" si="80"/>
        <v>5.8641975308641972E-2</v>
      </c>
      <c r="CL29" s="44">
        <f t="shared" si="81"/>
        <v>7.0689145223306715E-2</v>
      </c>
      <c r="CM29" s="44">
        <f t="shared" si="81"/>
        <v>5.9788980070339975E-2</v>
      </c>
      <c r="CN29" s="44">
        <f t="shared" si="81"/>
        <v>7.1771867991028526E-2</v>
      </c>
      <c r="CO29" s="44">
        <f t="shared" si="81"/>
        <v>7.3969153289266606E-2</v>
      </c>
      <c r="CP29" s="44">
        <f t="shared" si="81"/>
        <v>6.7973442933923489E-2</v>
      </c>
      <c r="CQ29" s="44">
        <f t="shared" si="81"/>
        <v>6.8617886178861789E-2</v>
      </c>
      <c r="CR29" s="44">
        <f t="shared" si="81"/>
        <v>5.3787396562698916E-2</v>
      </c>
      <c r="CS29" s="44">
        <f t="shared" si="81"/>
        <v>3.9739211425023284E-2</v>
      </c>
      <c r="CT29" s="44">
        <f t="shared" si="81"/>
        <v>5.280933374270802E-2</v>
      </c>
      <c r="CV29" s="9">
        <f t="shared" si="82"/>
        <v>250</v>
      </c>
      <c r="CW29" s="21" t="str">
        <f t="shared" si="92"/>
        <v>Kane</v>
      </c>
      <c r="CX29" s="40">
        <f t="shared" si="83"/>
        <v>1.1419753086419753E-2</v>
      </c>
      <c r="CY29" s="40">
        <f t="shared" si="84"/>
        <v>2.3070097604259095E-2</v>
      </c>
      <c r="CZ29" s="40">
        <f t="shared" si="84"/>
        <v>2.2274325908558032E-2</v>
      </c>
      <c r="DA29" s="40">
        <f t="shared" si="84"/>
        <v>2.9798141621275233E-2</v>
      </c>
      <c r="DB29" s="40">
        <f t="shared" si="84"/>
        <v>4.1863393138180674E-2</v>
      </c>
      <c r="DC29" s="40">
        <f t="shared" si="84"/>
        <v>4.1416376857413846E-2</v>
      </c>
      <c r="DD29" s="40">
        <f t="shared" si="84"/>
        <v>4.2276422764227641E-2</v>
      </c>
      <c r="DE29" s="40">
        <f t="shared" si="84"/>
        <v>4.010184595798854E-2</v>
      </c>
      <c r="DF29" s="40">
        <f t="shared" si="84"/>
        <v>2.5768394908413535E-2</v>
      </c>
      <c r="DG29" s="40">
        <f t="shared" si="84"/>
        <v>3.5922628185446732E-2</v>
      </c>
      <c r="DI29" s="9">
        <f t="shared" si="85"/>
        <v>250</v>
      </c>
      <c r="DJ29" s="21" t="str">
        <f t="shared" si="93"/>
        <v>Kane</v>
      </c>
      <c r="DK29" s="40">
        <f t="shared" si="86"/>
        <v>4.7222222222222221E-2</v>
      </c>
      <c r="DL29" s="40">
        <f t="shared" si="87"/>
        <v>4.7619047619047616E-2</v>
      </c>
      <c r="DM29" s="40">
        <f t="shared" si="87"/>
        <v>3.7514654161781943E-2</v>
      </c>
      <c r="DN29" s="40">
        <f t="shared" si="87"/>
        <v>4.1973726369753286E-2</v>
      </c>
      <c r="DO29" s="40">
        <f t="shared" si="87"/>
        <v>3.2105760151085933E-2</v>
      </c>
      <c r="DP29" s="40">
        <f t="shared" si="87"/>
        <v>2.6557066076509643E-2</v>
      </c>
      <c r="DQ29" s="40">
        <f t="shared" si="87"/>
        <v>2.6341463414634145E-2</v>
      </c>
      <c r="DR29" s="40">
        <f t="shared" si="87"/>
        <v>1.3685550604710375E-2</v>
      </c>
      <c r="DS29" s="40">
        <f t="shared" si="87"/>
        <v>1.3970816516609749E-2</v>
      </c>
      <c r="DT29" s="40">
        <f t="shared" si="87"/>
        <v>1.6886705557261284E-2</v>
      </c>
      <c r="DV29" s="9">
        <f t="shared" si="88"/>
        <v>250</v>
      </c>
      <c r="DW29" s="21" t="str">
        <f t="shared" si="94"/>
        <v>Kane</v>
      </c>
      <c r="DX29" s="45">
        <f t="shared" si="95"/>
        <v>37</v>
      </c>
      <c r="DY29" s="45">
        <f t="shared" si="95"/>
        <v>78</v>
      </c>
      <c r="DZ29" s="45">
        <f t="shared" si="89"/>
        <v>76</v>
      </c>
      <c r="EA29" s="45">
        <f t="shared" si="89"/>
        <v>93</v>
      </c>
      <c r="EB29" s="45">
        <f t="shared" si="89"/>
        <v>133</v>
      </c>
      <c r="EC29" s="45">
        <f t="shared" si="89"/>
        <v>131</v>
      </c>
      <c r="ED29" s="45">
        <f t="shared" si="89"/>
        <v>130</v>
      </c>
      <c r="EE29" s="45">
        <f t="shared" si="89"/>
        <v>126</v>
      </c>
      <c r="EF29" s="45">
        <f t="shared" si="89"/>
        <v>83</v>
      </c>
      <c r="EG29" s="45">
        <f t="shared" si="89"/>
        <v>117</v>
      </c>
      <c r="EI29" s="9">
        <f t="shared" si="90"/>
        <v>250</v>
      </c>
      <c r="EJ29" s="21" t="str">
        <f t="shared" si="96"/>
        <v>Kane</v>
      </c>
      <c r="EK29" s="45">
        <f t="shared" si="97"/>
        <v>153</v>
      </c>
      <c r="EL29" s="45">
        <f t="shared" si="97"/>
        <v>161</v>
      </c>
      <c r="EM29" s="45">
        <f t="shared" si="91"/>
        <v>128</v>
      </c>
      <c r="EN29" s="45">
        <f t="shared" si="91"/>
        <v>131</v>
      </c>
      <c r="EO29" s="45">
        <f t="shared" si="91"/>
        <v>102</v>
      </c>
      <c r="EP29" s="45">
        <f t="shared" si="91"/>
        <v>84</v>
      </c>
      <c r="EQ29" s="45">
        <f t="shared" si="91"/>
        <v>81</v>
      </c>
      <c r="ER29" s="45">
        <f t="shared" si="91"/>
        <v>43</v>
      </c>
      <c r="ES29" s="45">
        <f t="shared" si="91"/>
        <v>45</v>
      </c>
      <c r="ET29" s="45">
        <f t="shared" si="91"/>
        <v>55</v>
      </c>
      <c r="EW29" s="9">
        <f t="shared" si="98"/>
        <v>25</v>
      </c>
      <c r="EX29" s="21" t="str">
        <f t="shared" si="99"/>
        <v>Kane</v>
      </c>
      <c r="EY29" s="48">
        <f>INDEX('2010'!$E$7:$EN$37,  MATCH(EW29, '2010'!$A$7:$A$37, 0), MATCH(EW15, '2010'!$E$4:$EN$4, 0) )</f>
        <v>3240</v>
      </c>
      <c r="EZ29" s="48">
        <f>INDEX('2011'!$E$7:$EN$37,  MATCH(EW29, '2011'!$A$7:$A$37, 0), MATCH(EW15, '2011'!$E$4:$EN$4, 0) )</f>
        <v>3381</v>
      </c>
      <c r="FA29" s="48">
        <f>INDEX('2012'!$E$7:$EN$37,  MATCH(EW29, '2012'!$A$7:$A$37, 0), MATCH(EW15, '2012'!$E$4:$EN$4, 0) )</f>
        <v>3412</v>
      </c>
      <c r="FB29" s="48">
        <f>INDEX('2013'!$E$7:$EN$37,  MATCH(EW29, '2013'!$A$7:$A$37, 0), MATCH(EW15, '2013'!$E$4:$EN$4, 0) )</f>
        <v>3121</v>
      </c>
      <c r="FC29" s="48">
        <f>INDEX('2014'!$E$7:$EN$37,  MATCH(EW29, '2014'!$A$7:$A$37, 0), MATCH(EW15, '2014'!$E$4:$EN$4, 0) )</f>
        <v>3177</v>
      </c>
      <c r="FD29" s="48">
        <f>INDEX('2015'!$E$7:$EN$37,  MATCH(EW29, '2015'!$A$7:$A$37, 0), MATCH(EW15, '2015'!$E$4:$EN$4, 0) )</f>
        <v>3163</v>
      </c>
      <c r="FE29" s="48">
        <f>INDEX('2016'!$E$7:$EN$37,  MATCH(EW29, '2016'!$A$7:$A$37, 0), MATCH(EW15, '2016'!$E$4:$EN$4, 0) )</f>
        <v>3075</v>
      </c>
      <c r="FF29" s="48">
        <f>INDEX('2017'!$E$7:$EN$37,  MATCH(EW29, '2017'!$A$7:$A$37, 0), MATCH(EW15, '2017'!$E$4:$EN$4, 0) )</f>
        <v>3142</v>
      </c>
      <c r="FG29" s="48">
        <f>INDEX('2018'!$E$7:$EN$37,  MATCH(EW29, '2018'!$A$7:$A$37, 0), MATCH(EW15, '2018'!$E$4:$EN$4, 0) )</f>
        <v>3221</v>
      </c>
      <c r="FH29" s="48">
        <f>INDEX('2019'!$E$7:$EN$37,  MATCH(EW29, '2019'!$A$7:$A$37, 0), MATCH(EW15, '2019'!$E$4:$EN$4, 0) )</f>
        <v>3257</v>
      </c>
      <c r="FJ29" s="9">
        <f t="shared" si="100"/>
        <v>25</v>
      </c>
      <c r="FK29" s="21" t="str">
        <f t="shared" si="101"/>
        <v>Kane</v>
      </c>
      <c r="FL29" s="48">
        <f>INDEX('2010'!$E$7:$EN$37,  MATCH(FJ29, '2010'!$A$7:$A$37, 0), MATCH(FJ15, '2010'!$E$4:$EN$4, 0) )</f>
        <v>190</v>
      </c>
      <c r="FM29" s="48">
        <f>INDEX('2011'!$E$7:$EN$37,  MATCH(FJ29, '2011'!$A$7:$A$37, 0), MATCH(FJ15, '2011'!$E$4:$EN$4, 0) )</f>
        <v>239</v>
      </c>
      <c r="FN29" s="48">
        <f>INDEX('2012'!$E$7:$EN$37,  MATCH(FJ29, '2012'!$A$7:$A$37, 0), MATCH(FJ15, '2012'!$E$4:$EN$4, 0) )</f>
        <v>204</v>
      </c>
      <c r="FO29" s="48">
        <f>INDEX('2013'!$E$7:$EN$37,  MATCH(FJ29, '2013'!$A$7:$A$37, 0), MATCH(FJ15, '2013'!$E$4:$EN$4, 0) )</f>
        <v>224</v>
      </c>
      <c r="FP29" s="48">
        <f>INDEX('2014'!$E$7:$EN$37,  MATCH(FJ29, '2014'!$A$7:$A$37, 0), MATCH(FJ15, '2014'!$E$4:$EN$4, 0) )</f>
        <v>235</v>
      </c>
      <c r="FQ29" s="48">
        <f>INDEX('2015'!$E$7:$EN$37,  MATCH(FJ29, '2015'!$A$7:$A$37, 0), MATCH(FJ15, '2015'!$E$4:$EN$4, 0) )</f>
        <v>215</v>
      </c>
      <c r="FR29" s="48">
        <f>INDEX('2016'!$E$7:$EN$37,  MATCH(FJ29, '2016'!$A$7:$A$37, 0), MATCH(FJ15, '2016'!$E$4:$EN$4, 0) )</f>
        <v>211</v>
      </c>
      <c r="FS29" s="48">
        <f>INDEX('2017'!$E$7:$EN$37,  MATCH(FJ29, '2017'!$A$7:$A$37, 0), MATCH(FJ15, '2017'!$E$4:$EN$4, 0) )</f>
        <v>169</v>
      </c>
      <c r="FT29" s="48">
        <f>INDEX('2018'!$E$7:$EN$37,  MATCH(FJ29, '2018'!$A$7:$A$37, 0), MATCH(FJ15, '2018'!$E$4:$EN$4, 0) )</f>
        <v>128</v>
      </c>
      <c r="FU29" s="48">
        <f>INDEX('2019'!$E$7:$EN$37,  MATCH(FJ29, '2019'!$A$7:$A$37, 0), MATCH(FJ15, '2019'!$E$4:$EN$4, 0) )</f>
        <v>172</v>
      </c>
      <c r="FW29" s="9">
        <f t="shared" si="102"/>
        <v>25</v>
      </c>
      <c r="FX29" s="21" t="str">
        <f t="shared" si="103"/>
        <v>Kane</v>
      </c>
      <c r="FY29" s="48">
        <f>INDEX('2010'!$E$7:$EN$37,  MATCH(FW29, '2010'!$A$7:$A$37, 0), MATCH(FW15, '2010'!$E$4:$EN$4, 0) )</f>
        <v>29</v>
      </c>
      <c r="FZ29" s="48">
        <f>INDEX('2011'!$E$7:$EN$37,  MATCH(FW29, '2011'!$A$7:$A$37, 0), MATCH(FW15, '2011'!$E$4:$EN$4, 0) )</f>
        <v>26</v>
      </c>
      <c r="GA29" s="48">
        <f>INDEX('2012'!$E$7:$EN$37,  MATCH(FW29, '2012'!$A$7:$A$37, 0), MATCH(FW15, '2012'!$E$4:$EN$4, 0) )</f>
        <v>31</v>
      </c>
      <c r="GB29" s="48">
        <f>INDEX('2013'!$E$7:$EN$37,  MATCH(FW29, '2013'!$A$7:$A$37, 0), MATCH(FW15, '2013'!$E$4:$EN$4, 0) )</f>
        <v>43</v>
      </c>
      <c r="GC29" s="48">
        <f>INDEX('2014'!$E$7:$EN$37,  MATCH(FW29, '2014'!$A$7:$A$37, 0), MATCH(FW15, '2014'!$E$4:$EN$4, 0) )</f>
        <v>57</v>
      </c>
      <c r="GD29" s="48">
        <f>INDEX('2015'!$E$7:$EN$37,  MATCH(FW29, '2015'!$A$7:$A$37, 0), MATCH(FW15, '2015'!$E$4:$EN$4, 0) )</f>
        <v>58</v>
      </c>
      <c r="GE29" s="48">
        <f>INDEX('2016'!$E$7:$EN$37,  MATCH(FW29, '2016'!$A$7:$A$37, 0), MATCH(FW15, '2016'!$E$4:$EN$4, 0) )</f>
        <v>51</v>
      </c>
      <c r="GF29" s="48">
        <f>INDEX('2017'!$E$7:$EN$37,  MATCH(FW29, '2017'!$A$7:$A$37, 0), MATCH(FW15, '2017'!$E$4:$EN$4, 0) )</f>
        <v>16</v>
      </c>
      <c r="GG29" s="48">
        <f>INDEX('2018'!$E$7:$EN$37,  MATCH(FW29, '2018'!$A$7:$A$37, 0), MATCH(FW15, '2018'!$E$4:$EN$4, 0) )</f>
        <v>32</v>
      </c>
      <c r="GH29" s="48">
        <f>INDEX('2019'!$E$7:$EN$37,  MATCH(FW29, '2019'!$A$7:$A$37, 0), MATCH(FW15, '2019'!$E$4:$EN$4, 0) )</f>
        <v>39</v>
      </c>
      <c r="GJ29" s="9">
        <f t="shared" si="104"/>
        <v>25</v>
      </c>
      <c r="GK29" s="21" t="str">
        <f t="shared" si="105"/>
        <v>Kane</v>
      </c>
      <c r="GL29" s="48">
        <f>INDEX('2010'!$E$7:$EN$37,  MATCH(GJ29, '2010'!$A$7:$A$37, 0), MATCH(GJ15, '2010'!$E$4:$EN$4, 0) )</f>
        <v>124</v>
      </c>
      <c r="GM29" s="48">
        <f>INDEX('2011'!$E$7:$EN$37,  MATCH(GJ29, '2011'!$A$7:$A$37, 0), MATCH(GJ15, '2011'!$E$4:$EN$4, 0) )</f>
        <v>135</v>
      </c>
      <c r="GN29" s="48">
        <f>INDEX('2012'!$E$7:$EN$37,  MATCH(GJ29, '2012'!$A$7:$A$37, 0), MATCH(GJ15, '2012'!$E$4:$EN$4, 0) )</f>
        <v>97</v>
      </c>
      <c r="GO29" s="48">
        <f>INDEX('2013'!$E$7:$EN$37,  MATCH(GJ29, '2013'!$A$7:$A$37, 0), MATCH(GJ15, '2013'!$E$4:$EN$4, 0) )</f>
        <v>88</v>
      </c>
      <c r="GP29" s="48">
        <f>INDEX('2014'!$E$7:$EN$37,  MATCH(GJ29, '2014'!$A$7:$A$37, 0), MATCH(GJ15, '2014'!$E$4:$EN$4, 0) )</f>
        <v>45</v>
      </c>
      <c r="GQ29" s="48">
        <f>INDEX('2015'!$E$7:$EN$37,  MATCH(GJ29, '2015'!$A$7:$A$37, 0), MATCH(GJ15, '2015'!$E$4:$EN$4, 0) )</f>
        <v>26</v>
      </c>
      <c r="GR29" s="48">
        <f>INDEX('2016'!$E$7:$EN$37,  MATCH(GJ29, '2016'!$A$7:$A$37, 0), MATCH(GJ15, '2016'!$E$4:$EN$4, 0) )</f>
        <v>30</v>
      </c>
      <c r="GS29" s="48">
        <f>INDEX('2017'!$E$7:$EN$37,  MATCH(GJ29, '2017'!$A$7:$A$37, 0), MATCH(GJ15, '2017'!$E$4:$EN$4, 0) )</f>
        <v>27</v>
      </c>
      <c r="GT29" s="48">
        <f>INDEX('2018'!$E$7:$EN$37,  MATCH(GJ29, '2018'!$A$7:$A$37, 0), MATCH(GJ15, '2018'!$E$4:$EN$4, 0) )</f>
        <v>13</v>
      </c>
      <c r="GU29" s="48">
        <f>INDEX('2019'!$E$7:$EN$37,  MATCH(GJ29, '2019'!$A$7:$A$37, 0), MATCH(GJ15, '2019'!$E$4:$EN$4, 0) )</f>
        <v>16</v>
      </c>
    </row>
    <row r="30" spans="50:203" x14ac:dyDescent="0.25">
      <c r="AX30" s="10"/>
      <c r="AY30" s="38"/>
      <c r="AZ30" s="2">
        <v>2010</v>
      </c>
      <c r="BA30" s="2">
        <v>2011</v>
      </c>
      <c r="BB30" s="2">
        <v>2012</v>
      </c>
      <c r="BC30" s="2">
        <v>2013</v>
      </c>
      <c r="BD30" s="2">
        <v>2014</v>
      </c>
      <c r="BE30" s="2">
        <v>2015</v>
      </c>
      <c r="BF30" s="2">
        <v>2016</v>
      </c>
      <c r="BG30" s="2">
        <v>2017</v>
      </c>
      <c r="BH30" s="2">
        <v>2018</v>
      </c>
      <c r="BI30" s="2">
        <v>2019</v>
      </c>
      <c r="CI30" s="15">
        <v>27</v>
      </c>
      <c r="CJ30" s="37" t="str">
        <f t="shared" si="79"/>
        <v>Millard</v>
      </c>
      <c r="CK30" s="44">
        <f t="shared" si="80"/>
        <v>3.9679276315789477E-2</v>
      </c>
      <c r="CL30" s="44">
        <f t="shared" si="81"/>
        <v>3.6363636363636362E-2</v>
      </c>
      <c r="CM30" s="44">
        <f t="shared" si="81"/>
        <v>3.4599323921256711E-2</v>
      </c>
      <c r="CN30" s="44">
        <f t="shared" si="81"/>
        <v>3.8281250000000003E-2</v>
      </c>
      <c r="CO30" s="44">
        <f t="shared" si="81"/>
        <v>4.1794478527607357E-2</v>
      </c>
      <c r="CP30" s="44">
        <f t="shared" si="81"/>
        <v>4.0612013600302227E-2</v>
      </c>
      <c r="CQ30" s="44">
        <f t="shared" si="81"/>
        <v>4.4436076068537E-2</v>
      </c>
      <c r="CR30" s="44">
        <f t="shared" si="81"/>
        <v>5.5098991408292872E-2</v>
      </c>
      <c r="CS30" s="44">
        <f t="shared" si="81"/>
        <v>6.0977876928797171E-2</v>
      </c>
      <c r="CT30" s="44">
        <f t="shared" si="81"/>
        <v>5.406922357343312E-2</v>
      </c>
      <c r="CV30" s="9">
        <f t="shared" si="82"/>
        <v>270</v>
      </c>
      <c r="CW30" s="21" t="str">
        <f t="shared" si="92"/>
        <v>Millard</v>
      </c>
      <c r="CX30" s="40">
        <f t="shared" si="83"/>
        <v>1.3569078947368422E-2</v>
      </c>
      <c r="CY30" s="40">
        <f t="shared" si="84"/>
        <v>6.8686868686868687E-3</v>
      </c>
      <c r="CZ30" s="40">
        <f t="shared" si="84"/>
        <v>7.5561741896997417E-3</v>
      </c>
      <c r="DA30" s="40">
        <f t="shared" si="84"/>
        <v>8.5937500000000007E-3</v>
      </c>
      <c r="DB30" s="40">
        <f t="shared" si="84"/>
        <v>7.6687116564417178E-3</v>
      </c>
      <c r="DC30" s="40">
        <f t="shared" si="84"/>
        <v>9.066868152625614E-3</v>
      </c>
      <c r="DD30" s="40">
        <f t="shared" si="84"/>
        <v>1.2991903596309546E-2</v>
      </c>
      <c r="DE30" s="40">
        <f t="shared" si="84"/>
        <v>8.965259618976467E-3</v>
      </c>
      <c r="DF30" s="40">
        <f t="shared" si="84"/>
        <v>1.5616285554935862E-2</v>
      </c>
      <c r="DG30" s="40">
        <f t="shared" si="84"/>
        <v>1.4031805425631431E-2</v>
      </c>
      <c r="DI30" s="9">
        <f t="shared" si="85"/>
        <v>270</v>
      </c>
      <c r="DJ30" s="21" t="str">
        <f t="shared" si="93"/>
        <v>Millard</v>
      </c>
      <c r="DK30" s="40">
        <f t="shared" si="86"/>
        <v>2.6110197368421052E-2</v>
      </c>
      <c r="DL30" s="40">
        <f t="shared" si="87"/>
        <v>2.9494949494949494E-2</v>
      </c>
      <c r="DM30" s="40">
        <f t="shared" si="87"/>
        <v>2.704314973155697E-2</v>
      </c>
      <c r="DN30" s="40">
        <f t="shared" si="87"/>
        <v>2.9687499999999999E-2</v>
      </c>
      <c r="DO30" s="40">
        <f t="shared" si="87"/>
        <v>3.4125766871165641E-2</v>
      </c>
      <c r="DP30" s="40">
        <f t="shared" si="87"/>
        <v>3.1545145447676615E-2</v>
      </c>
      <c r="DQ30" s="40">
        <f t="shared" si="87"/>
        <v>3.1444172472227451E-2</v>
      </c>
      <c r="DR30" s="40">
        <f t="shared" si="87"/>
        <v>4.6133731789316401E-2</v>
      </c>
      <c r="DS30" s="40">
        <f t="shared" si="87"/>
        <v>4.536159137386131E-2</v>
      </c>
      <c r="DT30" s="40">
        <f t="shared" si="87"/>
        <v>4.0037418147801686E-2</v>
      </c>
      <c r="DV30" s="9">
        <f t="shared" si="88"/>
        <v>270</v>
      </c>
      <c r="DW30" s="21" t="str">
        <f t="shared" si="94"/>
        <v>Millard</v>
      </c>
      <c r="DX30" s="45">
        <f t="shared" si="95"/>
        <v>66</v>
      </c>
      <c r="DY30" s="45">
        <f t="shared" si="95"/>
        <v>34</v>
      </c>
      <c r="DZ30" s="45">
        <f t="shared" si="89"/>
        <v>38</v>
      </c>
      <c r="EA30" s="45">
        <f t="shared" si="89"/>
        <v>44</v>
      </c>
      <c r="EB30" s="45">
        <f t="shared" si="89"/>
        <v>40</v>
      </c>
      <c r="EC30" s="45">
        <f t="shared" si="89"/>
        <v>48</v>
      </c>
      <c r="ED30" s="45">
        <f t="shared" si="89"/>
        <v>69</v>
      </c>
      <c r="EE30" s="45">
        <f t="shared" si="89"/>
        <v>48</v>
      </c>
      <c r="EF30" s="45">
        <f t="shared" si="89"/>
        <v>84</v>
      </c>
      <c r="EG30" s="45">
        <f t="shared" si="89"/>
        <v>75</v>
      </c>
      <c r="EI30" s="9">
        <f t="shared" si="90"/>
        <v>270</v>
      </c>
      <c r="EJ30" s="21" t="str">
        <f t="shared" si="96"/>
        <v>Millard</v>
      </c>
      <c r="EK30" s="45">
        <f t="shared" si="97"/>
        <v>127</v>
      </c>
      <c r="EL30" s="45">
        <f t="shared" si="97"/>
        <v>146</v>
      </c>
      <c r="EM30" s="45">
        <f t="shared" si="91"/>
        <v>136</v>
      </c>
      <c r="EN30" s="45">
        <f t="shared" si="91"/>
        <v>152</v>
      </c>
      <c r="EO30" s="45">
        <f t="shared" si="91"/>
        <v>178</v>
      </c>
      <c r="EP30" s="45">
        <f t="shared" si="91"/>
        <v>167</v>
      </c>
      <c r="EQ30" s="45">
        <f t="shared" si="91"/>
        <v>167</v>
      </c>
      <c r="ER30" s="45">
        <f t="shared" si="91"/>
        <v>247</v>
      </c>
      <c r="ES30" s="45">
        <f t="shared" si="91"/>
        <v>244</v>
      </c>
      <c r="ET30" s="45">
        <f t="shared" si="91"/>
        <v>214</v>
      </c>
      <c r="EW30" s="9">
        <f t="shared" si="98"/>
        <v>27</v>
      </c>
      <c r="EX30" s="21" t="str">
        <f t="shared" si="99"/>
        <v>Millard</v>
      </c>
      <c r="EY30" s="48">
        <f>INDEX('2010'!$E$7:$EN$37,  MATCH(EW30, '2010'!$A$7:$A$37, 0), MATCH(EW15, '2010'!$E$4:$EN$4, 0) )</f>
        <v>4864</v>
      </c>
      <c r="EZ30" s="48">
        <f>INDEX('2011'!$E$7:$EN$37,  MATCH(EW30, '2011'!$A$7:$A$37, 0), MATCH(EW15, '2011'!$E$4:$EN$4, 0) )</f>
        <v>4950</v>
      </c>
      <c r="FA30" s="48">
        <f>INDEX('2012'!$E$7:$EN$37,  MATCH(EW30, '2012'!$A$7:$A$37, 0), MATCH(EW15, '2012'!$E$4:$EN$4, 0) )</f>
        <v>5029</v>
      </c>
      <c r="FB30" s="48">
        <f>INDEX('2013'!$E$7:$EN$37,  MATCH(EW30, '2013'!$A$7:$A$37, 0), MATCH(EW15, '2013'!$E$4:$EN$4, 0) )</f>
        <v>5120</v>
      </c>
      <c r="FC30" s="48">
        <f>INDEX('2014'!$E$7:$EN$37,  MATCH(EW30, '2014'!$A$7:$A$37, 0), MATCH(EW15, '2014'!$E$4:$EN$4, 0) )</f>
        <v>5216</v>
      </c>
      <c r="FD30" s="48">
        <f>INDEX('2015'!$E$7:$EN$37,  MATCH(EW30, '2015'!$A$7:$A$37, 0), MATCH(EW15, '2015'!$E$4:$EN$4, 0) )</f>
        <v>5294</v>
      </c>
      <c r="FE30" s="48">
        <f>INDEX('2016'!$E$7:$EN$37,  MATCH(EW30, '2016'!$A$7:$A$37, 0), MATCH(EW15, '2016'!$E$4:$EN$4, 0) )</f>
        <v>5311</v>
      </c>
      <c r="FF30" s="48">
        <f>INDEX('2017'!$E$7:$EN$37,  MATCH(EW30, '2017'!$A$7:$A$37, 0), MATCH(EW15, '2017'!$E$4:$EN$4, 0) )</f>
        <v>5354</v>
      </c>
      <c r="FG30" s="48">
        <f>INDEX('2018'!$E$7:$EN$37,  MATCH(EW30, '2018'!$A$7:$A$37, 0), MATCH(EW15, '2018'!$E$4:$EN$4, 0) )</f>
        <v>5379</v>
      </c>
      <c r="FH30" s="48">
        <f>INDEX('2019'!$E$7:$EN$37,  MATCH(EW30, '2019'!$A$7:$A$37, 0), MATCH(EW15, '2019'!$E$4:$EN$4, 0) )</f>
        <v>5345</v>
      </c>
      <c r="FJ30" s="9">
        <f t="shared" si="100"/>
        <v>27</v>
      </c>
      <c r="FK30" s="21" t="str">
        <f t="shared" si="101"/>
        <v>Millard</v>
      </c>
      <c r="FL30" s="48">
        <f>INDEX('2010'!$E$7:$EN$37,  MATCH(FJ30, '2010'!$A$7:$A$37, 0), MATCH(FJ15, '2010'!$E$4:$EN$4, 0) )</f>
        <v>193</v>
      </c>
      <c r="FM30" s="48">
        <f>INDEX('2011'!$E$7:$EN$37,  MATCH(FJ30, '2011'!$A$7:$A$37, 0), MATCH(FJ15, '2011'!$E$4:$EN$4, 0) )</f>
        <v>180</v>
      </c>
      <c r="FN30" s="48">
        <f>INDEX('2012'!$E$7:$EN$37,  MATCH(FJ30, '2012'!$A$7:$A$37, 0), MATCH(FJ15, '2012'!$E$4:$EN$4, 0) )</f>
        <v>174</v>
      </c>
      <c r="FO30" s="48">
        <f>INDEX('2013'!$E$7:$EN$37,  MATCH(FJ30, '2013'!$A$7:$A$37, 0), MATCH(FJ15, '2013'!$E$4:$EN$4, 0) )</f>
        <v>196</v>
      </c>
      <c r="FP30" s="48">
        <f>INDEX('2014'!$E$7:$EN$37,  MATCH(FJ30, '2014'!$A$7:$A$37, 0), MATCH(FJ15, '2014'!$E$4:$EN$4, 0) )</f>
        <v>218</v>
      </c>
      <c r="FQ30" s="48">
        <f>INDEX('2015'!$E$7:$EN$37,  MATCH(FJ30, '2015'!$A$7:$A$37, 0), MATCH(FJ15, '2015'!$E$4:$EN$4, 0) )</f>
        <v>215</v>
      </c>
      <c r="FR30" s="48">
        <f>INDEX('2016'!$E$7:$EN$37,  MATCH(FJ30, '2016'!$A$7:$A$37, 0), MATCH(FJ15, '2016'!$E$4:$EN$4, 0) )</f>
        <v>236</v>
      </c>
      <c r="FS30" s="48">
        <f>INDEX('2017'!$E$7:$EN$37,  MATCH(FJ30, '2017'!$A$7:$A$37, 0), MATCH(FJ15, '2017'!$E$4:$EN$4, 0) )</f>
        <v>295</v>
      </c>
      <c r="FT30" s="48">
        <f>INDEX('2018'!$E$7:$EN$37,  MATCH(FJ30, '2018'!$A$7:$A$37, 0), MATCH(FJ15, '2018'!$E$4:$EN$4, 0) )</f>
        <v>328</v>
      </c>
      <c r="FU30" s="48">
        <f>INDEX('2019'!$E$7:$EN$37,  MATCH(FJ30, '2019'!$A$7:$A$37, 0), MATCH(FJ15, '2019'!$E$4:$EN$4, 0) )</f>
        <v>289</v>
      </c>
      <c r="FW30" s="9">
        <f t="shared" si="102"/>
        <v>27</v>
      </c>
      <c r="FX30" s="21" t="str">
        <f t="shared" si="103"/>
        <v>Millard</v>
      </c>
      <c r="FY30" s="48">
        <f>INDEX('2010'!$E$7:$EN$37,  MATCH(FW30, '2010'!$A$7:$A$37, 0), MATCH(FW15, '2010'!$E$4:$EN$4, 0) )</f>
        <v>40</v>
      </c>
      <c r="FZ30" s="48">
        <f>INDEX('2011'!$E$7:$EN$37,  MATCH(FW30, '2011'!$A$7:$A$37, 0), MATCH(FW15, '2011'!$E$4:$EN$4, 0) )</f>
        <v>44</v>
      </c>
      <c r="GA30" s="48">
        <f>INDEX('2012'!$E$7:$EN$37,  MATCH(FW30, '2012'!$A$7:$A$37, 0), MATCH(FW15, '2012'!$E$4:$EN$4, 0) )</f>
        <v>19</v>
      </c>
      <c r="GB30" s="48">
        <f>INDEX('2013'!$E$7:$EN$37,  MATCH(FW30, '2013'!$A$7:$A$37, 0), MATCH(FW15, '2013'!$E$4:$EN$4, 0) )</f>
        <v>21</v>
      </c>
      <c r="GC30" s="48">
        <f>INDEX('2014'!$E$7:$EN$37,  MATCH(FW30, '2014'!$A$7:$A$37, 0), MATCH(FW15, '2014'!$E$4:$EN$4, 0) )</f>
        <v>22</v>
      </c>
      <c r="GD30" s="48">
        <f>INDEX('2015'!$E$7:$EN$37,  MATCH(FW30, '2015'!$A$7:$A$37, 0), MATCH(FW15, '2015'!$E$4:$EN$4, 0) )</f>
        <v>21</v>
      </c>
      <c r="GE30" s="48">
        <f>INDEX('2016'!$E$7:$EN$37,  MATCH(FW30, '2016'!$A$7:$A$37, 0), MATCH(FW15, '2016'!$E$4:$EN$4, 0) )</f>
        <v>9</v>
      </c>
      <c r="GF30" s="48">
        <f>INDEX('2017'!$E$7:$EN$37,  MATCH(FW30, '2017'!$A$7:$A$37, 0), MATCH(FW15, '2017'!$E$4:$EN$4, 0) )</f>
        <v>81</v>
      </c>
      <c r="GG30" s="48">
        <f>INDEX('2018'!$E$7:$EN$37,  MATCH(FW30, '2018'!$A$7:$A$37, 0), MATCH(FW15, '2018'!$E$4:$EN$4, 0) )</f>
        <v>82</v>
      </c>
      <c r="GH30" s="48">
        <f>INDEX('2019'!$E$7:$EN$37,  MATCH(FW30, '2019'!$A$7:$A$37, 0), MATCH(FW15, '2019'!$E$4:$EN$4, 0) )</f>
        <v>74</v>
      </c>
      <c r="GJ30" s="9">
        <f t="shared" si="104"/>
        <v>27</v>
      </c>
      <c r="GK30" s="21" t="str">
        <f t="shared" si="105"/>
        <v>Millard</v>
      </c>
      <c r="GL30" s="48">
        <f>INDEX('2010'!$E$7:$EN$37,  MATCH(GJ30, '2010'!$A$7:$A$37, 0), MATCH(GJ15, '2010'!$E$4:$EN$4, 0) )</f>
        <v>87</v>
      </c>
      <c r="GM30" s="48">
        <f>INDEX('2011'!$E$7:$EN$37,  MATCH(GJ30, '2011'!$A$7:$A$37, 0), MATCH(GJ15, '2011'!$E$4:$EN$4, 0) )</f>
        <v>102</v>
      </c>
      <c r="GN30" s="48">
        <f>INDEX('2012'!$E$7:$EN$37,  MATCH(GJ30, '2012'!$A$7:$A$37, 0), MATCH(GJ15, '2012'!$E$4:$EN$4, 0) )</f>
        <v>117</v>
      </c>
      <c r="GO30" s="48">
        <f>INDEX('2013'!$E$7:$EN$37,  MATCH(GJ30, '2013'!$A$7:$A$37, 0), MATCH(GJ15, '2013'!$E$4:$EN$4, 0) )</f>
        <v>131</v>
      </c>
      <c r="GP30" s="48">
        <f>INDEX('2014'!$E$7:$EN$37,  MATCH(GJ30, '2014'!$A$7:$A$37, 0), MATCH(GJ15, '2014'!$E$4:$EN$4, 0) )</f>
        <v>156</v>
      </c>
      <c r="GQ30" s="48">
        <f>INDEX('2015'!$E$7:$EN$37,  MATCH(GJ30, '2015'!$A$7:$A$37, 0), MATCH(GJ15, '2015'!$E$4:$EN$4, 0) )</f>
        <v>146</v>
      </c>
      <c r="GR30" s="48">
        <f>INDEX('2016'!$E$7:$EN$37,  MATCH(GJ30, '2016'!$A$7:$A$37, 0), MATCH(GJ15, '2016'!$E$4:$EN$4, 0) )</f>
        <v>158</v>
      </c>
      <c r="GS30" s="48">
        <f>INDEX('2017'!$E$7:$EN$37,  MATCH(GJ30, '2017'!$A$7:$A$37, 0), MATCH(GJ15, '2017'!$E$4:$EN$4, 0) )</f>
        <v>166</v>
      </c>
      <c r="GT30" s="48">
        <f>INDEX('2018'!$E$7:$EN$37,  MATCH(GJ30, '2018'!$A$7:$A$37, 0), MATCH(GJ15, '2018'!$E$4:$EN$4, 0) )</f>
        <v>162</v>
      </c>
      <c r="GU30" s="48">
        <f>INDEX('2019'!$E$7:$EN$37,  MATCH(GJ30, '2019'!$A$7:$A$37, 0), MATCH(GJ15, '2019'!$E$4:$EN$4, 0) )</f>
        <v>140</v>
      </c>
    </row>
    <row r="31" spans="50:203" x14ac:dyDescent="0.25">
      <c r="AX31" s="15"/>
      <c r="AY31" s="39" t="s">
        <v>617</v>
      </c>
      <c r="AZ31" s="40">
        <f>INDEX($DK$7:$DT$13, MATCH(AY29, $DJ$7:$DJ$13,0), MATCH(AZ$6, $DK$6:$DT$6, 0))</f>
        <v>3.1205598609017306E-2</v>
      </c>
      <c r="BA31" s="40">
        <f>INDEX($DK$7:$DT$13, MATCH(AY29, $DJ$7:$DJ$13,0), MATCH(BA$6, $DK$6:$DT$6, 0))</f>
        <v>2.9610612294344862E-2</v>
      </c>
      <c r="BB31" s="40">
        <f>INDEX($DK$7:$DT$13, MATCH(AY29, $DJ$7:$DJ$13,0), MATCH(BB$6, $DK$6:$DT$6, 0))</f>
        <v>2.869936345231364E-2</v>
      </c>
      <c r="BC31" s="40">
        <f>INDEX($DK$7:$DT$13, MATCH(AY29, $DJ$7:$DJ$13,0), MATCH(BC$6, $DK$6:$DT$6, 0))</f>
        <v>2.8200603815136897E-2</v>
      </c>
      <c r="BD31" s="40">
        <f>INDEX($DK$7:$DT$13, MATCH(AY29, $DJ$7:$DJ$13,0), MATCH(BD$6, $DK$6:$DT$6, 0))</f>
        <v>2.7241121330810192E-2</v>
      </c>
      <c r="BE31" s="40">
        <f>INDEX($DK$7:$DT$13, MATCH(AY29, $DJ$7:$DJ$13,0), MATCH(BE$6, $DK$6:$DT$6, 0))</f>
        <v>2.6667457064462587E-2</v>
      </c>
      <c r="BF31" s="40">
        <f>INDEX($DK$7:$DT$13, MATCH(AY29, $DJ$7:$DJ$13,0), MATCH(BF$6, $DK$6:$DT$6, 0))</f>
        <v>2.7795507673544058E-2</v>
      </c>
      <c r="BG31" s="40">
        <f>INDEX($DK$7:$DT$13, MATCH(AY29, $DJ$7:$DJ$13,0), MATCH(BG$6, $DK$6:$DT$6, 0))</f>
        <v>2.9579489447744217E-2</v>
      </c>
      <c r="BH31" s="40">
        <f>INDEX($DK$7:$DT$13, MATCH(AY29, $DJ$7:$DJ$13,0), MATCH(BH$6, $DK$6:$DT$6, 0))</f>
        <v>2.9798687106235681E-2</v>
      </c>
      <c r="BI31" s="40">
        <f>INDEX($DK$7:$DT$13, MATCH(AY29, $DJ$7:$DJ$13,0), MATCH(BI$6, $DK$6:$DT$6, 0))</f>
        <v>2.9811444961677716E-2</v>
      </c>
      <c r="CI31" s="15">
        <v>29</v>
      </c>
      <c r="CJ31" s="37" t="str">
        <f t="shared" si="79"/>
        <v>Morgan</v>
      </c>
      <c r="CK31" s="44">
        <f t="shared" si="80"/>
        <v>5.7548579970104631E-2</v>
      </c>
      <c r="CL31" s="44">
        <f t="shared" si="81"/>
        <v>4.3265705206550965E-2</v>
      </c>
      <c r="CM31" s="44">
        <f t="shared" si="81"/>
        <v>4.3909699826345822E-2</v>
      </c>
      <c r="CN31" s="44">
        <f t="shared" si="81"/>
        <v>4.9668059995082364E-2</v>
      </c>
      <c r="CO31" s="44">
        <f t="shared" si="81"/>
        <v>5.192878338278932E-2</v>
      </c>
      <c r="CP31" s="44">
        <f t="shared" si="81"/>
        <v>4.3724887733396361E-2</v>
      </c>
      <c r="CQ31" s="44">
        <f t="shared" si="81"/>
        <v>3.7861404313905458E-2</v>
      </c>
      <c r="CR31" s="44">
        <f t="shared" si="81"/>
        <v>3.854435831180017E-2</v>
      </c>
      <c r="CS31" s="44">
        <f t="shared" si="81"/>
        <v>4.07820054656296E-2</v>
      </c>
      <c r="CT31" s="44">
        <f t="shared" si="81"/>
        <v>3.9137714524905817E-2</v>
      </c>
      <c r="CV31" s="9">
        <f t="shared" si="82"/>
        <v>290</v>
      </c>
      <c r="CW31" s="21" t="str">
        <f t="shared" si="92"/>
        <v>Morgan</v>
      </c>
      <c r="CX31" s="40">
        <f t="shared" si="83"/>
        <v>6.2282012954658697E-3</v>
      </c>
      <c r="CY31" s="40">
        <f t="shared" si="84"/>
        <v>1.7355169885113663E-2</v>
      </c>
      <c r="CZ31" s="40">
        <f t="shared" si="84"/>
        <v>1.7365418010419249E-2</v>
      </c>
      <c r="DA31" s="40">
        <f t="shared" si="84"/>
        <v>2.3112859601671993E-2</v>
      </c>
      <c r="DB31" s="40">
        <f t="shared" si="84"/>
        <v>2.2255192878338281E-2</v>
      </c>
      <c r="DC31" s="40">
        <f t="shared" si="84"/>
        <v>2.2216969983455449E-2</v>
      </c>
      <c r="DD31" s="40">
        <f t="shared" si="84"/>
        <v>1.698026617714548E-2</v>
      </c>
      <c r="DE31" s="40">
        <f t="shared" si="84"/>
        <v>1.636520241171404E-2</v>
      </c>
      <c r="DF31" s="40">
        <f t="shared" si="84"/>
        <v>2.0601219255833508E-2</v>
      </c>
      <c r="DG31" s="40">
        <f t="shared" si="84"/>
        <v>2.5115110925073254E-2</v>
      </c>
      <c r="DI31" s="9">
        <f t="shared" si="85"/>
        <v>290</v>
      </c>
      <c r="DJ31" s="21" t="str">
        <f t="shared" si="93"/>
        <v>Morgan</v>
      </c>
      <c r="DK31" s="40">
        <f t="shared" si="86"/>
        <v>5.1320378674638761E-2</v>
      </c>
      <c r="DL31" s="40">
        <f t="shared" si="87"/>
        <v>2.5910535321437302E-2</v>
      </c>
      <c r="DM31" s="40">
        <f t="shared" si="87"/>
        <v>2.6544281815926569E-2</v>
      </c>
      <c r="DN31" s="40">
        <f t="shared" si="87"/>
        <v>2.6555200393410375E-2</v>
      </c>
      <c r="DO31" s="40">
        <f t="shared" si="87"/>
        <v>2.967359050445104E-2</v>
      </c>
      <c r="DP31" s="40">
        <f t="shared" si="87"/>
        <v>2.1507917749940913E-2</v>
      </c>
      <c r="DQ31" s="40">
        <f t="shared" si="87"/>
        <v>2.0881138136759982E-2</v>
      </c>
      <c r="DR31" s="40">
        <f t="shared" si="87"/>
        <v>2.2179155900086133E-2</v>
      </c>
      <c r="DS31" s="40">
        <f t="shared" si="87"/>
        <v>2.0180786209796089E-2</v>
      </c>
      <c r="DT31" s="40">
        <f t="shared" si="87"/>
        <v>1.4022603599832565E-2</v>
      </c>
      <c r="DV31" s="9">
        <f t="shared" si="88"/>
        <v>290</v>
      </c>
      <c r="DW31" s="21" t="str">
        <f t="shared" si="94"/>
        <v>Morgan</v>
      </c>
      <c r="DX31" s="45">
        <f t="shared" si="95"/>
        <v>25</v>
      </c>
      <c r="DY31" s="45">
        <f t="shared" si="95"/>
        <v>71</v>
      </c>
      <c r="DZ31" s="45">
        <f t="shared" si="89"/>
        <v>70</v>
      </c>
      <c r="EA31" s="45">
        <f t="shared" si="89"/>
        <v>94</v>
      </c>
      <c r="EB31" s="45">
        <f t="shared" si="89"/>
        <v>90</v>
      </c>
      <c r="EC31" s="45">
        <f t="shared" si="89"/>
        <v>94</v>
      </c>
      <c r="ED31" s="45">
        <f t="shared" si="89"/>
        <v>74</v>
      </c>
      <c r="EE31" s="45">
        <f t="shared" si="89"/>
        <v>76</v>
      </c>
      <c r="EF31" s="45">
        <f t="shared" si="89"/>
        <v>98</v>
      </c>
      <c r="EG31" s="45">
        <f t="shared" si="89"/>
        <v>120</v>
      </c>
      <c r="EI31" s="9">
        <f t="shared" si="90"/>
        <v>290</v>
      </c>
      <c r="EJ31" s="21" t="str">
        <f t="shared" si="96"/>
        <v>Morgan</v>
      </c>
      <c r="EK31" s="45">
        <f t="shared" si="97"/>
        <v>206</v>
      </c>
      <c r="EL31" s="45">
        <f t="shared" si="97"/>
        <v>106</v>
      </c>
      <c r="EM31" s="45">
        <f t="shared" si="91"/>
        <v>107</v>
      </c>
      <c r="EN31" s="45">
        <f t="shared" si="91"/>
        <v>108</v>
      </c>
      <c r="EO31" s="45">
        <f t="shared" si="91"/>
        <v>120</v>
      </c>
      <c r="EP31" s="45">
        <f t="shared" si="91"/>
        <v>91</v>
      </c>
      <c r="EQ31" s="45">
        <f t="shared" si="91"/>
        <v>91</v>
      </c>
      <c r="ER31" s="45">
        <f t="shared" si="91"/>
        <v>103</v>
      </c>
      <c r="ES31" s="45">
        <f t="shared" si="91"/>
        <v>96</v>
      </c>
      <c r="ET31" s="45">
        <f t="shared" si="91"/>
        <v>67</v>
      </c>
      <c r="EW31" s="9">
        <f t="shared" si="98"/>
        <v>29</v>
      </c>
      <c r="EX31" s="21" t="str">
        <f t="shared" si="99"/>
        <v>Morgan</v>
      </c>
      <c r="EY31" s="48">
        <f>INDEX('2010'!$E$7:$EN$37,  MATCH(EW31, '2010'!$A$7:$A$37, 0), MATCH(EW15, '2010'!$E$4:$EN$4, 0) )</f>
        <v>4014</v>
      </c>
      <c r="EZ31" s="48">
        <f>INDEX('2011'!$E$7:$EN$37,  MATCH(EW31, '2011'!$A$7:$A$37, 0), MATCH(EW15, '2011'!$E$4:$EN$4, 0) )</f>
        <v>4091</v>
      </c>
      <c r="FA31" s="48">
        <f>INDEX('2012'!$E$7:$EN$37,  MATCH(EW31, '2012'!$A$7:$A$37, 0), MATCH(EW15, '2012'!$E$4:$EN$4, 0) )</f>
        <v>4031</v>
      </c>
      <c r="FB31" s="48">
        <f>INDEX('2013'!$E$7:$EN$37,  MATCH(EW31, '2013'!$A$7:$A$37, 0), MATCH(EW15, '2013'!$E$4:$EN$4, 0) )</f>
        <v>4067</v>
      </c>
      <c r="FC31" s="48">
        <f>INDEX('2014'!$E$7:$EN$37,  MATCH(EW31, '2014'!$A$7:$A$37, 0), MATCH(EW15, '2014'!$E$4:$EN$4, 0) )</f>
        <v>4044</v>
      </c>
      <c r="FD31" s="48">
        <f>INDEX('2015'!$E$7:$EN$37,  MATCH(EW31, '2015'!$A$7:$A$37, 0), MATCH(EW15, '2015'!$E$4:$EN$4, 0) )</f>
        <v>4231</v>
      </c>
      <c r="FE31" s="48">
        <f>INDEX('2016'!$E$7:$EN$37,  MATCH(EW31, '2016'!$A$7:$A$37, 0), MATCH(EW15, '2016'!$E$4:$EN$4, 0) )</f>
        <v>4358</v>
      </c>
      <c r="FF31" s="48">
        <f>INDEX('2017'!$E$7:$EN$37,  MATCH(EW31, '2017'!$A$7:$A$37, 0), MATCH(EW15, '2017'!$E$4:$EN$4, 0) )</f>
        <v>4644</v>
      </c>
      <c r="FG31" s="48">
        <f>INDEX('2018'!$E$7:$EN$37,  MATCH(EW31, '2018'!$A$7:$A$37, 0), MATCH(EW15, '2018'!$E$4:$EN$4, 0) )</f>
        <v>4757</v>
      </c>
      <c r="FH31" s="48">
        <f>INDEX('2019'!$E$7:$EN$37,  MATCH(EW31, '2019'!$A$7:$A$37, 0), MATCH(EW15, '2019'!$E$4:$EN$4, 0) )</f>
        <v>4778</v>
      </c>
      <c r="FJ31" s="9">
        <f t="shared" si="100"/>
        <v>29</v>
      </c>
      <c r="FK31" s="21" t="str">
        <f t="shared" si="101"/>
        <v>Morgan</v>
      </c>
      <c r="FL31" s="48">
        <f>INDEX('2010'!$E$7:$EN$37,  MATCH(FJ31, '2010'!$A$7:$A$37, 0), MATCH(FJ15, '2010'!$E$4:$EN$4, 0) )</f>
        <v>231</v>
      </c>
      <c r="FM31" s="48">
        <f>INDEX('2011'!$E$7:$EN$37,  MATCH(FJ31, '2011'!$A$7:$A$37, 0), MATCH(FJ15, '2011'!$E$4:$EN$4, 0) )</f>
        <v>177</v>
      </c>
      <c r="FN31" s="48">
        <f>INDEX('2012'!$E$7:$EN$37,  MATCH(FJ31, '2012'!$A$7:$A$37, 0), MATCH(FJ15, '2012'!$E$4:$EN$4, 0) )</f>
        <v>177</v>
      </c>
      <c r="FO31" s="48">
        <f>INDEX('2013'!$E$7:$EN$37,  MATCH(FJ31, '2013'!$A$7:$A$37, 0), MATCH(FJ15, '2013'!$E$4:$EN$4, 0) )</f>
        <v>202</v>
      </c>
      <c r="FP31" s="48">
        <f>INDEX('2014'!$E$7:$EN$37,  MATCH(FJ31, '2014'!$A$7:$A$37, 0), MATCH(FJ15, '2014'!$E$4:$EN$4, 0) )</f>
        <v>210</v>
      </c>
      <c r="FQ31" s="48">
        <f>INDEX('2015'!$E$7:$EN$37,  MATCH(FJ31, '2015'!$A$7:$A$37, 0), MATCH(FJ15, '2015'!$E$4:$EN$4, 0) )</f>
        <v>185</v>
      </c>
      <c r="FR31" s="48">
        <f>INDEX('2016'!$E$7:$EN$37,  MATCH(FJ31, '2016'!$A$7:$A$37, 0), MATCH(FJ15, '2016'!$E$4:$EN$4, 0) )</f>
        <v>165</v>
      </c>
      <c r="FS31" s="48">
        <f>INDEX('2017'!$E$7:$EN$37,  MATCH(FJ31, '2017'!$A$7:$A$37, 0), MATCH(FJ15, '2017'!$E$4:$EN$4, 0) )</f>
        <v>179</v>
      </c>
      <c r="FT31" s="48">
        <f>INDEX('2018'!$E$7:$EN$37,  MATCH(FJ31, '2018'!$A$7:$A$37, 0), MATCH(FJ15, '2018'!$E$4:$EN$4, 0) )</f>
        <v>194</v>
      </c>
      <c r="FU31" s="48">
        <f>INDEX('2019'!$E$7:$EN$37,  MATCH(FJ31, '2019'!$A$7:$A$37, 0), MATCH(FJ15, '2019'!$E$4:$EN$4, 0) )</f>
        <v>187</v>
      </c>
      <c r="FW31" s="9">
        <f t="shared" si="102"/>
        <v>29</v>
      </c>
      <c r="FX31" s="21" t="str">
        <f t="shared" si="103"/>
        <v>Morgan</v>
      </c>
      <c r="FY31" s="48">
        <f>INDEX('2010'!$E$7:$EN$37,  MATCH(FW31, '2010'!$A$7:$A$37, 0), MATCH(FW15, '2010'!$E$4:$EN$4, 0) )</f>
        <v>22</v>
      </c>
      <c r="FZ31" s="48">
        <f>INDEX('2011'!$E$7:$EN$37,  MATCH(FW31, '2011'!$A$7:$A$37, 0), MATCH(FW15, '2011'!$E$4:$EN$4, 0) )</f>
        <v>12</v>
      </c>
      <c r="GA31" s="48">
        <f>INDEX('2012'!$E$7:$EN$37,  MATCH(FW31, '2012'!$A$7:$A$37, 0), MATCH(FW15, '2012'!$E$4:$EN$4, 0) )</f>
        <v>29</v>
      </c>
      <c r="GB31" s="48">
        <f>INDEX('2013'!$E$7:$EN$37,  MATCH(FW31, '2013'!$A$7:$A$37, 0), MATCH(FW15, '2013'!$E$4:$EN$4, 0) )</f>
        <v>36</v>
      </c>
      <c r="GC31" s="48">
        <f>INDEX('2014'!$E$7:$EN$37,  MATCH(FW31, '2014'!$A$7:$A$37, 0), MATCH(FW15, '2014'!$E$4:$EN$4, 0) )</f>
        <v>42</v>
      </c>
      <c r="GD31" s="48">
        <f>INDEX('2015'!$E$7:$EN$37,  MATCH(FW31, '2015'!$A$7:$A$37, 0), MATCH(FW15, '2015'!$E$4:$EN$4, 0) )</f>
        <v>36</v>
      </c>
      <c r="GE31" s="48">
        <f>INDEX('2016'!$E$7:$EN$37,  MATCH(FW31, '2016'!$A$7:$A$37, 0), MATCH(FW15, '2016'!$E$4:$EN$4, 0) )</f>
        <v>36</v>
      </c>
      <c r="GF31" s="48">
        <f>INDEX('2017'!$E$7:$EN$37,  MATCH(FW31, '2017'!$A$7:$A$37, 0), MATCH(FW15, '2017'!$E$4:$EN$4, 0) )</f>
        <v>36</v>
      </c>
      <c r="GG31" s="48">
        <f>INDEX('2018'!$E$7:$EN$37,  MATCH(FW31, '2018'!$A$7:$A$37, 0), MATCH(FW15, '2018'!$E$4:$EN$4, 0) )</f>
        <v>25</v>
      </c>
      <c r="GH31" s="48">
        <f>INDEX('2019'!$E$7:$EN$37,  MATCH(FW31, '2019'!$A$7:$A$37, 0), MATCH(FW15, '2019'!$E$4:$EN$4, 0) )</f>
        <v>28</v>
      </c>
      <c r="GJ31" s="9">
        <f t="shared" si="104"/>
        <v>29</v>
      </c>
      <c r="GK31" s="21" t="str">
        <f t="shared" si="105"/>
        <v>Morgan</v>
      </c>
      <c r="GL31" s="48">
        <f>INDEX('2010'!$E$7:$EN$37,  MATCH(GJ31, '2010'!$A$7:$A$37, 0), MATCH(GJ15, '2010'!$E$4:$EN$4, 0) )</f>
        <v>184</v>
      </c>
      <c r="GM31" s="48">
        <f>INDEX('2011'!$E$7:$EN$37,  MATCH(GJ31, '2011'!$A$7:$A$37, 0), MATCH(GJ15, '2011'!$E$4:$EN$4, 0) )</f>
        <v>94</v>
      </c>
      <c r="GN31" s="48">
        <f>INDEX('2012'!$E$7:$EN$37,  MATCH(GJ31, '2012'!$A$7:$A$37, 0), MATCH(GJ15, '2012'!$E$4:$EN$4, 0) )</f>
        <v>78</v>
      </c>
      <c r="GO31" s="48">
        <f>INDEX('2013'!$E$7:$EN$37,  MATCH(GJ31, '2013'!$A$7:$A$37, 0), MATCH(GJ15, '2013'!$E$4:$EN$4, 0) )</f>
        <v>72</v>
      </c>
      <c r="GP31" s="48">
        <f>INDEX('2014'!$E$7:$EN$37,  MATCH(GJ31, '2014'!$A$7:$A$37, 0), MATCH(GJ15, '2014'!$E$4:$EN$4, 0) )</f>
        <v>78</v>
      </c>
      <c r="GQ31" s="48">
        <f>INDEX('2015'!$E$7:$EN$37,  MATCH(GJ31, '2015'!$A$7:$A$37, 0), MATCH(GJ15, '2015'!$E$4:$EN$4, 0) )</f>
        <v>55</v>
      </c>
      <c r="GR31" s="48">
        <f>INDEX('2016'!$E$7:$EN$37,  MATCH(GJ31, '2016'!$A$7:$A$37, 0), MATCH(GJ15, '2016'!$E$4:$EN$4, 0) )</f>
        <v>55</v>
      </c>
      <c r="GS31" s="48">
        <f>INDEX('2017'!$E$7:$EN$37,  MATCH(GJ31, '2017'!$A$7:$A$37, 0), MATCH(GJ15, '2017'!$E$4:$EN$4, 0) )</f>
        <v>67</v>
      </c>
      <c r="GT31" s="48">
        <f>INDEX('2018'!$E$7:$EN$37,  MATCH(GJ31, '2018'!$A$7:$A$37, 0), MATCH(GJ15, '2018'!$E$4:$EN$4, 0) )</f>
        <v>71</v>
      </c>
      <c r="GU31" s="48">
        <f>INDEX('2019'!$E$7:$EN$37,  MATCH(GJ31, '2019'!$A$7:$A$37, 0), MATCH(GJ15, '2019'!$E$4:$EN$4, 0) )</f>
        <v>39</v>
      </c>
    </row>
    <row r="32" spans="50:203" x14ac:dyDescent="0.25">
      <c r="AX32" s="15"/>
      <c r="AY32" s="39" t="s">
        <v>618</v>
      </c>
      <c r="AZ32" s="40">
        <f>INDEX($CX$7:$DG$13, MATCH(AY29, $CW$7:$CW$13,0), MATCH(AZ$6, $CX$6:$DG$6, 0))</f>
        <v>3.0329009791786075E-2</v>
      </c>
      <c r="BA32" s="40">
        <f>INDEX($CX$7:$DG$13, MATCH(AY29, $CW$7:$CW$13,0), MATCH(BA$6, $CX$6:$DG$6, 0))</f>
        <v>3.1190155578024313E-2</v>
      </c>
      <c r="BB32" s="40">
        <f>INDEX($CX$7:$DG$13, MATCH(AY29, $CW$7:$CW$13,0), MATCH(BB$6, $CX$6:$DG$6, 0))</f>
        <v>3.0172177941525161E-2</v>
      </c>
      <c r="BC32" s="40">
        <f>INDEX($CX$7:$DG$13, MATCH(AY29, $CW$7:$CW$13,0), MATCH(BC$6, $CX$6:$DG$6, 0))</f>
        <v>3.2257627791742446E-2</v>
      </c>
      <c r="BD32" s="40">
        <f>INDEX($CX$7:$DG$13, MATCH(AY29, $CW$7:$CW$13,0), MATCH(BD$6, $CX$6:$DG$6, 0))</f>
        <v>3.3239449016415089E-2</v>
      </c>
      <c r="BE32" s="40">
        <f>INDEX($CX$7:$DG$13, MATCH(AY29, $CW$7:$CW$13,0), MATCH(BE$6, $CX$6:$DG$6, 0))</f>
        <v>3.4505098065783682E-2</v>
      </c>
      <c r="BF32" s="40">
        <f>INDEX($CX$7:$DG$13, MATCH(AY29, $CW$7:$CW$13,0), MATCH(BF$6, $CX$6:$DG$6, 0))</f>
        <v>3.5446691736965137E-2</v>
      </c>
      <c r="BG32" s="40">
        <f>INDEX($CX$7:$DG$13, MATCH(AY29, $CW$7:$CW$13,0), MATCH(BG$6, $CX$6:$DG$6, 0))</f>
        <v>3.6988184001010997E-2</v>
      </c>
      <c r="BH32" s="40">
        <f>INDEX($CX$7:$DG$13, MATCH(AY29, $CW$7:$CW$13,0), MATCH(BH$6, $CX$6:$DG$6, 0))</f>
        <v>3.926224279097508E-2</v>
      </c>
      <c r="BI32" s="40">
        <f>INDEX($CX$7:$DG$13, MATCH(AY29, $CW$7:$CW$13,0), MATCH(BI$6, $CX$6:$DG$6, 0))</f>
        <v>4.2109298986150449E-2</v>
      </c>
      <c r="CI32" s="15">
        <v>31</v>
      </c>
      <c r="CJ32" s="37" t="str">
        <f t="shared" si="79"/>
        <v>Piute</v>
      </c>
      <c r="CK32" s="44">
        <f t="shared" si="80"/>
        <v>0.1224105461393597</v>
      </c>
      <c r="CL32" s="44">
        <f t="shared" si="81"/>
        <v>6.4957264957264949E-2</v>
      </c>
      <c r="CM32" s="44">
        <f t="shared" si="81"/>
        <v>7.6923076923076927E-2</v>
      </c>
      <c r="CN32" s="44">
        <f t="shared" si="81"/>
        <v>7.5885328836424959E-2</v>
      </c>
      <c r="CO32" s="44">
        <f t="shared" si="81"/>
        <v>6.5281899109792291E-2</v>
      </c>
      <c r="CP32" s="44">
        <f t="shared" si="81"/>
        <v>6.4914992272024727E-2</v>
      </c>
      <c r="CQ32" s="44">
        <f t="shared" si="81"/>
        <v>6.030150753768844E-2</v>
      </c>
      <c r="CR32" s="44">
        <f t="shared" si="81"/>
        <v>1.7600000000000001E-2</v>
      </c>
      <c r="CS32" s="44">
        <f t="shared" si="81"/>
        <v>1.9867549668874173E-2</v>
      </c>
      <c r="CT32" s="44">
        <f t="shared" si="81"/>
        <v>1.5126050420168069E-2</v>
      </c>
      <c r="CV32" s="9">
        <f t="shared" si="82"/>
        <v>310</v>
      </c>
      <c r="CW32" s="21" t="str">
        <f t="shared" si="92"/>
        <v>Piute</v>
      </c>
      <c r="CX32" s="40">
        <f t="shared" si="83"/>
        <v>6.9679849340866296E-2</v>
      </c>
      <c r="CY32" s="40">
        <f t="shared" si="84"/>
        <v>3.5897435897435895E-2</v>
      </c>
      <c r="CZ32" s="40">
        <f t="shared" si="84"/>
        <v>4.5787545787545784E-2</v>
      </c>
      <c r="DA32" s="40">
        <f t="shared" si="84"/>
        <v>4.0472175379426642E-2</v>
      </c>
      <c r="DB32" s="40">
        <f t="shared" si="84"/>
        <v>4.7477744807121663E-2</v>
      </c>
      <c r="DC32" s="40">
        <f t="shared" si="84"/>
        <v>4.6367851622874809E-2</v>
      </c>
      <c r="DD32" s="40">
        <f t="shared" si="84"/>
        <v>4.8576214405360134E-2</v>
      </c>
      <c r="DE32" s="40">
        <f t="shared" si="84"/>
        <v>1.12E-2</v>
      </c>
      <c r="DF32" s="40">
        <f t="shared" si="84"/>
        <v>3.3112582781456954E-3</v>
      </c>
      <c r="DG32" s="40">
        <f t="shared" si="84"/>
        <v>5.0420168067226894E-3</v>
      </c>
      <c r="DI32" s="9">
        <f t="shared" si="85"/>
        <v>310</v>
      </c>
      <c r="DJ32" s="21" t="str">
        <f t="shared" si="93"/>
        <v>Piute</v>
      </c>
      <c r="DK32" s="40">
        <f t="shared" si="86"/>
        <v>5.2730696798493411E-2</v>
      </c>
      <c r="DL32" s="40">
        <f t="shared" si="87"/>
        <v>2.9059829059829061E-2</v>
      </c>
      <c r="DM32" s="40">
        <f t="shared" si="87"/>
        <v>3.1135531135531136E-2</v>
      </c>
      <c r="DN32" s="40">
        <f t="shared" si="87"/>
        <v>3.5413153456998317E-2</v>
      </c>
      <c r="DO32" s="40">
        <f t="shared" si="87"/>
        <v>1.7804154302670624E-2</v>
      </c>
      <c r="DP32" s="40">
        <f t="shared" si="87"/>
        <v>1.8547140649149921E-2</v>
      </c>
      <c r="DQ32" s="40">
        <f t="shared" si="87"/>
        <v>1.1725293132328308E-2</v>
      </c>
      <c r="DR32" s="40">
        <f t="shared" si="87"/>
        <v>6.4000000000000003E-3</v>
      </c>
      <c r="DS32" s="40">
        <f t="shared" si="87"/>
        <v>1.6556291390728478E-2</v>
      </c>
      <c r="DT32" s="40">
        <f t="shared" si="87"/>
        <v>1.0084033613445379E-2</v>
      </c>
      <c r="DV32" s="9">
        <f t="shared" si="88"/>
        <v>310</v>
      </c>
      <c r="DW32" s="21" t="str">
        <f t="shared" si="94"/>
        <v>Piute</v>
      </c>
      <c r="DX32" s="45">
        <f t="shared" si="95"/>
        <v>37</v>
      </c>
      <c r="DY32" s="45">
        <f t="shared" si="95"/>
        <v>21</v>
      </c>
      <c r="DZ32" s="45">
        <f t="shared" si="89"/>
        <v>25</v>
      </c>
      <c r="EA32" s="45">
        <f t="shared" si="89"/>
        <v>24</v>
      </c>
      <c r="EB32" s="45">
        <f t="shared" si="89"/>
        <v>32</v>
      </c>
      <c r="EC32" s="45">
        <f t="shared" si="89"/>
        <v>30</v>
      </c>
      <c r="ED32" s="45">
        <f t="shared" si="89"/>
        <v>29</v>
      </c>
      <c r="EE32" s="45">
        <f t="shared" si="89"/>
        <v>7</v>
      </c>
      <c r="EF32" s="45">
        <f t="shared" si="89"/>
        <v>2</v>
      </c>
      <c r="EG32" s="45">
        <f t="shared" si="89"/>
        <v>3</v>
      </c>
      <c r="EI32" s="9">
        <f t="shared" si="90"/>
        <v>310</v>
      </c>
      <c r="EJ32" s="21" t="str">
        <f t="shared" si="96"/>
        <v>Piute</v>
      </c>
      <c r="EK32" s="45">
        <f t="shared" si="97"/>
        <v>28</v>
      </c>
      <c r="EL32" s="45">
        <f t="shared" si="97"/>
        <v>17</v>
      </c>
      <c r="EM32" s="45">
        <f t="shared" si="91"/>
        <v>17</v>
      </c>
      <c r="EN32" s="45">
        <f t="shared" si="91"/>
        <v>21</v>
      </c>
      <c r="EO32" s="45">
        <f t="shared" si="91"/>
        <v>12</v>
      </c>
      <c r="EP32" s="45">
        <f t="shared" si="91"/>
        <v>12</v>
      </c>
      <c r="EQ32" s="45">
        <f t="shared" si="91"/>
        <v>7</v>
      </c>
      <c r="ER32" s="45">
        <f t="shared" si="91"/>
        <v>4</v>
      </c>
      <c r="ES32" s="45">
        <f t="shared" si="91"/>
        <v>10</v>
      </c>
      <c r="ET32" s="45">
        <f t="shared" si="91"/>
        <v>6</v>
      </c>
      <c r="EW32" s="9">
        <f t="shared" si="98"/>
        <v>31</v>
      </c>
      <c r="EX32" s="21" t="str">
        <f t="shared" si="99"/>
        <v>Piute</v>
      </c>
      <c r="EY32" s="48">
        <f>INDEX('2010'!$E$7:$EN$37,  MATCH(EW32, '2010'!$A$7:$A$37, 0), MATCH(EW15, '2010'!$E$4:$EN$4, 0) )</f>
        <v>531</v>
      </c>
      <c r="EZ32" s="48">
        <f>INDEX('2011'!$E$7:$EN$37,  MATCH(EW32, '2011'!$A$7:$A$37, 0), MATCH(EW15, '2011'!$E$4:$EN$4, 0) )</f>
        <v>585</v>
      </c>
      <c r="FA32" s="48">
        <f>INDEX('2012'!$E$7:$EN$37,  MATCH(EW32, '2012'!$A$7:$A$37, 0), MATCH(EW15, '2012'!$E$4:$EN$4, 0) )</f>
        <v>546</v>
      </c>
      <c r="FB32" s="48">
        <f>INDEX('2013'!$E$7:$EN$37,  MATCH(EW32, '2013'!$A$7:$A$37, 0), MATCH(EW15, '2013'!$E$4:$EN$4, 0) )</f>
        <v>593</v>
      </c>
      <c r="FC32" s="48">
        <f>INDEX('2014'!$E$7:$EN$37,  MATCH(EW32, '2014'!$A$7:$A$37, 0), MATCH(EW15, '2014'!$E$4:$EN$4, 0) )</f>
        <v>674</v>
      </c>
      <c r="FD32" s="48">
        <f>INDEX('2015'!$E$7:$EN$37,  MATCH(EW32, '2015'!$A$7:$A$37, 0), MATCH(EW15, '2015'!$E$4:$EN$4, 0) )</f>
        <v>647</v>
      </c>
      <c r="FE32" s="48">
        <f>INDEX('2016'!$E$7:$EN$37,  MATCH(EW32, '2016'!$A$7:$A$37, 0), MATCH(EW15, '2016'!$E$4:$EN$4, 0) )</f>
        <v>597</v>
      </c>
      <c r="FF32" s="48">
        <f>INDEX('2017'!$E$7:$EN$37,  MATCH(EW32, '2017'!$A$7:$A$37, 0), MATCH(EW15, '2017'!$E$4:$EN$4, 0) )</f>
        <v>625</v>
      </c>
      <c r="FG32" s="48">
        <f>INDEX('2018'!$E$7:$EN$37,  MATCH(EW32, '2018'!$A$7:$A$37, 0), MATCH(EW15, '2018'!$E$4:$EN$4, 0) )</f>
        <v>604</v>
      </c>
      <c r="FH32" s="48">
        <f>INDEX('2019'!$E$7:$EN$37,  MATCH(EW32, '2019'!$A$7:$A$37, 0), MATCH(EW15, '2019'!$E$4:$EN$4, 0) )</f>
        <v>595</v>
      </c>
      <c r="FJ32" s="9">
        <f t="shared" si="100"/>
        <v>31</v>
      </c>
      <c r="FK32" s="21" t="str">
        <f t="shared" si="101"/>
        <v>Piute</v>
      </c>
      <c r="FL32" s="48">
        <f>INDEX('2010'!$E$7:$EN$37,  MATCH(FJ32, '2010'!$A$7:$A$37, 0), MATCH(FJ15, '2010'!$E$4:$EN$4, 0) )</f>
        <v>65</v>
      </c>
      <c r="FM32" s="48">
        <f>INDEX('2011'!$E$7:$EN$37,  MATCH(FJ32, '2011'!$A$7:$A$37, 0), MATCH(FJ15, '2011'!$E$4:$EN$4, 0) )</f>
        <v>38</v>
      </c>
      <c r="FN32" s="48">
        <f>INDEX('2012'!$E$7:$EN$37,  MATCH(FJ32, '2012'!$A$7:$A$37, 0), MATCH(FJ15, '2012'!$E$4:$EN$4, 0) )</f>
        <v>42</v>
      </c>
      <c r="FO32" s="48">
        <f>INDEX('2013'!$E$7:$EN$37,  MATCH(FJ32, '2013'!$A$7:$A$37, 0), MATCH(FJ15, '2013'!$E$4:$EN$4, 0) )</f>
        <v>45</v>
      </c>
      <c r="FP32" s="48">
        <f>INDEX('2014'!$E$7:$EN$37,  MATCH(FJ32, '2014'!$A$7:$A$37, 0), MATCH(FJ15, '2014'!$E$4:$EN$4, 0) )</f>
        <v>44</v>
      </c>
      <c r="FQ32" s="48">
        <f>INDEX('2015'!$E$7:$EN$37,  MATCH(FJ32, '2015'!$A$7:$A$37, 0), MATCH(FJ15, '2015'!$E$4:$EN$4, 0) )</f>
        <v>42</v>
      </c>
      <c r="FR32" s="48">
        <f>INDEX('2016'!$E$7:$EN$37,  MATCH(FJ32, '2016'!$A$7:$A$37, 0), MATCH(FJ15, '2016'!$E$4:$EN$4, 0) )</f>
        <v>36</v>
      </c>
      <c r="FS32" s="48">
        <f>INDEX('2017'!$E$7:$EN$37,  MATCH(FJ32, '2017'!$A$7:$A$37, 0), MATCH(FJ15, '2017'!$E$4:$EN$4, 0) )</f>
        <v>11</v>
      </c>
      <c r="FT32" s="48">
        <f>INDEX('2018'!$E$7:$EN$37,  MATCH(FJ32, '2018'!$A$7:$A$37, 0), MATCH(FJ15, '2018'!$E$4:$EN$4, 0) )</f>
        <v>12</v>
      </c>
      <c r="FU32" s="48">
        <f>INDEX('2019'!$E$7:$EN$37,  MATCH(FJ32, '2019'!$A$7:$A$37, 0), MATCH(FJ15, '2019'!$E$4:$EN$4, 0) )</f>
        <v>9</v>
      </c>
      <c r="FW32" s="9">
        <f t="shared" si="102"/>
        <v>31</v>
      </c>
      <c r="FX32" s="21" t="str">
        <f t="shared" si="103"/>
        <v>Piute</v>
      </c>
      <c r="FY32" s="48">
        <f>INDEX('2010'!$E$7:$EN$37,  MATCH(FW32, '2010'!$A$7:$A$37, 0), MATCH(FW15, '2010'!$E$4:$EN$4, 0) )</f>
        <v>5</v>
      </c>
      <c r="FZ32" s="48">
        <f>INDEX('2011'!$E$7:$EN$37,  MATCH(FW32, '2011'!$A$7:$A$37, 0), MATCH(FW15, '2011'!$E$4:$EN$4, 0) )</f>
        <v>0</v>
      </c>
      <c r="GA32" s="48">
        <f>INDEX('2012'!$E$7:$EN$37,  MATCH(FW32, '2012'!$A$7:$A$37, 0), MATCH(FW15, '2012'!$E$4:$EN$4, 0) )</f>
        <v>5</v>
      </c>
      <c r="GB32" s="48">
        <f>INDEX('2013'!$E$7:$EN$37,  MATCH(FW32, '2013'!$A$7:$A$37, 0), MATCH(FW15, '2013'!$E$4:$EN$4, 0) )</f>
        <v>5</v>
      </c>
      <c r="GC32" s="48">
        <f>INDEX('2014'!$E$7:$EN$37,  MATCH(FW32, '2014'!$A$7:$A$37, 0), MATCH(FW15, '2014'!$E$4:$EN$4, 0) )</f>
        <v>5</v>
      </c>
      <c r="GD32" s="48">
        <f>INDEX('2015'!$E$7:$EN$37,  MATCH(FW32, '2015'!$A$7:$A$37, 0), MATCH(FW15, '2015'!$E$4:$EN$4, 0) )</f>
        <v>5</v>
      </c>
      <c r="GE32" s="48">
        <f>INDEX('2016'!$E$7:$EN$37,  MATCH(FW32, '2016'!$A$7:$A$37, 0), MATCH(FW15, '2016'!$E$4:$EN$4, 0) )</f>
        <v>3</v>
      </c>
      <c r="GF32" s="48">
        <f>INDEX('2017'!$E$7:$EN$37,  MATCH(FW32, '2017'!$A$7:$A$37, 0), MATCH(FW15, '2017'!$E$4:$EN$4, 0) )</f>
        <v>0</v>
      </c>
      <c r="GG32" s="48">
        <f>INDEX('2018'!$E$7:$EN$37,  MATCH(FW32, '2018'!$A$7:$A$37, 0), MATCH(FW15, '2018'!$E$4:$EN$4, 0) )</f>
        <v>10</v>
      </c>
      <c r="GH32" s="48">
        <f>INDEX('2019'!$E$7:$EN$37,  MATCH(FW32, '2019'!$A$7:$A$37, 0), MATCH(FW15, '2019'!$E$4:$EN$4, 0) )</f>
        <v>6</v>
      </c>
      <c r="GJ32" s="9">
        <f t="shared" si="104"/>
        <v>31</v>
      </c>
      <c r="GK32" s="21" t="str">
        <f t="shared" si="105"/>
        <v>Piute</v>
      </c>
      <c r="GL32" s="48">
        <f>INDEX('2010'!$E$7:$EN$37,  MATCH(GJ32, '2010'!$A$7:$A$37, 0), MATCH(GJ15, '2010'!$E$4:$EN$4, 0) )</f>
        <v>23</v>
      </c>
      <c r="GM32" s="48">
        <f>INDEX('2011'!$E$7:$EN$37,  MATCH(GJ32, '2011'!$A$7:$A$37, 0), MATCH(GJ15, '2011'!$E$4:$EN$4, 0) )</f>
        <v>17</v>
      </c>
      <c r="GN32" s="48">
        <f>INDEX('2012'!$E$7:$EN$37,  MATCH(GJ32, '2012'!$A$7:$A$37, 0), MATCH(GJ15, '2012'!$E$4:$EN$4, 0) )</f>
        <v>12</v>
      </c>
      <c r="GO32" s="48">
        <f>INDEX('2013'!$E$7:$EN$37,  MATCH(GJ32, '2013'!$A$7:$A$37, 0), MATCH(GJ15, '2013'!$E$4:$EN$4, 0) )</f>
        <v>16</v>
      </c>
      <c r="GP32" s="48">
        <f>INDEX('2014'!$E$7:$EN$37,  MATCH(GJ32, '2014'!$A$7:$A$37, 0), MATCH(GJ15, '2014'!$E$4:$EN$4, 0) )</f>
        <v>7</v>
      </c>
      <c r="GQ32" s="48">
        <f>INDEX('2015'!$E$7:$EN$37,  MATCH(GJ32, '2015'!$A$7:$A$37, 0), MATCH(GJ15, '2015'!$E$4:$EN$4, 0) )</f>
        <v>7</v>
      </c>
      <c r="GR32" s="48">
        <f>INDEX('2016'!$E$7:$EN$37,  MATCH(GJ32, '2016'!$A$7:$A$37, 0), MATCH(GJ15, '2016'!$E$4:$EN$4, 0) )</f>
        <v>4</v>
      </c>
      <c r="GS32" s="48">
        <f>INDEX('2017'!$E$7:$EN$37,  MATCH(GJ32, '2017'!$A$7:$A$37, 0), MATCH(GJ15, '2017'!$E$4:$EN$4, 0) )</f>
        <v>4</v>
      </c>
      <c r="GT32" s="48">
        <f>INDEX('2018'!$E$7:$EN$37,  MATCH(GJ32, '2018'!$A$7:$A$37, 0), MATCH(GJ15, '2018'!$E$4:$EN$4, 0) )</f>
        <v>0</v>
      </c>
      <c r="GU32" s="48">
        <f>INDEX('2019'!$E$7:$EN$37,  MATCH(GJ32, '2019'!$A$7:$A$37, 0), MATCH(GJ15, '2019'!$E$4:$EN$4, 0) )</f>
        <v>0</v>
      </c>
    </row>
    <row r="33" spans="50:203" x14ac:dyDescent="0.25">
      <c r="AX33" s="15"/>
      <c r="AY33" s="39" t="s">
        <v>619</v>
      </c>
      <c r="AZ33" s="41">
        <f>SUM(AZ31:AZ32)</f>
        <v>6.1534608400803381E-2</v>
      </c>
      <c r="BA33" s="41">
        <f t="shared" ref="BA33:BI33" si="108">SUM(BA31:BA32)</f>
        <v>6.0800767872369176E-2</v>
      </c>
      <c r="BB33" s="41">
        <f t="shared" si="108"/>
        <v>5.8871541393838801E-2</v>
      </c>
      <c r="BC33" s="41">
        <f t="shared" si="108"/>
        <v>6.045823160687934E-2</v>
      </c>
      <c r="BD33" s="41">
        <f t="shared" si="108"/>
        <v>6.0480570347225281E-2</v>
      </c>
      <c r="BE33" s="41">
        <f t="shared" si="108"/>
        <v>6.1172555130246269E-2</v>
      </c>
      <c r="BF33" s="41">
        <f t="shared" si="108"/>
        <v>6.3242199410509195E-2</v>
      </c>
      <c r="BG33" s="41">
        <f t="shared" si="108"/>
        <v>6.6567673448755221E-2</v>
      </c>
      <c r="BH33" s="41">
        <f t="shared" si="108"/>
        <v>6.9060929897210757E-2</v>
      </c>
      <c r="BI33" s="41">
        <f t="shared" si="108"/>
        <v>7.1920743947828158E-2</v>
      </c>
      <c r="CI33" s="15">
        <v>33</v>
      </c>
      <c r="CJ33" s="37" t="str">
        <f t="shared" si="79"/>
        <v>Rich</v>
      </c>
      <c r="CK33" s="44">
        <f t="shared" si="80"/>
        <v>0.11797752808988765</v>
      </c>
      <c r="CL33" s="44">
        <f t="shared" si="81"/>
        <v>0.12108559498956159</v>
      </c>
      <c r="CM33" s="44">
        <f t="shared" si="81"/>
        <v>6.6591422121896171E-2</v>
      </c>
      <c r="CN33" s="44">
        <f t="shared" si="81"/>
        <v>5.1948051948051951E-2</v>
      </c>
      <c r="CO33" s="44">
        <f t="shared" si="81"/>
        <v>2.2049286640726327E-2</v>
      </c>
      <c r="CP33" s="44">
        <f t="shared" si="81"/>
        <v>5.4945054945054944E-2</v>
      </c>
      <c r="CQ33" s="44">
        <f t="shared" si="81"/>
        <v>8.1690140845070425E-2</v>
      </c>
      <c r="CR33" s="44">
        <f t="shared" si="81"/>
        <v>9.417040358744394E-2</v>
      </c>
      <c r="CS33" s="44">
        <f t="shared" si="81"/>
        <v>0.10078534031413613</v>
      </c>
      <c r="CT33" s="44">
        <f t="shared" si="81"/>
        <v>0.1273209549071618</v>
      </c>
      <c r="CV33" s="9">
        <f t="shared" si="82"/>
        <v>330</v>
      </c>
      <c r="CW33" s="21" t="str">
        <f t="shared" si="92"/>
        <v>Rich</v>
      </c>
      <c r="CX33" s="40">
        <f t="shared" si="83"/>
        <v>3.6516853932584269E-2</v>
      </c>
      <c r="CY33" s="40">
        <f t="shared" si="84"/>
        <v>4.3841336116910233E-2</v>
      </c>
      <c r="CZ33" s="40">
        <f t="shared" si="84"/>
        <v>2.144469525959368E-2</v>
      </c>
      <c r="DA33" s="40">
        <f t="shared" si="84"/>
        <v>2.3612750885478158E-2</v>
      </c>
      <c r="DB33" s="40">
        <f t="shared" si="84"/>
        <v>1.0376134889753566E-2</v>
      </c>
      <c r="DC33" s="40">
        <f t="shared" si="84"/>
        <v>8.241758241758242E-3</v>
      </c>
      <c r="DD33" s="40">
        <f t="shared" si="84"/>
        <v>3.5211267605633804E-2</v>
      </c>
      <c r="DE33" s="40">
        <f t="shared" si="84"/>
        <v>2.9895366218236172E-2</v>
      </c>
      <c r="DF33" s="40">
        <f t="shared" si="84"/>
        <v>1.7015706806282723E-2</v>
      </c>
      <c r="DG33" s="40">
        <f t="shared" si="84"/>
        <v>3.0503978779840849E-2</v>
      </c>
      <c r="DI33" s="9">
        <f t="shared" si="85"/>
        <v>330</v>
      </c>
      <c r="DJ33" s="21" t="str">
        <f t="shared" si="93"/>
        <v>Rich</v>
      </c>
      <c r="DK33" s="40">
        <f t="shared" si="86"/>
        <v>8.1460674157303375E-2</v>
      </c>
      <c r="DL33" s="40">
        <f t="shared" si="87"/>
        <v>7.724425887265135E-2</v>
      </c>
      <c r="DM33" s="40">
        <f t="shared" si="87"/>
        <v>4.5146726862302484E-2</v>
      </c>
      <c r="DN33" s="40">
        <f t="shared" si="87"/>
        <v>2.833530106257379E-2</v>
      </c>
      <c r="DO33" s="40">
        <f t="shared" si="87"/>
        <v>1.1673151750972763E-2</v>
      </c>
      <c r="DP33" s="40">
        <f t="shared" si="87"/>
        <v>4.6703296703296704E-2</v>
      </c>
      <c r="DQ33" s="40">
        <f t="shared" si="87"/>
        <v>4.647887323943662E-2</v>
      </c>
      <c r="DR33" s="40">
        <f t="shared" si="87"/>
        <v>6.4275037369207769E-2</v>
      </c>
      <c r="DS33" s="40">
        <f t="shared" si="87"/>
        <v>8.3769633507853408E-2</v>
      </c>
      <c r="DT33" s="40">
        <f t="shared" si="87"/>
        <v>9.6816976127320958E-2</v>
      </c>
      <c r="DV33" s="9">
        <f t="shared" si="88"/>
        <v>330</v>
      </c>
      <c r="DW33" s="21" t="str">
        <f t="shared" si="94"/>
        <v>Rich</v>
      </c>
      <c r="DX33" s="45">
        <f t="shared" si="95"/>
        <v>39</v>
      </c>
      <c r="DY33" s="45">
        <f t="shared" si="95"/>
        <v>42</v>
      </c>
      <c r="DZ33" s="45">
        <f t="shared" si="89"/>
        <v>19</v>
      </c>
      <c r="EA33" s="45">
        <f t="shared" si="89"/>
        <v>20</v>
      </c>
      <c r="EB33" s="45">
        <f t="shared" si="89"/>
        <v>8</v>
      </c>
      <c r="EC33" s="45">
        <f t="shared" si="89"/>
        <v>6</v>
      </c>
      <c r="ED33" s="45">
        <f t="shared" si="89"/>
        <v>25</v>
      </c>
      <c r="EE33" s="45">
        <f t="shared" si="89"/>
        <v>20</v>
      </c>
      <c r="EF33" s="45">
        <f t="shared" si="89"/>
        <v>13</v>
      </c>
      <c r="EG33" s="45">
        <f t="shared" si="89"/>
        <v>23</v>
      </c>
      <c r="EI33" s="9">
        <f t="shared" si="90"/>
        <v>330</v>
      </c>
      <c r="EJ33" s="21" t="str">
        <f t="shared" si="96"/>
        <v>Rich</v>
      </c>
      <c r="EK33" s="45">
        <f t="shared" si="97"/>
        <v>87</v>
      </c>
      <c r="EL33" s="45">
        <f t="shared" si="97"/>
        <v>74</v>
      </c>
      <c r="EM33" s="45">
        <f t="shared" si="91"/>
        <v>40</v>
      </c>
      <c r="EN33" s="45">
        <f t="shared" si="91"/>
        <v>24</v>
      </c>
      <c r="EO33" s="45">
        <f t="shared" si="91"/>
        <v>9</v>
      </c>
      <c r="EP33" s="45">
        <f t="shared" si="91"/>
        <v>34</v>
      </c>
      <c r="EQ33" s="45">
        <f t="shared" si="91"/>
        <v>33</v>
      </c>
      <c r="ER33" s="45">
        <f t="shared" si="91"/>
        <v>43</v>
      </c>
      <c r="ES33" s="45">
        <f t="shared" si="91"/>
        <v>64</v>
      </c>
      <c r="ET33" s="45">
        <f t="shared" si="91"/>
        <v>73</v>
      </c>
      <c r="EW33" s="9">
        <f t="shared" si="98"/>
        <v>33</v>
      </c>
      <c r="EX33" s="21" t="str">
        <f t="shared" si="99"/>
        <v>Rich</v>
      </c>
      <c r="EY33" s="48">
        <f>INDEX('2010'!$E$7:$EN$37,  MATCH(EW33, '2010'!$A$7:$A$37, 0), MATCH(EW15, '2010'!$E$4:$EN$4, 0) )</f>
        <v>1068</v>
      </c>
      <c r="EZ33" s="48">
        <f>INDEX('2011'!$E$7:$EN$37,  MATCH(EW33, '2011'!$A$7:$A$37, 0), MATCH(EW15, '2011'!$E$4:$EN$4, 0) )</f>
        <v>958</v>
      </c>
      <c r="FA33" s="48">
        <f>INDEX('2012'!$E$7:$EN$37,  MATCH(EW33, '2012'!$A$7:$A$37, 0), MATCH(EW15, '2012'!$E$4:$EN$4, 0) )</f>
        <v>886</v>
      </c>
      <c r="FB33" s="48">
        <f>INDEX('2013'!$E$7:$EN$37,  MATCH(EW33, '2013'!$A$7:$A$37, 0), MATCH(EW15, '2013'!$E$4:$EN$4, 0) )</f>
        <v>847</v>
      </c>
      <c r="FC33" s="48">
        <f>INDEX('2014'!$E$7:$EN$37,  MATCH(EW33, '2014'!$A$7:$A$37, 0), MATCH(EW15, '2014'!$E$4:$EN$4, 0) )</f>
        <v>771</v>
      </c>
      <c r="FD33" s="48">
        <f>INDEX('2015'!$E$7:$EN$37,  MATCH(EW33, '2015'!$A$7:$A$37, 0), MATCH(EW15, '2015'!$E$4:$EN$4, 0) )</f>
        <v>728</v>
      </c>
      <c r="FE33" s="48">
        <f>INDEX('2016'!$E$7:$EN$37,  MATCH(EW33, '2016'!$A$7:$A$37, 0), MATCH(EW15, '2016'!$E$4:$EN$4, 0) )</f>
        <v>710</v>
      </c>
      <c r="FF33" s="48">
        <f>INDEX('2017'!$E$7:$EN$37,  MATCH(EW33, '2017'!$A$7:$A$37, 0), MATCH(EW15, '2017'!$E$4:$EN$4, 0) )</f>
        <v>669</v>
      </c>
      <c r="FG33" s="48">
        <f>INDEX('2018'!$E$7:$EN$37,  MATCH(EW33, '2018'!$A$7:$A$37, 0), MATCH(EW15, '2018'!$E$4:$EN$4, 0) )</f>
        <v>764</v>
      </c>
      <c r="FH33" s="48">
        <f>INDEX('2019'!$E$7:$EN$37,  MATCH(EW33, '2019'!$A$7:$A$37, 0), MATCH(EW15, '2019'!$E$4:$EN$4, 0) )</f>
        <v>754</v>
      </c>
      <c r="FJ33" s="9">
        <f t="shared" si="100"/>
        <v>33</v>
      </c>
      <c r="FK33" s="21" t="str">
        <f t="shared" si="101"/>
        <v>Rich</v>
      </c>
      <c r="FL33" s="48">
        <f>INDEX('2010'!$E$7:$EN$37,  MATCH(FJ33, '2010'!$A$7:$A$37, 0), MATCH(FJ15, '2010'!$E$4:$EN$4, 0) )</f>
        <v>126</v>
      </c>
      <c r="FM33" s="48">
        <f>INDEX('2011'!$E$7:$EN$37,  MATCH(FJ33, '2011'!$A$7:$A$37, 0), MATCH(FJ15, '2011'!$E$4:$EN$4, 0) )</f>
        <v>116</v>
      </c>
      <c r="FN33" s="48">
        <f>INDEX('2012'!$E$7:$EN$37,  MATCH(FJ33, '2012'!$A$7:$A$37, 0), MATCH(FJ15, '2012'!$E$4:$EN$4, 0) )</f>
        <v>59</v>
      </c>
      <c r="FO33" s="48">
        <f>INDEX('2013'!$E$7:$EN$37,  MATCH(FJ33, '2013'!$A$7:$A$37, 0), MATCH(FJ15, '2013'!$E$4:$EN$4, 0) )</f>
        <v>44</v>
      </c>
      <c r="FP33" s="48">
        <f>INDEX('2014'!$E$7:$EN$37,  MATCH(FJ33, '2014'!$A$7:$A$37, 0), MATCH(FJ15, '2014'!$E$4:$EN$4, 0) )</f>
        <v>17</v>
      </c>
      <c r="FQ33" s="48">
        <f>INDEX('2015'!$E$7:$EN$37,  MATCH(FJ33, '2015'!$A$7:$A$37, 0), MATCH(FJ15, '2015'!$E$4:$EN$4, 0) )</f>
        <v>40</v>
      </c>
      <c r="FR33" s="48">
        <f>INDEX('2016'!$E$7:$EN$37,  MATCH(FJ33, '2016'!$A$7:$A$37, 0), MATCH(FJ15, '2016'!$E$4:$EN$4, 0) )</f>
        <v>58</v>
      </c>
      <c r="FS33" s="48">
        <f>INDEX('2017'!$E$7:$EN$37,  MATCH(FJ33, '2017'!$A$7:$A$37, 0), MATCH(FJ15, '2017'!$E$4:$EN$4, 0) )</f>
        <v>63</v>
      </c>
      <c r="FT33" s="48">
        <f>INDEX('2018'!$E$7:$EN$37,  MATCH(FJ33, '2018'!$A$7:$A$37, 0), MATCH(FJ15, '2018'!$E$4:$EN$4, 0) )</f>
        <v>77</v>
      </c>
      <c r="FU33" s="48">
        <f>INDEX('2019'!$E$7:$EN$37,  MATCH(FJ33, '2019'!$A$7:$A$37, 0), MATCH(FJ15, '2019'!$E$4:$EN$4, 0) )</f>
        <v>96</v>
      </c>
      <c r="FW33" s="9">
        <f t="shared" si="102"/>
        <v>33</v>
      </c>
      <c r="FX33" s="21" t="str">
        <f t="shared" si="103"/>
        <v>Rich</v>
      </c>
      <c r="FY33" s="48">
        <f>INDEX('2010'!$E$7:$EN$37,  MATCH(FW33, '2010'!$A$7:$A$37, 0), MATCH(FW15, '2010'!$E$4:$EN$4, 0) )</f>
        <v>60</v>
      </c>
      <c r="FZ33" s="48">
        <f>INDEX('2011'!$E$7:$EN$37,  MATCH(FW33, '2011'!$A$7:$A$37, 0), MATCH(FW15, '2011'!$E$4:$EN$4, 0) )</f>
        <v>46</v>
      </c>
      <c r="GA33" s="48">
        <f>INDEX('2012'!$E$7:$EN$37,  MATCH(FW33, '2012'!$A$7:$A$37, 0), MATCH(FW15, '2012'!$E$4:$EN$4, 0) )</f>
        <v>28</v>
      </c>
      <c r="GB33" s="48">
        <f>INDEX('2013'!$E$7:$EN$37,  MATCH(FW33, '2013'!$A$7:$A$37, 0), MATCH(FW15, '2013'!$E$4:$EN$4, 0) )</f>
        <v>15</v>
      </c>
      <c r="GC33" s="48">
        <f>INDEX('2014'!$E$7:$EN$37,  MATCH(FW33, '2014'!$A$7:$A$37, 0), MATCH(FW15, '2014'!$E$4:$EN$4, 0) )</f>
        <v>1</v>
      </c>
      <c r="GD33" s="48">
        <f>INDEX('2015'!$E$7:$EN$37,  MATCH(FW33, '2015'!$A$7:$A$37, 0), MATCH(FW15, '2015'!$E$4:$EN$4, 0) )</f>
        <v>22</v>
      </c>
      <c r="GE33" s="48">
        <f>INDEX('2016'!$E$7:$EN$37,  MATCH(FW33, '2016'!$A$7:$A$37, 0), MATCH(FW15, '2016'!$E$4:$EN$4, 0) )</f>
        <v>22</v>
      </c>
      <c r="GF33" s="48">
        <f>INDEX('2017'!$E$7:$EN$37,  MATCH(FW33, '2017'!$A$7:$A$37, 0), MATCH(FW15, '2017'!$E$4:$EN$4, 0) )</f>
        <v>27</v>
      </c>
      <c r="GG33" s="48">
        <f>INDEX('2018'!$E$7:$EN$37,  MATCH(FW33, '2018'!$A$7:$A$37, 0), MATCH(FW15, '2018'!$E$4:$EN$4, 0) )</f>
        <v>51</v>
      </c>
      <c r="GH33" s="48">
        <f>INDEX('2019'!$E$7:$EN$37,  MATCH(FW33, '2019'!$A$7:$A$37, 0), MATCH(FW15, '2019'!$E$4:$EN$4, 0) )</f>
        <v>58</v>
      </c>
      <c r="GJ33" s="9">
        <f t="shared" si="104"/>
        <v>33</v>
      </c>
      <c r="GK33" s="21" t="str">
        <f t="shared" si="105"/>
        <v>Rich</v>
      </c>
      <c r="GL33" s="48">
        <f>INDEX('2010'!$E$7:$EN$37,  MATCH(GJ33, '2010'!$A$7:$A$37, 0), MATCH(GJ15, '2010'!$E$4:$EN$4, 0) )</f>
        <v>27</v>
      </c>
      <c r="GM33" s="48">
        <f>INDEX('2011'!$E$7:$EN$37,  MATCH(GJ33, '2011'!$A$7:$A$37, 0), MATCH(GJ15, '2011'!$E$4:$EN$4, 0) )</f>
        <v>28</v>
      </c>
      <c r="GN33" s="48">
        <f>INDEX('2012'!$E$7:$EN$37,  MATCH(GJ33, '2012'!$A$7:$A$37, 0), MATCH(GJ15, '2012'!$E$4:$EN$4, 0) )</f>
        <v>12</v>
      </c>
      <c r="GO33" s="48">
        <f>INDEX('2013'!$E$7:$EN$37,  MATCH(GJ33, '2013'!$A$7:$A$37, 0), MATCH(GJ15, '2013'!$E$4:$EN$4, 0) )</f>
        <v>9</v>
      </c>
      <c r="GP33" s="48">
        <f>INDEX('2014'!$E$7:$EN$37,  MATCH(GJ33, '2014'!$A$7:$A$37, 0), MATCH(GJ15, '2014'!$E$4:$EN$4, 0) )</f>
        <v>8</v>
      </c>
      <c r="GQ33" s="48">
        <f>INDEX('2015'!$E$7:$EN$37,  MATCH(GJ33, '2015'!$A$7:$A$37, 0), MATCH(GJ15, '2015'!$E$4:$EN$4, 0) )</f>
        <v>12</v>
      </c>
      <c r="GR33" s="48">
        <f>INDEX('2016'!$E$7:$EN$37,  MATCH(GJ33, '2016'!$A$7:$A$37, 0), MATCH(GJ15, '2016'!$E$4:$EN$4, 0) )</f>
        <v>11</v>
      </c>
      <c r="GS33" s="48">
        <f>INDEX('2017'!$E$7:$EN$37,  MATCH(GJ33, '2017'!$A$7:$A$37, 0), MATCH(GJ15, '2017'!$E$4:$EN$4, 0) )</f>
        <v>16</v>
      </c>
      <c r="GT33" s="48">
        <f>INDEX('2018'!$E$7:$EN$37,  MATCH(GJ33, '2018'!$A$7:$A$37, 0), MATCH(GJ15, '2018'!$E$4:$EN$4, 0) )</f>
        <v>13</v>
      </c>
      <c r="GU33" s="48">
        <f>INDEX('2019'!$E$7:$EN$37,  MATCH(GJ33, '2019'!$A$7:$A$37, 0), MATCH(GJ15, '2019'!$E$4:$EN$4, 0) )</f>
        <v>15</v>
      </c>
    </row>
    <row r="34" spans="50:203" x14ac:dyDescent="0.25">
      <c r="CI34" s="15">
        <v>35</v>
      </c>
      <c r="CJ34" s="37" t="str">
        <f t="shared" si="79"/>
        <v>Salt Lake</v>
      </c>
      <c r="CK34" s="44">
        <f t="shared" si="80"/>
        <v>4.2931883777140939E-2</v>
      </c>
      <c r="CL34" s="44">
        <f t="shared" si="81"/>
        <v>4.3507812310356268E-2</v>
      </c>
      <c r="CM34" s="44">
        <f t="shared" si="81"/>
        <v>4.3455383205654799E-2</v>
      </c>
      <c r="CN34" s="44">
        <f t="shared" si="81"/>
        <v>4.4799270072992697E-2</v>
      </c>
      <c r="CO34" s="44">
        <f t="shared" si="81"/>
        <v>4.6272278307471798E-2</v>
      </c>
      <c r="CP34" s="44">
        <f t="shared" si="81"/>
        <v>4.943392229623661E-2</v>
      </c>
      <c r="CQ34" s="44">
        <f t="shared" si="81"/>
        <v>5.1318901487338614E-2</v>
      </c>
      <c r="CR34" s="44">
        <f t="shared" si="81"/>
        <v>5.5654606403053759E-2</v>
      </c>
      <c r="CS34" s="44">
        <f t="shared" si="81"/>
        <v>5.9187541387893047E-2</v>
      </c>
      <c r="CT34" s="44">
        <f t="shared" si="81"/>
        <v>6.2058519817078397E-2</v>
      </c>
      <c r="CV34" s="9">
        <f t="shared" si="82"/>
        <v>350</v>
      </c>
      <c r="CW34" s="21" t="str">
        <f t="shared" si="92"/>
        <v>Salt Lake</v>
      </c>
      <c r="CX34" s="40">
        <f t="shared" si="83"/>
        <v>2.0160525430124525E-2</v>
      </c>
      <c r="CY34" s="40">
        <f t="shared" si="84"/>
        <v>2.0714152783059707E-2</v>
      </c>
      <c r="CZ34" s="40">
        <f t="shared" si="84"/>
        <v>2.1753700810086769E-2</v>
      </c>
      <c r="DA34" s="40">
        <f t="shared" si="84"/>
        <v>2.3663122818152967E-2</v>
      </c>
      <c r="DB34" s="40">
        <f t="shared" si="84"/>
        <v>2.4920935377329097E-2</v>
      </c>
      <c r="DC34" s="40">
        <f t="shared" si="84"/>
        <v>2.7333628382186614E-2</v>
      </c>
      <c r="DD34" s="40">
        <f t="shared" si="84"/>
        <v>2.839816840761417E-2</v>
      </c>
      <c r="DE34" s="40">
        <f t="shared" si="84"/>
        <v>3.0665065095259385E-2</v>
      </c>
      <c r="DF34" s="40">
        <f t="shared" si="84"/>
        <v>3.2427029960882404E-2</v>
      </c>
      <c r="DG34" s="40">
        <f t="shared" si="84"/>
        <v>3.4882723651845166E-2</v>
      </c>
      <c r="DI34" s="9">
        <f t="shared" si="85"/>
        <v>350</v>
      </c>
      <c r="DJ34" s="21" t="str">
        <f t="shared" si="93"/>
        <v>Salt Lake</v>
      </c>
      <c r="DK34" s="40">
        <f t="shared" si="86"/>
        <v>2.2771358347016411E-2</v>
      </c>
      <c r="DL34" s="40">
        <f t="shared" si="87"/>
        <v>2.2793659527296561E-2</v>
      </c>
      <c r="DM34" s="40">
        <f t="shared" si="87"/>
        <v>2.170168239556803E-2</v>
      </c>
      <c r="DN34" s="40">
        <f t="shared" si="87"/>
        <v>2.1136147254839734E-2</v>
      </c>
      <c r="DO34" s="40">
        <f t="shared" si="87"/>
        <v>2.1351342930142705E-2</v>
      </c>
      <c r="DP34" s="40">
        <f t="shared" si="87"/>
        <v>2.2100293914049999E-2</v>
      </c>
      <c r="DQ34" s="40">
        <f t="shared" si="87"/>
        <v>2.2920733079724448E-2</v>
      </c>
      <c r="DR34" s="40">
        <f t="shared" si="87"/>
        <v>2.4989541307794374E-2</v>
      </c>
      <c r="DS34" s="40">
        <f t="shared" si="87"/>
        <v>2.6760511427010639E-2</v>
      </c>
      <c r="DT34" s="40">
        <f t="shared" si="87"/>
        <v>2.7175796165233232E-2</v>
      </c>
      <c r="DV34" s="9">
        <f t="shared" si="88"/>
        <v>350</v>
      </c>
      <c r="DW34" s="21" t="str">
        <f t="shared" si="94"/>
        <v>Salt Lake</v>
      </c>
      <c r="DX34" s="45">
        <f t="shared" si="95"/>
        <v>9884</v>
      </c>
      <c r="DY34" s="45">
        <f t="shared" si="95"/>
        <v>10240</v>
      </c>
      <c r="DZ34" s="45">
        <f t="shared" si="89"/>
        <v>10873</v>
      </c>
      <c r="EA34" s="45">
        <f t="shared" si="89"/>
        <v>11930</v>
      </c>
      <c r="EB34" s="45">
        <f t="shared" si="89"/>
        <v>12797</v>
      </c>
      <c r="EC34" s="45">
        <f t="shared" si="89"/>
        <v>14452</v>
      </c>
      <c r="ED34" s="45">
        <f t="shared" si="89"/>
        <v>15393</v>
      </c>
      <c r="EE34" s="45">
        <f t="shared" si="89"/>
        <v>17079</v>
      </c>
      <c r="EF34" s="45">
        <f t="shared" si="89"/>
        <v>18461</v>
      </c>
      <c r="EG34" s="45">
        <f t="shared" si="89"/>
        <v>20336</v>
      </c>
      <c r="EI34" s="9">
        <f t="shared" si="90"/>
        <v>350</v>
      </c>
      <c r="EJ34" s="21" t="str">
        <f t="shared" si="96"/>
        <v>Salt Lake</v>
      </c>
      <c r="EK34" s="45">
        <f t="shared" si="97"/>
        <v>11164</v>
      </c>
      <c r="EL34" s="45">
        <f t="shared" si="97"/>
        <v>11268</v>
      </c>
      <c r="EM34" s="45">
        <f t="shared" si="91"/>
        <v>10847</v>
      </c>
      <c r="EN34" s="45">
        <f t="shared" si="91"/>
        <v>10656</v>
      </c>
      <c r="EO34" s="45">
        <f t="shared" si="91"/>
        <v>10964</v>
      </c>
      <c r="EP34" s="45">
        <f t="shared" si="91"/>
        <v>11685</v>
      </c>
      <c r="EQ34" s="45">
        <f t="shared" si="91"/>
        <v>12424</v>
      </c>
      <c r="ER34" s="45">
        <f t="shared" si="91"/>
        <v>13918</v>
      </c>
      <c r="ES34" s="45">
        <f t="shared" si="91"/>
        <v>15235</v>
      </c>
      <c r="ET34" s="45">
        <f t="shared" si="91"/>
        <v>15843</v>
      </c>
      <c r="EW34" s="9">
        <f t="shared" si="98"/>
        <v>35</v>
      </c>
      <c r="EX34" s="21" t="str">
        <f t="shared" si="99"/>
        <v>Salt Lake</v>
      </c>
      <c r="EY34" s="48">
        <f>INDEX('2010'!$E$7:$EN$37,  MATCH(EW34, '2010'!$A$7:$A$37, 0), MATCH(EW15, '2010'!$E$4:$EN$4, 0) )</f>
        <v>490265</v>
      </c>
      <c r="EZ34" s="48">
        <f>INDEX('2011'!$E$7:$EN$37,  MATCH(EW34, '2011'!$A$7:$A$37, 0), MATCH(EW15, '2011'!$E$4:$EN$4, 0) )</f>
        <v>494348</v>
      </c>
      <c r="FA34" s="48">
        <f>INDEX('2012'!$E$7:$EN$37,  MATCH(EW34, '2012'!$A$7:$A$37, 0), MATCH(EW15, '2012'!$E$4:$EN$4, 0) )</f>
        <v>499823</v>
      </c>
      <c r="FB34" s="48">
        <f>INDEX('2013'!$E$7:$EN$37,  MATCH(EW34, '2013'!$A$7:$A$37, 0), MATCH(EW15, '2013'!$E$4:$EN$4, 0) )</f>
        <v>504160</v>
      </c>
      <c r="FC34" s="48">
        <f>INDEX('2014'!$E$7:$EN$37,  MATCH(EW34, '2014'!$A$7:$A$37, 0), MATCH(EW15, '2014'!$E$4:$EN$4, 0) )</f>
        <v>513504</v>
      </c>
      <c r="FD34" s="48">
        <f>INDEX('2015'!$E$7:$EN$37,  MATCH(EW34, '2015'!$A$7:$A$37, 0), MATCH(EW15, '2015'!$E$4:$EN$4, 0) )</f>
        <v>528726</v>
      </c>
      <c r="FE34" s="48">
        <f>INDEX('2016'!$E$7:$EN$37,  MATCH(EW34, '2016'!$A$7:$A$37, 0), MATCH(EW15, '2016'!$E$4:$EN$4, 0) )</f>
        <v>542042</v>
      </c>
      <c r="FF34" s="48">
        <f>INDEX('2017'!$E$7:$EN$37,  MATCH(EW34, '2017'!$A$7:$A$37, 0), MATCH(EW15, '2017'!$E$4:$EN$4, 0) )</f>
        <v>556953</v>
      </c>
      <c r="FG34" s="48">
        <f>INDEX('2018'!$E$7:$EN$37,  MATCH(EW34, '2018'!$A$7:$A$37, 0), MATCH(EW15, '2018'!$E$4:$EN$4, 0) )</f>
        <v>569309</v>
      </c>
      <c r="FH34" s="48">
        <f>INDEX('2019'!$E$7:$EN$37,  MATCH(EW34, '2019'!$A$7:$A$37, 0), MATCH(EW15, '2019'!$E$4:$EN$4, 0) )</f>
        <v>582982</v>
      </c>
      <c r="FJ34" s="9">
        <f t="shared" si="100"/>
        <v>35</v>
      </c>
      <c r="FK34" s="21" t="str">
        <f t="shared" si="101"/>
        <v>Salt Lake</v>
      </c>
      <c r="FL34" s="48">
        <f>INDEX('2010'!$E$7:$EN$37,  MATCH(FJ34, '2010'!$A$7:$A$37, 0), MATCH(FJ15, '2010'!$E$4:$EN$4, 0) )</f>
        <v>21048</v>
      </c>
      <c r="FM34" s="48">
        <f>INDEX('2011'!$E$7:$EN$37,  MATCH(FJ34, '2011'!$A$7:$A$37, 0), MATCH(FJ15, '2011'!$E$4:$EN$4, 0) )</f>
        <v>21508</v>
      </c>
      <c r="FN34" s="48">
        <f>INDEX('2012'!$E$7:$EN$37,  MATCH(FJ34, '2012'!$A$7:$A$37, 0), MATCH(FJ15, '2012'!$E$4:$EN$4, 0) )</f>
        <v>21720</v>
      </c>
      <c r="FO34" s="48">
        <f>INDEX('2013'!$E$7:$EN$37,  MATCH(FJ34, '2013'!$A$7:$A$37, 0), MATCH(FJ15, '2013'!$E$4:$EN$4, 0) )</f>
        <v>22586</v>
      </c>
      <c r="FP34" s="48">
        <f>INDEX('2014'!$E$7:$EN$37,  MATCH(FJ34, '2014'!$A$7:$A$37, 0), MATCH(FJ15, '2014'!$E$4:$EN$4, 0) )</f>
        <v>23761</v>
      </c>
      <c r="FQ34" s="48">
        <f>INDEX('2015'!$E$7:$EN$37,  MATCH(FJ34, '2015'!$A$7:$A$37, 0), MATCH(FJ15, '2015'!$E$4:$EN$4, 0) )</f>
        <v>26137</v>
      </c>
      <c r="FR34" s="48">
        <f>INDEX('2016'!$E$7:$EN$37,  MATCH(FJ34, '2016'!$A$7:$A$37, 0), MATCH(FJ15, '2016'!$E$4:$EN$4, 0) )</f>
        <v>27817</v>
      </c>
      <c r="FS34" s="48">
        <f>INDEX('2017'!$E$7:$EN$37,  MATCH(FJ34, '2017'!$A$7:$A$37, 0), MATCH(FJ15, '2017'!$E$4:$EN$4, 0) )</f>
        <v>30997</v>
      </c>
      <c r="FT34" s="48">
        <f>INDEX('2018'!$E$7:$EN$37,  MATCH(FJ34, '2018'!$A$7:$A$37, 0), MATCH(FJ15, '2018'!$E$4:$EN$4, 0) )</f>
        <v>33696</v>
      </c>
      <c r="FU34" s="48">
        <f>INDEX('2019'!$E$7:$EN$37,  MATCH(FJ34, '2019'!$A$7:$A$37, 0), MATCH(FJ15, '2019'!$E$4:$EN$4, 0) )</f>
        <v>36179</v>
      </c>
      <c r="FW34" s="9">
        <f t="shared" si="102"/>
        <v>35</v>
      </c>
      <c r="FX34" s="21" t="str">
        <f t="shared" si="103"/>
        <v>Salt Lake</v>
      </c>
      <c r="FY34" s="48">
        <f>INDEX('2010'!$E$7:$EN$37,  MATCH(FW34, '2010'!$A$7:$A$37, 0), MATCH(FW15, '2010'!$E$4:$EN$4, 0) )</f>
        <v>3397</v>
      </c>
      <c r="FZ34" s="48">
        <f>INDEX('2011'!$E$7:$EN$37,  MATCH(FW34, '2011'!$A$7:$A$37, 0), MATCH(FW15, '2011'!$E$4:$EN$4, 0) )</f>
        <v>3406</v>
      </c>
      <c r="GA34" s="48">
        <f>INDEX('2012'!$E$7:$EN$37,  MATCH(FW34, '2012'!$A$7:$A$37, 0), MATCH(FW15, '2012'!$E$4:$EN$4, 0) )</f>
        <v>3293</v>
      </c>
      <c r="GB34" s="48">
        <f>INDEX('2013'!$E$7:$EN$37,  MATCH(FW34, '2013'!$A$7:$A$37, 0), MATCH(FW15, '2013'!$E$4:$EN$4, 0) )</f>
        <v>3194</v>
      </c>
      <c r="GC34" s="48">
        <f>INDEX('2014'!$E$7:$EN$37,  MATCH(FW34, '2014'!$A$7:$A$37, 0), MATCH(FW15, '2014'!$E$4:$EN$4, 0) )</f>
        <v>3560</v>
      </c>
      <c r="GD34" s="48">
        <f>INDEX('2015'!$E$7:$EN$37,  MATCH(FW34, '2015'!$A$7:$A$37, 0), MATCH(FW15, '2015'!$E$4:$EN$4, 0) )</f>
        <v>4111</v>
      </c>
      <c r="GE34" s="48">
        <f>INDEX('2016'!$E$7:$EN$37,  MATCH(FW34, '2016'!$A$7:$A$37, 0), MATCH(FW15, '2016'!$E$4:$EN$4, 0) )</f>
        <v>4474</v>
      </c>
      <c r="GF34" s="48">
        <f>INDEX('2017'!$E$7:$EN$37,  MATCH(FW34, '2017'!$A$7:$A$37, 0), MATCH(FW15, '2017'!$E$4:$EN$4, 0) )</f>
        <v>5127</v>
      </c>
      <c r="GG34" s="48">
        <f>INDEX('2018'!$E$7:$EN$37,  MATCH(FW34, '2018'!$A$7:$A$37, 0), MATCH(FW15, '2018'!$E$4:$EN$4, 0) )</f>
        <v>5687</v>
      </c>
      <c r="GH34" s="48">
        <f>INDEX('2019'!$E$7:$EN$37,  MATCH(FW34, '2019'!$A$7:$A$37, 0), MATCH(FW15, '2019'!$E$4:$EN$4, 0) )</f>
        <v>5565</v>
      </c>
      <c r="GJ34" s="9">
        <f t="shared" si="104"/>
        <v>35</v>
      </c>
      <c r="GK34" s="21" t="str">
        <f t="shared" si="105"/>
        <v>Salt Lake</v>
      </c>
      <c r="GL34" s="48">
        <f>INDEX('2010'!$E$7:$EN$37,  MATCH(GJ34, '2010'!$A$7:$A$37, 0), MATCH(GJ15, '2010'!$E$4:$EN$4, 0) )</f>
        <v>7767</v>
      </c>
      <c r="GM34" s="48">
        <f>INDEX('2011'!$E$7:$EN$37,  MATCH(GJ34, '2011'!$A$7:$A$37, 0), MATCH(GJ15, '2011'!$E$4:$EN$4, 0) )</f>
        <v>7862</v>
      </c>
      <c r="GN34" s="48">
        <f>INDEX('2012'!$E$7:$EN$37,  MATCH(GJ34, '2012'!$A$7:$A$37, 0), MATCH(GJ15, '2012'!$E$4:$EN$4, 0) )</f>
        <v>7554</v>
      </c>
      <c r="GO34" s="48">
        <f>INDEX('2013'!$E$7:$EN$37,  MATCH(GJ34, '2013'!$A$7:$A$37, 0), MATCH(GJ15, '2013'!$E$4:$EN$4, 0) )</f>
        <v>7462</v>
      </c>
      <c r="GP34" s="48">
        <f>INDEX('2014'!$E$7:$EN$37,  MATCH(GJ34, '2014'!$A$7:$A$37, 0), MATCH(GJ15, '2014'!$E$4:$EN$4, 0) )</f>
        <v>7404</v>
      </c>
      <c r="GQ34" s="48">
        <f>INDEX('2015'!$E$7:$EN$37,  MATCH(GJ34, '2015'!$A$7:$A$37, 0), MATCH(GJ15, '2015'!$E$4:$EN$4, 0) )</f>
        <v>7574</v>
      </c>
      <c r="GR34" s="48">
        <f>INDEX('2016'!$E$7:$EN$37,  MATCH(GJ34, '2016'!$A$7:$A$37, 0), MATCH(GJ15, '2016'!$E$4:$EN$4, 0) )</f>
        <v>7950</v>
      </c>
      <c r="GS34" s="48">
        <f>INDEX('2017'!$E$7:$EN$37,  MATCH(GJ34, '2017'!$A$7:$A$37, 0), MATCH(GJ15, '2017'!$E$4:$EN$4, 0) )</f>
        <v>8791</v>
      </c>
      <c r="GT34" s="48">
        <f>INDEX('2018'!$E$7:$EN$37,  MATCH(GJ34, '2018'!$A$7:$A$37, 0), MATCH(GJ15, '2018'!$E$4:$EN$4, 0) )</f>
        <v>9548</v>
      </c>
      <c r="GU34" s="48">
        <f>INDEX('2019'!$E$7:$EN$37,  MATCH(GJ34, '2019'!$A$7:$A$37, 0), MATCH(GJ15, '2019'!$E$4:$EN$4, 0) )</f>
        <v>10278</v>
      </c>
    </row>
    <row r="35" spans="50:203" x14ac:dyDescent="0.25">
      <c r="AX35" s="15">
        <v>1049</v>
      </c>
      <c r="AY35" s="37" t="str">
        <f>VLOOKUP(AX35, lu_CoName, 2, FALSE)</f>
        <v>State of Utah</v>
      </c>
      <c r="AZ35" s="10"/>
      <c r="BA35" s="10"/>
      <c r="BB35" s="10"/>
      <c r="BC35" s="10"/>
      <c r="BD35" s="10"/>
      <c r="BE35" s="10"/>
      <c r="BF35" s="10"/>
      <c r="BG35" s="10"/>
      <c r="BH35" s="10"/>
      <c r="BI35" s="10"/>
      <c r="CI35" s="15">
        <v>37</v>
      </c>
      <c r="CJ35" s="37" t="str">
        <f t="shared" si="79"/>
        <v>San Juan</v>
      </c>
      <c r="CK35" s="44">
        <f t="shared" si="80"/>
        <v>6.3428342031312729E-2</v>
      </c>
      <c r="CL35" s="44">
        <f t="shared" si="81"/>
        <v>7.1007163927517908E-2</v>
      </c>
      <c r="CM35" s="44">
        <f t="shared" si="81"/>
        <v>6.9731203739774053E-2</v>
      </c>
      <c r="CN35" s="44">
        <f t="shared" si="81"/>
        <v>8.0245649948822925E-2</v>
      </c>
      <c r="CO35" s="44">
        <f t="shared" si="81"/>
        <v>6.9357955765514276E-2</v>
      </c>
      <c r="CP35" s="44">
        <f t="shared" si="81"/>
        <v>7.1122011036174132E-2</v>
      </c>
      <c r="CQ35" s="44">
        <f t="shared" si="81"/>
        <v>9.6786833855799365E-2</v>
      </c>
      <c r="CR35" s="44">
        <f t="shared" si="81"/>
        <v>9.2112950340798444E-2</v>
      </c>
      <c r="CS35" s="44">
        <f t="shared" si="81"/>
        <v>9.7456041900486345E-2</v>
      </c>
      <c r="CT35" s="44">
        <f t="shared" si="81"/>
        <v>9.6895074946466819E-2</v>
      </c>
      <c r="CV35" s="9">
        <f t="shared" si="82"/>
        <v>370</v>
      </c>
      <c r="CW35" s="21" t="str">
        <f t="shared" si="92"/>
        <v>San Juan</v>
      </c>
      <c r="CX35" s="40">
        <f t="shared" si="83"/>
        <v>3.0911280610196708E-2</v>
      </c>
      <c r="CY35" s="40">
        <f t="shared" si="84"/>
        <v>3.1184155077960386E-2</v>
      </c>
      <c r="CZ35" s="40">
        <f t="shared" si="84"/>
        <v>3.5644721464744837E-2</v>
      </c>
      <c r="DA35" s="40">
        <f t="shared" si="84"/>
        <v>4.2169907881269189E-2</v>
      </c>
      <c r="DB35" s="40">
        <f t="shared" si="84"/>
        <v>3.5215804165771955E-2</v>
      </c>
      <c r="DC35" s="40">
        <f t="shared" si="84"/>
        <v>3.0247292049867158E-2</v>
      </c>
      <c r="DD35" s="40">
        <f t="shared" si="84"/>
        <v>3.4482758620689655E-2</v>
      </c>
      <c r="DE35" s="40">
        <f t="shared" si="84"/>
        <v>3.1742940603700094E-2</v>
      </c>
      <c r="DF35" s="40">
        <f t="shared" si="84"/>
        <v>2.8619528619528621E-2</v>
      </c>
      <c r="DG35" s="40">
        <f t="shared" si="84"/>
        <v>2.7480371163454677E-2</v>
      </c>
      <c r="DI35" s="9">
        <f t="shared" si="85"/>
        <v>370</v>
      </c>
      <c r="DJ35" s="21" t="str">
        <f t="shared" si="93"/>
        <v>San Juan</v>
      </c>
      <c r="DK35" s="40">
        <f t="shared" si="86"/>
        <v>3.2517061421116017E-2</v>
      </c>
      <c r="DL35" s="40">
        <f t="shared" si="87"/>
        <v>3.9823008849557522E-2</v>
      </c>
      <c r="DM35" s="40">
        <f t="shared" si="87"/>
        <v>3.4086482275029216E-2</v>
      </c>
      <c r="DN35" s="40">
        <f t="shared" si="87"/>
        <v>3.8075742067553736E-2</v>
      </c>
      <c r="DO35" s="40">
        <f t="shared" si="87"/>
        <v>3.4142151599742321E-2</v>
      </c>
      <c r="DP35" s="40">
        <f t="shared" si="87"/>
        <v>4.0874718986306971E-2</v>
      </c>
      <c r="DQ35" s="40">
        <f t="shared" si="87"/>
        <v>6.2304075235109717E-2</v>
      </c>
      <c r="DR35" s="40">
        <f t="shared" si="87"/>
        <v>6.0370009737098343E-2</v>
      </c>
      <c r="DS35" s="40">
        <f t="shared" si="87"/>
        <v>6.8836513280957731E-2</v>
      </c>
      <c r="DT35" s="40">
        <f t="shared" si="87"/>
        <v>6.9414703783012136E-2</v>
      </c>
      <c r="DV35" s="9">
        <f t="shared" si="88"/>
        <v>370</v>
      </c>
      <c r="DW35" s="21" t="str">
        <f t="shared" si="94"/>
        <v>San Juan</v>
      </c>
      <c r="DX35" s="45">
        <f t="shared" si="95"/>
        <v>154</v>
      </c>
      <c r="DY35" s="45">
        <f t="shared" si="95"/>
        <v>148</v>
      </c>
      <c r="DZ35" s="45">
        <f t="shared" si="89"/>
        <v>183</v>
      </c>
      <c r="EA35" s="45">
        <f t="shared" si="89"/>
        <v>206</v>
      </c>
      <c r="EB35" s="45">
        <f t="shared" si="89"/>
        <v>164</v>
      </c>
      <c r="EC35" s="45">
        <f t="shared" si="89"/>
        <v>148</v>
      </c>
      <c r="ED35" s="45">
        <f t="shared" si="89"/>
        <v>176</v>
      </c>
      <c r="EE35" s="45">
        <f t="shared" si="89"/>
        <v>163</v>
      </c>
      <c r="EF35" s="45">
        <f t="shared" si="89"/>
        <v>153</v>
      </c>
      <c r="EG35" s="45">
        <f t="shared" si="89"/>
        <v>154</v>
      </c>
      <c r="EI35" s="9">
        <f t="shared" si="90"/>
        <v>370</v>
      </c>
      <c r="EJ35" s="21" t="str">
        <f t="shared" si="96"/>
        <v>San Juan</v>
      </c>
      <c r="EK35" s="45">
        <f t="shared" si="97"/>
        <v>162</v>
      </c>
      <c r="EL35" s="45">
        <f t="shared" si="97"/>
        <v>189</v>
      </c>
      <c r="EM35" s="45">
        <f t="shared" si="91"/>
        <v>175</v>
      </c>
      <c r="EN35" s="45">
        <f t="shared" si="91"/>
        <v>186</v>
      </c>
      <c r="EO35" s="45">
        <f t="shared" si="91"/>
        <v>159</v>
      </c>
      <c r="EP35" s="45">
        <f t="shared" si="91"/>
        <v>200</v>
      </c>
      <c r="EQ35" s="45">
        <f t="shared" si="91"/>
        <v>318</v>
      </c>
      <c r="ER35" s="45">
        <f t="shared" si="91"/>
        <v>310</v>
      </c>
      <c r="ES35" s="45">
        <f t="shared" si="91"/>
        <v>368</v>
      </c>
      <c r="ET35" s="45">
        <f t="shared" si="91"/>
        <v>389</v>
      </c>
      <c r="EW35" s="9">
        <f t="shared" si="98"/>
        <v>37</v>
      </c>
      <c r="EX35" s="21" t="str">
        <f t="shared" si="99"/>
        <v>San Juan</v>
      </c>
      <c r="EY35" s="48">
        <f>INDEX('2010'!$E$7:$EN$37,  MATCH(EW35, '2010'!$A$7:$A$37, 0), MATCH(EW15, '2010'!$E$4:$EN$4, 0) )</f>
        <v>4982</v>
      </c>
      <c r="EZ35" s="48">
        <f>INDEX('2011'!$E$7:$EN$37,  MATCH(EW35, '2011'!$A$7:$A$37, 0), MATCH(EW15, '2011'!$E$4:$EN$4, 0) )</f>
        <v>4746</v>
      </c>
      <c r="FA35" s="48">
        <f>INDEX('2012'!$E$7:$EN$37,  MATCH(EW35, '2012'!$A$7:$A$37, 0), MATCH(EW15, '2012'!$E$4:$EN$4, 0) )</f>
        <v>5134</v>
      </c>
      <c r="FB35" s="48">
        <f>INDEX('2013'!$E$7:$EN$37,  MATCH(EW35, '2013'!$A$7:$A$37, 0), MATCH(EW15, '2013'!$E$4:$EN$4, 0) )</f>
        <v>4885</v>
      </c>
      <c r="FC35" s="48">
        <f>INDEX('2014'!$E$7:$EN$37,  MATCH(EW35, '2014'!$A$7:$A$37, 0), MATCH(EW15, '2014'!$E$4:$EN$4, 0) )</f>
        <v>4657</v>
      </c>
      <c r="FD35" s="48">
        <f>INDEX('2015'!$E$7:$EN$37,  MATCH(EW35, '2015'!$A$7:$A$37, 0), MATCH(EW15, '2015'!$E$4:$EN$4, 0) )</f>
        <v>4893</v>
      </c>
      <c r="FE35" s="48">
        <f>INDEX('2016'!$E$7:$EN$37,  MATCH(EW35, '2016'!$A$7:$A$37, 0), MATCH(EW15, '2016'!$E$4:$EN$4, 0) )</f>
        <v>5104</v>
      </c>
      <c r="FF35" s="48">
        <f>INDEX('2017'!$E$7:$EN$37,  MATCH(EW35, '2017'!$A$7:$A$37, 0), MATCH(EW15, '2017'!$E$4:$EN$4, 0) )</f>
        <v>5135</v>
      </c>
      <c r="FG35" s="48">
        <f>INDEX('2018'!$E$7:$EN$37,  MATCH(EW35, '2018'!$A$7:$A$37, 0), MATCH(EW15, '2018'!$E$4:$EN$4, 0) )</f>
        <v>5346</v>
      </c>
      <c r="FH35" s="48">
        <f>INDEX('2019'!$E$7:$EN$37,  MATCH(EW35, '2019'!$A$7:$A$37, 0), MATCH(EW15, '2019'!$E$4:$EN$4, 0) )</f>
        <v>5604</v>
      </c>
      <c r="FJ35" s="9">
        <f t="shared" si="100"/>
        <v>37</v>
      </c>
      <c r="FK35" s="21" t="str">
        <f t="shared" si="101"/>
        <v>San Juan</v>
      </c>
      <c r="FL35" s="48">
        <f>INDEX('2010'!$E$7:$EN$37,  MATCH(FJ35, '2010'!$A$7:$A$37, 0), MATCH(FJ15, '2010'!$E$4:$EN$4, 0) )</f>
        <v>316</v>
      </c>
      <c r="FM35" s="48">
        <f>INDEX('2011'!$E$7:$EN$37,  MATCH(FJ35, '2011'!$A$7:$A$37, 0), MATCH(FJ15, '2011'!$E$4:$EN$4, 0) )</f>
        <v>337</v>
      </c>
      <c r="FN35" s="48">
        <f>INDEX('2012'!$E$7:$EN$37,  MATCH(FJ35, '2012'!$A$7:$A$37, 0), MATCH(FJ15, '2012'!$E$4:$EN$4, 0) )</f>
        <v>358</v>
      </c>
      <c r="FO35" s="48">
        <f>INDEX('2013'!$E$7:$EN$37,  MATCH(FJ35, '2013'!$A$7:$A$37, 0), MATCH(FJ15, '2013'!$E$4:$EN$4, 0) )</f>
        <v>392</v>
      </c>
      <c r="FP35" s="48">
        <f>INDEX('2014'!$E$7:$EN$37,  MATCH(FJ35, '2014'!$A$7:$A$37, 0), MATCH(FJ15, '2014'!$E$4:$EN$4, 0) )</f>
        <v>323</v>
      </c>
      <c r="FQ35" s="48">
        <f>INDEX('2015'!$E$7:$EN$37,  MATCH(FJ35, '2015'!$A$7:$A$37, 0), MATCH(FJ15, '2015'!$E$4:$EN$4, 0) )</f>
        <v>348</v>
      </c>
      <c r="FR35" s="48">
        <f>INDEX('2016'!$E$7:$EN$37,  MATCH(FJ35, '2016'!$A$7:$A$37, 0), MATCH(FJ15, '2016'!$E$4:$EN$4, 0) )</f>
        <v>494</v>
      </c>
      <c r="FS35" s="48">
        <f>INDEX('2017'!$E$7:$EN$37,  MATCH(FJ35, '2017'!$A$7:$A$37, 0), MATCH(FJ15, '2017'!$E$4:$EN$4, 0) )</f>
        <v>473</v>
      </c>
      <c r="FT35" s="48">
        <f>INDEX('2018'!$E$7:$EN$37,  MATCH(FJ35, '2018'!$A$7:$A$37, 0), MATCH(FJ15, '2018'!$E$4:$EN$4, 0) )</f>
        <v>521</v>
      </c>
      <c r="FU35" s="48">
        <f>INDEX('2019'!$E$7:$EN$37,  MATCH(FJ35, '2019'!$A$7:$A$37, 0), MATCH(FJ15, '2019'!$E$4:$EN$4, 0) )</f>
        <v>543</v>
      </c>
      <c r="FW35" s="9">
        <f t="shared" si="102"/>
        <v>37</v>
      </c>
      <c r="FX35" s="21" t="str">
        <f t="shared" si="103"/>
        <v>San Juan</v>
      </c>
      <c r="FY35" s="48">
        <f>INDEX('2010'!$E$7:$EN$37,  MATCH(FW35, '2010'!$A$7:$A$37, 0), MATCH(FW15, '2010'!$E$4:$EN$4, 0) )</f>
        <v>55</v>
      </c>
      <c r="FZ35" s="48">
        <f>INDEX('2011'!$E$7:$EN$37,  MATCH(FW35, '2011'!$A$7:$A$37, 0), MATCH(FW15, '2011'!$E$4:$EN$4, 0) )</f>
        <v>52</v>
      </c>
      <c r="GA35" s="48">
        <f>INDEX('2012'!$E$7:$EN$37,  MATCH(FW35, '2012'!$A$7:$A$37, 0), MATCH(FW15, '2012'!$E$4:$EN$4, 0) )</f>
        <v>48</v>
      </c>
      <c r="GB35" s="48">
        <f>INDEX('2013'!$E$7:$EN$37,  MATCH(FW35, '2013'!$A$7:$A$37, 0), MATCH(FW15, '2013'!$E$4:$EN$4, 0) )</f>
        <v>34</v>
      </c>
      <c r="GC35" s="48">
        <f>INDEX('2014'!$E$7:$EN$37,  MATCH(FW35, '2014'!$A$7:$A$37, 0), MATCH(FW15, '2014'!$E$4:$EN$4, 0) )</f>
        <v>51</v>
      </c>
      <c r="GD35" s="48">
        <f>INDEX('2015'!$E$7:$EN$37,  MATCH(FW35, '2015'!$A$7:$A$37, 0), MATCH(FW15, '2015'!$E$4:$EN$4, 0) )</f>
        <v>50</v>
      </c>
      <c r="GE35" s="48">
        <f>INDEX('2016'!$E$7:$EN$37,  MATCH(FW35, '2016'!$A$7:$A$37, 0), MATCH(FW15, '2016'!$E$4:$EN$4, 0) )</f>
        <v>97</v>
      </c>
      <c r="GF35" s="48">
        <f>INDEX('2017'!$E$7:$EN$37,  MATCH(FW35, '2017'!$A$7:$A$37, 0), MATCH(FW15, '2017'!$E$4:$EN$4, 0) )</f>
        <v>67</v>
      </c>
      <c r="GG35" s="48">
        <f>INDEX('2018'!$E$7:$EN$37,  MATCH(FW35, '2018'!$A$7:$A$37, 0), MATCH(FW15, '2018'!$E$4:$EN$4, 0) )</f>
        <v>96</v>
      </c>
      <c r="GH35" s="48">
        <f>INDEX('2019'!$E$7:$EN$37,  MATCH(FW35, '2019'!$A$7:$A$37, 0), MATCH(FW15, '2019'!$E$4:$EN$4, 0) )</f>
        <v>81</v>
      </c>
      <c r="GJ35" s="9">
        <f t="shared" si="104"/>
        <v>37</v>
      </c>
      <c r="GK35" s="21" t="str">
        <f t="shared" si="105"/>
        <v>San Juan</v>
      </c>
      <c r="GL35" s="48">
        <f>INDEX('2010'!$E$7:$EN$37,  MATCH(GJ35, '2010'!$A$7:$A$37, 0), MATCH(GJ15, '2010'!$E$4:$EN$4, 0) )</f>
        <v>107</v>
      </c>
      <c r="GM35" s="48">
        <f>INDEX('2011'!$E$7:$EN$37,  MATCH(GJ35, '2011'!$A$7:$A$37, 0), MATCH(GJ15, '2011'!$E$4:$EN$4, 0) )</f>
        <v>137</v>
      </c>
      <c r="GN35" s="48">
        <f>INDEX('2012'!$E$7:$EN$37,  MATCH(GJ35, '2012'!$A$7:$A$37, 0), MATCH(GJ15, '2012'!$E$4:$EN$4, 0) )</f>
        <v>127</v>
      </c>
      <c r="GO35" s="48">
        <f>INDEX('2013'!$E$7:$EN$37,  MATCH(GJ35, '2013'!$A$7:$A$37, 0), MATCH(GJ15, '2013'!$E$4:$EN$4, 0) )</f>
        <v>152</v>
      </c>
      <c r="GP35" s="48">
        <f>INDEX('2014'!$E$7:$EN$37,  MATCH(GJ35, '2014'!$A$7:$A$37, 0), MATCH(GJ15, '2014'!$E$4:$EN$4, 0) )</f>
        <v>108</v>
      </c>
      <c r="GQ35" s="48">
        <f>INDEX('2015'!$E$7:$EN$37,  MATCH(GJ35, '2015'!$A$7:$A$37, 0), MATCH(GJ15, '2015'!$E$4:$EN$4, 0) )</f>
        <v>150</v>
      </c>
      <c r="GR35" s="48">
        <f>INDEX('2016'!$E$7:$EN$37,  MATCH(GJ35, '2016'!$A$7:$A$37, 0), MATCH(GJ15, '2016'!$E$4:$EN$4, 0) )</f>
        <v>221</v>
      </c>
      <c r="GS35" s="48">
        <f>INDEX('2017'!$E$7:$EN$37,  MATCH(GJ35, '2017'!$A$7:$A$37, 0), MATCH(GJ15, '2017'!$E$4:$EN$4, 0) )</f>
        <v>243</v>
      </c>
      <c r="GT35" s="48">
        <f>INDEX('2018'!$E$7:$EN$37,  MATCH(GJ35, '2018'!$A$7:$A$37, 0), MATCH(GJ15, '2018'!$E$4:$EN$4, 0) )</f>
        <v>272</v>
      </c>
      <c r="GU35" s="48">
        <f>INDEX('2019'!$E$7:$EN$37,  MATCH(GJ35, '2019'!$A$7:$A$37, 0), MATCH(GJ15, '2019'!$E$4:$EN$4, 0) )</f>
        <v>308</v>
      </c>
    </row>
    <row r="36" spans="50:203" x14ac:dyDescent="0.25">
      <c r="AX36" s="10"/>
      <c r="AY36" s="38"/>
      <c r="AZ36" s="2">
        <v>2010</v>
      </c>
      <c r="BA36" s="2">
        <v>2011</v>
      </c>
      <c r="BB36" s="2">
        <v>2012</v>
      </c>
      <c r="BC36" s="2">
        <v>2013</v>
      </c>
      <c r="BD36" s="2">
        <v>2014</v>
      </c>
      <c r="BE36" s="2">
        <v>2015</v>
      </c>
      <c r="BF36" s="2">
        <v>2016</v>
      </c>
      <c r="BG36" s="2">
        <v>2017</v>
      </c>
      <c r="BH36" s="2">
        <v>2018</v>
      </c>
      <c r="BI36" s="2">
        <v>2019</v>
      </c>
      <c r="CI36" s="15">
        <v>39</v>
      </c>
      <c r="CJ36" s="37" t="str">
        <f t="shared" si="79"/>
        <v>Sanpete</v>
      </c>
      <c r="CK36" s="44">
        <f t="shared" si="80"/>
        <v>6.835169158143195E-2</v>
      </c>
      <c r="CL36" s="44">
        <f t="shared" si="81"/>
        <v>6.0085410666401828E-2</v>
      </c>
      <c r="CM36" s="44">
        <f t="shared" si="81"/>
        <v>5.9900990099009899E-2</v>
      </c>
      <c r="CN36" s="44">
        <f t="shared" si="81"/>
        <v>6.4593301435406703E-2</v>
      </c>
      <c r="CO36" s="44">
        <f t="shared" si="81"/>
        <v>6.6989019844867534E-2</v>
      </c>
      <c r="CP36" s="44">
        <f t="shared" si="81"/>
        <v>5.7544498381877023E-2</v>
      </c>
      <c r="CQ36" s="44">
        <f t="shared" si="81"/>
        <v>5.8199015539040638E-2</v>
      </c>
      <c r="CR36" s="44">
        <f t="shared" si="81"/>
        <v>7.1839351371735652E-2</v>
      </c>
      <c r="CS36" s="44">
        <f t="shared" si="81"/>
        <v>6.9450708036439074E-2</v>
      </c>
      <c r="CT36" s="44">
        <f t="shared" si="81"/>
        <v>7.9326923076923073E-2</v>
      </c>
      <c r="CV36" s="9">
        <f t="shared" si="82"/>
        <v>390</v>
      </c>
      <c r="CW36" s="21" t="str">
        <f t="shared" si="92"/>
        <v>Sanpete</v>
      </c>
      <c r="CX36" s="40">
        <f t="shared" si="83"/>
        <v>2.9405979543666406E-2</v>
      </c>
      <c r="CY36" s="40">
        <f t="shared" si="84"/>
        <v>2.7311550302909923E-2</v>
      </c>
      <c r="CZ36" s="40">
        <f t="shared" si="84"/>
        <v>2.4257425742574258E-2</v>
      </c>
      <c r="DA36" s="40">
        <f t="shared" si="84"/>
        <v>2.4421850079744817E-2</v>
      </c>
      <c r="DB36" s="40">
        <f t="shared" si="84"/>
        <v>2.4780900574191599E-2</v>
      </c>
      <c r="DC36" s="40">
        <f t="shared" si="84"/>
        <v>2.285598705501618E-2</v>
      </c>
      <c r="DD36" s="40">
        <f t="shared" si="84"/>
        <v>2.2391661036579479E-2</v>
      </c>
      <c r="DE36" s="40">
        <f t="shared" si="84"/>
        <v>2.7246158197416801E-2</v>
      </c>
      <c r="DF36" s="40">
        <f t="shared" si="84"/>
        <v>2.6788130242626499E-2</v>
      </c>
      <c r="DG36" s="40">
        <f t="shared" si="84"/>
        <v>3.2709478021978024E-2</v>
      </c>
      <c r="DI36" s="9">
        <f t="shared" si="85"/>
        <v>390</v>
      </c>
      <c r="DJ36" s="21" t="str">
        <f t="shared" si="93"/>
        <v>Sanpete</v>
      </c>
      <c r="DK36" s="40">
        <f t="shared" si="86"/>
        <v>3.8945712037765541E-2</v>
      </c>
      <c r="DL36" s="40">
        <f t="shared" si="87"/>
        <v>3.2773860363491905E-2</v>
      </c>
      <c r="DM36" s="40">
        <f t="shared" si="87"/>
        <v>3.5643564356435641E-2</v>
      </c>
      <c r="DN36" s="40">
        <f t="shared" si="87"/>
        <v>4.0171451355661879E-2</v>
      </c>
      <c r="DO36" s="40">
        <f t="shared" si="87"/>
        <v>4.2208119270675935E-2</v>
      </c>
      <c r="DP36" s="40">
        <f t="shared" si="87"/>
        <v>3.4688511326860842E-2</v>
      </c>
      <c r="DQ36" s="40">
        <f t="shared" si="87"/>
        <v>3.5807354502461156E-2</v>
      </c>
      <c r="DR36" s="40">
        <f t="shared" si="87"/>
        <v>4.4593193174318847E-2</v>
      </c>
      <c r="DS36" s="40">
        <f t="shared" si="87"/>
        <v>4.2662577793812571E-2</v>
      </c>
      <c r="DT36" s="40">
        <f t="shared" si="87"/>
        <v>4.6617445054945056E-2</v>
      </c>
      <c r="DV36" s="9">
        <f t="shared" si="88"/>
        <v>390</v>
      </c>
      <c r="DW36" s="21" t="str">
        <f t="shared" si="94"/>
        <v>Sanpete</v>
      </c>
      <c r="DX36" s="45">
        <f t="shared" si="95"/>
        <v>299</v>
      </c>
      <c r="DY36" s="45">
        <f t="shared" si="95"/>
        <v>275</v>
      </c>
      <c r="DZ36" s="45">
        <f t="shared" si="89"/>
        <v>245</v>
      </c>
      <c r="EA36" s="45">
        <f t="shared" si="89"/>
        <v>245</v>
      </c>
      <c r="EB36" s="45">
        <f t="shared" si="89"/>
        <v>246</v>
      </c>
      <c r="EC36" s="45">
        <f t="shared" si="89"/>
        <v>226</v>
      </c>
      <c r="ED36" s="45">
        <f t="shared" si="89"/>
        <v>232</v>
      </c>
      <c r="EE36" s="45">
        <f t="shared" si="89"/>
        <v>289</v>
      </c>
      <c r="EF36" s="45">
        <f t="shared" si="89"/>
        <v>297</v>
      </c>
      <c r="EG36" s="45">
        <f t="shared" si="89"/>
        <v>381</v>
      </c>
      <c r="EI36" s="9">
        <f t="shared" si="90"/>
        <v>390</v>
      </c>
      <c r="EJ36" s="21" t="str">
        <f t="shared" si="96"/>
        <v>Sanpete</v>
      </c>
      <c r="EK36" s="45">
        <f t="shared" si="97"/>
        <v>396</v>
      </c>
      <c r="EL36" s="45">
        <f t="shared" si="97"/>
        <v>330</v>
      </c>
      <c r="EM36" s="45">
        <f t="shared" si="91"/>
        <v>360</v>
      </c>
      <c r="EN36" s="45">
        <f t="shared" si="91"/>
        <v>403</v>
      </c>
      <c r="EO36" s="45">
        <f t="shared" si="91"/>
        <v>419</v>
      </c>
      <c r="EP36" s="45">
        <f t="shared" si="91"/>
        <v>343</v>
      </c>
      <c r="EQ36" s="45">
        <f t="shared" si="91"/>
        <v>371</v>
      </c>
      <c r="ER36" s="45">
        <f t="shared" si="91"/>
        <v>473</v>
      </c>
      <c r="ES36" s="45">
        <f t="shared" si="91"/>
        <v>473</v>
      </c>
      <c r="ET36" s="45">
        <f t="shared" si="91"/>
        <v>543</v>
      </c>
      <c r="EW36" s="9">
        <f t="shared" si="98"/>
        <v>39</v>
      </c>
      <c r="EX36" s="21" t="str">
        <f t="shared" si="99"/>
        <v>Sanpete</v>
      </c>
      <c r="EY36" s="48">
        <f>INDEX('2010'!$E$7:$EN$37,  MATCH(EW36, '2010'!$A$7:$A$37, 0), MATCH(EW15, '2010'!$E$4:$EN$4, 0) )</f>
        <v>10168</v>
      </c>
      <c r="EZ36" s="48">
        <f>INDEX('2011'!$E$7:$EN$37,  MATCH(EW36, '2011'!$A$7:$A$37, 0), MATCH(EW15, '2011'!$E$4:$EN$4, 0) )</f>
        <v>10069</v>
      </c>
      <c r="FA36" s="48">
        <f>INDEX('2012'!$E$7:$EN$37,  MATCH(EW36, '2012'!$A$7:$A$37, 0), MATCH(EW15, '2012'!$E$4:$EN$4, 0) )</f>
        <v>10100</v>
      </c>
      <c r="FB36" s="48">
        <f>INDEX('2013'!$E$7:$EN$37,  MATCH(EW36, '2013'!$A$7:$A$37, 0), MATCH(EW15, '2013'!$E$4:$EN$4, 0) )</f>
        <v>10032</v>
      </c>
      <c r="FC36" s="48">
        <f>INDEX('2014'!$E$7:$EN$37,  MATCH(EW36, '2014'!$A$7:$A$37, 0), MATCH(EW15, '2014'!$E$4:$EN$4, 0) )</f>
        <v>9927</v>
      </c>
      <c r="FD36" s="48">
        <f>INDEX('2015'!$E$7:$EN$37,  MATCH(EW36, '2015'!$A$7:$A$37, 0), MATCH(EW15, '2015'!$E$4:$EN$4, 0) )</f>
        <v>9888</v>
      </c>
      <c r="FE36" s="48">
        <f>INDEX('2016'!$E$7:$EN$37,  MATCH(EW36, '2016'!$A$7:$A$37, 0), MATCH(EW15, '2016'!$E$4:$EN$4, 0) )</f>
        <v>10361</v>
      </c>
      <c r="FF36" s="48">
        <f>INDEX('2017'!$E$7:$EN$37,  MATCH(EW36, '2017'!$A$7:$A$37, 0), MATCH(EW15, '2017'!$E$4:$EN$4, 0) )</f>
        <v>10607</v>
      </c>
      <c r="FG36" s="48">
        <f>INDEX('2018'!$E$7:$EN$37,  MATCH(EW36, '2018'!$A$7:$A$37, 0), MATCH(EW15, '2018'!$E$4:$EN$4, 0) )</f>
        <v>11087</v>
      </c>
      <c r="FH36" s="48">
        <f>INDEX('2019'!$E$7:$EN$37,  MATCH(EW36, '2019'!$A$7:$A$37, 0), MATCH(EW15, '2019'!$E$4:$EN$4, 0) )</f>
        <v>11648</v>
      </c>
      <c r="FJ36" s="9">
        <f t="shared" si="100"/>
        <v>39</v>
      </c>
      <c r="FK36" s="21" t="str">
        <f t="shared" si="101"/>
        <v>Sanpete</v>
      </c>
      <c r="FL36" s="48">
        <f>INDEX('2010'!$E$7:$EN$37,  MATCH(FJ36, '2010'!$A$7:$A$37, 0), MATCH(FJ15, '2010'!$E$4:$EN$4, 0) )</f>
        <v>695</v>
      </c>
      <c r="FM36" s="48">
        <f>INDEX('2011'!$E$7:$EN$37,  MATCH(FJ36, '2011'!$A$7:$A$37, 0), MATCH(FJ15, '2011'!$E$4:$EN$4, 0) )</f>
        <v>605</v>
      </c>
      <c r="FN36" s="48">
        <f>INDEX('2012'!$E$7:$EN$37,  MATCH(FJ36, '2012'!$A$7:$A$37, 0), MATCH(FJ15, '2012'!$E$4:$EN$4, 0) )</f>
        <v>605</v>
      </c>
      <c r="FO36" s="48">
        <f>INDEX('2013'!$E$7:$EN$37,  MATCH(FJ36, '2013'!$A$7:$A$37, 0), MATCH(FJ15, '2013'!$E$4:$EN$4, 0) )</f>
        <v>648</v>
      </c>
      <c r="FP36" s="48">
        <f>INDEX('2014'!$E$7:$EN$37,  MATCH(FJ36, '2014'!$A$7:$A$37, 0), MATCH(FJ15, '2014'!$E$4:$EN$4, 0) )</f>
        <v>665</v>
      </c>
      <c r="FQ36" s="48">
        <f>INDEX('2015'!$E$7:$EN$37,  MATCH(FJ36, '2015'!$A$7:$A$37, 0), MATCH(FJ15, '2015'!$E$4:$EN$4, 0) )</f>
        <v>569</v>
      </c>
      <c r="FR36" s="48">
        <f>INDEX('2016'!$E$7:$EN$37,  MATCH(FJ36, '2016'!$A$7:$A$37, 0), MATCH(FJ15, '2016'!$E$4:$EN$4, 0) )</f>
        <v>603</v>
      </c>
      <c r="FS36" s="48">
        <f>INDEX('2017'!$E$7:$EN$37,  MATCH(FJ36, '2017'!$A$7:$A$37, 0), MATCH(FJ15, '2017'!$E$4:$EN$4, 0) )</f>
        <v>762</v>
      </c>
      <c r="FT36" s="48">
        <f>INDEX('2018'!$E$7:$EN$37,  MATCH(FJ36, '2018'!$A$7:$A$37, 0), MATCH(FJ15, '2018'!$E$4:$EN$4, 0) )</f>
        <v>770</v>
      </c>
      <c r="FU36" s="48">
        <f>INDEX('2019'!$E$7:$EN$37,  MATCH(FJ36, '2019'!$A$7:$A$37, 0), MATCH(FJ15, '2019'!$E$4:$EN$4, 0) )</f>
        <v>924</v>
      </c>
      <c r="FW36" s="9">
        <f t="shared" si="102"/>
        <v>39</v>
      </c>
      <c r="FX36" s="21" t="str">
        <f t="shared" si="103"/>
        <v>Sanpete</v>
      </c>
      <c r="FY36" s="48">
        <f>INDEX('2010'!$E$7:$EN$37,  MATCH(FW36, '2010'!$A$7:$A$37, 0), MATCH(FW15, '2010'!$E$4:$EN$4, 0) )</f>
        <v>156</v>
      </c>
      <c r="FZ36" s="48">
        <f>INDEX('2011'!$E$7:$EN$37,  MATCH(FW36, '2011'!$A$7:$A$37, 0), MATCH(FW15, '2011'!$E$4:$EN$4, 0) )</f>
        <v>114</v>
      </c>
      <c r="GA36" s="48">
        <f>INDEX('2012'!$E$7:$EN$37,  MATCH(FW36, '2012'!$A$7:$A$37, 0), MATCH(FW15, '2012'!$E$4:$EN$4, 0) )</f>
        <v>157</v>
      </c>
      <c r="GB36" s="48">
        <f>INDEX('2013'!$E$7:$EN$37,  MATCH(FW36, '2013'!$A$7:$A$37, 0), MATCH(FW15, '2013'!$E$4:$EN$4, 0) )</f>
        <v>199</v>
      </c>
      <c r="GC36" s="48">
        <f>INDEX('2014'!$E$7:$EN$37,  MATCH(FW36, '2014'!$A$7:$A$37, 0), MATCH(FW15, '2014'!$E$4:$EN$4, 0) )</f>
        <v>200</v>
      </c>
      <c r="GD36" s="48">
        <f>INDEX('2015'!$E$7:$EN$37,  MATCH(FW36, '2015'!$A$7:$A$37, 0), MATCH(FW15, '2015'!$E$4:$EN$4, 0) )</f>
        <v>159</v>
      </c>
      <c r="GE36" s="48">
        <f>INDEX('2016'!$E$7:$EN$37,  MATCH(FW36, '2016'!$A$7:$A$37, 0), MATCH(FW15, '2016'!$E$4:$EN$4, 0) )</f>
        <v>160</v>
      </c>
      <c r="GF36" s="48">
        <f>INDEX('2017'!$E$7:$EN$37,  MATCH(FW36, '2017'!$A$7:$A$37, 0), MATCH(FW15, '2017'!$E$4:$EN$4, 0) )</f>
        <v>160</v>
      </c>
      <c r="GG36" s="48">
        <f>INDEX('2018'!$E$7:$EN$37,  MATCH(FW36, '2018'!$A$7:$A$37, 0), MATCH(FW15, '2018'!$E$4:$EN$4, 0) )</f>
        <v>175</v>
      </c>
      <c r="GH36" s="48">
        <f>INDEX('2019'!$E$7:$EN$37,  MATCH(FW36, '2019'!$A$7:$A$37, 0), MATCH(FW15, '2019'!$E$4:$EN$4, 0) )</f>
        <v>189</v>
      </c>
      <c r="GJ36" s="9">
        <f t="shared" si="104"/>
        <v>39</v>
      </c>
      <c r="GK36" s="21" t="str">
        <f t="shared" si="105"/>
        <v>Sanpete</v>
      </c>
      <c r="GL36" s="48">
        <f>INDEX('2010'!$E$7:$EN$37,  MATCH(GJ36, '2010'!$A$7:$A$37, 0), MATCH(GJ15, '2010'!$E$4:$EN$4, 0) )</f>
        <v>240</v>
      </c>
      <c r="GM36" s="48">
        <f>INDEX('2011'!$E$7:$EN$37,  MATCH(GJ36, '2011'!$A$7:$A$37, 0), MATCH(GJ15, '2011'!$E$4:$EN$4, 0) )</f>
        <v>216</v>
      </c>
      <c r="GN36" s="48">
        <f>INDEX('2012'!$E$7:$EN$37,  MATCH(GJ36, '2012'!$A$7:$A$37, 0), MATCH(GJ15, '2012'!$E$4:$EN$4, 0) )</f>
        <v>203</v>
      </c>
      <c r="GO36" s="48">
        <f>INDEX('2013'!$E$7:$EN$37,  MATCH(GJ36, '2013'!$A$7:$A$37, 0), MATCH(GJ15, '2013'!$E$4:$EN$4, 0) )</f>
        <v>204</v>
      </c>
      <c r="GP36" s="48">
        <f>INDEX('2014'!$E$7:$EN$37,  MATCH(GJ36, '2014'!$A$7:$A$37, 0), MATCH(GJ15, '2014'!$E$4:$EN$4, 0) )</f>
        <v>219</v>
      </c>
      <c r="GQ36" s="48">
        <f>INDEX('2015'!$E$7:$EN$37,  MATCH(GJ36, '2015'!$A$7:$A$37, 0), MATCH(GJ15, '2015'!$E$4:$EN$4, 0) )</f>
        <v>184</v>
      </c>
      <c r="GR36" s="48">
        <f>INDEX('2016'!$E$7:$EN$37,  MATCH(GJ36, '2016'!$A$7:$A$37, 0), MATCH(GJ15, '2016'!$E$4:$EN$4, 0) )</f>
        <v>211</v>
      </c>
      <c r="GS36" s="48">
        <f>INDEX('2017'!$E$7:$EN$37,  MATCH(GJ36, '2017'!$A$7:$A$37, 0), MATCH(GJ15, '2017'!$E$4:$EN$4, 0) )</f>
        <v>313</v>
      </c>
      <c r="GT36" s="48">
        <f>INDEX('2018'!$E$7:$EN$37,  MATCH(GJ36, '2018'!$A$7:$A$37, 0), MATCH(GJ15, '2018'!$E$4:$EN$4, 0) )</f>
        <v>298</v>
      </c>
      <c r="GU36" s="48">
        <f>INDEX('2019'!$E$7:$EN$37,  MATCH(GJ36, '2019'!$A$7:$A$37, 0), MATCH(GJ15, '2019'!$E$4:$EN$4, 0) )</f>
        <v>354</v>
      </c>
    </row>
    <row r="37" spans="50:203" x14ac:dyDescent="0.25">
      <c r="AX37" s="15"/>
      <c r="AY37" s="39" t="s">
        <v>617</v>
      </c>
      <c r="AZ37" s="40">
        <f>INDEX($DK$7:$DT$13, MATCH(AY35, $DJ$7:$DJ$13,0), MATCH(AZ$6, $DK$6:$DT$6, 0))</f>
        <v>2.5961915294106047E-2</v>
      </c>
      <c r="BA37" s="40">
        <f>INDEX($DK$7:$DT$13, MATCH(AY35, $DJ$7:$DJ$13,0), MATCH(BA$6, $DK$6:$DT$6, 0))</f>
        <v>2.4977837992891952E-2</v>
      </c>
      <c r="BB37" s="40">
        <f>INDEX($DK$7:$DT$13, MATCH(AY35, $DJ$7:$DJ$13,0), MATCH(BB$6, $DK$6:$DT$6, 0))</f>
        <v>2.3929627214650598E-2</v>
      </c>
      <c r="BC37" s="40">
        <f>INDEX($DK$7:$DT$13, MATCH(AY35, $DJ$7:$DJ$13,0), MATCH(BC$6, $DK$6:$DT$6, 0))</f>
        <v>2.341729380925495E-2</v>
      </c>
      <c r="BD37" s="40">
        <f>INDEX($DK$7:$DT$13, MATCH(AY35, $DJ$7:$DJ$13,0), MATCH(BD$6, $DK$6:$DT$6, 0))</f>
        <v>2.2994807121083212E-2</v>
      </c>
      <c r="BE37" s="40">
        <f>INDEX($DK$7:$DT$13, MATCH(AY35, $DJ$7:$DJ$13,0), MATCH(BE$6, $DK$6:$DT$6, 0))</f>
        <v>2.3424478614244241E-2</v>
      </c>
      <c r="BF37" s="40">
        <f>INDEX($DK$7:$DT$13, MATCH(AY35, $DJ$7:$DJ$13,0), MATCH(BF$6, $DK$6:$DT$6, 0))</f>
        <v>2.4464725759565584E-2</v>
      </c>
      <c r="BG37" s="40">
        <f>INDEX($DK$7:$DT$13, MATCH(AY35, $DJ$7:$DJ$13,0), MATCH(BG$6, $DK$6:$DT$6, 0))</f>
        <v>2.623060713588498E-2</v>
      </c>
      <c r="BH37" s="40">
        <f>INDEX($DK$7:$DT$13, MATCH(AY35, $DJ$7:$DJ$13,0), MATCH(BH$6, $DK$6:$DT$6, 0))</f>
        <v>2.7956446153459779E-2</v>
      </c>
      <c r="BI37" s="40">
        <f>INDEX($DK$7:$DT$13, MATCH(AY35, $DJ$7:$DJ$13,0), MATCH(BI$6, $DK$6:$DT$6, 0))</f>
        <v>2.885021585447211E-2</v>
      </c>
      <c r="CI37" s="15">
        <v>41</v>
      </c>
      <c r="CJ37" s="37" t="str">
        <f t="shared" si="79"/>
        <v>Sevier</v>
      </c>
      <c r="CK37" s="44">
        <f t="shared" si="80"/>
        <v>5.3539129386229352E-2</v>
      </c>
      <c r="CL37" s="44">
        <f t="shared" si="81"/>
        <v>5.4884742041712398E-2</v>
      </c>
      <c r="CM37" s="44">
        <f t="shared" si="81"/>
        <v>5.371650297077725E-2</v>
      </c>
      <c r="CN37" s="44">
        <f t="shared" si="81"/>
        <v>5.5071752729056789E-2</v>
      </c>
      <c r="CO37" s="44">
        <f t="shared" si="81"/>
        <v>5.0550795593635248E-2</v>
      </c>
      <c r="CP37" s="44">
        <f t="shared" si="81"/>
        <v>4.396924555502163E-2</v>
      </c>
      <c r="CQ37" s="44">
        <f t="shared" si="81"/>
        <v>5.0911674165285345E-2</v>
      </c>
      <c r="CR37" s="44">
        <f t="shared" si="81"/>
        <v>5.7613168724279837E-2</v>
      </c>
      <c r="CS37" s="44">
        <f t="shared" si="81"/>
        <v>6.4263503397443286E-2</v>
      </c>
      <c r="CT37" s="44">
        <f t="shared" si="81"/>
        <v>6.4920528318782172E-2</v>
      </c>
      <c r="CV37" s="9">
        <f t="shared" si="82"/>
        <v>410</v>
      </c>
      <c r="CW37" s="21" t="str">
        <f t="shared" si="92"/>
        <v>Sevier</v>
      </c>
      <c r="CX37" s="40">
        <f t="shared" si="83"/>
        <v>2.5322561196189558E-2</v>
      </c>
      <c r="CY37" s="40">
        <f t="shared" si="84"/>
        <v>2.4393218685205512E-2</v>
      </c>
      <c r="CZ37" s="40">
        <f t="shared" si="84"/>
        <v>2.1462349945434705E-2</v>
      </c>
      <c r="DA37" s="40">
        <f t="shared" si="84"/>
        <v>2.3304305163743409E-2</v>
      </c>
      <c r="DB37" s="40">
        <f t="shared" si="84"/>
        <v>2.3133414932680538E-2</v>
      </c>
      <c r="DC37" s="40">
        <f t="shared" si="84"/>
        <v>2.0062469966362326E-2</v>
      </c>
      <c r="DD37" s="40">
        <f t="shared" si="84"/>
        <v>2.1785460573052331E-2</v>
      </c>
      <c r="DE37" s="40">
        <f t="shared" si="84"/>
        <v>2.2104644326866547E-2</v>
      </c>
      <c r="DF37" s="40">
        <f t="shared" si="84"/>
        <v>2.8907059771968214E-2</v>
      </c>
      <c r="DG37" s="40">
        <f t="shared" si="84"/>
        <v>2.7199462726662189E-2</v>
      </c>
      <c r="DI37" s="9">
        <f t="shared" si="85"/>
        <v>410</v>
      </c>
      <c r="DJ37" s="21" t="str">
        <f t="shared" si="93"/>
        <v>Sevier</v>
      </c>
      <c r="DK37" s="40">
        <f t="shared" si="86"/>
        <v>2.8216568190039794E-2</v>
      </c>
      <c r="DL37" s="40">
        <f t="shared" si="87"/>
        <v>3.049152335650689E-2</v>
      </c>
      <c r="DM37" s="40">
        <f t="shared" si="87"/>
        <v>3.2254153025342548E-2</v>
      </c>
      <c r="DN37" s="40">
        <f t="shared" si="87"/>
        <v>3.1767447565313384E-2</v>
      </c>
      <c r="DO37" s="40">
        <f t="shared" si="87"/>
        <v>2.7417380660954713E-2</v>
      </c>
      <c r="DP37" s="40">
        <f t="shared" si="87"/>
        <v>2.39067755886593E-2</v>
      </c>
      <c r="DQ37" s="40">
        <f t="shared" si="87"/>
        <v>2.9126213592233011E-2</v>
      </c>
      <c r="DR37" s="40">
        <f t="shared" si="87"/>
        <v>3.5508524397413289E-2</v>
      </c>
      <c r="DS37" s="40">
        <f t="shared" si="87"/>
        <v>3.5356443625475069E-2</v>
      </c>
      <c r="DT37" s="40">
        <f t="shared" si="87"/>
        <v>3.772106559211999E-2</v>
      </c>
      <c r="DV37" s="9">
        <f t="shared" si="88"/>
        <v>410</v>
      </c>
      <c r="DW37" s="21" t="str">
        <f t="shared" si="94"/>
        <v>Sevier</v>
      </c>
      <c r="DX37" s="45">
        <f t="shared" si="95"/>
        <v>210</v>
      </c>
      <c r="DY37" s="45">
        <f t="shared" si="95"/>
        <v>200</v>
      </c>
      <c r="DZ37" s="45">
        <f t="shared" si="89"/>
        <v>177</v>
      </c>
      <c r="EA37" s="45">
        <f t="shared" si="89"/>
        <v>190</v>
      </c>
      <c r="EB37" s="45">
        <f t="shared" si="89"/>
        <v>189</v>
      </c>
      <c r="EC37" s="45">
        <f t="shared" si="89"/>
        <v>167</v>
      </c>
      <c r="ED37" s="45">
        <f t="shared" si="89"/>
        <v>184</v>
      </c>
      <c r="EE37" s="45">
        <f t="shared" si="89"/>
        <v>188</v>
      </c>
      <c r="EF37" s="45">
        <f t="shared" si="89"/>
        <v>251</v>
      </c>
      <c r="EG37" s="45">
        <f t="shared" si="89"/>
        <v>243</v>
      </c>
      <c r="EI37" s="9">
        <f t="shared" si="90"/>
        <v>410</v>
      </c>
      <c r="EJ37" s="21" t="str">
        <f t="shared" si="96"/>
        <v>Sevier</v>
      </c>
      <c r="EK37" s="45">
        <f t="shared" si="97"/>
        <v>234</v>
      </c>
      <c r="EL37" s="45">
        <f t="shared" si="97"/>
        <v>250</v>
      </c>
      <c r="EM37" s="45">
        <f t="shared" si="91"/>
        <v>266</v>
      </c>
      <c r="EN37" s="45">
        <f t="shared" si="91"/>
        <v>259</v>
      </c>
      <c r="EO37" s="45">
        <f t="shared" si="91"/>
        <v>224</v>
      </c>
      <c r="EP37" s="45">
        <f t="shared" si="91"/>
        <v>199</v>
      </c>
      <c r="EQ37" s="45">
        <f t="shared" si="91"/>
        <v>246</v>
      </c>
      <c r="ER37" s="45">
        <f t="shared" si="91"/>
        <v>302</v>
      </c>
      <c r="ES37" s="45">
        <f t="shared" si="91"/>
        <v>307</v>
      </c>
      <c r="ET37" s="45">
        <f t="shared" si="91"/>
        <v>337</v>
      </c>
      <c r="EW37" s="9">
        <f t="shared" si="98"/>
        <v>41</v>
      </c>
      <c r="EX37" s="21" t="str">
        <f t="shared" si="99"/>
        <v>Sevier</v>
      </c>
      <c r="EY37" s="48">
        <f>INDEX('2010'!$E$7:$EN$37,  MATCH(EW37, '2010'!$A$7:$A$37, 0), MATCH(EW15, '2010'!$E$4:$EN$4, 0) )</f>
        <v>8293</v>
      </c>
      <c r="EZ37" s="48">
        <f>INDEX('2011'!$E$7:$EN$37,  MATCH(EW37, '2011'!$A$7:$A$37, 0), MATCH(EW15, '2011'!$E$4:$EN$4, 0) )</f>
        <v>8199</v>
      </c>
      <c r="FA37" s="48">
        <f>INDEX('2012'!$E$7:$EN$37,  MATCH(EW37, '2012'!$A$7:$A$37, 0), MATCH(EW15, '2012'!$E$4:$EN$4, 0) )</f>
        <v>8247</v>
      </c>
      <c r="FB37" s="48">
        <f>INDEX('2013'!$E$7:$EN$37,  MATCH(EW37, '2013'!$A$7:$A$37, 0), MATCH(EW15, '2013'!$E$4:$EN$4, 0) )</f>
        <v>8153</v>
      </c>
      <c r="FC37" s="48">
        <f>INDEX('2014'!$E$7:$EN$37,  MATCH(EW37, '2014'!$A$7:$A$37, 0), MATCH(EW15, '2014'!$E$4:$EN$4, 0) )</f>
        <v>8170</v>
      </c>
      <c r="FD37" s="48">
        <f>INDEX('2015'!$E$7:$EN$37,  MATCH(EW37, '2015'!$A$7:$A$37, 0), MATCH(EW15, '2015'!$E$4:$EN$4, 0) )</f>
        <v>8324</v>
      </c>
      <c r="FE37" s="48">
        <f>INDEX('2016'!$E$7:$EN$37,  MATCH(EW37, '2016'!$A$7:$A$37, 0), MATCH(EW15, '2016'!$E$4:$EN$4, 0) )</f>
        <v>8446</v>
      </c>
      <c r="FF37" s="48">
        <f>INDEX('2017'!$E$7:$EN$37,  MATCH(EW37, '2017'!$A$7:$A$37, 0), MATCH(EW15, '2017'!$E$4:$EN$4, 0) )</f>
        <v>8505</v>
      </c>
      <c r="FG37" s="48">
        <f>INDEX('2018'!$E$7:$EN$37,  MATCH(EW37, '2018'!$A$7:$A$37, 0), MATCH(EW15, '2018'!$E$4:$EN$4, 0) )</f>
        <v>8683</v>
      </c>
      <c r="FH37" s="48">
        <f>INDEX('2019'!$E$7:$EN$37,  MATCH(EW37, '2019'!$A$7:$A$37, 0), MATCH(EW15, '2019'!$E$4:$EN$4, 0) )</f>
        <v>8934</v>
      </c>
      <c r="FJ37" s="9">
        <f t="shared" si="100"/>
        <v>41</v>
      </c>
      <c r="FK37" s="21" t="str">
        <f t="shared" si="101"/>
        <v>Sevier</v>
      </c>
      <c r="FL37" s="48">
        <f>INDEX('2010'!$E$7:$EN$37,  MATCH(FJ37, '2010'!$A$7:$A$37, 0), MATCH(FJ15, '2010'!$E$4:$EN$4, 0) )</f>
        <v>444</v>
      </c>
      <c r="FM37" s="48">
        <f>INDEX('2011'!$E$7:$EN$37,  MATCH(FJ37, '2011'!$A$7:$A$37, 0), MATCH(FJ15, '2011'!$E$4:$EN$4, 0) )</f>
        <v>450</v>
      </c>
      <c r="FN37" s="48">
        <f>INDEX('2012'!$E$7:$EN$37,  MATCH(FJ37, '2012'!$A$7:$A$37, 0), MATCH(FJ15, '2012'!$E$4:$EN$4, 0) )</f>
        <v>443</v>
      </c>
      <c r="FO37" s="48">
        <f>INDEX('2013'!$E$7:$EN$37,  MATCH(FJ37, '2013'!$A$7:$A$37, 0), MATCH(FJ15, '2013'!$E$4:$EN$4, 0) )</f>
        <v>449</v>
      </c>
      <c r="FP37" s="48">
        <f>INDEX('2014'!$E$7:$EN$37,  MATCH(FJ37, '2014'!$A$7:$A$37, 0), MATCH(FJ15, '2014'!$E$4:$EN$4, 0) )</f>
        <v>413</v>
      </c>
      <c r="FQ37" s="48">
        <f>INDEX('2015'!$E$7:$EN$37,  MATCH(FJ37, '2015'!$A$7:$A$37, 0), MATCH(FJ15, '2015'!$E$4:$EN$4, 0) )</f>
        <v>366</v>
      </c>
      <c r="FR37" s="48">
        <f>INDEX('2016'!$E$7:$EN$37,  MATCH(FJ37, '2016'!$A$7:$A$37, 0), MATCH(FJ15, '2016'!$E$4:$EN$4, 0) )</f>
        <v>430</v>
      </c>
      <c r="FS37" s="48">
        <f>INDEX('2017'!$E$7:$EN$37,  MATCH(FJ37, '2017'!$A$7:$A$37, 0), MATCH(FJ15, '2017'!$E$4:$EN$4, 0) )</f>
        <v>490</v>
      </c>
      <c r="FT37" s="48">
        <f>INDEX('2018'!$E$7:$EN$37,  MATCH(FJ37, '2018'!$A$7:$A$37, 0), MATCH(FJ15, '2018'!$E$4:$EN$4, 0) )</f>
        <v>558</v>
      </c>
      <c r="FU37" s="48">
        <f>INDEX('2019'!$E$7:$EN$37,  MATCH(FJ37, '2019'!$A$7:$A$37, 0), MATCH(FJ15, '2019'!$E$4:$EN$4, 0) )</f>
        <v>580</v>
      </c>
      <c r="FW37" s="9">
        <f t="shared" si="102"/>
        <v>41</v>
      </c>
      <c r="FX37" s="21" t="str">
        <f t="shared" si="103"/>
        <v>Sevier</v>
      </c>
      <c r="FY37" s="48">
        <f>INDEX('2010'!$E$7:$EN$37,  MATCH(FW37, '2010'!$A$7:$A$37, 0), MATCH(FW15, '2010'!$E$4:$EN$4, 0) )</f>
        <v>36</v>
      </c>
      <c r="FZ37" s="48">
        <f>INDEX('2011'!$E$7:$EN$37,  MATCH(FW37, '2011'!$A$7:$A$37, 0), MATCH(FW15, '2011'!$E$4:$EN$4, 0) )</f>
        <v>40</v>
      </c>
      <c r="GA37" s="48">
        <f>INDEX('2012'!$E$7:$EN$37,  MATCH(FW37, '2012'!$A$7:$A$37, 0), MATCH(FW15, '2012'!$E$4:$EN$4, 0) )</f>
        <v>54</v>
      </c>
      <c r="GB37" s="48">
        <f>INDEX('2013'!$E$7:$EN$37,  MATCH(FW37, '2013'!$A$7:$A$37, 0), MATCH(FW15, '2013'!$E$4:$EN$4, 0) )</f>
        <v>95</v>
      </c>
      <c r="GC37" s="48">
        <f>INDEX('2014'!$E$7:$EN$37,  MATCH(FW37, '2014'!$A$7:$A$37, 0), MATCH(FW15, '2014'!$E$4:$EN$4, 0) )</f>
        <v>88</v>
      </c>
      <c r="GD37" s="48">
        <f>INDEX('2015'!$E$7:$EN$37,  MATCH(FW37, '2015'!$A$7:$A$37, 0), MATCH(FW15, '2015'!$E$4:$EN$4, 0) )</f>
        <v>97</v>
      </c>
      <c r="GE37" s="48">
        <f>INDEX('2016'!$E$7:$EN$37,  MATCH(FW37, '2016'!$A$7:$A$37, 0), MATCH(FW15, '2016'!$E$4:$EN$4, 0) )</f>
        <v>76</v>
      </c>
      <c r="GF37" s="48">
        <f>INDEX('2017'!$E$7:$EN$37,  MATCH(FW37, '2017'!$A$7:$A$37, 0), MATCH(FW15, '2017'!$E$4:$EN$4, 0) )</f>
        <v>88</v>
      </c>
      <c r="GG37" s="48">
        <f>INDEX('2018'!$E$7:$EN$37,  MATCH(FW37, '2018'!$A$7:$A$37, 0), MATCH(FW15, '2018'!$E$4:$EN$4, 0) )</f>
        <v>57</v>
      </c>
      <c r="GH37" s="48">
        <f>INDEX('2019'!$E$7:$EN$37,  MATCH(FW37, '2019'!$A$7:$A$37, 0), MATCH(FW15, '2019'!$E$4:$EN$4, 0) )</f>
        <v>60</v>
      </c>
      <c r="GJ37" s="9">
        <f t="shared" si="104"/>
        <v>41</v>
      </c>
      <c r="GK37" s="21" t="str">
        <f t="shared" si="105"/>
        <v>Sevier</v>
      </c>
      <c r="GL37" s="48">
        <f>INDEX('2010'!$E$7:$EN$37,  MATCH(GJ37, '2010'!$A$7:$A$37, 0), MATCH(GJ15, '2010'!$E$4:$EN$4, 0) )</f>
        <v>198</v>
      </c>
      <c r="GM37" s="48">
        <f>INDEX('2011'!$E$7:$EN$37,  MATCH(GJ37, '2011'!$A$7:$A$37, 0), MATCH(GJ15, '2011'!$E$4:$EN$4, 0) )</f>
        <v>210</v>
      </c>
      <c r="GN37" s="48">
        <f>INDEX('2012'!$E$7:$EN$37,  MATCH(GJ37, '2012'!$A$7:$A$37, 0), MATCH(GJ15, '2012'!$E$4:$EN$4, 0) )</f>
        <v>212</v>
      </c>
      <c r="GO37" s="48">
        <f>INDEX('2013'!$E$7:$EN$37,  MATCH(GJ37, '2013'!$A$7:$A$37, 0), MATCH(GJ15, '2013'!$E$4:$EN$4, 0) )</f>
        <v>164</v>
      </c>
      <c r="GP37" s="48">
        <f>INDEX('2014'!$E$7:$EN$37,  MATCH(GJ37, '2014'!$A$7:$A$37, 0), MATCH(GJ15, '2014'!$E$4:$EN$4, 0) )</f>
        <v>136</v>
      </c>
      <c r="GQ37" s="48">
        <f>INDEX('2015'!$E$7:$EN$37,  MATCH(GJ37, '2015'!$A$7:$A$37, 0), MATCH(GJ15, '2015'!$E$4:$EN$4, 0) )</f>
        <v>102</v>
      </c>
      <c r="GR37" s="48">
        <f>INDEX('2016'!$E$7:$EN$37,  MATCH(GJ37, '2016'!$A$7:$A$37, 0), MATCH(GJ15, '2016'!$E$4:$EN$4, 0) )</f>
        <v>170</v>
      </c>
      <c r="GS37" s="48">
        <f>INDEX('2017'!$E$7:$EN$37,  MATCH(GJ37, '2017'!$A$7:$A$37, 0), MATCH(GJ15, '2017'!$E$4:$EN$4, 0) )</f>
        <v>214</v>
      </c>
      <c r="GT37" s="48">
        <f>INDEX('2018'!$E$7:$EN$37,  MATCH(GJ37, '2018'!$A$7:$A$37, 0), MATCH(GJ15, '2018'!$E$4:$EN$4, 0) )</f>
        <v>250</v>
      </c>
      <c r="GU37" s="48">
        <f>INDEX('2019'!$E$7:$EN$37,  MATCH(GJ37, '2019'!$A$7:$A$37, 0), MATCH(GJ15, '2019'!$E$4:$EN$4, 0) )</f>
        <v>277</v>
      </c>
    </row>
    <row r="38" spans="50:203" x14ac:dyDescent="0.25">
      <c r="AX38" s="15"/>
      <c r="AY38" s="39" t="s">
        <v>618</v>
      </c>
      <c r="AZ38" s="40">
        <f>INDEX($CX$7:$DG$13, MATCH(AY35, $CW$7:$CW$13,0), MATCH(AZ$6, $CX$6:$DG$6, 0))</f>
        <v>2.2286051848242873E-2</v>
      </c>
      <c r="BA38" s="40">
        <f>INDEX($CX$7:$DG$13, MATCH(AY35, $CW$7:$CW$13,0), MATCH(BA$6, $CX$6:$DG$6, 0))</f>
        <v>2.3168413427178156E-2</v>
      </c>
      <c r="BB38" s="40">
        <f>INDEX($CX$7:$DG$13, MATCH(AY35, $CW$7:$CW$13,0), MATCH(BB$6, $CX$6:$DG$6, 0))</f>
        <v>2.3240780373065369E-2</v>
      </c>
      <c r="BC38" s="40">
        <f>INDEX($CX$7:$DG$13, MATCH(AY35, $CW$7:$CW$13,0), MATCH(BC$6, $CX$6:$DG$6, 0))</f>
        <v>2.4825237853603997E-2</v>
      </c>
      <c r="BD38" s="40">
        <f>INDEX($CX$7:$DG$13, MATCH(AY35, $CW$7:$CW$13,0), MATCH(BD$6, $CX$6:$DG$6, 0))</f>
        <v>2.5823245600011854E-2</v>
      </c>
      <c r="BE38" s="40">
        <f>INDEX($CX$7:$DG$13, MATCH(AY35, $CW$7:$CW$13,0), MATCH(BE$6, $CX$6:$DG$6, 0))</f>
        <v>2.7876940233828102E-2</v>
      </c>
      <c r="BF38" s="40">
        <f>INDEX($CX$7:$DG$13, MATCH(AY35, $CW$7:$CW$13,0), MATCH(BF$6, $CX$6:$DG$6, 0))</f>
        <v>2.9189599964585578E-2</v>
      </c>
      <c r="BG38" s="40">
        <f>INDEX($CX$7:$DG$13, MATCH(AY35, $CW$7:$CW$13,0), MATCH(BG$6, $CX$6:$DG$6, 0))</f>
        <v>3.1481465532090809E-2</v>
      </c>
      <c r="BH38" s="40">
        <f>INDEX($CX$7:$DG$13, MATCH(AY35, $CW$7:$CW$13,0), MATCH(BH$6, $CX$6:$DG$6, 0))</f>
        <v>3.3619729825511147E-2</v>
      </c>
      <c r="BI38" s="40">
        <f>INDEX($CX$7:$DG$13, MATCH(AY35, $CW$7:$CW$13,0), MATCH(BI$6, $CX$6:$DG$6, 0))</f>
        <v>3.6790902681975761E-2</v>
      </c>
      <c r="CI38" s="15">
        <v>43</v>
      </c>
      <c r="CJ38" s="37" t="str">
        <f t="shared" si="79"/>
        <v>Summit</v>
      </c>
      <c r="CK38" s="44">
        <f t="shared" si="80"/>
        <v>0.10736539383288066</v>
      </c>
      <c r="CL38" s="44">
        <f t="shared" si="81"/>
        <v>0.11106387501328516</v>
      </c>
      <c r="CM38" s="44">
        <f t="shared" si="81"/>
        <v>0.11470155527532577</v>
      </c>
      <c r="CN38" s="44">
        <f t="shared" si="81"/>
        <v>0.1169202014433311</v>
      </c>
      <c r="CO38" s="44">
        <f t="shared" si="81"/>
        <v>0.11932306137913615</v>
      </c>
      <c r="CP38" s="44">
        <f t="shared" si="81"/>
        <v>0.12133281523217408</v>
      </c>
      <c r="CQ38" s="44">
        <f t="shared" si="81"/>
        <v>0.1335454633111561</v>
      </c>
      <c r="CR38" s="44">
        <f t="shared" si="81"/>
        <v>0.13886417903459902</v>
      </c>
      <c r="CS38" s="44">
        <f t="shared" si="81"/>
        <v>0.13097903056329663</v>
      </c>
      <c r="CT38" s="44">
        <f t="shared" si="81"/>
        <v>0.13687076044269902</v>
      </c>
      <c r="CV38" s="9">
        <f t="shared" si="82"/>
        <v>430</v>
      </c>
      <c r="CW38" s="21" t="str">
        <f t="shared" si="92"/>
        <v>Summit</v>
      </c>
      <c r="CX38" s="40">
        <f t="shared" si="83"/>
        <v>5.4162006710337114E-2</v>
      </c>
      <c r="CY38" s="40">
        <f t="shared" si="84"/>
        <v>5.4787968965883727E-2</v>
      </c>
      <c r="CZ38" s="40">
        <f t="shared" si="84"/>
        <v>5.7849936948297605E-2</v>
      </c>
      <c r="DA38" s="40">
        <f t="shared" si="84"/>
        <v>5.4306629977675096E-2</v>
      </c>
      <c r="DB38" s="40">
        <f t="shared" si="84"/>
        <v>6.1884314220762821E-2</v>
      </c>
      <c r="DC38" s="40">
        <f t="shared" si="84"/>
        <v>6.3289294734796969E-2</v>
      </c>
      <c r="DD38" s="40">
        <f t="shared" si="84"/>
        <v>6.7544113393115418E-2</v>
      </c>
      <c r="DE38" s="40">
        <f t="shared" si="84"/>
        <v>7.177302308160495E-2</v>
      </c>
      <c r="DF38" s="40">
        <f t="shared" si="84"/>
        <v>6.9624012060852489E-2</v>
      </c>
      <c r="DG38" s="40">
        <f t="shared" si="84"/>
        <v>7.8989646554801854E-2</v>
      </c>
      <c r="DI38" s="9">
        <f t="shared" si="85"/>
        <v>430</v>
      </c>
      <c r="DJ38" s="21" t="str">
        <f t="shared" si="93"/>
        <v>Summit</v>
      </c>
      <c r="DK38" s="40">
        <f t="shared" si="86"/>
        <v>5.3203387122543536E-2</v>
      </c>
      <c r="DL38" s="40">
        <f t="shared" si="87"/>
        <v>5.6275906047401424E-2</v>
      </c>
      <c r="DM38" s="40">
        <f t="shared" si="87"/>
        <v>5.6851618327028161E-2</v>
      </c>
      <c r="DN38" s="40">
        <f t="shared" si="87"/>
        <v>6.2613571465655993E-2</v>
      </c>
      <c r="DO38" s="40">
        <f t="shared" si="87"/>
        <v>5.7438747158373327E-2</v>
      </c>
      <c r="DP38" s="40">
        <f t="shared" si="87"/>
        <v>5.8043520497377113E-2</v>
      </c>
      <c r="DQ38" s="40">
        <f t="shared" si="87"/>
        <v>6.6001349918040686E-2</v>
      </c>
      <c r="DR38" s="40">
        <f t="shared" si="87"/>
        <v>6.7091155952994058E-2</v>
      </c>
      <c r="DS38" s="40">
        <f t="shared" si="87"/>
        <v>6.1355018502444153E-2</v>
      </c>
      <c r="DT38" s="40">
        <f t="shared" si="87"/>
        <v>5.7881113887897177E-2</v>
      </c>
      <c r="DV38" s="9">
        <f t="shared" si="88"/>
        <v>430</v>
      </c>
      <c r="DW38" s="21" t="str">
        <f t="shared" si="94"/>
        <v>Summit</v>
      </c>
      <c r="DX38" s="45">
        <f t="shared" si="95"/>
        <v>1017</v>
      </c>
      <c r="DY38" s="45">
        <f t="shared" si="95"/>
        <v>1031</v>
      </c>
      <c r="DZ38" s="45">
        <f t="shared" si="89"/>
        <v>1101</v>
      </c>
      <c r="EA38" s="45">
        <f t="shared" si="89"/>
        <v>1046</v>
      </c>
      <c r="EB38" s="45">
        <f t="shared" si="89"/>
        <v>1225</v>
      </c>
      <c r="EC38" s="45">
        <f t="shared" si="89"/>
        <v>1303</v>
      </c>
      <c r="ED38" s="45">
        <f t="shared" si="89"/>
        <v>1401</v>
      </c>
      <c r="EE38" s="45">
        <f t="shared" si="89"/>
        <v>1533</v>
      </c>
      <c r="EF38" s="45">
        <f t="shared" si="89"/>
        <v>1524</v>
      </c>
      <c r="EG38" s="45">
        <f t="shared" si="89"/>
        <v>1770</v>
      </c>
      <c r="EI38" s="9">
        <f t="shared" si="90"/>
        <v>430</v>
      </c>
      <c r="EJ38" s="21" t="str">
        <f t="shared" si="96"/>
        <v>Summit</v>
      </c>
      <c r="EK38" s="45">
        <f t="shared" si="97"/>
        <v>999</v>
      </c>
      <c r="EL38" s="45">
        <f t="shared" si="97"/>
        <v>1059</v>
      </c>
      <c r="EM38" s="45">
        <f t="shared" si="91"/>
        <v>1082</v>
      </c>
      <c r="EN38" s="45">
        <f t="shared" si="91"/>
        <v>1206</v>
      </c>
      <c r="EO38" s="45">
        <f t="shared" si="91"/>
        <v>1137</v>
      </c>
      <c r="EP38" s="45">
        <f t="shared" si="91"/>
        <v>1195</v>
      </c>
      <c r="EQ38" s="45">
        <f t="shared" si="91"/>
        <v>1369</v>
      </c>
      <c r="ER38" s="45">
        <f t="shared" si="91"/>
        <v>1433</v>
      </c>
      <c r="ES38" s="45">
        <f t="shared" si="91"/>
        <v>1343</v>
      </c>
      <c r="ET38" s="45">
        <f t="shared" si="91"/>
        <v>1297</v>
      </c>
      <c r="EW38" s="9">
        <f t="shared" si="98"/>
        <v>43</v>
      </c>
      <c r="EX38" s="21" t="str">
        <f t="shared" si="99"/>
        <v>Summit</v>
      </c>
      <c r="EY38" s="48">
        <f>INDEX('2010'!$E$7:$EN$37,  MATCH(EW38, '2010'!$A$7:$A$37, 0), MATCH(EW15, '2010'!$E$4:$EN$4, 0) )</f>
        <v>18777</v>
      </c>
      <c r="EZ38" s="48">
        <f>INDEX('2011'!$E$7:$EN$37,  MATCH(EW38, '2011'!$A$7:$A$37, 0), MATCH(EW15, '2011'!$E$4:$EN$4, 0) )</f>
        <v>18818</v>
      </c>
      <c r="FA38" s="48">
        <f>INDEX('2012'!$E$7:$EN$37,  MATCH(EW38, '2012'!$A$7:$A$37, 0), MATCH(EW15, '2012'!$E$4:$EN$4, 0) )</f>
        <v>19032</v>
      </c>
      <c r="FB38" s="48">
        <f>INDEX('2013'!$E$7:$EN$37,  MATCH(EW38, '2013'!$A$7:$A$37, 0), MATCH(EW15, '2013'!$E$4:$EN$4, 0) )</f>
        <v>19261</v>
      </c>
      <c r="FC38" s="48">
        <f>INDEX('2014'!$E$7:$EN$37,  MATCH(EW38, '2014'!$A$7:$A$37, 0), MATCH(EW15, '2014'!$E$4:$EN$4, 0) )</f>
        <v>19795</v>
      </c>
      <c r="FD38" s="48">
        <f>INDEX('2015'!$E$7:$EN$37,  MATCH(EW38, '2015'!$A$7:$A$37, 0), MATCH(EW15, '2015'!$E$4:$EN$4, 0) )</f>
        <v>20588</v>
      </c>
      <c r="FE38" s="48">
        <f>INDEX('2016'!$E$7:$EN$37,  MATCH(EW38, '2016'!$A$7:$A$37, 0), MATCH(EW15, '2016'!$E$4:$EN$4, 0) )</f>
        <v>20742</v>
      </c>
      <c r="FF38" s="48">
        <f>INDEX('2017'!$E$7:$EN$37,  MATCH(EW38, '2017'!$A$7:$A$37, 0), MATCH(EW15, '2017'!$E$4:$EN$4, 0) )</f>
        <v>21359</v>
      </c>
      <c r="FG38" s="48">
        <f>INDEX('2018'!$E$7:$EN$37,  MATCH(EW38, '2018'!$A$7:$A$37, 0), MATCH(EW15, '2018'!$E$4:$EN$4, 0) )</f>
        <v>21889</v>
      </c>
      <c r="FH38" s="48">
        <f>INDEX('2019'!$E$7:$EN$37,  MATCH(EW38, '2019'!$A$7:$A$37, 0), MATCH(EW15, '2019'!$E$4:$EN$4, 0) )</f>
        <v>22408</v>
      </c>
      <c r="FJ38" s="9">
        <f t="shared" si="100"/>
        <v>43</v>
      </c>
      <c r="FK38" s="21" t="str">
        <f t="shared" si="101"/>
        <v>Summit</v>
      </c>
      <c r="FL38" s="48">
        <f>INDEX('2010'!$E$7:$EN$37,  MATCH(FJ38, '2010'!$A$7:$A$37, 0), MATCH(FJ15, '2010'!$E$4:$EN$4, 0) )</f>
        <v>2016</v>
      </c>
      <c r="FM38" s="48">
        <f>INDEX('2011'!$E$7:$EN$37,  MATCH(FJ38, '2011'!$A$7:$A$37, 0), MATCH(FJ15, '2011'!$E$4:$EN$4, 0) )</f>
        <v>2090</v>
      </c>
      <c r="FN38" s="48">
        <f>INDEX('2012'!$E$7:$EN$37,  MATCH(FJ38, '2012'!$A$7:$A$37, 0), MATCH(FJ15, '2012'!$E$4:$EN$4, 0) )</f>
        <v>2183</v>
      </c>
      <c r="FO38" s="48">
        <f>INDEX('2013'!$E$7:$EN$37,  MATCH(FJ38, '2013'!$A$7:$A$37, 0), MATCH(FJ15, '2013'!$E$4:$EN$4, 0) )</f>
        <v>2252</v>
      </c>
      <c r="FP38" s="48">
        <f>INDEX('2014'!$E$7:$EN$37,  MATCH(FJ38, '2014'!$A$7:$A$37, 0), MATCH(FJ15, '2014'!$E$4:$EN$4, 0) )</f>
        <v>2362</v>
      </c>
      <c r="FQ38" s="48">
        <f>INDEX('2015'!$E$7:$EN$37,  MATCH(FJ38, '2015'!$A$7:$A$37, 0), MATCH(FJ15, '2015'!$E$4:$EN$4, 0) )</f>
        <v>2498</v>
      </c>
      <c r="FR38" s="48">
        <f>INDEX('2016'!$E$7:$EN$37,  MATCH(FJ38, '2016'!$A$7:$A$37, 0), MATCH(FJ15, '2016'!$E$4:$EN$4, 0) )</f>
        <v>2770</v>
      </c>
      <c r="FS38" s="48">
        <f>INDEX('2017'!$E$7:$EN$37,  MATCH(FJ38, '2017'!$A$7:$A$37, 0), MATCH(FJ15, '2017'!$E$4:$EN$4, 0) )</f>
        <v>2966</v>
      </c>
      <c r="FT38" s="48">
        <f>INDEX('2018'!$E$7:$EN$37,  MATCH(FJ38, '2018'!$A$7:$A$37, 0), MATCH(FJ15, '2018'!$E$4:$EN$4, 0) )</f>
        <v>2867</v>
      </c>
      <c r="FU38" s="48">
        <f>INDEX('2019'!$E$7:$EN$37,  MATCH(FJ38, '2019'!$A$7:$A$37, 0), MATCH(FJ15, '2019'!$E$4:$EN$4, 0) )</f>
        <v>3067</v>
      </c>
      <c r="FW38" s="9">
        <f t="shared" si="102"/>
        <v>43</v>
      </c>
      <c r="FX38" s="21" t="str">
        <f t="shared" si="103"/>
        <v>Summit</v>
      </c>
      <c r="FY38" s="48">
        <f>INDEX('2010'!$E$7:$EN$37,  MATCH(FW38, '2010'!$A$7:$A$37, 0), MATCH(FW15, '2010'!$E$4:$EN$4, 0) )</f>
        <v>378</v>
      </c>
      <c r="FZ38" s="48">
        <f>INDEX('2011'!$E$7:$EN$37,  MATCH(FW38, '2011'!$A$7:$A$37, 0), MATCH(FW15, '2011'!$E$4:$EN$4, 0) )</f>
        <v>407</v>
      </c>
      <c r="GA38" s="48">
        <f>INDEX('2012'!$E$7:$EN$37,  MATCH(FW38, '2012'!$A$7:$A$37, 0), MATCH(FW15, '2012'!$E$4:$EN$4, 0) )</f>
        <v>498</v>
      </c>
      <c r="GB38" s="48">
        <f>INDEX('2013'!$E$7:$EN$37,  MATCH(FW38, '2013'!$A$7:$A$37, 0), MATCH(FW15, '2013'!$E$4:$EN$4, 0) )</f>
        <v>642</v>
      </c>
      <c r="GC38" s="48">
        <f>INDEX('2014'!$E$7:$EN$37,  MATCH(FW38, '2014'!$A$7:$A$37, 0), MATCH(FW15, '2014'!$E$4:$EN$4, 0) )</f>
        <v>669</v>
      </c>
      <c r="GD38" s="48">
        <f>INDEX('2015'!$E$7:$EN$37,  MATCH(FW38, '2015'!$A$7:$A$37, 0), MATCH(FW15, '2015'!$E$4:$EN$4, 0) )</f>
        <v>732</v>
      </c>
      <c r="GE38" s="48">
        <f>INDEX('2016'!$E$7:$EN$37,  MATCH(FW38, '2016'!$A$7:$A$37, 0), MATCH(FW15, '2016'!$E$4:$EN$4, 0) )</f>
        <v>795</v>
      </c>
      <c r="GF38" s="48">
        <f>INDEX('2017'!$E$7:$EN$37,  MATCH(FW38, '2017'!$A$7:$A$37, 0), MATCH(FW15, '2017'!$E$4:$EN$4, 0) )</f>
        <v>810</v>
      </c>
      <c r="GG38" s="48">
        <f>INDEX('2018'!$E$7:$EN$37,  MATCH(FW38, '2018'!$A$7:$A$37, 0), MATCH(FW15, '2018'!$E$4:$EN$4, 0) )</f>
        <v>723</v>
      </c>
      <c r="GH38" s="48">
        <f>INDEX('2019'!$E$7:$EN$37,  MATCH(FW38, '2019'!$A$7:$A$37, 0), MATCH(FW15, '2019'!$E$4:$EN$4, 0) )</f>
        <v>672</v>
      </c>
      <c r="GJ38" s="9">
        <f t="shared" si="104"/>
        <v>43</v>
      </c>
      <c r="GK38" s="21" t="str">
        <f t="shared" si="105"/>
        <v>Summit</v>
      </c>
      <c r="GL38" s="48">
        <f>INDEX('2010'!$E$7:$EN$37,  MATCH(GJ38, '2010'!$A$7:$A$37, 0), MATCH(GJ15, '2010'!$E$4:$EN$4, 0) )</f>
        <v>621</v>
      </c>
      <c r="GM38" s="48">
        <f>INDEX('2011'!$E$7:$EN$37,  MATCH(GJ38, '2011'!$A$7:$A$37, 0), MATCH(GJ15, '2011'!$E$4:$EN$4, 0) )</f>
        <v>652</v>
      </c>
      <c r="GN38" s="48">
        <f>INDEX('2012'!$E$7:$EN$37,  MATCH(GJ38, '2012'!$A$7:$A$37, 0), MATCH(GJ15, '2012'!$E$4:$EN$4, 0) )</f>
        <v>584</v>
      </c>
      <c r="GO38" s="48">
        <f>INDEX('2013'!$E$7:$EN$37,  MATCH(GJ38, '2013'!$A$7:$A$37, 0), MATCH(GJ15, '2013'!$E$4:$EN$4, 0) )</f>
        <v>564</v>
      </c>
      <c r="GP38" s="48">
        <f>INDEX('2014'!$E$7:$EN$37,  MATCH(GJ38, '2014'!$A$7:$A$37, 0), MATCH(GJ15, '2014'!$E$4:$EN$4, 0) )</f>
        <v>468</v>
      </c>
      <c r="GQ38" s="48">
        <f>INDEX('2015'!$E$7:$EN$37,  MATCH(GJ38, '2015'!$A$7:$A$37, 0), MATCH(GJ15, '2015'!$E$4:$EN$4, 0) )</f>
        <v>463</v>
      </c>
      <c r="GR38" s="48">
        <f>INDEX('2016'!$E$7:$EN$37,  MATCH(GJ38, '2016'!$A$7:$A$37, 0), MATCH(GJ15, '2016'!$E$4:$EN$4, 0) )</f>
        <v>574</v>
      </c>
      <c r="GS38" s="48">
        <f>INDEX('2017'!$E$7:$EN$37,  MATCH(GJ38, '2017'!$A$7:$A$37, 0), MATCH(GJ15, '2017'!$E$4:$EN$4, 0) )</f>
        <v>623</v>
      </c>
      <c r="GT38" s="48">
        <f>INDEX('2018'!$E$7:$EN$37,  MATCH(GJ38, '2018'!$A$7:$A$37, 0), MATCH(GJ15, '2018'!$E$4:$EN$4, 0) )</f>
        <v>620</v>
      </c>
      <c r="GU38" s="48">
        <f>INDEX('2019'!$E$7:$EN$37,  MATCH(GJ38, '2019'!$A$7:$A$37, 0), MATCH(GJ15, '2019'!$E$4:$EN$4, 0) )</f>
        <v>625</v>
      </c>
    </row>
    <row r="39" spans="50:203" x14ac:dyDescent="0.25">
      <c r="AX39" s="15"/>
      <c r="AY39" s="39" t="s">
        <v>619</v>
      </c>
      <c r="AZ39" s="41">
        <f>SUM(AZ37:AZ38)</f>
        <v>4.824796714234892E-2</v>
      </c>
      <c r="BA39" s="41">
        <f t="shared" ref="BA39:BI39" si="109">SUM(BA37:BA38)</f>
        <v>4.8146251420070105E-2</v>
      </c>
      <c r="BB39" s="41">
        <f t="shared" si="109"/>
        <v>4.7170407587715971E-2</v>
      </c>
      <c r="BC39" s="41">
        <f t="shared" si="109"/>
        <v>4.8242531662858947E-2</v>
      </c>
      <c r="BD39" s="41">
        <f t="shared" si="109"/>
        <v>4.8818052721095066E-2</v>
      </c>
      <c r="BE39" s="41">
        <f t="shared" si="109"/>
        <v>5.1301418848072343E-2</v>
      </c>
      <c r="BF39" s="41">
        <f t="shared" si="109"/>
        <v>5.3654325724151158E-2</v>
      </c>
      <c r="BG39" s="41">
        <f t="shared" si="109"/>
        <v>5.7712072667975789E-2</v>
      </c>
      <c r="BH39" s="41">
        <f t="shared" si="109"/>
        <v>6.1576175978970929E-2</v>
      </c>
      <c r="BI39" s="41">
        <f t="shared" si="109"/>
        <v>6.5641118536447871E-2</v>
      </c>
      <c r="CI39" s="15">
        <v>45</v>
      </c>
      <c r="CJ39" s="37" t="str">
        <f t="shared" si="79"/>
        <v>Tooele</v>
      </c>
      <c r="CK39" s="44">
        <f t="shared" si="80"/>
        <v>4.2640258624217373E-2</v>
      </c>
      <c r="CL39" s="44">
        <f t="shared" si="81"/>
        <v>3.8880186367835481E-2</v>
      </c>
      <c r="CM39" s="44">
        <f t="shared" si="81"/>
        <v>3.7758441765785904E-2</v>
      </c>
      <c r="CN39" s="44">
        <f t="shared" si="81"/>
        <v>3.9799818733498832E-2</v>
      </c>
      <c r="CO39" s="44">
        <f t="shared" si="81"/>
        <v>3.5084965268239079E-2</v>
      </c>
      <c r="CP39" s="44">
        <f t="shared" si="81"/>
        <v>3.8629259445066184E-2</v>
      </c>
      <c r="CQ39" s="44">
        <f t="shared" si="81"/>
        <v>4.1483485514598128E-2</v>
      </c>
      <c r="CR39" s="44">
        <f t="shared" si="81"/>
        <v>4.5706670508572252E-2</v>
      </c>
      <c r="CS39" s="44">
        <f t="shared" si="81"/>
        <v>4.8132838226021157E-2</v>
      </c>
      <c r="CT39" s="44">
        <f t="shared" si="81"/>
        <v>5.2683439532286672E-2</v>
      </c>
      <c r="CV39" s="9">
        <f t="shared" si="82"/>
        <v>450</v>
      </c>
      <c r="CW39" s="21" t="str">
        <f t="shared" si="92"/>
        <v>Tooele</v>
      </c>
      <c r="CX39" s="40">
        <f t="shared" si="83"/>
        <v>2.4716618242828496E-2</v>
      </c>
      <c r="CY39" s="40">
        <f t="shared" si="84"/>
        <v>2.0765554082821224E-2</v>
      </c>
      <c r="CZ39" s="40">
        <f t="shared" si="84"/>
        <v>1.9158617386445278E-2</v>
      </c>
      <c r="DA39" s="40">
        <f t="shared" si="84"/>
        <v>1.7338534893801473E-2</v>
      </c>
      <c r="DB39" s="40">
        <f t="shared" si="84"/>
        <v>1.7974176837643734E-2</v>
      </c>
      <c r="DC39" s="40">
        <f t="shared" si="84"/>
        <v>1.7790298305869642E-2</v>
      </c>
      <c r="DD39" s="40">
        <f t="shared" si="84"/>
        <v>2.2582948183218727E-2</v>
      </c>
      <c r="DE39" s="40">
        <f t="shared" si="84"/>
        <v>2.6473130672813715E-2</v>
      </c>
      <c r="DF39" s="40">
        <f t="shared" si="84"/>
        <v>2.918097106424718E-2</v>
      </c>
      <c r="DG39" s="40">
        <f t="shared" si="84"/>
        <v>3.0710109702423962E-2</v>
      </c>
      <c r="DI39" s="9">
        <f t="shared" si="85"/>
        <v>450</v>
      </c>
      <c r="DJ39" s="21" t="str">
        <f t="shared" si="93"/>
        <v>Tooele</v>
      </c>
      <c r="DK39" s="40">
        <f t="shared" si="86"/>
        <v>1.7923640381388876E-2</v>
      </c>
      <c r="DL39" s="40">
        <f t="shared" si="87"/>
        <v>1.8114632285014257E-2</v>
      </c>
      <c r="DM39" s="40">
        <f t="shared" si="87"/>
        <v>1.8599824379340626E-2</v>
      </c>
      <c r="DN39" s="40">
        <f t="shared" si="87"/>
        <v>2.2461283839697362E-2</v>
      </c>
      <c r="DO39" s="40">
        <f t="shared" si="87"/>
        <v>1.7110788430595346E-2</v>
      </c>
      <c r="DP39" s="40">
        <f t="shared" si="87"/>
        <v>2.0838961139196543E-2</v>
      </c>
      <c r="DQ39" s="40">
        <f t="shared" si="87"/>
        <v>1.8900537331379402E-2</v>
      </c>
      <c r="DR39" s="40">
        <f t="shared" si="87"/>
        <v>1.9233539835758536E-2</v>
      </c>
      <c r="DS39" s="40">
        <f t="shared" si="87"/>
        <v>1.895186716177398E-2</v>
      </c>
      <c r="DT39" s="40">
        <f t="shared" si="87"/>
        <v>2.1973329829862706E-2</v>
      </c>
      <c r="DV39" s="9">
        <f t="shared" si="88"/>
        <v>450</v>
      </c>
      <c r="DW39" s="21" t="str">
        <f t="shared" si="94"/>
        <v>Tooele</v>
      </c>
      <c r="DX39" s="45">
        <f t="shared" si="95"/>
        <v>604</v>
      </c>
      <c r="DY39" s="45">
        <f t="shared" si="95"/>
        <v>517</v>
      </c>
      <c r="DZ39" s="45">
        <f t="shared" si="89"/>
        <v>480</v>
      </c>
      <c r="EA39" s="45">
        <f t="shared" si="89"/>
        <v>440</v>
      </c>
      <c r="EB39" s="45">
        <f t="shared" si="89"/>
        <v>458</v>
      </c>
      <c r="EC39" s="45">
        <f t="shared" si="89"/>
        <v>461</v>
      </c>
      <c r="ED39" s="45">
        <f t="shared" si="89"/>
        <v>601</v>
      </c>
      <c r="EE39" s="45">
        <f t="shared" si="89"/>
        <v>735</v>
      </c>
      <c r="EF39" s="45">
        <f t="shared" si="89"/>
        <v>833</v>
      </c>
      <c r="EG39" s="45">
        <f t="shared" si="89"/>
        <v>935</v>
      </c>
      <c r="EI39" s="9">
        <f t="shared" si="90"/>
        <v>450</v>
      </c>
      <c r="EJ39" s="21" t="str">
        <f t="shared" si="96"/>
        <v>Tooele</v>
      </c>
      <c r="EK39" s="45">
        <f t="shared" si="97"/>
        <v>438</v>
      </c>
      <c r="EL39" s="45">
        <f t="shared" si="97"/>
        <v>451</v>
      </c>
      <c r="EM39" s="45">
        <f t="shared" si="91"/>
        <v>466</v>
      </c>
      <c r="EN39" s="45">
        <f t="shared" si="91"/>
        <v>570</v>
      </c>
      <c r="EO39" s="45">
        <f t="shared" si="91"/>
        <v>436</v>
      </c>
      <c r="EP39" s="45">
        <f t="shared" si="91"/>
        <v>540</v>
      </c>
      <c r="EQ39" s="45">
        <f t="shared" si="91"/>
        <v>503</v>
      </c>
      <c r="ER39" s="45">
        <f t="shared" si="91"/>
        <v>534</v>
      </c>
      <c r="ES39" s="45">
        <f t="shared" si="91"/>
        <v>541</v>
      </c>
      <c r="ET39" s="45">
        <f t="shared" si="91"/>
        <v>669</v>
      </c>
      <c r="EW39" s="9">
        <f t="shared" si="98"/>
        <v>45</v>
      </c>
      <c r="EX39" s="21" t="str">
        <f t="shared" si="99"/>
        <v>Tooele</v>
      </c>
      <c r="EY39" s="48">
        <f>INDEX('2010'!$E$7:$EN$37,  MATCH(EW39, '2010'!$A$7:$A$37, 0), MATCH(EW15, '2010'!$E$4:$EN$4, 0) )</f>
        <v>24437</v>
      </c>
      <c r="EZ39" s="48">
        <f>INDEX('2011'!$E$7:$EN$37,  MATCH(EW39, '2011'!$A$7:$A$37, 0), MATCH(EW15, '2011'!$E$4:$EN$4, 0) )</f>
        <v>24897</v>
      </c>
      <c r="FA39" s="48">
        <f>INDEX('2012'!$E$7:$EN$37,  MATCH(EW39, '2012'!$A$7:$A$37, 0), MATCH(EW15, '2012'!$E$4:$EN$4, 0) )</f>
        <v>25054</v>
      </c>
      <c r="FB39" s="48">
        <f>INDEX('2013'!$E$7:$EN$37,  MATCH(EW39, '2013'!$A$7:$A$37, 0), MATCH(EW15, '2013'!$E$4:$EN$4, 0) )</f>
        <v>25377</v>
      </c>
      <c r="FC39" s="48">
        <f>INDEX('2014'!$E$7:$EN$37,  MATCH(EW39, '2014'!$A$7:$A$37, 0), MATCH(EW15, '2014'!$E$4:$EN$4, 0) )</f>
        <v>25481</v>
      </c>
      <c r="FD39" s="48">
        <f>INDEX('2015'!$E$7:$EN$37,  MATCH(EW39, '2015'!$A$7:$A$37, 0), MATCH(EW15, '2015'!$E$4:$EN$4, 0) )</f>
        <v>25913</v>
      </c>
      <c r="FE39" s="48">
        <f>INDEX('2016'!$E$7:$EN$37,  MATCH(EW39, '2016'!$A$7:$A$37, 0), MATCH(EW15, '2016'!$E$4:$EN$4, 0) )</f>
        <v>26613</v>
      </c>
      <c r="FF39" s="48">
        <f>INDEX('2017'!$E$7:$EN$37,  MATCH(EW39, '2017'!$A$7:$A$37, 0), MATCH(EW15, '2017'!$E$4:$EN$4, 0) )</f>
        <v>27764</v>
      </c>
      <c r="FG39" s="48">
        <f>INDEX('2018'!$E$7:$EN$37,  MATCH(EW39, '2018'!$A$7:$A$37, 0), MATCH(EW15, '2018'!$E$4:$EN$4, 0) )</f>
        <v>28546</v>
      </c>
      <c r="FH39" s="48">
        <f>INDEX('2019'!$E$7:$EN$37,  MATCH(EW39, '2019'!$A$7:$A$37, 0), MATCH(EW15, '2019'!$E$4:$EN$4, 0) )</f>
        <v>30446</v>
      </c>
      <c r="FJ39" s="9">
        <f t="shared" si="100"/>
        <v>45</v>
      </c>
      <c r="FK39" s="21" t="str">
        <f t="shared" si="101"/>
        <v>Tooele</v>
      </c>
      <c r="FL39" s="48">
        <f>INDEX('2010'!$E$7:$EN$37,  MATCH(FJ39, '2010'!$A$7:$A$37, 0), MATCH(FJ15, '2010'!$E$4:$EN$4, 0) )</f>
        <v>1042</v>
      </c>
      <c r="FM39" s="48">
        <f>INDEX('2011'!$E$7:$EN$37,  MATCH(FJ39, '2011'!$A$7:$A$37, 0), MATCH(FJ15, '2011'!$E$4:$EN$4, 0) )</f>
        <v>968</v>
      </c>
      <c r="FN39" s="48">
        <f>INDEX('2012'!$E$7:$EN$37,  MATCH(FJ39, '2012'!$A$7:$A$37, 0), MATCH(FJ15, '2012'!$E$4:$EN$4, 0) )</f>
        <v>946</v>
      </c>
      <c r="FO39" s="48">
        <f>INDEX('2013'!$E$7:$EN$37,  MATCH(FJ39, '2013'!$A$7:$A$37, 0), MATCH(FJ15, '2013'!$E$4:$EN$4, 0) )</f>
        <v>1010</v>
      </c>
      <c r="FP39" s="48">
        <f>INDEX('2014'!$E$7:$EN$37,  MATCH(FJ39, '2014'!$A$7:$A$37, 0), MATCH(FJ15, '2014'!$E$4:$EN$4, 0) )</f>
        <v>894</v>
      </c>
      <c r="FQ39" s="48">
        <f>INDEX('2015'!$E$7:$EN$37,  MATCH(FJ39, '2015'!$A$7:$A$37, 0), MATCH(FJ15, '2015'!$E$4:$EN$4, 0) )</f>
        <v>1001</v>
      </c>
      <c r="FR39" s="48">
        <f>INDEX('2016'!$E$7:$EN$37,  MATCH(FJ39, '2016'!$A$7:$A$37, 0), MATCH(FJ15, '2016'!$E$4:$EN$4, 0) )</f>
        <v>1104</v>
      </c>
      <c r="FS39" s="48">
        <f>INDEX('2017'!$E$7:$EN$37,  MATCH(FJ39, '2017'!$A$7:$A$37, 0), MATCH(FJ15, '2017'!$E$4:$EN$4, 0) )</f>
        <v>1269</v>
      </c>
      <c r="FT39" s="48">
        <f>INDEX('2018'!$E$7:$EN$37,  MATCH(FJ39, '2018'!$A$7:$A$37, 0), MATCH(FJ15, '2018'!$E$4:$EN$4, 0) )</f>
        <v>1374</v>
      </c>
      <c r="FU39" s="48">
        <f>INDEX('2019'!$E$7:$EN$37,  MATCH(FJ39, '2019'!$A$7:$A$37, 0), MATCH(FJ15, '2019'!$E$4:$EN$4, 0) )</f>
        <v>1604</v>
      </c>
      <c r="FW39" s="9">
        <f t="shared" si="102"/>
        <v>45</v>
      </c>
      <c r="FX39" s="21" t="str">
        <f t="shared" si="103"/>
        <v>Tooele</v>
      </c>
      <c r="FY39" s="48">
        <f>INDEX('2010'!$E$7:$EN$37,  MATCH(FW39, '2010'!$A$7:$A$37, 0), MATCH(FW15, '2010'!$E$4:$EN$4, 0) )</f>
        <v>50</v>
      </c>
      <c r="FZ39" s="48">
        <f>INDEX('2011'!$E$7:$EN$37,  MATCH(FW39, '2011'!$A$7:$A$37, 0), MATCH(FW15, '2011'!$E$4:$EN$4, 0) )</f>
        <v>137</v>
      </c>
      <c r="GA39" s="48">
        <f>INDEX('2012'!$E$7:$EN$37,  MATCH(FW39, '2012'!$A$7:$A$37, 0), MATCH(FW15, '2012'!$E$4:$EN$4, 0) )</f>
        <v>147</v>
      </c>
      <c r="GB39" s="48">
        <f>INDEX('2013'!$E$7:$EN$37,  MATCH(FW39, '2013'!$A$7:$A$37, 0), MATCH(FW15, '2013'!$E$4:$EN$4, 0) )</f>
        <v>185</v>
      </c>
      <c r="GC39" s="48">
        <f>INDEX('2014'!$E$7:$EN$37,  MATCH(FW39, '2014'!$A$7:$A$37, 0), MATCH(FW15, '2014'!$E$4:$EN$4, 0) )</f>
        <v>157</v>
      </c>
      <c r="GD39" s="48">
        <f>INDEX('2015'!$E$7:$EN$37,  MATCH(FW39, '2015'!$A$7:$A$37, 0), MATCH(FW15, '2015'!$E$4:$EN$4, 0) )</f>
        <v>165</v>
      </c>
      <c r="GE39" s="48">
        <f>INDEX('2016'!$E$7:$EN$37,  MATCH(FW39, '2016'!$A$7:$A$37, 0), MATCH(FW15, '2016'!$E$4:$EN$4, 0) )</f>
        <v>69</v>
      </c>
      <c r="GF39" s="48">
        <f>INDEX('2017'!$E$7:$EN$37,  MATCH(FW39, '2017'!$A$7:$A$37, 0), MATCH(FW15, '2017'!$E$4:$EN$4, 0) )</f>
        <v>50</v>
      </c>
      <c r="GG39" s="48">
        <f>INDEX('2018'!$E$7:$EN$37,  MATCH(FW39, '2018'!$A$7:$A$37, 0), MATCH(FW15, '2018'!$E$4:$EN$4, 0) )</f>
        <v>65</v>
      </c>
      <c r="GH39" s="48">
        <f>INDEX('2019'!$E$7:$EN$37,  MATCH(FW39, '2019'!$A$7:$A$37, 0), MATCH(FW15, '2019'!$E$4:$EN$4, 0) )</f>
        <v>76</v>
      </c>
      <c r="GJ39" s="9">
        <f t="shared" si="104"/>
        <v>45</v>
      </c>
      <c r="GK39" s="21" t="str">
        <f t="shared" si="105"/>
        <v>Tooele</v>
      </c>
      <c r="GL39" s="48">
        <f>INDEX('2010'!$E$7:$EN$37,  MATCH(GJ39, '2010'!$A$7:$A$37, 0), MATCH(GJ15, '2010'!$E$4:$EN$4, 0) )</f>
        <v>388</v>
      </c>
      <c r="GM39" s="48">
        <f>INDEX('2011'!$E$7:$EN$37,  MATCH(GJ39, '2011'!$A$7:$A$37, 0), MATCH(GJ15, '2011'!$E$4:$EN$4, 0) )</f>
        <v>314</v>
      </c>
      <c r="GN39" s="48">
        <f>INDEX('2012'!$E$7:$EN$37,  MATCH(GJ39, '2012'!$A$7:$A$37, 0), MATCH(GJ15, '2012'!$E$4:$EN$4, 0) )</f>
        <v>319</v>
      </c>
      <c r="GO39" s="48">
        <f>INDEX('2013'!$E$7:$EN$37,  MATCH(GJ39, '2013'!$A$7:$A$37, 0), MATCH(GJ15, '2013'!$E$4:$EN$4, 0) )</f>
        <v>385</v>
      </c>
      <c r="GP39" s="48">
        <f>INDEX('2014'!$E$7:$EN$37,  MATCH(GJ39, '2014'!$A$7:$A$37, 0), MATCH(GJ15, '2014'!$E$4:$EN$4, 0) )</f>
        <v>279</v>
      </c>
      <c r="GQ39" s="48">
        <f>INDEX('2015'!$E$7:$EN$37,  MATCH(GJ39, '2015'!$A$7:$A$37, 0), MATCH(GJ15, '2015'!$E$4:$EN$4, 0) )</f>
        <v>375</v>
      </c>
      <c r="GR39" s="48">
        <f>INDEX('2016'!$E$7:$EN$37,  MATCH(GJ39, '2016'!$A$7:$A$37, 0), MATCH(GJ15, '2016'!$E$4:$EN$4, 0) )</f>
        <v>434</v>
      </c>
      <c r="GS39" s="48">
        <f>INDEX('2017'!$E$7:$EN$37,  MATCH(GJ39, '2017'!$A$7:$A$37, 0), MATCH(GJ15, '2017'!$E$4:$EN$4, 0) )</f>
        <v>484</v>
      </c>
      <c r="GT39" s="48">
        <f>INDEX('2018'!$E$7:$EN$37,  MATCH(GJ39, '2018'!$A$7:$A$37, 0), MATCH(GJ15, '2018'!$E$4:$EN$4, 0) )</f>
        <v>476</v>
      </c>
      <c r="GU39" s="48">
        <f>INDEX('2019'!$E$7:$EN$37,  MATCH(GJ39, '2019'!$A$7:$A$37, 0), MATCH(GJ15, '2019'!$E$4:$EN$4, 0) )</f>
        <v>593</v>
      </c>
    </row>
    <row r="40" spans="50:203" x14ac:dyDescent="0.25">
      <c r="CI40" s="15">
        <v>47</v>
      </c>
      <c r="CJ40" s="37" t="str">
        <f t="shared" si="79"/>
        <v>Uintah</v>
      </c>
      <c r="CK40" s="44">
        <f t="shared" si="80"/>
        <v>3.6034721715661244E-2</v>
      </c>
      <c r="CL40" s="44">
        <f t="shared" si="81"/>
        <v>3.3869787856620336E-2</v>
      </c>
      <c r="CM40" s="44">
        <f t="shared" si="81"/>
        <v>3.5640459049112554E-2</v>
      </c>
      <c r="CN40" s="44">
        <f t="shared" si="81"/>
        <v>3.7448183798215413E-2</v>
      </c>
      <c r="CO40" s="44">
        <f t="shared" si="81"/>
        <v>3.3353670937563556E-2</v>
      </c>
      <c r="CP40" s="44">
        <f t="shared" si="81"/>
        <v>3.5215903106898372E-2</v>
      </c>
      <c r="CQ40" s="44">
        <f t="shared" si="81"/>
        <v>3.668763102725367E-2</v>
      </c>
      <c r="CR40" s="44">
        <f t="shared" si="81"/>
        <v>3.783856441965186E-2</v>
      </c>
      <c r="CS40" s="44">
        <f t="shared" si="81"/>
        <v>4.4805282306966718E-2</v>
      </c>
      <c r="CT40" s="44">
        <f t="shared" si="81"/>
        <v>3.8275226854062906E-2</v>
      </c>
      <c r="CV40" s="9">
        <f t="shared" si="82"/>
        <v>470</v>
      </c>
      <c r="CW40" s="21" t="str">
        <f t="shared" si="92"/>
        <v>Uintah</v>
      </c>
      <c r="CX40" s="40">
        <f t="shared" si="83"/>
        <v>1.2765336640163397E-2</v>
      </c>
      <c r="CY40" s="40">
        <f t="shared" si="84"/>
        <v>1.3752743233357718E-2</v>
      </c>
      <c r="CZ40" s="40">
        <f t="shared" si="84"/>
        <v>9.8367666975550643E-3</v>
      </c>
      <c r="DA40" s="40">
        <f t="shared" si="84"/>
        <v>1.0960444038502073E-2</v>
      </c>
      <c r="DB40" s="40">
        <f t="shared" si="84"/>
        <v>1.1185682326621925E-2</v>
      </c>
      <c r="DC40" s="40">
        <f t="shared" si="84"/>
        <v>1.2243285939968405E-2</v>
      </c>
      <c r="DD40" s="40">
        <f t="shared" si="84"/>
        <v>1.1726939203354297E-2</v>
      </c>
      <c r="DE40" s="40">
        <f t="shared" si="84"/>
        <v>1.2097587203441092E-2</v>
      </c>
      <c r="DF40" s="40">
        <f t="shared" si="84"/>
        <v>1.5631316534159816E-2</v>
      </c>
      <c r="DG40" s="40">
        <f t="shared" si="84"/>
        <v>1.1530326806304156E-2</v>
      </c>
      <c r="DI40" s="9">
        <f t="shared" si="85"/>
        <v>470</v>
      </c>
      <c r="DJ40" s="21" t="str">
        <f t="shared" si="93"/>
        <v>Uintah</v>
      </c>
      <c r="DK40" s="40">
        <f t="shared" si="86"/>
        <v>2.3269385075497848E-2</v>
      </c>
      <c r="DL40" s="40">
        <f t="shared" si="87"/>
        <v>2.0117044623262619E-2</v>
      </c>
      <c r="DM40" s="40">
        <f t="shared" si="87"/>
        <v>2.5803692351557488E-2</v>
      </c>
      <c r="DN40" s="40">
        <f t="shared" si="87"/>
        <v>2.6487739759713341E-2</v>
      </c>
      <c r="DO40" s="40">
        <f t="shared" si="87"/>
        <v>2.216798861094163E-2</v>
      </c>
      <c r="DP40" s="40">
        <f t="shared" si="87"/>
        <v>2.2972617166929964E-2</v>
      </c>
      <c r="DQ40" s="40">
        <f t="shared" si="87"/>
        <v>2.4960691823899372E-2</v>
      </c>
      <c r="DR40" s="40">
        <f t="shared" si="87"/>
        <v>2.5740977216210766E-2</v>
      </c>
      <c r="DS40" s="40">
        <f t="shared" si="87"/>
        <v>2.9173965772806898E-2</v>
      </c>
      <c r="DT40" s="40">
        <f t="shared" si="87"/>
        <v>2.674490004775875E-2</v>
      </c>
      <c r="DV40" s="9">
        <f t="shared" si="88"/>
        <v>470</v>
      </c>
      <c r="DW40" s="21" t="str">
        <f t="shared" si="94"/>
        <v>Uintah</v>
      </c>
      <c r="DX40" s="45">
        <f t="shared" si="95"/>
        <v>175</v>
      </c>
      <c r="DY40" s="45">
        <f t="shared" si="95"/>
        <v>188</v>
      </c>
      <c r="DZ40" s="45">
        <f t="shared" si="89"/>
        <v>138</v>
      </c>
      <c r="EA40" s="45">
        <f t="shared" si="89"/>
        <v>156</v>
      </c>
      <c r="EB40" s="45">
        <f t="shared" si="89"/>
        <v>165</v>
      </c>
      <c r="EC40" s="45">
        <f t="shared" si="89"/>
        <v>186</v>
      </c>
      <c r="ED40" s="45">
        <f t="shared" si="89"/>
        <v>179</v>
      </c>
      <c r="EE40" s="45">
        <f t="shared" si="89"/>
        <v>180</v>
      </c>
      <c r="EF40" s="45">
        <f t="shared" si="89"/>
        <v>232</v>
      </c>
      <c r="EG40" s="45">
        <f t="shared" si="89"/>
        <v>169</v>
      </c>
      <c r="EI40" s="9">
        <f t="shared" si="90"/>
        <v>470</v>
      </c>
      <c r="EJ40" s="21" t="str">
        <f t="shared" si="96"/>
        <v>Uintah</v>
      </c>
      <c r="EK40" s="45">
        <f t="shared" si="97"/>
        <v>319</v>
      </c>
      <c r="EL40" s="45">
        <f t="shared" si="97"/>
        <v>275</v>
      </c>
      <c r="EM40" s="45">
        <f t="shared" si="91"/>
        <v>362</v>
      </c>
      <c r="EN40" s="45">
        <f t="shared" si="91"/>
        <v>377</v>
      </c>
      <c r="EO40" s="45">
        <f t="shared" si="91"/>
        <v>327</v>
      </c>
      <c r="EP40" s="45">
        <f t="shared" si="91"/>
        <v>349</v>
      </c>
      <c r="EQ40" s="45">
        <f t="shared" si="91"/>
        <v>381</v>
      </c>
      <c r="ER40" s="45">
        <f t="shared" si="91"/>
        <v>383</v>
      </c>
      <c r="ES40" s="45">
        <f t="shared" si="91"/>
        <v>433</v>
      </c>
      <c r="ET40" s="45">
        <f t="shared" si="91"/>
        <v>392</v>
      </c>
      <c r="EW40" s="9">
        <f t="shared" si="98"/>
        <v>47</v>
      </c>
      <c r="EX40" s="21" t="str">
        <f t="shared" si="99"/>
        <v>Uintah</v>
      </c>
      <c r="EY40" s="48">
        <f>INDEX('2010'!$E$7:$EN$37,  MATCH(EW40, '2010'!$A$7:$A$37, 0), MATCH(EW15, '2010'!$E$4:$EN$4, 0) )</f>
        <v>13709</v>
      </c>
      <c r="EZ40" s="48">
        <f>INDEX('2011'!$E$7:$EN$37,  MATCH(EW40, '2011'!$A$7:$A$37, 0), MATCH(EW15, '2011'!$E$4:$EN$4, 0) )</f>
        <v>13670</v>
      </c>
      <c r="FA40" s="48">
        <f>INDEX('2012'!$E$7:$EN$37,  MATCH(EW40, '2012'!$A$7:$A$37, 0), MATCH(EW15, '2012'!$E$4:$EN$4, 0) )</f>
        <v>14029</v>
      </c>
      <c r="FB40" s="48">
        <f>INDEX('2013'!$E$7:$EN$37,  MATCH(EW40, '2013'!$A$7:$A$37, 0), MATCH(EW15, '2013'!$E$4:$EN$4, 0) )</f>
        <v>14233</v>
      </c>
      <c r="FC40" s="48">
        <f>INDEX('2014'!$E$7:$EN$37,  MATCH(EW40, '2014'!$A$7:$A$37, 0), MATCH(EW15, '2014'!$E$4:$EN$4, 0) )</f>
        <v>14751</v>
      </c>
      <c r="FD40" s="48">
        <f>INDEX('2015'!$E$7:$EN$37,  MATCH(EW40, '2015'!$A$7:$A$37, 0), MATCH(EW15, '2015'!$E$4:$EN$4, 0) )</f>
        <v>15192</v>
      </c>
      <c r="FE40" s="48">
        <f>INDEX('2016'!$E$7:$EN$37,  MATCH(EW40, '2016'!$A$7:$A$37, 0), MATCH(EW15, '2016'!$E$4:$EN$4, 0) )</f>
        <v>15264</v>
      </c>
      <c r="FF40" s="48">
        <f>INDEX('2017'!$E$7:$EN$37,  MATCH(EW40, '2017'!$A$7:$A$37, 0), MATCH(EW15, '2017'!$E$4:$EN$4, 0) )</f>
        <v>14879</v>
      </c>
      <c r="FG40" s="48">
        <f>INDEX('2018'!$E$7:$EN$37,  MATCH(EW40, '2018'!$A$7:$A$37, 0), MATCH(EW15, '2018'!$E$4:$EN$4, 0) )</f>
        <v>14842</v>
      </c>
      <c r="FH40" s="48">
        <f>INDEX('2019'!$E$7:$EN$37,  MATCH(EW40, '2019'!$A$7:$A$37, 0), MATCH(EW15, '2019'!$E$4:$EN$4, 0) )</f>
        <v>14657</v>
      </c>
      <c r="FJ40" s="9">
        <f t="shared" si="100"/>
        <v>47</v>
      </c>
      <c r="FK40" s="21" t="str">
        <f t="shared" si="101"/>
        <v>Uintah</v>
      </c>
      <c r="FL40" s="48">
        <f>INDEX('2010'!$E$7:$EN$37,  MATCH(FJ40, '2010'!$A$7:$A$37, 0), MATCH(FJ15, '2010'!$E$4:$EN$4, 0) )</f>
        <v>494</v>
      </c>
      <c r="FM40" s="48">
        <f>INDEX('2011'!$E$7:$EN$37,  MATCH(FJ40, '2011'!$A$7:$A$37, 0), MATCH(FJ15, '2011'!$E$4:$EN$4, 0) )</f>
        <v>463</v>
      </c>
      <c r="FN40" s="48">
        <f>INDEX('2012'!$E$7:$EN$37,  MATCH(FJ40, '2012'!$A$7:$A$37, 0), MATCH(FJ15, '2012'!$E$4:$EN$4, 0) )</f>
        <v>500</v>
      </c>
      <c r="FO40" s="48">
        <f>INDEX('2013'!$E$7:$EN$37,  MATCH(FJ40, '2013'!$A$7:$A$37, 0), MATCH(FJ15, '2013'!$E$4:$EN$4, 0) )</f>
        <v>533</v>
      </c>
      <c r="FP40" s="48">
        <f>INDEX('2014'!$E$7:$EN$37,  MATCH(FJ40, '2014'!$A$7:$A$37, 0), MATCH(FJ15, '2014'!$E$4:$EN$4, 0) )</f>
        <v>492</v>
      </c>
      <c r="FQ40" s="48">
        <f>INDEX('2015'!$E$7:$EN$37,  MATCH(FJ40, '2015'!$A$7:$A$37, 0), MATCH(FJ15, '2015'!$E$4:$EN$4, 0) )</f>
        <v>535</v>
      </c>
      <c r="FR40" s="48">
        <f>INDEX('2016'!$E$7:$EN$37,  MATCH(FJ40, '2016'!$A$7:$A$37, 0), MATCH(FJ15, '2016'!$E$4:$EN$4, 0) )</f>
        <v>560</v>
      </c>
      <c r="FS40" s="48">
        <f>INDEX('2017'!$E$7:$EN$37,  MATCH(FJ40, '2017'!$A$7:$A$37, 0), MATCH(FJ15, '2017'!$E$4:$EN$4, 0) )</f>
        <v>563</v>
      </c>
      <c r="FT40" s="48">
        <f>INDEX('2018'!$E$7:$EN$37,  MATCH(FJ40, '2018'!$A$7:$A$37, 0), MATCH(FJ15, '2018'!$E$4:$EN$4, 0) )</f>
        <v>665</v>
      </c>
      <c r="FU40" s="48">
        <f>INDEX('2019'!$E$7:$EN$37,  MATCH(FJ40, '2019'!$A$7:$A$37, 0), MATCH(FJ15, '2019'!$E$4:$EN$4, 0) )</f>
        <v>561</v>
      </c>
      <c r="FW40" s="9">
        <f t="shared" si="102"/>
        <v>47</v>
      </c>
      <c r="FX40" s="21" t="str">
        <f t="shared" si="103"/>
        <v>Uintah</v>
      </c>
      <c r="FY40" s="48">
        <f>INDEX('2010'!$E$7:$EN$37,  MATCH(FW40, '2010'!$A$7:$A$37, 0), MATCH(FW15, '2010'!$E$4:$EN$4, 0) )</f>
        <v>154</v>
      </c>
      <c r="FZ40" s="48">
        <f>INDEX('2011'!$E$7:$EN$37,  MATCH(FW40, '2011'!$A$7:$A$37, 0), MATCH(FW15, '2011'!$E$4:$EN$4, 0) )</f>
        <v>136</v>
      </c>
      <c r="GA40" s="48">
        <f>INDEX('2012'!$E$7:$EN$37,  MATCH(FW40, '2012'!$A$7:$A$37, 0), MATCH(FW15, '2012'!$E$4:$EN$4, 0) )</f>
        <v>158</v>
      </c>
      <c r="GB40" s="48">
        <f>INDEX('2013'!$E$7:$EN$37,  MATCH(FW40, '2013'!$A$7:$A$37, 0), MATCH(FW15, '2013'!$E$4:$EN$4, 0) )</f>
        <v>163</v>
      </c>
      <c r="GC40" s="48">
        <f>INDEX('2014'!$E$7:$EN$37,  MATCH(FW40, '2014'!$A$7:$A$37, 0), MATCH(FW15, '2014'!$E$4:$EN$4, 0) )</f>
        <v>117</v>
      </c>
      <c r="GD40" s="48">
        <f>INDEX('2015'!$E$7:$EN$37,  MATCH(FW40, '2015'!$A$7:$A$37, 0), MATCH(FW15, '2015'!$E$4:$EN$4, 0) )</f>
        <v>115</v>
      </c>
      <c r="GE40" s="48">
        <f>INDEX('2016'!$E$7:$EN$37,  MATCH(FW40, '2016'!$A$7:$A$37, 0), MATCH(FW15, '2016'!$E$4:$EN$4, 0) )</f>
        <v>95</v>
      </c>
      <c r="GF40" s="48">
        <f>INDEX('2017'!$E$7:$EN$37,  MATCH(FW40, '2017'!$A$7:$A$37, 0), MATCH(FW15, '2017'!$E$4:$EN$4, 0) )</f>
        <v>131</v>
      </c>
      <c r="GG40" s="48">
        <f>INDEX('2018'!$E$7:$EN$37,  MATCH(FW40, '2018'!$A$7:$A$37, 0), MATCH(FW15, '2018'!$E$4:$EN$4, 0) )</f>
        <v>190</v>
      </c>
      <c r="GH40" s="48">
        <f>INDEX('2019'!$E$7:$EN$37,  MATCH(FW40, '2019'!$A$7:$A$37, 0), MATCH(FW15, '2019'!$E$4:$EN$4, 0) )</f>
        <v>230</v>
      </c>
      <c r="GJ40" s="9">
        <f t="shared" si="104"/>
        <v>47</v>
      </c>
      <c r="GK40" s="21" t="str">
        <f t="shared" si="105"/>
        <v>Uintah</v>
      </c>
      <c r="GL40" s="48">
        <f>INDEX('2010'!$E$7:$EN$37,  MATCH(GJ40, '2010'!$A$7:$A$37, 0), MATCH(GJ15, '2010'!$E$4:$EN$4, 0) )</f>
        <v>165</v>
      </c>
      <c r="GM40" s="48">
        <f>INDEX('2011'!$E$7:$EN$37,  MATCH(GJ40, '2011'!$A$7:$A$37, 0), MATCH(GJ15, '2011'!$E$4:$EN$4, 0) )</f>
        <v>139</v>
      </c>
      <c r="GN40" s="48">
        <f>INDEX('2012'!$E$7:$EN$37,  MATCH(GJ40, '2012'!$A$7:$A$37, 0), MATCH(GJ15, '2012'!$E$4:$EN$4, 0) )</f>
        <v>204</v>
      </c>
      <c r="GO40" s="48">
        <f>INDEX('2013'!$E$7:$EN$37,  MATCH(GJ40, '2013'!$A$7:$A$37, 0), MATCH(GJ15, '2013'!$E$4:$EN$4, 0) )</f>
        <v>214</v>
      </c>
      <c r="GP40" s="48">
        <f>INDEX('2014'!$E$7:$EN$37,  MATCH(GJ40, '2014'!$A$7:$A$37, 0), MATCH(GJ15, '2014'!$E$4:$EN$4, 0) )</f>
        <v>210</v>
      </c>
      <c r="GQ40" s="48">
        <f>INDEX('2015'!$E$7:$EN$37,  MATCH(GJ40, '2015'!$A$7:$A$37, 0), MATCH(GJ15, '2015'!$E$4:$EN$4, 0) )</f>
        <v>234</v>
      </c>
      <c r="GR40" s="48">
        <f>INDEX('2016'!$E$7:$EN$37,  MATCH(GJ40, '2016'!$A$7:$A$37, 0), MATCH(GJ15, '2016'!$E$4:$EN$4, 0) )</f>
        <v>286</v>
      </c>
      <c r="GS40" s="48">
        <f>INDEX('2017'!$E$7:$EN$37,  MATCH(GJ40, '2017'!$A$7:$A$37, 0), MATCH(GJ15, '2017'!$E$4:$EN$4, 0) )</f>
        <v>252</v>
      </c>
      <c r="GT40" s="48">
        <f>INDEX('2018'!$E$7:$EN$37,  MATCH(GJ40, '2018'!$A$7:$A$37, 0), MATCH(GJ15, '2018'!$E$4:$EN$4, 0) )</f>
        <v>243</v>
      </c>
      <c r="GU40" s="48">
        <f>INDEX('2019'!$E$7:$EN$37,  MATCH(GJ40, '2019'!$A$7:$A$37, 0), MATCH(GJ15, '2019'!$E$4:$EN$4, 0) )</f>
        <v>162</v>
      </c>
    </row>
    <row r="41" spans="50:203" x14ac:dyDescent="0.25">
      <c r="AX41" s="15">
        <v>1000</v>
      </c>
      <c r="AY41" s="37" t="str">
        <f>VLOOKUP(AX41, lu_CoName, 2, FALSE)</f>
        <v>United States</v>
      </c>
      <c r="AZ41" s="10"/>
      <c r="BA41" s="10"/>
      <c r="BB41" s="10"/>
      <c r="BC41" s="10"/>
      <c r="BD41" s="10"/>
      <c r="BE41" s="10"/>
      <c r="BF41" s="10"/>
      <c r="BG41" s="10"/>
      <c r="BH41" s="10"/>
      <c r="BI41" s="10"/>
      <c r="CI41" s="15">
        <v>49</v>
      </c>
      <c r="CJ41" s="37" t="str">
        <f t="shared" si="79"/>
        <v>Utah</v>
      </c>
      <c r="CK41" s="44">
        <f t="shared" si="80"/>
        <v>6.1534608400803381E-2</v>
      </c>
      <c r="CL41" s="44">
        <f t="shared" si="81"/>
        <v>6.0800767872369176E-2</v>
      </c>
      <c r="CM41" s="44">
        <f t="shared" si="81"/>
        <v>5.8871541393838801E-2</v>
      </c>
      <c r="CN41" s="44">
        <f t="shared" si="81"/>
        <v>6.045823160687934E-2</v>
      </c>
      <c r="CO41" s="44">
        <f t="shared" si="81"/>
        <v>6.0480570347225281E-2</v>
      </c>
      <c r="CP41" s="44">
        <f t="shared" si="81"/>
        <v>6.1172555130246269E-2</v>
      </c>
      <c r="CQ41" s="44">
        <f t="shared" si="81"/>
        <v>6.3242199410509195E-2</v>
      </c>
      <c r="CR41" s="44">
        <f t="shared" si="81"/>
        <v>6.6567673448755221E-2</v>
      </c>
      <c r="CS41" s="44">
        <f t="shared" si="81"/>
        <v>6.9060929897210757E-2</v>
      </c>
      <c r="CT41" s="44">
        <f t="shared" si="81"/>
        <v>7.1920743947828158E-2</v>
      </c>
      <c r="CV41" s="9">
        <f t="shared" si="82"/>
        <v>490</v>
      </c>
      <c r="CW41" s="21" t="str">
        <f t="shared" si="92"/>
        <v>Utah</v>
      </c>
      <c r="CX41" s="40">
        <f t="shared" si="83"/>
        <v>3.0329009791786075E-2</v>
      </c>
      <c r="CY41" s="40">
        <f t="shared" si="84"/>
        <v>3.1190155578024313E-2</v>
      </c>
      <c r="CZ41" s="40">
        <f t="shared" si="84"/>
        <v>3.0172177941525161E-2</v>
      </c>
      <c r="DA41" s="40">
        <f t="shared" si="84"/>
        <v>3.2257627791742446E-2</v>
      </c>
      <c r="DB41" s="40">
        <f t="shared" si="84"/>
        <v>3.3239449016415089E-2</v>
      </c>
      <c r="DC41" s="40">
        <f t="shared" si="84"/>
        <v>3.4505098065783682E-2</v>
      </c>
      <c r="DD41" s="40">
        <f t="shared" si="84"/>
        <v>3.5446691736965137E-2</v>
      </c>
      <c r="DE41" s="40">
        <f t="shared" si="84"/>
        <v>3.6988184001010997E-2</v>
      </c>
      <c r="DF41" s="40">
        <f t="shared" si="84"/>
        <v>3.926224279097508E-2</v>
      </c>
      <c r="DG41" s="40">
        <f t="shared" si="84"/>
        <v>4.2109298986150449E-2</v>
      </c>
      <c r="DI41" s="9">
        <f t="shared" si="85"/>
        <v>490</v>
      </c>
      <c r="DJ41" s="21" t="str">
        <f t="shared" si="93"/>
        <v>Utah</v>
      </c>
      <c r="DK41" s="40">
        <f t="shared" si="86"/>
        <v>3.1205598609017306E-2</v>
      </c>
      <c r="DL41" s="40">
        <f t="shared" si="87"/>
        <v>2.9610612294344862E-2</v>
      </c>
      <c r="DM41" s="40">
        <f t="shared" si="87"/>
        <v>2.869936345231364E-2</v>
      </c>
      <c r="DN41" s="40">
        <f t="shared" si="87"/>
        <v>2.8200603815136897E-2</v>
      </c>
      <c r="DO41" s="40">
        <f t="shared" si="87"/>
        <v>2.7241121330810192E-2</v>
      </c>
      <c r="DP41" s="40">
        <f t="shared" si="87"/>
        <v>2.6667457064462587E-2</v>
      </c>
      <c r="DQ41" s="40">
        <f t="shared" si="87"/>
        <v>2.7795507673544058E-2</v>
      </c>
      <c r="DR41" s="40">
        <f t="shared" si="87"/>
        <v>2.9579489447744217E-2</v>
      </c>
      <c r="DS41" s="40">
        <f t="shared" si="87"/>
        <v>2.9798687106235681E-2</v>
      </c>
      <c r="DT41" s="40">
        <f t="shared" si="87"/>
        <v>2.9811444961677716E-2</v>
      </c>
      <c r="DV41" s="9">
        <f t="shared" si="88"/>
        <v>490</v>
      </c>
      <c r="DW41" s="21" t="str">
        <f t="shared" si="94"/>
        <v>Utah</v>
      </c>
      <c r="DX41" s="45">
        <f t="shared" si="95"/>
        <v>6297</v>
      </c>
      <c r="DY41" s="45">
        <f t="shared" si="95"/>
        <v>6694</v>
      </c>
      <c r="DZ41" s="45">
        <f t="shared" si="89"/>
        <v>6617</v>
      </c>
      <c r="EA41" s="45">
        <f t="shared" si="89"/>
        <v>7148</v>
      </c>
      <c r="EB41" s="45">
        <f t="shared" si="89"/>
        <v>7553</v>
      </c>
      <c r="EC41" s="45">
        <f t="shared" si="89"/>
        <v>8149</v>
      </c>
      <c r="ED41" s="45">
        <f t="shared" si="89"/>
        <v>8719</v>
      </c>
      <c r="EE41" s="45">
        <f t="shared" si="89"/>
        <v>9366</v>
      </c>
      <c r="EF41" s="45">
        <f t="shared" si="89"/>
        <v>10401</v>
      </c>
      <c r="EG41" s="45">
        <f t="shared" si="89"/>
        <v>11642</v>
      </c>
      <c r="EI41" s="9">
        <f t="shared" si="90"/>
        <v>490</v>
      </c>
      <c r="EJ41" s="21" t="str">
        <f t="shared" si="96"/>
        <v>Utah</v>
      </c>
      <c r="EK41" s="45">
        <f t="shared" si="97"/>
        <v>6479</v>
      </c>
      <c r="EL41" s="45">
        <f t="shared" si="97"/>
        <v>6355</v>
      </c>
      <c r="EM41" s="45">
        <f t="shared" si="91"/>
        <v>6294</v>
      </c>
      <c r="EN41" s="45">
        <f t="shared" si="91"/>
        <v>6249</v>
      </c>
      <c r="EO41" s="45">
        <f t="shared" si="91"/>
        <v>6190</v>
      </c>
      <c r="EP41" s="45">
        <f t="shared" si="91"/>
        <v>6298</v>
      </c>
      <c r="EQ41" s="45">
        <f t="shared" si="91"/>
        <v>6837</v>
      </c>
      <c r="ER41" s="45">
        <f t="shared" si="91"/>
        <v>7490</v>
      </c>
      <c r="ES41" s="45">
        <f t="shared" si="91"/>
        <v>7894</v>
      </c>
      <c r="ET41" s="45">
        <f t="shared" si="91"/>
        <v>8242</v>
      </c>
      <c r="EW41" s="9">
        <f t="shared" si="98"/>
        <v>49</v>
      </c>
      <c r="EX41" s="21" t="str">
        <f t="shared" si="99"/>
        <v>Utah</v>
      </c>
      <c r="EY41" s="48">
        <f>INDEX('2010'!$E$7:$EN$37,  MATCH(EW41, '2010'!$A$7:$A$37, 0), MATCH(EW15, '2010'!$E$4:$EN$4, 0) )</f>
        <v>207623</v>
      </c>
      <c r="EZ41" s="48">
        <f>INDEX('2011'!$E$7:$EN$37,  MATCH(EW41, '2011'!$A$7:$A$37, 0), MATCH(EW15, '2011'!$E$4:$EN$4, 0) )</f>
        <v>214619</v>
      </c>
      <c r="FA41" s="48">
        <f>INDEX('2012'!$E$7:$EN$37,  MATCH(EW41, '2012'!$A$7:$A$37, 0), MATCH(EW15, '2012'!$E$4:$EN$4, 0) )</f>
        <v>219308</v>
      </c>
      <c r="FB41" s="48">
        <f>INDEX('2013'!$E$7:$EN$37,  MATCH(EW41, '2013'!$A$7:$A$37, 0), MATCH(EW15, '2013'!$E$4:$EN$4, 0) )</f>
        <v>221591</v>
      </c>
      <c r="FC41" s="48">
        <f>INDEX('2014'!$E$7:$EN$37,  MATCH(EW41, '2014'!$A$7:$A$37, 0), MATCH(EW15, '2014'!$E$4:$EN$4, 0) )</f>
        <v>227230</v>
      </c>
      <c r="FD41" s="48">
        <f>INDEX('2015'!$E$7:$EN$37,  MATCH(EW41, '2015'!$A$7:$A$37, 0), MATCH(EW15, '2015'!$E$4:$EN$4, 0) )</f>
        <v>236168</v>
      </c>
      <c r="FE41" s="48">
        <f>INDEX('2016'!$E$7:$EN$37,  MATCH(EW41, '2016'!$A$7:$A$37, 0), MATCH(EW15, '2016'!$E$4:$EN$4, 0) )</f>
        <v>245975</v>
      </c>
      <c r="FF41" s="48">
        <f>INDEX('2017'!$E$7:$EN$37,  MATCH(EW41, '2017'!$A$7:$A$37, 0), MATCH(EW15, '2017'!$E$4:$EN$4, 0) )</f>
        <v>253216</v>
      </c>
      <c r="FG41" s="48">
        <f>INDEX('2018'!$E$7:$EN$37,  MATCH(EW41, '2018'!$A$7:$A$37, 0), MATCH(EW15, '2018'!$E$4:$EN$4, 0) )</f>
        <v>264911</v>
      </c>
      <c r="FH41" s="48">
        <f>INDEX('2019'!$E$7:$EN$37,  MATCH(EW41, '2019'!$A$7:$A$37, 0), MATCH(EW15, '2019'!$E$4:$EN$4, 0) )</f>
        <v>276471</v>
      </c>
      <c r="FJ41" s="9">
        <f t="shared" si="100"/>
        <v>49</v>
      </c>
      <c r="FK41" s="21" t="str">
        <f t="shared" si="101"/>
        <v>Utah</v>
      </c>
      <c r="FL41" s="48">
        <f>INDEX('2010'!$E$7:$EN$37,  MATCH(FJ41, '2010'!$A$7:$A$37, 0), MATCH(FJ15, '2010'!$E$4:$EN$4, 0) )</f>
        <v>12776</v>
      </c>
      <c r="FM41" s="48">
        <f>INDEX('2011'!$E$7:$EN$37,  MATCH(FJ41, '2011'!$A$7:$A$37, 0), MATCH(FJ15, '2011'!$E$4:$EN$4, 0) )</f>
        <v>13049</v>
      </c>
      <c r="FN41" s="48">
        <f>INDEX('2012'!$E$7:$EN$37,  MATCH(FJ41, '2012'!$A$7:$A$37, 0), MATCH(FJ15, '2012'!$E$4:$EN$4, 0) )</f>
        <v>12911</v>
      </c>
      <c r="FO41" s="48">
        <f>INDEX('2013'!$E$7:$EN$37,  MATCH(FJ41, '2013'!$A$7:$A$37, 0), MATCH(FJ15, '2013'!$E$4:$EN$4, 0) )</f>
        <v>13397</v>
      </c>
      <c r="FP41" s="48">
        <f>INDEX('2014'!$E$7:$EN$37,  MATCH(FJ41, '2014'!$A$7:$A$37, 0), MATCH(FJ15, '2014'!$E$4:$EN$4, 0) )</f>
        <v>13743</v>
      </c>
      <c r="FQ41" s="48">
        <f>INDEX('2015'!$E$7:$EN$37,  MATCH(FJ41, '2015'!$A$7:$A$37, 0), MATCH(FJ15, '2015'!$E$4:$EN$4, 0) )</f>
        <v>14447</v>
      </c>
      <c r="FR41" s="48">
        <f>INDEX('2016'!$E$7:$EN$37,  MATCH(FJ41, '2016'!$A$7:$A$37, 0), MATCH(FJ15, '2016'!$E$4:$EN$4, 0) )</f>
        <v>15556</v>
      </c>
      <c r="FS41" s="48">
        <f>INDEX('2017'!$E$7:$EN$37,  MATCH(FJ41, '2017'!$A$7:$A$37, 0), MATCH(FJ15, '2017'!$E$4:$EN$4, 0) )</f>
        <v>16856</v>
      </c>
      <c r="FT41" s="48">
        <f>INDEX('2018'!$E$7:$EN$37,  MATCH(FJ41, '2018'!$A$7:$A$37, 0), MATCH(FJ15, '2018'!$E$4:$EN$4, 0) )</f>
        <v>18295</v>
      </c>
      <c r="FU41" s="48">
        <f>INDEX('2019'!$E$7:$EN$37,  MATCH(FJ41, '2019'!$A$7:$A$37, 0), MATCH(FJ15, '2019'!$E$4:$EN$4, 0) )</f>
        <v>19884</v>
      </c>
      <c r="FW41" s="9">
        <f t="shared" si="102"/>
        <v>49</v>
      </c>
      <c r="FX41" s="21" t="str">
        <f t="shared" si="103"/>
        <v>Utah</v>
      </c>
      <c r="FY41" s="48">
        <f>INDEX('2010'!$E$7:$EN$37,  MATCH(FW41, '2010'!$A$7:$A$37, 0), MATCH(FW15, '2010'!$E$4:$EN$4, 0) )</f>
        <v>2005</v>
      </c>
      <c r="FZ41" s="48">
        <f>INDEX('2011'!$E$7:$EN$37,  MATCH(FW41, '2011'!$A$7:$A$37, 0), MATCH(FW15, '2011'!$E$4:$EN$4, 0) )</f>
        <v>2065</v>
      </c>
      <c r="GA41" s="48">
        <f>INDEX('2012'!$E$7:$EN$37,  MATCH(FW41, '2012'!$A$7:$A$37, 0), MATCH(FW15, '2012'!$E$4:$EN$4, 0) )</f>
        <v>2118</v>
      </c>
      <c r="GB41" s="48">
        <f>INDEX('2013'!$E$7:$EN$37,  MATCH(FW41, '2013'!$A$7:$A$37, 0), MATCH(FW15, '2013'!$E$4:$EN$4, 0) )</f>
        <v>2203</v>
      </c>
      <c r="GC41" s="48">
        <f>INDEX('2014'!$E$7:$EN$37,  MATCH(FW41, '2014'!$A$7:$A$37, 0), MATCH(FW15, '2014'!$E$4:$EN$4, 0) )</f>
        <v>2215</v>
      </c>
      <c r="GD41" s="48">
        <f>INDEX('2015'!$E$7:$EN$37,  MATCH(FW41, '2015'!$A$7:$A$37, 0), MATCH(FW15, '2015'!$E$4:$EN$4, 0) )</f>
        <v>2317</v>
      </c>
      <c r="GE41" s="48">
        <f>INDEX('2016'!$E$7:$EN$37,  MATCH(FW41, '2016'!$A$7:$A$37, 0), MATCH(FW15, '2016'!$E$4:$EN$4, 0) )</f>
        <v>2441</v>
      </c>
      <c r="GF41" s="48">
        <f>INDEX('2017'!$E$7:$EN$37,  MATCH(FW41, '2017'!$A$7:$A$37, 0), MATCH(FW15, '2017'!$E$4:$EN$4, 0) )</f>
        <v>2928</v>
      </c>
      <c r="GG41" s="48">
        <f>INDEX('2018'!$E$7:$EN$37,  MATCH(FW41, '2018'!$A$7:$A$37, 0), MATCH(FW15, '2018'!$E$4:$EN$4, 0) )</f>
        <v>3071</v>
      </c>
      <c r="GH41" s="48">
        <f>INDEX('2019'!$E$7:$EN$37,  MATCH(FW41, '2019'!$A$7:$A$37, 0), MATCH(FW15, '2019'!$E$4:$EN$4, 0) )</f>
        <v>3265</v>
      </c>
      <c r="GJ41" s="9">
        <f t="shared" si="104"/>
        <v>49</v>
      </c>
      <c r="GK41" s="21" t="str">
        <f t="shared" si="105"/>
        <v>Utah</v>
      </c>
      <c r="GL41" s="48">
        <f>INDEX('2010'!$E$7:$EN$37,  MATCH(GJ41, '2010'!$A$7:$A$37, 0), MATCH(GJ15, '2010'!$E$4:$EN$4, 0) )</f>
        <v>4474</v>
      </c>
      <c r="GM41" s="48">
        <f>INDEX('2011'!$E$7:$EN$37,  MATCH(GJ41, '2011'!$A$7:$A$37, 0), MATCH(GJ15, '2011'!$E$4:$EN$4, 0) )</f>
        <v>4290</v>
      </c>
      <c r="GN41" s="48">
        <f>INDEX('2012'!$E$7:$EN$37,  MATCH(GJ41, '2012'!$A$7:$A$37, 0), MATCH(GJ15, '2012'!$E$4:$EN$4, 0) )</f>
        <v>4176</v>
      </c>
      <c r="GO41" s="48">
        <f>INDEX('2013'!$E$7:$EN$37,  MATCH(GJ41, '2013'!$A$7:$A$37, 0), MATCH(GJ15, '2013'!$E$4:$EN$4, 0) )</f>
        <v>4046</v>
      </c>
      <c r="GP41" s="48">
        <f>INDEX('2014'!$E$7:$EN$37,  MATCH(GJ41, '2014'!$A$7:$A$37, 0), MATCH(GJ15, '2014'!$E$4:$EN$4, 0) )</f>
        <v>3975</v>
      </c>
      <c r="GQ41" s="48">
        <f>INDEX('2015'!$E$7:$EN$37,  MATCH(GJ41, '2015'!$A$7:$A$37, 0), MATCH(GJ15, '2015'!$E$4:$EN$4, 0) )</f>
        <v>3981</v>
      </c>
      <c r="GR41" s="48">
        <f>INDEX('2016'!$E$7:$EN$37,  MATCH(GJ41, '2016'!$A$7:$A$37, 0), MATCH(GJ15, '2016'!$E$4:$EN$4, 0) )</f>
        <v>4396</v>
      </c>
      <c r="GS41" s="48">
        <f>INDEX('2017'!$E$7:$EN$37,  MATCH(GJ41, '2017'!$A$7:$A$37, 0), MATCH(GJ15, '2017'!$E$4:$EN$4, 0) )</f>
        <v>4562</v>
      </c>
      <c r="GT41" s="48">
        <f>INDEX('2018'!$E$7:$EN$37,  MATCH(GJ41, '2018'!$A$7:$A$37, 0), MATCH(GJ15, '2018'!$E$4:$EN$4, 0) )</f>
        <v>4823</v>
      </c>
      <c r="GU41" s="48">
        <f>INDEX('2019'!$E$7:$EN$37,  MATCH(GJ41, '2019'!$A$7:$A$37, 0), MATCH(GJ15, '2019'!$E$4:$EN$4, 0) )</f>
        <v>4977</v>
      </c>
    </row>
    <row r="42" spans="50:203" x14ac:dyDescent="0.25">
      <c r="AX42" s="10"/>
      <c r="AY42" s="38"/>
      <c r="AZ42" s="2">
        <v>2010</v>
      </c>
      <c r="BA42" s="2">
        <v>2011</v>
      </c>
      <c r="BB42" s="2">
        <v>2012</v>
      </c>
      <c r="BC42" s="2">
        <v>2013</v>
      </c>
      <c r="BD42" s="2">
        <v>2014</v>
      </c>
      <c r="BE42" s="2">
        <v>2015</v>
      </c>
      <c r="BF42" s="2">
        <v>2016</v>
      </c>
      <c r="BG42" s="2">
        <v>2017</v>
      </c>
      <c r="BH42" s="2">
        <v>2018</v>
      </c>
      <c r="BI42" s="2">
        <v>2019</v>
      </c>
      <c r="CI42" s="15">
        <v>51</v>
      </c>
      <c r="CJ42" s="37" t="str">
        <f t="shared" si="79"/>
        <v>Wasatch</v>
      </c>
      <c r="CK42" s="44">
        <f t="shared" si="80"/>
        <v>8.8165512005314611E-2</v>
      </c>
      <c r="CL42" s="44">
        <f t="shared" si="81"/>
        <v>7.572760666855044E-2</v>
      </c>
      <c r="CM42" s="44">
        <f t="shared" si="81"/>
        <v>8.6014683223058094E-2</v>
      </c>
      <c r="CN42" s="44">
        <f t="shared" si="81"/>
        <v>8.2647617325255454E-2</v>
      </c>
      <c r="CO42" s="44">
        <f t="shared" si="81"/>
        <v>7.5820212859530306E-2</v>
      </c>
      <c r="CP42" s="44">
        <f t="shared" si="81"/>
        <v>6.2954787016597166E-2</v>
      </c>
      <c r="CQ42" s="44">
        <f t="shared" si="81"/>
        <v>6.4785465790490909E-2</v>
      </c>
      <c r="CR42" s="44">
        <f t="shared" si="81"/>
        <v>6.6935826604334892E-2</v>
      </c>
      <c r="CS42" s="44">
        <f t="shared" si="81"/>
        <v>5.4365400161681482E-2</v>
      </c>
      <c r="CT42" s="44">
        <f t="shared" si="81"/>
        <v>7.479780006470399E-2</v>
      </c>
      <c r="CV42" s="9">
        <f t="shared" si="82"/>
        <v>510</v>
      </c>
      <c r="CW42" s="21" t="str">
        <f t="shared" si="92"/>
        <v>Wasatch</v>
      </c>
      <c r="CX42" s="40">
        <f t="shared" si="83"/>
        <v>3.32162854702477E-2</v>
      </c>
      <c r="CY42" s="40">
        <f t="shared" si="84"/>
        <v>3.0328718093623433E-2</v>
      </c>
      <c r="CZ42" s="40">
        <f t="shared" si="84"/>
        <v>3.9789721743859328E-2</v>
      </c>
      <c r="DA42" s="40">
        <f t="shared" si="84"/>
        <v>4.4669499954787958E-2</v>
      </c>
      <c r="DB42" s="40">
        <f t="shared" si="84"/>
        <v>3.7382355528190692E-2</v>
      </c>
      <c r="DC42" s="40">
        <f t="shared" si="84"/>
        <v>3.1722671899272338E-2</v>
      </c>
      <c r="DD42" s="40">
        <f t="shared" si="84"/>
        <v>3.3243138770776962E-2</v>
      </c>
      <c r="DE42" s="40">
        <f t="shared" si="84"/>
        <v>3.3928318458705198E-2</v>
      </c>
      <c r="DF42" s="40">
        <f t="shared" si="84"/>
        <v>2.7485852869846401E-2</v>
      </c>
      <c r="DG42" s="40">
        <f t="shared" si="84"/>
        <v>3.9598835328372696E-2</v>
      </c>
      <c r="DI42" s="9">
        <f t="shared" si="85"/>
        <v>510</v>
      </c>
      <c r="DJ42" s="21" t="str">
        <f t="shared" si="93"/>
        <v>Wasatch</v>
      </c>
      <c r="DK42" s="40">
        <f t="shared" si="86"/>
        <v>5.4949226535066904E-2</v>
      </c>
      <c r="DL42" s="40">
        <f t="shared" si="87"/>
        <v>4.5398888574927007E-2</v>
      </c>
      <c r="DM42" s="40">
        <f t="shared" si="87"/>
        <v>4.6224961479198766E-2</v>
      </c>
      <c r="DN42" s="40">
        <f t="shared" si="87"/>
        <v>3.7978117370467496E-2</v>
      </c>
      <c r="DO42" s="40">
        <f t="shared" si="87"/>
        <v>3.8437857331339607E-2</v>
      </c>
      <c r="DP42" s="40">
        <f t="shared" si="87"/>
        <v>3.1232115117324832E-2</v>
      </c>
      <c r="DQ42" s="40">
        <f t="shared" si="87"/>
        <v>3.1542327019713955E-2</v>
      </c>
      <c r="DR42" s="40">
        <f t="shared" si="87"/>
        <v>3.3007508145629694E-2</v>
      </c>
      <c r="DS42" s="40">
        <f t="shared" si="87"/>
        <v>2.6879547291835084E-2</v>
      </c>
      <c r="DT42" s="40">
        <f t="shared" si="87"/>
        <v>3.5198964736331287E-2</v>
      </c>
      <c r="DV42" s="9">
        <f t="shared" si="88"/>
        <v>510</v>
      </c>
      <c r="DW42" s="21" t="str">
        <f t="shared" si="94"/>
        <v>Wasatch</v>
      </c>
      <c r="DX42" s="45">
        <f t="shared" si="95"/>
        <v>350</v>
      </c>
      <c r="DY42" s="45">
        <f t="shared" si="95"/>
        <v>322</v>
      </c>
      <c r="DZ42" s="45">
        <f t="shared" si="89"/>
        <v>439</v>
      </c>
      <c r="EA42" s="45">
        <f t="shared" si="89"/>
        <v>494</v>
      </c>
      <c r="EB42" s="45">
        <f t="shared" si="89"/>
        <v>425</v>
      </c>
      <c r="EC42" s="45">
        <f t="shared" si="89"/>
        <v>388</v>
      </c>
      <c r="ED42" s="45">
        <f t="shared" si="89"/>
        <v>430</v>
      </c>
      <c r="EE42" s="45">
        <f t="shared" si="89"/>
        <v>479</v>
      </c>
      <c r="EF42" s="45">
        <f t="shared" si="89"/>
        <v>408</v>
      </c>
      <c r="EG42" s="45">
        <f t="shared" si="89"/>
        <v>612</v>
      </c>
      <c r="EI42" s="9">
        <f t="shared" si="90"/>
        <v>510</v>
      </c>
      <c r="EJ42" s="21" t="str">
        <f t="shared" si="96"/>
        <v>Wasatch</v>
      </c>
      <c r="EK42" s="45">
        <f t="shared" si="97"/>
        <v>579</v>
      </c>
      <c r="EL42" s="45">
        <f t="shared" si="97"/>
        <v>482</v>
      </c>
      <c r="EM42" s="45">
        <f t="shared" si="91"/>
        <v>510</v>
      </c>
      <c r="EN42" s="45">
        <f t="shared" si="91"/>
        <v>420</v>
      </c>
      <c r="EO42" s="45">
        <f t="shared" si="91"/>
        <v>437</v>
      </c>
      <c r="EP42" s="45">
        <f t="shared" si="91"/>
        <v>382</v>
      </c>
      <c r="EQ42" s="45">
        <f t="shared" si="91"/>
        <v>408</v>
      </c>
      <c r="ER42" s="45">
        <f t="shared" si="91"/>
        <v>466</v>
      </c>
      <c r="ES42" s="45">
        <f t="shared" si="91"/>
        <v>399</v>
      </c>
      <c r="ET42" s="45">
        <f t="shared" si="91"/>
        <v>544</v>
      </c>
      <c r="EW42" s="9">
        <f t="shared" si="98"/>
        <v>51</v>
      </c>
      <c r="EX42" s="21" t="str">
        <f t="shared" si="99"/>
        <v>Wasatch</v>
      </c>
      <c r="EY42" s="48">
        <f>INDEX('2010'!$E$7:$EN$37,  MATCH(EW42, '2010'!$A$7:$A$37, 0), MATCH(EW15, '2010'!$E$4:$EN$4, 0) )</f>
        <v>10537</v>
      </c>
      <c r="EZ42" s="48">
        <f>INDEX('2011'!$E$7:$EN$37,  MATCH(EW42, '2011'!$A$7:$A$37, 0), MATCH(EW15, '2011'!$E$4:$EN$4, 0) )</f>
        <v>10617</v>
      </c>
      <c r="FA42" s="48">
        <f>INDEX('2012'!$E$7:$EN$37,  MATCH(EW42, '2012'!$A$7:$A$37, 0), MATCH(EW15, '2012'!$E$4:$EN$4, 0) )</f>
        <v>11033</v>
      </c>
      <c r="FB42" s="48">
        <f>INDEX('2013'!$E$7:$EN$37,  MATCH(EW42, '2013'!$A$7:$A$37, 0), MATCH(EW15, '2013'!$E$4:$EN$4, 0) )</f>
        <v>11059</v>
      </c>
      <c r="FC42" s="48">
        <f>INDEX('2014'!$E$7:$EN$37,  MATCH(EW42, '2014'!$A$7:$A$37, 0), MATCH(EW15, '2014'!$E$4:$EN$4, 0) )</f>
        <v>11369</v>
      </c>
      <c r="FD42" s="48">
        <f>INDEX('2015'!$E$7:$EN$37,  MATCH(EW42, '2015'!$A$7:$A$37, 0), MATCH(EW15, '2015'!$E$4:$EN$4, 0) )</f>
        <v>12231</v>
      </c>
      <c r="FE42" s="48">
        <f>INDEX('2016'!$E$7:$EN$37,  MATCH(EW42, '2016'!$A$7:$A$37, 0), MATCH(EW15, '2016'!$E$4:$EN$4, 0) )</f>
        <v>12935</v>
      </c>
      <c r="FF42" s="48">
        <f>INDEX('2017'!$E$7:$EN$37,  MATCH(EW42, '2017'!$A$7:$A$37, 0), MATCH(EW15, '2017'!$E$4:$EN$4, 0) )</f>
        <v>14118</v>
      </c>
      <c r="FG42" s="48">
        <f>INDEX('2018'!$E$7:$EN$37,  MATCH(EW42, '2018'!$A$7:$A$37, 0), MATCH(EW15, '2018'!$E$4:$EN$4, 0) )</f>
        <v>14844</v>
      </c>
      <c r="FH42" s="48">
        <f>INDEX('2019'!$E$7:$EN$37,  MATCH(EW42, '2019'!$A$7:$A$37, 0), MATCH(EW15, '2019'!$E$4:$EN$4, 0) )</f>
        <v>15455</v>
      </c>
      <c r="FJ42" s="9">
        <f t="shared" si="100"/>
        <v>51</v>
      </c>
      <c r="FK42" s="21" t="str">
        <f t="shared" si="101"/>
        <v>Wasatch</v>
      </c>
      <c r="FL42" s="48">
        <f>INDEX('2010'!$E$7:$EN$37,  MATCH(FJ42, '2010'!$A$7:$A$37, 0), MATCH(FJ15, '2010'!$E$4:$EN$4, 0) )</f>
        <v>929</v>
      </c>
      <c r="FM42" s="48">
        <f>INDEX('2011'!$E$7:$EN$37,  MATCH(FJ42, '2011'!$A$7:$A$37, 0), MATCH(FJ15, '2011'!$E$4:$EN$4, 0) )</f>
        <v>804</v>
      </c>
      <c r="FN42" s="48">
        <f>INDEX('2012'!$E$7:$EN$37,  MATCH(FJ42, '2012'!$A$7:$A$37, 0), MATCH(FJ15, '2012'!$E$4:$EN$4, 0) )</f>
        <v>949</v>
      </c>
      <c r="FO42" s="48">
        <f>INDEX('2013'!$E$7:$EN$37,  MATCH(FJ42, '2013'!$A$7:$A$37, 0), MATCH(FJ15, '2013'!$E$4:$EN$4, 0) )</f>
        <v>914</v>
      </c>
      <c r="FP42" s="48">
        <f>INDEX('2014'!$E$7:$EN$37,  MATCH(FJ42, '2014'!$A$7:$A$37, 0), MATCH(FJ15, '2014'!$E$4:$EN$4, 0) )</f>
        <v>862</v>
      </c>
      <c r="FQ42" s="48">
        <f>INDEX('2015'!$E$7:$EN$37,  MATCH(FJ42, '2015'!$A$7:$A$37, 0), MATCH(FJ15, '2015'!$E$4:$EN$4, 0) )</f>
        <v>770</v>
      </c>
      <c r="FR42" s="48">
        <f>INDEX('2016'!$E$7:$EN$37,  MATCH(FJ42, '2016'!$A$7:$A$37, 0), MATCH(FJ15, '2016'!$E$4:$EN$4, 0) )</f>
        <v>838</v>
      </c>
      <c r="FS42" s="48">
        <f>INDEX('2017'!$E$7:$EN$37,  MATCH(FJ42, '2017'!$A$7:$A$37, 0), MATCH(FJ15, '2017'!$E$4:$EN$4, 0) )</f>
        <v>945</v>
      </c>
      <c r="FT42" s="48">
        <f>INDEX('2018'!$E$7:$EN$37,  MATCH(FJ42, '2018'!$A$7:$A$37, 0), MATCH(FJ15, '2018'!$E$4:$EN$4, 0) )</f>
        <v>807</v>
      </c>
      <c r="FU42" s="48">
        <f>INDEX('2019'!$E$7:$EN$37,  MATCH(FJ42, '2019'!$A$7:$A$37, 0), MATCH(FJ15, '2019'!$E$4:$EN$4, 0) )</f>
        <v>1156</v>
      </c>
      <c r="FW42" s="9">
        <f t="shared" si="102"/>
        <v>51</v>
      </c>
      <c r="FX42" s="21" t="str">
        <f t="shared" si="103"/>
        <v>Wasatch</v>
      </c>
      <c r="FY42" s="48">
        <f>INDEX('2010'!$E$7:$EN$37,  MATCH(FW42, '2010'!$A$7:$A$37, 0), MATCH(FW15, '2010'!$E$4:$EN$4, 0) )</f>
        <v>209</v>
      </c>
      <c r="FZ42" s="48">
        <f>INDEX('2011'!$E$7:$EN$37,  MATCH(FW42, '2011'!$A$7:$A$37, 0), MATCH(FW15, '2011'!$E$4:$EN$4, 0) )</f>
        <v>237</v>
      </c>
      <c r="GA42" s="48">
        <f>INDEX('2012'!$E$7:$EN$37,  MATCH(FW42, '2012'!$A$7:$A$37, 0), MATCH(FW15, '2012'!$E$4:$EN$4, 0) )</f>
        <v>273</v>
      </c>
      <c r="GB42" s="48">
        <f>INDEX('2013'!$E$7:$EN$37,  MATCH(FW42, '2013'!$A$7:$A$37, 0), MATCH(FW15, '2013'!$E$4:$EN$4, 0) )</f>
        <v>255</v>
      </c>
      <c r="GC42" s="48">
        <f>INDEX('2014'!$E$7:$EN$37,  MATCH(FW42, '2014'!$A$7:$A$37, 0), MATCH(FW15, '2014'!$E$4:$EN$4, 0) )</f>
        <v>243</v>
      </c>
      <c r="GD42" s="48">
        <f>INDEX('2015'!$E$7:$EN$37,  MATCH(FW42, '2015'!$A$7:$A$37, 0), MATCH(FW15, '2015'!$E$4:$EN$4, 0) )</f>
        <v>224</v>
      </c>
      <c r="GE42" s="48">
        <f>INDEX('2016'!$E$7:$EN$37,  MATCH(FW42, '2016'!$A$7:$A$37, 0), MATCH(FW15, '2016'!$E$4:$EN$4, 0) )</f>
        <v>214</v>
      </c>
      <c r="GF42" s="48">
        <f>INDEX('2017'!$E$7:$EN$37,  MATCH(FW42, '2017'!$A$7:$A$37, 0), MATCH(FW15, '2017'!$E$4:$EN$4, 0) )</f>
        <v>165</v>
      </c>
      <c r="GG42" s="48">
        <f>INDEX('2018'!$E$7:$EN$37,  MATCH(FW42, '2018'!$A$7:$A$37, 0), MATCH(FW15, '2018'!$E$4:$EN$4, 0) )</f>
        <v>109</v>
      </c>
      <c r="GH42" s="48">
        <f>INDEX('2019'!$E$7:$EN$37,  MATCH(FW42, '2019'!$A$7:$A$37, 0), MATCH(FW15, '2019'!$E$4:$EN$4, 0) )</f>
        <v>124</v>
      </c>
      <c r="GJ42" s="9">
        <f t="shared" si="104"/>
        <v>51</v>
      </c>
      <c r="GK42" s="21" t="str">
        <f t="shared" si="105"/>
        <v>Wasatch</v>
      </c>
      <c r="GL42" s="48">
        <f>INDEX('2010'!$E$7:$EN$37,  MATCH(GJ42, '2010'!$A$7:$A$37, 0), MATCH(GJ15, '2010'!$E$4:$EN$4, 0) )</f>
        <v>370</v>
      </c>
      <c r="GM42" s="48">
        <f>INDEX('2011'!$E$7:$EN$37,  MATCH(GJ42, '2011'!$A$7:$A$37, 0), MATCH(GJ15, '2011'!$E$4:$EN$4, 0) )</f>
        <v>245</v>
      </c>
      <c r="GN42" s="48">
        <f>INDEX('2012'!$E$7:$EN$37,  MATCH(GJ42, '2012'!$A$7:$A$37, 0), MATCH(GJ15, '2012'!$E$4:$EN$4, 0) )</f>
        <v>237</v>
      </c>
      <c r="GO42" s="48">
        <f>INDEX('2013'!$E$7:$EN$37,  MATCH(GJ42, '2013'!$A$7:$A$37, 0), MATCH(GJ15, '2013'!$E$4:$EN$4, 0) )</f>
        <v>165</v>
      </c>
      <c r="GP42" s="48">
        <f>INDEX('2014'!$E$7:$EN$37,  MATCH(GJ42, '2014'!$A$7:$A$37, 0), MATCH(GJ15, '2014'!$E$4:$EN$4, 0) )</f>
        <v>194</v>
      </c>
      <c r="GQ42" s="48">
        <f>INDEX('2015'!$E$7:$EN$37,  MATCH(GJ42, '2015'!$A$7:$A$37, 0), MATCH(GJ15, '2015'!$E$4:$EN$4, 0) )</f>
        <v>158</v>
      </c>
      <c r="GR42" s="48">
        <f>INDEX('2016'!$E$7:$EN$37,  MATCH(GJ42, '2016'!$A$7:$A$37, 0), MATCH(GJ15, '2016'!$E$4:$EN$4, 0) )</f>
        <v>194</v>
      </c>
      <c r="GS42" s="48">
        <f>INDEX('2017'!$E$7:$EN$37,  MATCH(GJ42, '2017'!$A$7:$A$37, 0), MATCH(GJ15, '2017'!$E$4:$EN$4, 0) )</f>
        <v>301</v>
      </c>
      <c r="GT42" s="48">
        <f>INDEX('2018'!$E$7:$EN$37,  MATCH(GJ42, '2018'!$A$7:$A$37, 0), MATCH(GJ15, '2018'!$E$4:$EN$4, 0) )</f>
        <v>290</v>
      </c>
      <c r="GU42" s="48">
        <f>INDEX('2019'!$E$7:$EN$37,  MATCH(GJ42, '2019'!$A$7:$A$37, 0), MATCH(GJ15, '2019'!$E$4:$EN$4, 0) )</f>
        <v>420</v>
      </c>
    </row>
    <row r="43" spans="50:203" x14ac:dyDescent="0.25">
      <c r="AX43" s="15"/>
      <c r="AY43" s="39" t="s">
        <v>617</v>
      </c>
      <c r="AZ43" s="40">
        <f>INDEX($DK$7:$DT$13, MATCH(AY41, $DJ$7:$DJ$13,0), MATCH(AZ$6, $DK$6:$DT$6, 0))</f>
        <v>2.1047978624255847E-2</v>
      </c>
      <c r="BA43" s="40">
        <f>INDEX($DK$7:$DT$13, MATCH(AY41, $DJ$7:$DJ$13,0), MATCH(BA$6, $DK$6:$DT$6, 0))</f>
        <v>2.0816103979428912E-2</v>
      </c>
      <c r="BB43" s="40">
        <f>INDEX($DK$7:$DT$13, MATCH(AY41, $DJ$7:$DJ$13,0), MATCH(BB$6, $DK$6:$DT$6, 0))</f>
        <v>2.0472517696104826E-2</v>
      </c>
      <c r="BC43" s="40">
        <f>INDEX($DK$7:$DT$13, MATCH(AY41, $DJ$7:$DJ$13,0), MATCH(BC$6, $DK$6:$DT$6, 0))</f>
        <v>2.0192652317794119E-2</v>
      </c>
      <c r="BD43" s="40">
        <f>INDEX($DK$7:$DT$13, MATCH(AY41, $DJ$7:$DJ$13,0), MATCH(BD$6, $DK$6:$DT$6, 0))</f>
        <v>1.9783560370130009E-2</v>
      </c>
      <c r="BE43" s="40">
        <f>INDEX($DK$7:$DT$13, MATCH(AY41, $DJ$7:$DJ$13,0), MATCH(BE$6, $DK$6:$DT$6, 0))</f>
        <v>1.9487050415429353E-2</v>
      </c>
      <c r="BF43" s="40">
        <f>INDEX($DK$7:$DT$13, MATCH(AY41, $DJ$7:$DJ$13,0), MATCH(BF$6, $DK$6:$DT$6, 0))</f>
        <v>1.9697243587450841E-2</v>
      </c>
      <c r="BG43" s="40">
        <f>INDEX($DK$7:$DT$13, MATCH(AY41, $DJ$7:$DJ$13,0), MATCH(BG$6, $DK$6:$DT$6, 0))</f>
        <v>1.9903950388286108E-2</v>
      </c>
      <c r="BH43" s="40">
        <f>INDEX($DK$7:$DT$13, MATCH(AY41, $DJ$7:$DJ$13,0), MATCH(BH$6, $DK$6:$DT$6, 0))</f>
        <v>2.0247292699916458E-2</v>
      </c>
      <c r="BI43" s="40">
        <f>INDEX($DK$7:$DT$13, MATCH(AY41, $DJ$7:$DJ$13,0), MATCH(BI$6, $DK$6:$DT$6, 0))</f>
        <v>2.0384909021416535E-2</v>
      </c>
      <c r="CI43" s="15">
        <v>53</v>
      </c>
      <c r="CJ43" s="37" t="str">
        <f t="shared" si="79"/>
        <v>Washington</v>
      </c>
      <c r="CK43" s="44">
        <f t="shared" si="80"/>
        <v>4.9995192769925964E-2</v>
      </c>
      <c r="CL43" s="44">
        <f t="shared" si="81"/>
        <v>4.9627226680325535E-2</v>
      </c>
      <c r="CM43" s="44">
        <f t="shared" si="81"/>
        <v>5.1403572730586947E-2</v>
      </c>
      <c r="CN43" s="44">
        <f t="shared" si="81"/>
        <v>4.7782606220467955E-2</v>
      </c>
      <c r="CO43" s="44">
        <f t="shared" si="81"/>
        <v>4.7665639018626887E-2</v>
      </c>
      <c r="CP43" s="44">
        <f t="shared" si="81"/>
        <v>5.2259762279013092E-2</v>
      </c>
      <c r="CQ43" s="44">
        <f t="shared" si="81"/>
        <v>5.6013319515468646E-2</v>
      </c>
      <c r="CR43" s="44">
        <f t="shared" si="81"/>
        <v>6.0573186528497414E-2</v>
      </c>
      <c r="CS43" s="44">
        <f t="shared" si="81"/>
        <v>8.0261352295409177E-2</v>
      </c>
      <c r="CT43" s="44">
        <f t="shared" si="81"/>
        <v>9.5785722699964659E-2</v>
      </c>
      <c r="CV43" s="9">
        <f t="shared" si="82"/>
        <v>530</v>
      </c>
      <c r="CW43" s="21" t="str">
        <f t="shared" si="92"/>
        <v>Washington</v>
      </c>
      <c r="CX43" s="40">
        <f t="shared" si="83"/>
        <v>1.765214883184309E-2</v>
      </c>
      <c r="CY43" s="40">
        <f t="shared" si="84"/>
        <v>1.897065240073606E-2</v>
      </c>
      <c r="CZ43" s="40">
        <f t="shared" si="84"/>
        <v>2.2622177024771189E-2</v>
      </c>
      <c r="DA43" s="40">
        <f t="shared" si="84"/>
        <v>2.4137996470387307E-2</v>
      </c>
      <c r="DB43" s="40">
        <f t="shared" si="84"/>
        <v>2.4275877346821982E-2</v>
      </c>
      <c r="DC43" s="40">
        <f t="shared" si="84"/>
        <v>2.8417018420727292E-2</v>
      </c>
      <c r="DD43" s="40">
        <f t="shared" si="84"/>
        <v>3.3740507296851907E-2</v>
      </c>
      <c r="DE43" s="40">
        <f t="shared" si="84"/>
        <v>3.4715025906735753E-2</v>
      </c>
      <c r="DF43" s="40">
        <f t="shared" si="84"/>
        <v>4.2399575848303395E-2</v>
      </c>
      <c r="DG43" s="40">
        <f t="shared" si="84"/>
        <v>5.0742136883025091E-2</v>
      </c>
      <c r="DI43" s="9">
        <f t="shared" si="85"/>
        <v>530</v>
      </c>
      <c r="DJ43" s="21" t="str">
        <f t="shared" si="93"/>
        <v>Washington</v>
      </c>
      <c r="DK43" s="40">
        <f t="shared" si="86"/>
        <v>3.2343043938082877E-2</v>
      </c>
      <c r="DL43" s="40">
        <f t="shared" si="87"/>
        <v>3.0656574279589476E-2</v>
      </c>
      <c r="DM43" s="40">
        <f t="shared" si="87"/>
        <v>2.8781395705815761E-2</v>
      </c>
      <c r="DN43" s="40">
        <f t="shared" si="87"/>
        <v>2.3644609750080651E-2</v>
      </c>
      <c r="DO43" s="40">
        <f t="shared" si="87"/>
        <v>2.3389761671804905E-2</v>
      </c>
      <c r="DP43" s="40">
        <f t="shared" si="87"/>
        <v>2.3842743858285796E-2</v>
      </c>
      <c r="DQ43" s="40">
        <f t="shared" si="87"/>
        <v>2.2272812218616742E-2</v>
      </c>
      <c r="DR43" s="40">
        <f t="shared" si="87"/>
        <v>2.5858160621761658E-2</v>
      </c>
      <c r="DS43" s="40">
        <f t="shared" si="87"/>
        <v>3.786177644710579E-2</v>
      </c>
      <c r="DT43" s="40">
        <f t="shared" si="87"/>
        <v>4.5043585816939569E-2</v>
      </c>
      <c r="DV43" s="9">
        <f t="shared" si="88"/>
        <v>530</v>
      </c>
      <c r="DW43" s="21" t="str">
        <f t="shared" si="94"/>
        <v>Washington</v>
      </c>
      <c r="DX43" s="45">
        <f t="shared" si="95"/>
        <v>918</v>
      </c>
      <c r="DY43" s="45">
        <f t="shared" si="95"/>
        <v>1000</v>
      </c>
      <c r="DZ43" s="45">
        <f t="shared" si="89"/>
        <v>1179</v>
      </c>
      <c r="EA43" s="45">
        <f t="shared" si="89"/>
        <v>1272</v>
      </c>
      <c r="EB43" s="45">
        <f t="shared" si="89"/>
        <v>1315</v>
      </c>
      <c r="EC43" s="45">
        <f t="shared" si="89"/>
        <v>1609</v>
      </c>
      <c r="ED43" s="45">
        <f t="shared" si="89"/>
        <v>1986</v>
      </c>
      <c r="EE43" s="45">
        <f t="shared" si="89"/>
        <v>2144</v>
      </c>
      <c r="EF43" s="45">
        <f t="shared" si="89"/>
        <v>2719</v>
      </c>
      <c r="EG43" s="45">
        <f t="shared" si="89"/>
        <v>3446</v>
      </c>
      <c r="EI43" s="9">
        <f t="shared" si="90"/>
        <v>530</v>
      </c>
      <c r="EJ43" s="21" t="str">
        <f t="shared" si="96"/>
        <v>Washington</v>
      </c>
      <c r="EK43" s="45">
        <f t="shared" si="97"/>
        <v>1682</v>
      </c>
      <c r="EL43" s="45">
        <f t="shared" si="97"/>
        <v>1616</v>
      </c>
      <c r="EM43" s="45">
        <f t="shared" si="91"/>
        <v>1500</v>
      </c>
      <c r="EN43" s="45">
        <f t="shared" si="91"/>
        <v>1246</v>
      </c>
      <c r="EO43" s="45">
        <f t="shared" si="91"/>
        <v>1267</v>
      </c>
      <c r="EP43" s="45">
        <f t="shared" si="91"/>
        <v>1350</v>
      </c>
      <c r="EQ43" s="45">
        <f t="shared" si="91"/>
        <v>1311</v>
      </c>
      <c r="ER43" s="45">
        <f t="shared" si="91"/>
        <v>1597</v>
      </c>
      <c r="ES43" s="45">
        <f t="shared" si="91"/>
        <v>2428</v>
      </c>
      <c r="ET43" s="45">
        <f t="shared" si="91"/>
        <v>3059</v>
      </c>
      <c r="EW43" s="9">
        <f t="shared" si="98"/>
        <v>53</v>
      </c>
      <c r="EX43" s="21" t="str">
        <f t="shared" si="99"/>
        <v>Washington</v>
      </c>
      <c r="EY43" s="48">
        <f>INDEX('2010'!$E$7:$EN$37,  MATCH(EW43, '2010'!$A$7:$A$37, 0), MATCH(EW15, '2010'!$E$4:$EN$4, 0) )</f>
        <v>52005</v>
      </c>
      <c r="EZ43" s="48">
        <f>INDEX('2011'!$E$7:$EN$37,  MATCH(EW43, '2011'!$A$7:$A$37, 0), MATCH(EW15, '2011'!$E$4:$EN$4, 0) )</f>
        <v>52713</v>
      </c>
      <c r="FA43" s="48">
        <f>INDEX('2012'!$E$7:$EN$37,  MATCH(EW43, '2012'!$A$7:$A$37, 0), MATCH(EW15, '2012'!$E$4:$EN$4, 0) )</f>
        <v>52117</v>
      </c>
      <c r="FB43" s="48">
        <f>INDEX('2013'!$E$7:$EN$37,  MATCH(EW43, '2013'!$A$7:$A$37, 0), MATCH(EW15, '2013'!$E$4:$EN$4, 0) )</f>
        <v>52697</v>
      </c>
      <c r="FC43" s="48">
        <f>INDEX('2014'!$E$7:$EN$37,  MATCH(EW43, '2014'!$A$7:$A$37, 0), MATCH(EW15, '2014'!$E$4:$EN$4, 0) )</f>
        <v>54169</v>
      </c>
      <c r="FD43" s="48">
        <f>INDEX('2015'!$E$7:$EN$37,  MATCH(EW43, '2015'!$A$7:$A$37, 0), MATCH(EW15, '2015'!$E$4:$EN$4, 0) )</f>
        <v>56621</v>
      </c>
      <c r="FE43" s="48">
        <f>INDEX('2016'!$E$7:$EN$37,  MATCH(EW43, '2016'!$A$7:$A$37, 0), MATCH(EW15, '2016'!$E$4:$EN$4, 0) )</f>
        <v>58861</v>
      </c>
      <c r="FF43" s="48">
        <f>INDEX('2017'!$E$7:$EN$37,  MATCH(EW43, '2017'!$A$7:$A$37, 0), MATCH(EW15, '2017'!$E$4:$EN$4, 0) )</f>
        <v>61760</v>
      </c>
      <c r="FG43" s="48">
        <f>INDEX('2018'!$E$7:$EN$37,  MATCH(EW43, '2018'!$A$7:$A$37, 0), MATCH(EW15, '2018'!$E$4:$EN$4, 0) )</f>
        <v>64128</v>
      </c>
      <c r="FH43" s="48">
        <f>INDEX('2019'!$E$7:$EN$37,  MATCH(EW43, '2019'!$A$7:$A$37, 0), MATCH(EW15, '2019'!$E$4:$EN$4, 0) )</f>
        <v>67912</v>
      </c>
      <c r="FJ43" s="9">
        <f t="shared" si="100"/>
        <v>53</v>
      </c>
      <c r="FK43" s="21" t="str">
        <f t="shared" si="101"/>
        <v>Washington</v>
      </c>
      <c r="FL43" s="48">
        <f>INDEX('2010'!$E$7:$EN$37,  MATCH(FJ43, '2010'!$A$7:$A$37, 0), MATCH(FJ15, '2010'!$E$4:$EN$4, 0) )</f>
        <v>2600</v>
      </c>
      <c r="FM43" s="48">
        <f>INDEX('2011'!$E$7:$EN$37,  MATCH(FJ43, '2011'!$A$7:$A$37, 0), MATCH(FJ15, '2011'!$E$4:$EN$4, 0) )</f>
        <v>2616</v>
      </c>
      <c r="FN43" s="48">
        <f>INDEX('2012'!$E$7:$EN$37,  MATCH(FJ43, '2012'!$A$7:$A$37, 0), MATCH(FJ15, '2012'!$E$4:$EN$4, 0) )</f>
        <v>2679</v>
      </c>
      <c r="FO43" s="48">
        <f>INDEX('2013'!$E$7:$EN$37,  MATCH(FJ43, '2013'!$A$7:$A$37, 0), MATCH(FJ15, '2013'!$E$4:$EN$4, 0) )</f>
        <v>2518</v>
      </c>
      <c r="FP43" s="48">
        <f>INDEX('2014'!$E$7:$EN$37,  MATCH(FJ43, '2014'!$A$7:$A$37, 0), MATCH(FJ15, '2014'!$E$4:$EN$4, 0) )</f>
        <v>2582</v>
      </c>
      <c r="FQ43" s="48">
        <f>INDEX('2015'!$E$7:$EN$37,  MATCH(FJ43, '2015'!$A$7:$A$37, 0), MATCH(FJ15, '2015'!$E$4:$EN$4, 0) )</f>
        <v>2959</v>
      </c>
      <c r="FR43" s="48">
        <f>INDEX('2016'!$E$7:$EN$37,  MATCH(FJ43, '2016'!$A$7:$A$37, 0), MATCH(FJ15, '2016'!$E$4:$EN$4, 0) )</f>
        <v>3297</v>
      </c>
      <c r="FS43" s="48">
        <f>INDEX('2017'!$E$7:$EN$37,  MATCH(FJ43, '2017'!$A$7:$A$37, 0), MATCH(FJ15, '2017'!$E$4:$EN$4, 0) )</f>
        <v>3741</v>
      </c>
      <c r="FT43" s="48">
        <f>INDEX('2018'!$E$7:$EN$37,  MATCH(FJ43, '2018'!$A$7:$A$37, 0), MATCH(FJ15, '2018'!$E$4:$EN$4, 0) )</f>
        <v>5147</v>
      </c>
      <c r="FU43" s="48">
        <f>INDEX('2019'!$E$7:$EN$37,  MATCH(FJ43, '2019'!$A$7:$A$37, 0), MATCH(FJ15, '2019'!$E$4:$EN$4, 0) )</f>
        <v>6505</v>
      </c>
      <c r="FW43" s="9">
        <f t="shared" si="102"/>
        <v>53</v>
      </c>
      <c r="FX43" s="21" t="str">
        <f t="shared" si="103"/>
        <v>Washington</v>
      </c>
      <c r="FY43" s="48">
        <f>INDEX('2010'!$E$7:$EN$37,  MATCH(FW43, '2010'!$A$7:$A$37, 0), MATCH(FW15, '2010'!$E$4:$EN$4, 0) )</f>
        <v>695</v>
      </c>
      <c r="FZ43" s="48">
        <f>INDEX('2011'!$E$7:$EN$37,  MATCH(FW43, '2011'!$A$7:$A$37, 0), MATCH(FW15, '2011'!$E$4:$EN$4, 0) )</f>
        <v>528</v>
      </c>
      <c r="GA43" s="48">
        <f>INDEX('2012'!$E$7:$EN$37,  MATCH(FW43, '2012'!$A$7:$A$37, 0), MATCH(FW15, '2012'!$E$4:$EN$4, 0) )</f>
        <v>501</v>
      </c>
      <c r="GB43" s="48">
        <f>INDEX('2013'!$E$7:$EN$37,  MATCH(FW43, '2013'!$A$7:$A$37, 0), MATCH(FW15, '2013'!$E$4:$EN$4, 0) )</f>
        <v>508</v>
      </c>
      <c r="GC43" s="48">
        <f>INDEX('2014'!$E$7:$EN$37,  MATCH(FW43, '2014'!$A$7:$A$37, 0), MATCH(FW15, '2014'!$E$4:$EN$4, 0) )</f>
        <v>604</v>
      </c>
      <c r="GD43" s="48">
        <f>INDEX('2015'!$E$7:$EN$37,  MATCH(FW43, '2015'!$A$7:$A$37, 0), MATCH(FW15, '2015'!$E$4:$EN$4, 0) )</f>
        <v>601</v>
      </c>
      <c r="GE43" s="48">
        <f>INDEX('2016'!$E$7:$EN$37,  MATCH(FW43, '2016'!$A$7:$A$37, 0), MATCH(FW15, '2016'!$E$4:$EN$4, 0) )</f>
        <v>640</v>
      </c>
      <c r="GF43" s="48">
        <f>INDEX('2017'!$E$7:$EN$37,  MATCH(FW43, '2017'!$A$7:$A$37, 0), MATCH(FW15, '2017'!$E$4:$EN$4, 0) )</f>
        <v>762</v>
      </c>
      <c r="GG43" s="48">
        <f>INDEX('2018'!$E$7:$EN$37,  MATCH(FW43, '2018'!$A$7:$A$37, 0), MATCH(FW15, '2018'!$E$4:$EN$4, 0) )</f>
        <v>1372</v>
      </c>
      <c r="GH43" s="48">
        <f>INDEX('2019'!$E$7:$EN$37,  MATCH(FW43, '2019'!$A$7:$A$37, 0), MATCH(FW15, '2019'!$E$4:$EN$4, 0) )</f>
        <v>1672</v>
      </c>
      <c r="GJ43" s="9">
        <f t="shared" si="104"/>
        <v>53</v>
      </c>
      <c r="GK43" s="21" t="str">
        <f t="shared" si="105"/>
        <v>Washington</v>
      </c>
      <c r="GL43" s="48">
        <f>INDEX('2010'!$E$7:$EN$37,  MATCH(GJ43, '2010'!$A$7:$A$37, 0), MATCH(GJ15, '2010'!$E$4:$EN$4, 0) )</f>
        <v>987</v>
      </c>
      <c r="GM43" s="48">
        <f>INDEX('2011'!$E$7:$EN$37,  MATCH(GJ43, '2011'!$A$7:$A$37, 0), MATCH(GJ15, '2011'!$E$4:$EN$4, 0) )</f>
        <v>1088</v>
      </c>
      <c r="GN43" s="48">
        <f>INDEX('2012'!$E$7:$EN$37,  MATCH(GJ43, '2012'!$A$7:$A$37, 0), MATCH(GJ15, '2012'!$E$4:$EN$4, 0) )</f>
        <v>999</v>
      </c>
      <c r="GO43" s="48">
        <f>INDEX('2013'!$E$7:$EN$37,  MATCH(GJ43, '2013'!$A$7:$A$37, 0), MATCH(GJ15, '2013'!$E$4:$EN$4, 0) )</f>
        <v>738</v>
      </c>
      <c r="GP43" s="48">
        <f>INDEX('2014'!$E$7:$EN$37,  MATCH(GJ43, '2014'!$A$7:$A$37, 0), MATCH(GJ15, '2014'!$E$4:$EN$4, 0) )</f>
        <v>663</v>
      </c>
      <c r="GQ43" s="48">
        <f>INDEX('2015'!$E$7:$EN$37,  MATCH(GJ43, '2015'!$A$7:$A$37, 0), MATCH(GJ15, '2015'!$E$4:$EN$4, 0) )</f>
        <v>749</v>
      </c>
      <c r="GR43" s="48">
        <f>INDEX('2016'!$E$7:$EN$37,  MATCH(GJ43, '2016'!$A$7:$A$37, 0), MATCH(GJ15, '2016'!$E$4:$EN$4, 0) )</f>
        <v>671</v>
      </c>
      <c r="GS43" s="48">
        <f>INDEX('2017'!$E$7:$EN$37,  MATCH(GJ43, '2017'!$A$7:$A$37, 0), MATCH(GJ15, '2017'!$E$4:$EN$4, 0) )</f>
        <v>835</v>
      </c>
      <c r="GT43" s="48">
        <f>INDEX('2018'!$E$7:$EN$37,  MATCH(GJ43, '2018'!$A$7:$A$37, 0), MATCH(GJ15, '2018'!$E$4:$EN$4, 0) )</f>
        <v>1056</v>
      </c>
      <c r="GU43" s="48">
        <f>INDEX('2019'!$E$7:$EN$37,  MATCH(GJ43, '2019'!$A$7:$A$37, 0), MATCH(GJ15, '2019'!$E$4:$EN$4, 0) )</f>
        <v>1387</v>
      </c>
    </row>
    <row r="44" spans="50:203" x14ac:dyDescent="0.25">
      <c r="AX44" s="15"/>
      <c r="AY44" s="39" t="s">
        <v>618</v>
      </c>
      <c r="AZ44" s="40">
        <f>INDEX($CX$7:$DG$13, MATCH(AY41, $CW$7:$CW$13,0), MATCH(AZ$6, $CX$6:$DG$6, 0))</f>
        <v>2.0312996223080911E-2</v>
      </c>
      <c r="BA44" s="40">
        <f>INDEX($CX$7:$DG$13, MATCH(AY41, $CW$7:$CW$13,0), MATCH(BA$6, $CX$6:$DG$6, 0))</f>
        <v>2.1408024991016086E-2</v>
      </c>
      <c r="BB44" s="40">
        <f>INDEX($CX$7:$DG$13, MATCH(AY41, $CW$7:$CW$13,0), MATCH(BB$6, $CX$6:$DG$6, 0))</f>
        <v>2.2257295058283531E-2</v>
      </c>
      <c r="BC44" s="40">
        <f>INDEX($CX$7:$DG$13, MATCH(AY41, $CW$7:$CW$13,0), MATCH(BC$6, $CX$6:$DG$6, 0))</f>
        <v>2.306173195851715E-2</v>
      </c>
      <c r="BD44" s="40">
        <f>INDEX($CX$7:$DG$13, MATCH(AY41, $CW$7:$CW$13,0), MATCH(BD$6, $CX$6:$DG$6, 0))</f>
        <v>2.3882178519691086E-2</v>
      </c>
      <c r="BE44" s="40">
        <f>INDEX($CX$7:$DG$13, MATCH(AY41, $CW$7:$CW$13,0), MATCH(BE$6, $CX$6:$DG$6, 0))</f>
        <v>2.4745543956050879E-2</v>
      </c>
      <c r="BF44" s="40">
        <f>INDEX($CX$7:$DG$13, MATCH(AY41, $CW$7:$CW$13,0), MATCH(BF$6, $CX$6:$DG$6, 0))</f>
        <v>2.5975567556780564E-2</v>
      </c>
      <c r="BG44" s="40">
        <f>INDEX($CX$7:$DG$13, MATCH(AY41, $CW$7:$CW$13,0), MATCH(BG$6, $CX$6:$DG$6, 0))</f>
        <v>2.7440342025342481E-2</v>
      </c>
      <c r="BH44" s="40">
        <f>INDEX($CX$7:$DG$13, MATCH(AY41, $CW$7:$CW$13,0), MATCH(BH$6, $CX$6:$DG$6, 0))</f>
        <v>2.90512497210287E-2</v>
      </c>
      <c r="BI44" s="40">
        <f>INDEX($CX$7:$DG$13, MATCH(AY41, $CW$7:$CW$13,0), MATCH(BI$6, $CX$6:$DG$6, 0))</f>
        <v>3.1329076714512627E-2</v>
      </c>
      <c r="CI44" s="15">
        <v>55</v>
      </c>
      <c r="CJ44" s="37" t="str">
        <f t="shared" si="79"/>
        <v>Wayne</v>
      </c>
      <c r="CK44" s="44">
        <f t="shared" si="80"/>
        <v>6.9368667186282151E-2</v>
      </c>
      <c r="CL44" s="44">
        <f t="shared" si="81"/>
        <v>5.2297939778129958E-2</v>
      </c>
      <c r="CM44" s="44">
        <f t="shared" si="81"/>
        <v>8.892238131122833E-2</v>
      </c>
      <c r="CN44" s="44">
        <f t="shared" si="81"/>
        <v>8.0775444264943458E-2</v>
      </c>
      <c r="CO44" s="44">
        <f t="shared" si="81"/>
        <v>7.7839555202541696E-2</v>
      </c>
      <c r="CP44" s="44">
        <f t="shared" si="81"/>
        <v>7.0502431118314418E-2</v>
      </c>
      <c r="CQ44" s="44">
        <f t="shared" si="81"/>
        <v>7.4407195421095668E-2</v>
      </c>
      <c r="CR44" s="44">
        <f t="shared" si="81"/>
        <v>5.6761268781302165E-2</v>
      </c>
      <c r="CS44" s="44">
        <f t="shared" si="81"/>
        <v>6.4777327935222673E-2</v>
      </c>
      <c r="CT44" s="44">
        <f t="shared" si="81"/>
        <v>9.1845493562231761E-2</v>
      </c>
      <c r="CV44" s="9">
        <f t="shared" si="82"/>
        <v>550</v>
      </c>
      <c r="CW44" s="21" t="str">
        <f t="shared" si="92"/>
        <v>Wayne</v>
      </c>
      <c r="CX44" s="40">
        <f t="shared" si="83"/>
        <v>2.3382696804364771E-2</v>
      </c>
      <c r="CY44" s="40">
        <f t="shared" si="84"/>
        <v>1.5055467511885896E-2</v>
      </c>
      <c r="CZ44" s="40">
        <f t="shared" si="84"/>
        <v>3.6925395629238883E-2</v>
      </c>
      <c r="DA44" s="40">
        <f t="shared" si="84"/>
        <v>3.4733441033925685E-2</v>
      </c>
      <c r="DB44" s="40">
        <f t="shared" si="84"/>
        <v>3.8919777601270848E-2</v>
      </c>
      <c r="DC44" s="40">
        <f t="shared" si="84"/>
        <v>3.0794165316045379E-2</v>
      </c>
      <c r="DD44" s="40">
        <f t="shared" si="84"/>
        <v>2.9435813573180702E-2</v>
      </c>
      <c r="DE44" s="40">
        <f t="shared" si="84"/>
        <v>2.5041736227045076E-2</v>
      </c>
      <c r="DF44" s="40">
        <f t="shared" si="84"/>
        <v>2.7530364372469637E-2</v>
      </c>
      <c r="DG44" s="40">
        <f t="shared" si="84"/>
        <v>4.5493562231759654E-2</v>
      </c>
      <c r="DI44" s="9">
        <f t="shared" si="85"/>
        <v>550</v>
      </c>
      <c r="DJ44" s="21" t="str">
        <f t="shared" si="93"/>
        <v>Wayne</v>
      </c>
      <c r="DK44" s="40">
        <f t="shared" si="86"/>
        <v>4.5985970381917381E-2</v>
      </c>
      <c r="DL44" s="40">
        <f t="shared" si="87"/>
        <v>3.724247226624406E-2</v>
      </c>
      <c r="DM44" s="40">
        <f t="shared" si="87"/>
        <v>5.1996985681989447E-2</v>
      </c>
      <c r="DN44" s="40">
        <f t="shared" si="87"/>
        <v>4.6042003231017772E-2</v>
      </c>
      <c r="DO44" s="40">
        <f t="shared" si="87"/>
        <v>3.8919777601270848E-2</v>
      </c>
      <c r="DP44" s="40">
        <f t="shared" si="87"/>
        <v>3.9708265802269042E-2</v>
      </c>
      <c r="DQ44" s="40">
        <f t="shared" si="87"/>
        <v>4.4971381847914965E-2</v>
      </c>
      <c r="DR44" s="40">
        <f t="shared" si="87"/>
        <v>3.1719532554257093E-2</v>
      </c>
      <c r="DS44" s="40">
        <f t="shared" si="87"/>
        <v>3.724696356275304E-2</v>
      </c>
      <c r="DT44" s="40">
        <f t="shared" si="87"/>
        <v>4.63519313304721E-2</v>
      </c>
      <c r="DV44" s="9">
        <f t="shared" si="88"/>
        <v>550</v>
      </c>
      <c r="DW44" s="21" t="str">
        <f t="shared" si="94"/>
        <v>Wayne</v>
      </c>
      <c r="DX44" s="45">
        <f t="shared" si="95"/>
        <v>30</v>
      </c>
      <c r="DY44" s="45">
        <f t="shared" si="95"/>
        <v>19</v>
      </c>
      <c r="DZ44" s="45">
        <f t="shared" si="89"/>
        <v>49</v>
      </c>
      <c r="EA44" s="45">
        <f t="shared" si="89"/>
        <v>43</v>
      </c>
      <c r="EB44" s="45">
        <f t="shared" si="89"/>
        <v>49</v>
      </c>
      <c r="EC44" s="45">
        <f t="shared" si="89"/>
        <v>38</v>
      </c>
      <c r="ED44" s="45">
        <f t="shared" si="89"/>
        <v>36</v>
      </c>
      <c r="EE44" s="45">
        <f t="shared" si="89"/>
        <v>30</v>
      </c>
      <c r="EF44" s="45">
        <f t="shared" si="89"/>
        <v>34</v>
      </c>
      <c r="EG44" s="45">
        <f t="shared" si="89"/>
        <v>53</v>
      </c>
      <c r="EI44" s="9">
        <f t="shared" si="90"/>
        <v>550</v>
      </c>
      <c r="EJ44" s="21" t="str">
        <f t="shared" si="96"/>
        <v>Wayne</v>
      </c>
      <c r="EK44" s="45">
        <f t="shared" si="97"/>
        <v>59</v>
      </c>
      <c r="EL44" s="45">
        <f t="shared" si="97"/>
        <v>47</v>
      </c>
      <c r="EM44" s="45">
        <f t="shared" si="91"/>
        <v>69</v>
      </c>
      <c r="EN44" s="45">
        <f t="shared" si="91"/>
        <v>57</v>
      </c>
      <c r="EO44" s="45">
        <f t="shared" si="91"/>
        <v>49</v>
      </c>
      <c r="EP44" s="45">
        <f t="shared" si="91"/>
        <v>49</v>
      </c>
      <c r="EQ44" s="45">
        <f t="shared" si="91"/>
        <v>55</v>
      </c>
      <c r="ER44" s="45">
        <f t="shared" si="91"/>
        <v>38</v>
      </c>
      <c r="ES44" s="45">
        <f t="shared" si="91"/>
        <v>46</v>
      </c>
      <c r="ET44" s="45">
        <f t="shared" si="91"/>
        <v>54</v>
      </c>
      <c r="EW44" s="9">
        <f t="shared" si="98"/>
        <v>55</v>
      </c>
      <c r="EX44" s="21" t="str">
        <f t="shared" si="99"/>
        <v>Wayne</v>
      </c>
      <c r="EY44" s="48">
        <f>INDEX('2010'!$E$7:$EN$37,  MATCH(EW44, '2010'!$A$7:$A$37, 0), MATCH(EW15, '2010'!$E$4:$EN$4, 0) )</f>
        <v>1283</v>
      </c>
      <c r="EZ44" s="48">
        <f>INDEX('2011'!$E$7:$EN$37,  MATCH(EW44, '2011'!$A$7:$A$37, 0), MATCH(EW15, '2011'!$E$4:$EN$4, 0) )</f>
        <v>1262</v>
      </c>
      <c r="FA44" s="48">
        <f>INDEX('2012'!$E$7:$EN$37,  MATCH(EW44, '2012'!$A$7:$A$37, 0), MATCH(EW15, '2012'!$E$4:$EN$4, 0) )</f>
        <v>1327</v>
      </c>
      <c r="FB44" s="48">
        <f>INDEX('2013'!$E$7:$EN$37,  MATCH(EW44, '2013'!$A$7:$A$37, 0), MATCH(EW15, '2013'!$E$4:$EN$4, 0) )</f>
        <v>1238</v>
      </c>
      <c r="FC44" s="48">
        <f>INDEX('2014'!$E$7:$EN$37,  MATCH(EW44, '2014'!$A$7:$A$37, 0), MATCH(EW15, '2014'!$E$4:$EN$4, 0) )</f>
        <v>1259</v>
      </c>
      <c r="FD44" s="48">
        <f>INDEX('2015'!$E$7:$EN$37,  MATCH(EW44, '2015'!$A$7:$A$37, 0), MATCH(EW15, '2015'!$E$4:$EN$4, 0) )</f>
        <v>1234</v>
      </c>
      <c r="FE44" s="48">
        <f>INDEX('2016'!$E$7:$EN$37,  MATCH(EW44, '2016'!$A$7:$A$37, 0), MATCH(EW15, '2016'!$E$4:$EN$4, 0) )</f>
        <v>1223</v>
      </c>
      <c r="FF44" s="48">
        <f>INDEX('2017'!$E$7:$EN$37,  MATCH(EW44, '2017'!$A$7:$A$37, 0), MATCH(EW15, '2017'!$E$4:$EN$4, 0) )</f>
        <v>1198</v>
      </c>
      <c r="FG44" s="48">
        <f>INDEX('2018'!$E$7:$EN$37,  MATCH(EW44, '2018'!$A$7:$A$37, 0), MATCH(EW15, '2018'!$E$4:$EN$4, 0) )</f>
        <v>1235</v>
      </c>
      <c r="FH44" s="48">
        <f>INDEX('2019'!$E$7:$EN$37,  MATCH(EW44, '2019'!$A$7:$A$37, 0), MATCH(EW15, '2019'!$E$4:$EN$4, 0) )</f>
        <v>1165</v>
      </c>
      <c r="FJ44" s="9">
        <f t="shared" si="100"/>
        <v>55</v>
      </c>
      <c r="FK44" s="21" t="str">
        <f t="shared" si="101"/>
        <v>Wayne</v>
      </c>
      <c r="FL44" s="48">
        <f>INDEX('2010'!$E$7:$EN$37,  MATCH(FJ44, '2010'!$A$7:$A$37, 0), MATCH(FJ15, '2010'!$E$4:$EN$4, 0) )</f>
        <v>89</v>
      </c>
      <c r="FM44" s="48">
        <f>INDEX('2011'!$E$7:$EN$37,  MATCH(FJ44, '2011'!$A$7:$A$37, 0), MATCH(FJ15, '2011'!$E$4:$EN$4, 0) )</f>
        <v>66</v>
      </c>
      <c r="FN44" s="48">
        <f>INDEX('2012'!$E$7:$EN$37,  MATCH(FJ44, '2012'!$A$7:$A$37, 0), MATCH(FJ15, '2012'!$E$4:$EN$4, 0) )</f>
        <v>118</v>
      </c>
      <c r="FO44" s="48">
        <f>INDEX('2013'!$E$7:$EN$37,  MATCH(FJ44, '2013'!$A$7:$A$37, 0), MATCH(FJ15, '2013'!$E$4:$EN$4, 0) )</f>
        <v>100</v>
      </c>
      <c r="FP44" s="48">
        <f>INDEX('2014'!$E$7:$EN$37,  MATCH(FJ44, '2014'!$A$7:$A$37, 0), MATCH(FJ15, '2014'!$E$4:$EN$4, 0) )</f>
        <v>98</v>
      </c>
      <c r="FQ44" s="48">
        <f>INDEX('2015'!$E$7:$EN$37,  MATCH(FJ44, '2015'!$A$7:$A$37, 0), MATCH(FJ15, '2015'!$E$4:$EN$4, 0) )</f>
        <v>87</v>
      </c>
      <c r="FR44" s="48">
        <f>INDEX('2016'!$E$7:$EN$37,  MATCH(FJ44, '2016'!$A$7:$A$37, 0), MATCH(FJ15, '2016'!$E$4:$EN$4, 0) )</f>
        <v>91</v>
      </c>
      <c r="FS44" s="48">
        <f>INDEX('2017'!$E$7:$EN$37,  MATCH(FJ44, '2017'!$A$7:$A$37, 0), MATCH(FJ15, '2017'!$E$4:$EN$4, 0) )</f>
        <v>68</v>
      </c>
      <c r="FT44" s="48">
        <f>INDEX('2018'!$E$7:$EN$37,  MATCH(FJ44, '2018'!$A$7:$A$37, 0), MATCH(FJ15, '2018'!$E$4:$EN$4, 0) )</f>
        <v>80</v>
      </c>
      <c r="FU44" s="48">
        <f>INDEX('2019'!$E$7:$EN$37,  MATCH(FJ44, '2019'!$A$7:$A$37, 0), MATCH(FJ15, '2019'!$E$4:$EN$4, 0) )</f>
        <v>107</v>
      </c>
      <c r="FW44" s="9">
        <f t="shared" si="102"/>
        <v>55</v>
      </c>
      <c r="FX44" s="21" t="str">
        <f t="shared" si="103"/>
        <v>Wayne</v>
      </c>
      <c r="FY44" s="48">
        <f>INDEX('2010'!$E$7:$EN$37,  MATCH(FW44, '2010'!$A$7:$A$37, 0), MATCH(FW15, '2010'!$E$4:$EN$4, 0) )</f>
        <v>18</v>
      </c>
      <c r="FZ44" s="48">
        <f>INDEX('2011'!$E$7:$EN$37,  MATCH(FW44, '2011'!$A$7:$A$37, 0), MATCH(FW15, '2011'!$E$4:$EN$4, 0) )</f>
        <v>11</v>
      </c>
      <c r="GA44" s="48">
        <f>INDEX('2012'!$E$7:$EN$37,  MATCH(FW44, '2012'!$A$7:$A$37, 0), MATCH(FW15, '2012'!$E$4:$EN$4, 0) )</f>
        <v>15</v>
      </c>
      <c r="GB44" s="48">
        <f>INDEX('2013'!$E$7:$EN$37,  MATCH(FW44, '2013'!$A$7:$A$37, 0), MATCH(FW15, '2013'!$E$4:$EN$4, 0) )</f>
        <v>11</v>
      </c>
      <c r="GC44" s="48">
        <f>INDEX('2014'!$E$7:$EN$37,  MATCH(FW44, '2014'!$A$7:$A$37, 0), MATCH(FW15, '2014'!$E$4:$EN$4, 0) )</f>
        <v>7</v>
      </c>
      <c r="GD44" s="48">
        <f>INDEX('2015'!$E$7:$EN$37,  MATCH(FW44, '2015'!$A$7:$A$37, 0), MATCH(FW15, '2015'!$E$4:$EN$4, 0) )</f>
        <v>7</v>
      </c>
      <c r="GE44" s="48">
        <f>INDEX('2016'!$E$7:$EN$37,  MATCH(FW44, '2016'!$A$7:$A$37, 0), MATCH(FW15, '2016'!$E$4:$EN$4, 0) )</f>
        <v>17</v>
      </c>
      <c r="GF44" s="48">
        <f>INDEX('2017'!$E$7:$EN$37,  MATCH(FW44, '2017'!$A$7:$A$37, 0), MATCH(FW15, '2017'!$E$4:$EN$4, 0) )</f>
        <v>15</v>
      </c>
      <c r="GG44" s="48">
        <f>INDEX('2018'!$E$7:$EN$37,  MATCH(FW44, '2018'!$A$7:$A$37, 0), MATCH(FW15, '2018'!$E$4:$EN$4, 0) )</f>
        <v>14</v>
      </c>
      <c r="GH44" s="48">
        <f>INDEX('2019'!$E$7:$EN$37,  MATCH(FW44, '2019'!$A$7:$A$37, 0), MATCH(FW15, '2019'!$E$4:$EN$4, 0) )</f>
        <v>29</v>
      </c>
      <c r="GJ44" s="9">
        <f t="shared" si="104"/>
        <v>55</v>
      </c>
      <c r="GK44" s="21" t="str">
        <f t="shared" si="105"/>
        <v>Wayne</v>
      </c>
      <c r="GL44" s="48">
        <f>INDEX('2010'!$E$7:$EN$37,  MATCH(GJ44, '2010'!$A$7:$A$37, 0), MATCH(GJ15, '2010'!$E$4:$EN$4, 0) )</f>
        <v>41</v>
      </c>
      <c r="GM44" s="48">
        <f>INDEX('2011'!$E$7:$EN$37,  MATCH(GJ44, '2011'!$A$7:$A$37, 0), MATCH(GJ15, '2011'!$E$4:$EN$4, 0) )</f>
        <v>36</v>
      </c>
      <c r="GN44" s="48">
        <f>INDEX('2012'!$E$7:$EN$37,  MATCH(GJ44, '2012'!$A$7:$A$37, 0), MATCH(GJ15, '2012'!$E$4:$EN$4, 0) )</f>
        <v>54</v>
      </c>
      <c r="GO44" s="48">
        <f>INDEX('2013'!$E$7:$EN$37,  MATCH(GJ44, '2013'!$A$7:$A$37, 0), MATCH(GJ15, '2013'!$E$4:$EN$4, 0) )</f>
        <v>46</v>
      </c>
      <c r="GP44" s="48">
        <f>INDEX('2014'!$E$7:$EN$37,  MATCH(GJ44, '2014'!$A$7:$A$37, 0), MATCH(GJ15, '2014'!$E$4:$EN$4, 0) )</f>
        <v>42</v>
      </c>
      <c r="GQ44" s="48">
        <f>INDEX('2015'!$E$7:$EN$37,  MATCH(GJ44, '2015'!$A$7:$A$37, 0), MATCH(GJ15, '2015'!$E$4:$EN$4, 0) )</f>
        <v>42</v>
      </c>
      <c r="GR44" s="48">
        <f>INDEX('2016'!$E$7:$EN$37,  MATCH(GJ44, '2016'!$A$7:$A$37, 0), MATCH(GJ15, '2016'!$E$4:$EN$4, 0) )</f>
        <v>38</v>
      </c>
      <c r="GS44" s="48">
        <f>INDEX('2017'!$E$7:$EN$37,  MATCH(GJ44, '2017'!$A$7:$A$37, 0), MATCH(GJ15, '2017'!$E$4:$EN$4, 0) )</f>
        <v>23</v>
      </c>
      <c r="GT44" s="48">
        <f>INDEX('2018'!$E$7:$EN$37,  MATCH(GJ44, '2018'!$A$7:$A$37, 0), MATCH(GJ15, '2018'!$E$4:$EN$4, 0) )</f>
        <v>32</v>
      </c>
      <c r="GU44" s="48">
        <f>INDEX('2019'!$E$7:$EN$37,  MATCH(GJ44, '2019'!$A$7:$A$37, 0), MATCH(GJ15, '2019'!$E$4:$EN$4, 0) )</f>
        <v>25</v>
      </c>
    </row>
    <row r="45" spans="50:203" x14ac:dyDescent="0.25">
      <c r="AX45" s="15"/>
      <c r="AY45" s="39" t="s">
        <v>619</v>
      </c>
      <c r="AZ45" s="41">
        <f>SUM(AZ43:AZ44)</f>
        <v>4.1360974847336758E-2</v>
      </c>
      <c r="BA45" s="41">
        <f t="shared" ref="BA45:BI45" si="110">SUM(BA43:BA44)</f>
        <v>4.2224128970445002E-2</v>
      </c>
      <c r="BB45" s="41">
        <f t="shared" si="110"/>
        <v>4.2729812754388356E-2</v>
      </c>
      <c r="BC45" s="41">
        <f t="shared" si="110"/>
        <v>4.3254384276311272E-2</v>
      </c>
      <c r="BD45" s="41">
        <f t="shared" si="110"/>
        <v>4.3665738889821094E-2</v>
      </c>
      <c r="BE45" s="41">
        <f t="shared" si="110"/>
        <v>4.4232594371480236E-2</v>
      </c>
      <c r="BF45" s="41">
        <f t="shared" si="110"/>
        <v>4.5672811144231405E-2</v>
      </c>
      <c r="BG45" s="41">
        <f t="shared" si="110"/>
        <v>4.7344292413628586E-2</v>
      </c>
      <c r="BH45" s="41">
        <f t="shared" si="110"/>
        <v>4.9298542420945154E-2</v>
      </c>
      <c r="BI45" s="41">
        <f t="shared" si="110"/>
        <v>5.1713985735929162E-2</v>
      </c>
      <c r="CI45" s="15">
        <v>57</v>
      </c>
      <c r="CJ45" s="37" t="str">
        <f t="shared" si="79"/>
        <v>Weber</v>
      </c>
      <c r="CK45" s="44">
        <f t="shared" si="80"/>
        <v>3.1489477574201577E-2</v>
      </c>
      <c r="CL45" s="44">
        <f t="shared" si="81"/>
        <v>3.4236569958111238E-2</v>
      </c>
      <c r="CM45" s="44">
        <f t="shared" si="81"/>
        <v>3.2300392701271288E-2</v>
      </c>
      <c r="CN45" s="44">
        <f t="shared" si="81"/>
        <v>3.3006032235352326E-2</v>
      </c>
      <c r="CO45" s="44">
        <f t="shared" ref="CO45:CT47" si="111">DB45 + DO45</f>
        <v>3.572294663010428E-2</v>
      </c>
      <c r="CP45" s="44">
        <f t="shared" si="111"/>
        <v>4.1130466022458248E-2</v>
      </c>
      <c r="CQ45" s="44">
        <f t="shared" si="111"/>
        <v>4.1244982444167064E-2</v>
      </c>
      <c r="CR45" s="44">
        <f t="shared" si="111"/>
        <v>4.6252189141856394E-2</v>
      </c>
      <c r="CS45" s="44">
        <f t="shared" si="111"/>
        <v>4.8962571023330473E-2</v>
      </c>
      <c r="CT45" s="44">
        <f t="shared" si="111"/>
        <v>5.4330715151115538E-2</v>
      </c>
      <c r="CV45" s="9">
        <f t="shared" si="82"/>
        <v>570</v>
      </c>
      <c r="CW45" s="21" t="str">
        <f t="shared" si="92"/>
        <v>Weber</v>
      </c>
      <c r="CX45" s="40">
        <f t="shared" si="83"/>
        <v>1.4684716225152682E-2</v>
      </c>
      <c r="CY45" s="40">
        <f t="shared" si="84"/>
        <v>1.655235128520156E-2</v>
      </c>
      <c r="CZ45" s="40">
        <f t="shared" si="84"/>
        <v>1.6069374055092279E-2</v>
      </c>
      <c r="DA45" s="40">
        <f t="shared" si="84"/>
        <v>1.7601948583281003E-2</v>
      </c>
      <c r="DB45" s="40">
        <f t="shared" ref="DB45:DG47" si="112">IFERROR(EB45/FC45, 0)</f>
        <v>1.8449083142126961E-2</v>
      </c>
      <c r="DC45" s="40">
        <f t="shared" si="112"/>
        <v>2.2089777720460221E-2</v>
      </c>
      <c r="DD45" s="40">
        <f t="shared" si="112"/>
        <v>2.2162555339038603E-2</v>
      </c>
      <c r="DE45" s="40">
        <f t="shared" si="112"/>
        <v>2.447460595446585E-2</v>
      </c>
      <c r="DF45" s="40">
        <f t="shared" si="112"/>
        <v>2.716085032655869E-2</v>
      </c>
      <c r="DG45" s="40">
        <f t="shared" si="112"/>
        <v>3.1508847697620558E-2</v>
      </c>
      <c r="DI45" s="9">
        <f t="shared" si="85"/>
        <v>570</v>
      </c>
      <c r="DJ45" s="21" t="str">
        <f t="shared" si="93"/>
        <v>Weber</v>
      </c>
      <c r="DK45" s="40">
        <f t="shared" si="86"/>
        <v>1.6804761349048899E-2</v>
      </c>
      <c r="DL45" s="40">
        <f t="shared" si="87"/>
        <v>1.7684218672909674E-2</v>
      </c>
      <c r="DM45" s="40">
        <f t="shared" si="87"/>
        <v>1.6231018646179006E-2</v>
      </c>
      <c r="DN45" s="40">
        <f t="shared" si="87"/>
        <v>1.5404083652071321E-2</v>
      </c>
      <c r="DO45" s="40">
        <f t="shared" ref="DO45:DT47" si="113">IFERROR(EO45/FC45, 0)</f>
        <v>1.7273863487977315E-2</v>
      </c>
      <c r="DP45" s="40">
        <f t="shared" si="113"/>
        <v>1.9040688301998027E-2</v>
      </c>
      <c r="DQ45" s="40">
        <f t="shared" si="113"/>
        <v>1.9082427105128457E-2</v>
      </c>
      <c r="DR45" s="40">
        <f t="shared" si="113"/>
        <v>2.1777583187390544E-2</v>
      </c>
      <c r="DS45" s="40">
        <f t="shared" si="113"/>
        <v>2.1801720696771783E-2</v>
      </c>
      <c r="DT45" s="40">
        <f t="shared" si="113"/>
        <v>2.2821867453494984E-2</v>
      </c>
      <c r="DV45" s="9">
        <f t="shared" si="88"/>
        <v>570</v>
      </c>
      <c r="DW45" s="21" t="str">
        <f t="shared" si="94"/>
        <v>Weber</v>
      </c>
      <c r="DX45" s="45">
        <f t="shared" si="95"/>
        <v>1510</v>
      </c>
      <c r="DY45" s="45">
        <f t="shared" si="95"/>
        <v>1711</v>
      </c>
      <c r="DZ45" s="45">
        <f t="shared" si="89"/>
        <v>1690</v>
      </c>
      <c r="EA45" s="45">
        <f t="shared" si="89"/>
        <v>1850</v>
      </c>
      <c r="EB45" s="45">
        <f t="shared" si="89"/>
        <v>1978</v>
      </c>
      <c r="EC45" s="45">
        <f t="shared" si="89"/>
        <v>2398</v>
      </c>
      <c r="ED45" s="45">
        <f t="shared" si="89"/>
        <v>2468</v>
      </c>
      <c r="EE45" s="45">
        <f t="shared" si="89"/>
        <v>2795</v>
      </c>
      <c r="EF45" s="45">
        <f t="shared" si="89"/>
        <v>3198</v>
      </c>
      <c r="EG45" s="45">
        <f t="shared" si="89"/>
        <v>3823</v>
      </c>
      <c r="EI45" s="9">
        <f t="shared" si="90"/>
        <v>570</v>
      </c>
      <c r="EJ45" s="21" t="str">
        <f t="shared" si="96"/>
        <v>Weber</v>
      </c>
      <c r="EK45" s="45">
        <f t="shared" si="97"/>
        <v>1728</v>
      </c>
      <c r="EL45" s="45">
        <f t="shared" si="97"/>
        <v>1828</v>
      </c>
      <c r="EM45" s="45">
        <f t="shared" si="91"/>
        <v>1707</v>
      </c>
      <c r="EN45" s="45">
        <f t="shared" si="91"/>
        <v>1619</v>
      </c>
      <c r="EO45" s="45">
        <f t="shared" si="91"/>
        <v>1852</v>
      </c>
      <c r="EP45" s="45">
        <f t="shared" si="91"/>
        <v>2067</v>
      </c>
      <c r="EQ45" s="45">
        <f t="shared" si="91"/>
        <v>2125</v>
      </c>
      <c r="ER45" s="45">
        <f t="shared" si="91"/>
        <v>2487</v>
      </c>
      <c r="ES45" s="45">
        <f t="shared" si="91"/>
        <v>2567</v>
      </c>
      <c r="ET45" s="45">
        <f t="shared" si="91"/>
        <v>2769</v>
      </c>
      <c r="EW45" s="9">
        <f t="shared" si="98"/>
        <v>57</v>
      </c>
      <c r="EX45" s="21" t="str">
        <f t="shared" si="99"/>
        <v>Weber</v>
      </c>
      <c r="EY45" s="48">
        <f>INDEX('2010'!$E$7:$EN$37,  MATCH(EW45, '2010'!$A$7:$A$37, 0), MATCH(EW15, '2010'!$E$4:$EN$4, 0) )</f>
        <v>102828</v>
      </c>
      <c r="EZ45" s="48">
        <f>INDEX('2011'!$E$7:$EN$37,  MATCH(EW45, '2011'!$A$7:$A$37, 0), MATCH(EW15, '2011'!$E$4:$EN$4, 0) )</f>
        <v>103369</v>
      </c>
      <c r="FA45" s="48">
        <f>INDEX('2012'!$E$7:$EN$37,  MATCH(EW45, '2012'!$A$7:$A$37, 0), MATCH(EW15, '2012'!$E$4:$EN$4, 0) )</f>
        <v>105169</v>
      </c>
      <c r="FB45" s="48">
        <f>INDEX('2013'!$E$7:$EN$37,  MATCH(EW45, '2013'!$A$7:$A$37, 0), MATCH(EW15, '2013'!$E$4:$EN$4, 0) )</f>
        <v>105102</v>
      </c>
      <c r="FC45" s="48">
        <f>INDEX('2014'!$E$7:$EN$37,  MATCH(EW45, '2014'!$A$7:$A$37, 0), MATCH(EW15, '2014'!$E$4:$EN$4, 0) )</f>
        <v>107214</v>
      </c>
      <c r="FD45" s="48">
        <f>INDEX('2015'!$E$7:$EN$37,  MATCH(EW45, '2015'!$A$7:$A$37, 0), MATCH(EW15, '2015'!$E$4:$EN$4, 0) )</f>
        <v>108557</v>
      </c>
      <c r="FE45" s="48">
        <f>INDEX('2016'!$E$7:$EN$37,  MATCH(EW45, '2016'!$A$7:$A$37, 0), MATCH(EW15, '2016'!$E$4:$EN$4, 0) )</f>
        <v>111359</v>
      </c>
      <c r="FF45" s="48">
        <f>INDEX('2017'!$E$7:$EN$37,  MATCH(EW45, '2017'!$A$7:$A$37, 0), MATCH(EW15, '2017'!$E$4:$EN$4, 0) )</f>
        <v>114200</v>
      </c>
      <c r="FG45" s="48">
        <f>INDEX('2018'!$E$7:$EN$37,  MATCH(EW45, '2018'!$A$7:$A$37, 0), MATCH(EW15, '2018'!$E$4:$EN$4, 0) )</f>
        <v>117743</v>
      </c>
      <c r="FH45" s="48">
        <f>INDEX('2019'!$E$7:$EN$37,  MATCH(EW45, '2019'!$A$7:$A$37, 0), MATCH(EW15, '2019'!$E$4:$EN$4, 0) )</f>
        <v>121331</v>
      </c>
      <c r="FJ45" s="9">
        <f t="shared" si="100"/>
        <v>57</v>
      </c>
      <c r="FK45" s="21" t="str">
        <f t="shared" si="101"/>
        <v>Weber</v>
      </c>
      <c r="FL45" s="48">
        <f>INDEX('2010'!$E$7:$EN$37,  MATCH(FJ45, '2010'!$A$7:$A$37, 0), MATCH(FJ15, '2010'!$E$4:$EN$4, 0) )</f>
        <v>3238</v>
      </c>
      <c r="FM45" s="48">
        <f>INDEX('2011'!$E$7:$EN$37,  MATCH(FJ45, '2011'!$A$7:$A$37, 0), MATCH(FJ15, '2011'!$E$4:$EN$4, 0) )</f>
        <v>3539</v>
      </c>
      <c r="FN45" s="48">
        <f>INDEX('2012'!$E$7:$EN$37,  MATCH(FJ45, '2012'!$A$7:$A$37, 0), MATCH(FJ15, '2012'!$E$4:$EN$4, 0) )</f>
        <v>3397</v>
      </c>
      <c r="FO45" s="48">
        <f>INDEX('2013'!$E$7:$EN$37,  MATCH(FJ45, '2013'!$A$7:$A$37, 0), MATCH(FJ15, '2013'!$E$4:$EN$4, 0) )</f>
        <v>3469</v>
      </c>
      <c r="FP45" s="48">
        <f>INDEX('2014'!$E$7:$EN$37,  MATCH(FJ45, '2014'!$A$7:$A$37, 0), MATCH(FJ15, '2014'!$E$4:$EN$4, 0) )</f>
        <v>3830</v>
      </c>
      <c r="FQ45" s="48">
        <f>INDEX('2015'!$E$7:$EN$37,  MATCH(FJ45, '2015'!$A$7:$A$37, 0), MATCH(FJ15, '2015'!$E$4:$EN$4, 0) )</f>
        <v>4465</v>
      </c>
      <c r="FR45" s="48">
        <f>INDEX('2016'!$E$7:$EN$37,  MATCH(FJ45, '2016'!$A$7:$A$37, 0), MATCH(FJ15, '2016'!$E$4:$EN$4, 0) )</f>
        <v>4593</v>
      </c>
      <c r="FS45" s="48">
        <f>INDEX('2017'!$E$7:$EN$37,  MATCH(FJ45, '2017'!$A$7:$A$37, 0), MATCH(FJ15, '2017'!$E$4:$EN$4, 0) )</f>
        <v>5282</v>
      </c>
      <c r="FT45" s="48">
        <f>INDEX('2018'!$E$7:$EN$37,  MATCH(FJ45, '2018'!$A$7:$A$37, 0), MATCH(FJ15, '2018'!$E$4:$EN$4, 0) )</f>
        <v>5765</v>
      </c>
      <c r="FU45" s="48">
        <f>INDEX('2019'!$E$7:$EN$37,  MATCH(FJ45, '2019'!$A$7:$A$37, 0), MATCH(FJ15, '2019'!$E$4:$EN$4, 0) )</f>
        <v>6592</v>
      </c>
      <c r="FW45" s="9">
        <f t="shared" si="102"/>
        <v>57</v>
      </c>
      <c r="FX45" s="21" t="str">
        <f t="shared" si="103"/>
        <v>Weber</v>
      </c>
      <c r="FY45" s="48">
        <f>INDEX('2010'!$E$7:$EN$37,  MATCH(FW45, '2010'!$A$7:$A$37, 0), MATCH(FW15, '2010'!$E$4:$EN$4, 0) )</f>
        <v>537</v>
      </c>
      <c r="FZ45" s="48">
        <f>INDEX('2011'!$E$7:$EN$37,  MATCH(FW45, '2011'!$A$7:$A$37, 0), MATCH(FW15, '2011'!$E$4:$EN$4, 0) )</f>
        <v>582</v>
      </c>
      <c r="GA45" s="48">
        <f>INDEX('2012'!$E$7:$EN$37,  MATCH(FW45, '2012'!$A$7:$A$37, 0), MATCH(FW15, '2012'!$E$4:$EN$4, 0) )</f>
        <v>573</v>
      </c>
      <c r="GB45" s="48">
        <f>INDEX('2013'!$E$7:$EN$37,  MATCH(FW45, '2013'!$A$7:$A$37, 0), MATCH(FW15, '2013'!$E$4:$EN$4, 0) )</f>
        <v>534</v>
      </c>
      <c r="GC45" s="48">
        <f>INDEX('2014'!$E$7:$EN$37,  MATCH(FW45, '2014'!$A$7:$A$37, 0), MATCH(FW15, '2014'!$E$4:$EN$4, 0) )</f>
        <v>666</v>
      </c>
      <c r="GD45" s="48">
        <f>INDEX('2015'!$E$7:$EN$37,  MATCH(FW45, '2015'!$A$7:$A$37, 0), MATCH(FW15, '2015'!$E$4:$EN$4, 0) )</f>
        <v>846</v>
      </c>
      <c r="GE45" s="48">
        <f>INDEX('2016'!$E$7:$EN$37,  MATCH(FW45, '2016'!$A$7:$A$37, 0), MATCH(FW15, '2016'!$E$4:$EN$4, 0) )</f>
        <v>923</v>
      </c>
      <c r="GF45" s="48">
        <f>INDEX('2017'!$E$7:$EN$37,  MATCH(FW45, '2017'!$A$7:$A$37, 0), MATCH(FW15, '2017'!$E$4:$EN$4, 0) )</f>
        <v>1103</v>
      </c>
      <c r="GG45" s="48">
        <f>INDEX('2018'!$E$7:$EN$37,  MATCH(FW45, '2018'!$A$7:$A$37, 0), MATCH(FW15, '2018'!$E$4:$EN$4, 0) )</f>
        <v>1229</v>
      </c>
      <c r="GH45" s="48">
        <f>INDEX('2019'!$E$7:$EN$37,  MATCH(FW45, '2019'!$A$7:$A$37, 0), MATCH(FW15, '2019'!$E$4:$EN$4, 0) )</f>
        <v>1324</v>
      </c>
      <c r="GJ45" s="9">
        <f t="shared" si="104"/>
        <v>57</v>
      </c>
      <c r="GK45" s="21" t="str">
        <f t="shared" si="105"/>
        <v>Weber</v>
      </c>
      <c r="GL45" s="48">
        <f>INDEX('2010'!$E$7:$EN$37,  MATCH(GJ45, '2010'!$A$7:$A$37, 0), MATCH(GJ15, '2010'!$E$4:$EN$4, 0) )</f>
        <v>1191</v>
      </c>
      <c r="GM45" s="48">
        <f>INDEX('2011'!$E$7:$EN$37,  MATCH(GJ45, '2011'!$A$7:$A$37, 0), MATCH(GJ15, '2011'!$E$4:$EN$4, 0) )</f>
        <v>1246</v>
      </c>
      <c r="GN45" s="48">
        <f>INDEX('2012'!$E$7:$EN$37,  MATCH(GJ45, '2012'!$A$7:$A$37, 0), MATCH(GJ15, '2012'!$E$4:$EN$4, 0) )</f>
        <v>1134</v>
      </c>
      <c r="GO45" s="48">
        <f>INDEX('2013'!$E$7:$EN$37,  MATCH(GJ45, '2013'!$A$7:$A$37, 0), MATCH(GJ15, '2013'!$E$4:$EN$4, 0) )</f>
        <v>1085</v>
      </c>
      <c r="GP45" s="48">
        <f>INDEX('2014'!$E$7:$EN$37,  MATCH(GJ45, '2014'!$A$7:$A$37, 0), MATCH(GJ15, '2014'!$E$4:$EN$4, 0) )</f>
        <v>1186</v>
      </c>
      <c r="GQ45" s="48">
        <f>INDEX('2015'!$E$7:$EN$37,  MATCH(GJ45, '2015'!$A$7:$A$37, 0), MATCH(GJ15, '2015'!$E$4:$EN$4, 0) )</f>
        <v>1221</v>
      </c>
      <c r="GR45" s="48">
        <f>INDEX('2016'!$E$7:$EN$37,  MATCH(GJ45, '2016'!$A$7:$A$37, 0), MATCH(GJ15, '2016'!$E$4:$EN$4, 0) )</f>
        <v>1202</v>
      </c>
      <c r="GS45" s="48">
        <f>INDEX('2017'!$E$7:$EN$37,  MATCH(GJ45, '2017'!$A$7:$A$37, 0), MATCH(GJ15, '2017'!$E$4:$EN$4, 0) )</f>
        <v>1384</v>
      </c>
      <c r="GT45" s="48">
        <f>INDEX('2018'!$E$7:$EN$37,  MATCH(GJ45, '2018'!$A$7:$A$37, 0), MATCH(GJ15, '2018'!$E$4:$EN$4, 0) )</f>
        <v>1338</v>
      </c>
      <c r="GU45" s="48">
        <f>INDEX('2019'!$E$7:$EN$37,  MATCH(GJ45, '2019'!$A$7:$A$37, 0), MATCH(GJ15, '2019'!$E$4:$EN$4, 0) )</f>
        <v>1445</v>
      </c>
    </row>
    <row r="46" spans="50:203" x14ac:dyDescent="0.25">
      <c r="CI46" s="15">
        <v>1049</v>
      </c>
      <c r="CJ46" s="37" t="str">
        <f t="shared" si="79"/>
        <v>State of Utah</v>
      </c>
      <c r="CK46" s="41">
        <f t="shared" ref="CK46:CN47" si="114">CX46 + DK46</f>
        <v>4.824796714234892E-2</v>
      </c>
      <c r="CL46" s="41">
        <f t="shared" si="114"/>
        <v>4.8146251420070105E-2</v>
      </c>
      <c r="CM46" s="41">
        <f t="shared" si="114"/>
        <v>4.7170407587715971E-2</v>
      </c>
      <c r="CN46" s="41">
        <f t="shared" si="114"/>
        <v>4.8242531662858947E-2</v>
      </c>
      <c r="CO46" s="41">
        <f t="shared" si="111"/>
        <v>4.8818052721095066E-2</v>
      </c>
      <c r="CP46" s="41">
        <f t="shared" si="111"/>
        <v>5.1301418848072343E-2</v>
      </c>
      <c r="CQ46" s="41">
        <f t="shared" si="111"/>
        <v>5.3654325724151158E-2</v>
      </c>
      <c r="CR46" s="41">
        <f t="shared" si="111"/>
        <v>5.7712072667975789E-2</v>
      </c>
      <c r="CS46" s="41">
        <f t="shared" si="111"/>
        <v>6.1576175978970929E-2</v>
      </c>
      <c r="CT46" s="41">
        <f t="shared" si="111"/>
        <v>6.5641118536447871E-2</v>
      </c>
      <c r="CV46" s="9">
        <f t="shared" si="82"/>
        <v>10490</v>
      </c>
      <c r="CW46" s="21" t="str">
        <f t="shared" si="92"/>
        <v>State of Utah</v>
      </c>
      <c r="CX46" s="42">
        <f t="shared" ref="CX46:DA47" si="115">IFERROR(DX46/EY46, 0)</f>
        <v>2.2286051848242873E-2</v>
      </c>
      <c r="CY46" s="42">
        <f t="shared" si="115"/>
        <v>2.3168413427178156E-2</v>
      </c>
      <c r="CZ46" s="42">
        <f t="shared" si="115"/>
        <v>2.3240780373065369E-2</v>
      </c>
      <c r="DA46" s="42">
        <f t="shared" si="115"/>
        <v>2.4825237853603997E-2</v>
      </c>
      <c r="DB46" s="42">
        <f t="shared" si="112"/>
        <v>2.5823245600011854E-2</v>
      </c>
      <c r="DC46" s="42">
        <f t="shared" si="112"/>
        <v>2.7876940233828102E-2</v>
      </c>
      <c r="DD46" s="42">
        <f t="shared" si="112"/>
        <v>2.9189599964585578E-2</v>
      </c>
      <c r="DE46" s="42">
        <f t="shared" si="112"/>
        <v>3.1481465532090809E-2</v>
      </c>
      <c r="DF46" s="42">
        <f t="shared" si="112"/>
        <v>3.3619729825511147E-2</v>
      </c>
      <c r="DG46" s="42">
        <f t="shared" si="112"/>
        <v>3.6790902681975761E-2</v>
      </c>
      <c r="DI46" s="9">
        <f t="shared" si="85"/>
        <v>10490</v>
      </c>
      <c r="DJ46" s="21" t="str">
        <f t="shared" si="93"/>
        <v>State of Utah</v>
      </c>
      <c r="DK46" s="42">
        <f t="shared" ref="DK46:DN47" si="116">IFERROR(EK46/EY46, 0)</f>
        <v>2.5961915294106047E-2</v>
      </c>
      <c r="DL46" s="42">
        <f t="shared" si="116"/>
        <v>2.4977837992891952E-2</v>
      </c>
      <c r="DM46" s="42">
        <f t="shared" si="116"/>
        <v>2.3929627214650598E-2</v>
      </c>
      <c r="DN46" s="42">
        <f t="shared" si="116"/>
        <v>2.341729380925495E-2</v>
      </c>
      <c r="DO46" s="42">
        <f t="shared" si="113"/>
        <v>2.2994807121083212E-2</v>
      </c>
      <c r="DP46" s="42">
        <f t="shared" si="113"/>
        <v>2.3424478614244241E-2</v>
      </c>
      <c r="DQ46" s="42">
        <f t="shared" si="113"/>
        <v>2.4464725759565584E-2</v>
      </c>
      <c r="DR46" s="42">
        <f t="shared" si="113"/>
        <v>2.623060713588498E-2</v>
      </c>
      <c r="DS46" s="42">
        <f t="shared" si="113"/>
        <v>2.7956446153459779E-2</v>
      </c>
      <c r="DT46" s="42">
        <f t="shared" si="113"/>
        <v>2.885021585447211E-2</v>
      </c>
      <c r="DV46" s="9">
        <f t="shared" si="88"/>
        <v>10490</v>
      </c>
      <c r="DW46" s="21" t="str">
        <f t="shared" si="94"/>
        <v>State of Utah</v>
      </c>
      <c r="DX46" s="46">
        <f t="shared" si="95"/>
        <v>27125</v>
      </c>
      <c r="DY46" s="46">
        <f t="shared" si="95"/>
        <v>28592</v>
      </c>
      <c r="DZ46" s="46">
        <f t="shared" si="89"/>
        <v>29049</v>
      </c>
      <c r="EA46" s="46">
        <f t="shared" si="89"/>
        <v>31262</v>
      </c>
      <c r="EB46" s="46">
        <f t="shared" si="89"/>
        <v>33114</v>
      </c>
      <c r="EC46" s="46">
        <f t="shared" si="89"/>
        <v>36796</v>
      </c>
      <c r="ED46" s="46">
        <f t="shared" si="89"/>
        <v>39563</v>
      </c>
      <c r="EE46" s="46">
        <f t="shared" si="89"/>
        <v>43863</v>
      </c>
      <c r="EF46" s="46">
        <f t="shared" si="89"/>
        <v>48192</v>
      </c>
      <c r="EG46" s="46">
        <f t="shared" si="89"/>
        <v>54431</v>
      </c>
      <c r="EI46" s="9">
        <f t="shared" si="90"/>
        <v>10490</v>
      </c>
      <c r="EJ46" s="21" t="str">
        <f t="shared" si="96"/>
        <v>State of Utah</v>
      </c>
      <c r="EK46" s="46">
        <f t="shared" si="97"/>
        <v>31599</v>
      </c>
      <c r="EL46" s="46">
        <f t="shared" si="97"/>
        <v>30825</v>
      </c>
      <c r="EM46" s="46">
        <f t="shared" si="91"/>
        <v>29910</v>
      </c>
      <c r="EN46" s="46">
        <f t="shared" si="91"/>
        <v>29489</v>
      </c>
      <c r="EO46" s="46">
        <f t="shared" si="91"/>
        <v>29487</v>
      </c>
      <c r="EP46" s="46">
        <f t="shared" si="91"/>
        <v>30919</v>
      </c>
      <c r="EQ46" s="46">
        <f t="shared" si="91"/>
        <v>33159</v>
      </c>
      <c r="ER46" s="46">
        <f t="shared" si="91"/>
        <v>36547</v>
      </c>
      <c r="ES46" s="46">
        <f t="shared" si="91"/>
        <v>40074</v>
      </c>
      <c r="ET46" s="46">
        <f t="shared" si="91"/>
        <v>42683</v>
      </c>
      <c r="EW46" s="9">
        <f t="shared" si="98"/>
        <v>1049</v>
      </c>
      <c r="EX46" s="21" t="str">
        <f t="shared" si="99"/>
        <v>State of Utah</v>
      </c>
      <c r="EY46" s="47">
        <f>INDEX('2010'!$E$7:$EN$37,  MATCH(EW46, '2010'!$A$7:$A$37, 0), MATCH(EW15, '2010'!$E$4:$EN$4, 0) )</f>
        <v>1217129</v>
      </c>
      <c r="EZ46" s="47">
        <f>INDEX('2011'!$E$7:$EN$37,  MATCH(EW46, '2011'!$A$7:$A$37, 0), MATCH(EW15, '2011'!$E$4:$EN$4, 0) )</f>
        <v>1234094</v>
      </c>
      <c r="FA46" s="47">
        <f>INDEX('2012'!$E$7:$EN$37,  MATCH(EW46, '2012'!$A$7:$A$37, 0), MATCH(EW15, '2012'!$E$4:$EN$4, 0) )</f>
        <v>1249915</v>
      </c>
      <c r="FB46" s="47">
        <f>INDEX('2013'!$E$7:$EN$37,  MATCH(EW46, '2013'!$A$7:$A$37, 0), MATCH(EW15, '2013'!$E$4:$EN$4, 0) )</f>
        <v>1259283</v>
      </c>
      <c r="FC46" s="47">
        <f>INDEX('2014'!$E$7:$EN$37,  MATCH(EW46, '2014'!$A$7:$A$37, 0), MATCH(EW15, '2014'!$E$4:$EN$4, 0) )</f>
        <v>1282333</v>
      </c>
      <c r="FD46" s="47">
        <f>INDEX('2015'!$E$7:$EN$37,  MATCH(EW46, '2015'!$A$7:$A$37, 0), MATCH(EW15, '2015'!$E$4:$EN$4, 0) )</f>
        <v>1319944</v>
      </c>
      <c r="FE46" s="47">
        <f>INDEX('2016'!$E$7:$EN$37,  MATCH(EW46, '2016'!$A$7:$A$37, 0), MATCH(EW15, '2016'!$E$4:$EN$4, 0) )</f>
        <v>1355380</v>
      </c>
      <c r="FF46" s="47">
        <f>INDEX('2017'!$E$7:$EN$37,  MATCH(EW46, '2017'!$A$7:$A$37, 0), MATCH(EW15, '2017'!$E$4:$EN$4, 0) )</f>
        <v>1393296</v>
      </c>
      <c r="FG46" s="47">
        <f>INDEX('2018'!$E$7:$EN$37,  MATCH(EW46, '2018'!$A$7:$A$37, 0), MATCH(EW15, '2018'!$E$4:$EN$4, 0) )</f>
        <v>1433444</v>
      </c>
      <c r="FH46" s="47">
        <f>INDEX('2019'!$E$7:$EN$37,  MATCH(EW46, '2019'!$A$7:$A$37, 0), MATCH(EW15, '2019'!$E$4:$EN$4, 0) )</f>
        <v>1479469</v>
      </c>
      <c r="FJ46" s="9">
        <f t="shared" si="100"/>
        <v>1049</v>
      </c>
      <c r="FK46" s="21" t="str">
        <f t="shared" si="101"/>
        <v>State of Utah</v>
      </c>
      <c r="FL46" s="47">
        <f>INDEX('2010'!$E$7:$EN$37,  MATCH(FJ46, '2010'!$A$7:$A$37, 0), MATCH(FJ15, '2010'!$E$4:$EN$4, 0) )</f>
        <v>58724</v>
      </c>
      <c r="FM46" s="47">
        <f>INDEX('2011'!$E$7:$EN$37,  MATCH(FJ46, '2011'!$A$7:$A$37, 0), MATCH(FJ15, '2011'!$E$4:$EN$4, 0) )</f>
        <v>59417</v>
      </c>
      <c r="FN46" s="47">
        <f>INDEX('2012'!$E$7:$EN$37,  MATCH(FJ46, '2012'!$A$7:$A$37, 0), MATCH(FJ15, '2012'!$E$4:$EN$4, 0) )</f>
        <v>58959</v>
      </c>
      <c r="FO46" s="47">
        <f>INDEX('2013'!$E$7:$EN$37,  MATCH(FJ46, '2013'!$A$7:$A$37, 0), MATCH(FJ15, '2013'!$E$4:$EN$4, 0) )</f>
        <v>60751</v>
      </c>
      <c r="FP46" s="47">
        <f>INDEX('2014'!$E$7:$EN$37,  MATCH(FJ46, '2014'!$A$7:$A$37, 0), MATCH(FJ15, '2014'!$E$4:$EN$4, 0) )</f>
        <v>62601</v>
      </c>
      <c r="FQ46" s="47">
        <f>INDEX('2015'!$E$7:$EN$37,  MATCH(FJ46, '2015'!$A$7:$A$37, 0), MATCH(FJ15, '2015'!$E$4:$EN$4, 0) )</f>
        <v>67715</v>
      </c>
      <c r="FR46" s="47">
        <f>INDEX('2016'!$E$7:$EN$37,  MATCH(FJ46, '2016'!$A$7:$A$37, 0), MATCH(FJ15, '2016'!$E$4:$EN$4, 0) )</f>
        <v>72722</v>
      </c>
      <c r="FS46" s="47">
        <f>INDEX('2017'!$E$7:$EN$37,  MATCH(FJ46, '2017'!$A$7:$A$37, 0), MATCH(FJ15, '2017'!$E$4:$EN$4, 0) )</f>
        <v>80410</v>
      </c>
      <c r="FT46" s="47">
        <f>INDEX('2018'!$E$7:$EN$37,  MATCH(FJ46, '2018'!$A$7:$A$37, 0), MATCH(FJ15, '2018'!$E$4:$EN$4, 0) )</f>
        <v>88266</v>
      </c>
      <c r="FU46" s="47">
        <f>INDEX('2019'!$E$7:$EN$37,  MATCH(FJ46, '2019'!$A$7:$A$37, 0), MATCH(FJ15, '2019'!$E$4:$EN$4, 0) )</f>
        <v>97114</v>
      </c>
      <c r="FW46" s="9">
        <f t="shared" si="102"/>
        <v>1049</v>
      </c>
      <c r="FX46" s="21" t="str">
        <f t="shared" si="103"/>
        <v>State of Utah</v>
      </c>
      <c r="FY46" s="47">
        <f>INDEX('2010'!$E$7:$EN$37,  MATCH(FW46, '2010'!$A$7:$A$37, 0), MATCH(FW15, '2010'!$E$4:$EN$4, 0) )</f>
        <v>9643</v>
      </c>
      <c r="FZ46" s="47">
        <f>INDEX('2011'!$E$7:$EN$37,  MATCH(FW46, '2011'!$A$7:$A$37, 0), MATCH(FW15, '2011'!$E$4:$EN$4, 0) )</f>
        <v>9471</v>
      </c>
      <c r="GA46" s="47">
        <f>INDEX('2012'!$E$7:$EN$37,  MATCH(FW46, '2012'!$A$7:$A$37, 0), MATCH(FW15, '2012'!$E$4:$EN$4, 0) )</f>
        <v>9504</v>
      </c>
      <c r="GB46" s="47">
        <f>INDEX('2013'!$E$7:$EN$37,  MATCH(FW46, '2013'!$A$7:$A$37, 0), MATCH(FW15, '2013'!$E$4:$EN$4, 0) )</f>
        <v>9680</v>
      </c>
      <c r="GC46" s="47">
        <f>INDEX('2014'!$E$7:$EN$37,  MATCH(FW46, '2014'!$A$7:$A$37, 0), MATCH(FW15, '2014'!$E$4:$EN$4, 0) )</f>
        <v>10254</v>
      </c>
      <c r="GD46" s="47">
        <f>INDEX('2015'!$E$7:$EN$37,  MATCH(FW46, '2015'!$A$7:$A$37, 0), MATCH(FW15, '2015'!$E$4:$EN$4, 0) )</f>
        <v>11439</v>
      </c>
      <c r="GE46" s="47">
        <f>INDEX('2016'!$E$7:$EN$37,  MATCH(FW46, '2016'!$A$7:$A$37, 0), MATCH(FW15, '2016'!$E$4:$EN$4, 0) )</f>
        <v>12195</v>
      </c>
      <c r="GF46" s="47">
        <f>INDEX('2017'!$E$7:$EN$37,  MATCH(FW46, '2017'!$A$7:$A$37, 0), MATCH(FW15, '2017'!$E$4:$EN$4, 0) )</f>
        <v>13968</v>
      </c>
      <c r="GG46" s="47">
        <f>INDEX('2018'!$E$7:$EN$37,  MATCH(FW46, '2018'!$A$7:$A$37, 0), MATCH(FW15, '2018'!$E$4:$EN$4, 0) )</f>
        <v>16082</v>
      </c>
      <c r="GH46" s="47">
        <f>INDEX('2019'!$E$7:$EN$37,  MATCH(FW46, '2019'!$A$7:$A$37, 0), MATCH(FW15, '2019'!$E$4:$EN$4, 0) )</f>
        <v>16994</v>
      </c>
      <c r="GJ46" s="9">
        <f t="shared" si="104"/>
        <v>1049</v>
      </c>
      <c r="GK46" s="21" t="str">
        <f t="shared" si="105"/>
        <v>State of Utah</v>
      </c>
      <c r="GL46" s="47">
        <f>INDEX('2010'!$E$7:$EN$37,  MATCH(GJ46, '2010'!$A$7:$A$37, 0), MATCH(GJ15, '2010'!$E$4:$EN$4, 0) )</f>
        <v>21956</v>
      </c>
      <c r="GM46" s="47">
        <f>INDEX('2011'!$E$7:$EN$37,  MATCH(GJ46, '2011'!$A$7:$A$37, 0), MATCH(GJ15, '2011'!$E$4:$EN$4, 0) )</f>
        <v>21354</v>
      </c>
      <c r="GN46" s="47">
        <f>INDEX('2012'!$E$7:$EN$37,  MATCH(GJ46, '2012'!$A$7:$A$37, 0), MATCH(GJ15, '2012'!$E$4:$EN$4, 0) )</f>
        <v>20406</v>
      </c>
      <c r="GO46" s="47">
        <f>INDEX('2013'!$E$7:$EN$37,  MATCH(GJ46, '2013'!$A$7:$A$37, 0), MATCH(GJ15, '2013'!$E$4:$EN$4, 0) )</f>
        <v>19809</v>
      </c>
      <c r="GP46" s="47">
        <f>INDEX('2014'!$E$7:$EN$37,  MATCH(GJ46, '2014'!$A$7:$A$37, 0), MATCH(GJ15, '2014'!$E$4:$EN$4, 0) )</f>
        <v>19233</v>
      </c>
      <c r="GQ46" s="47">
        <f>INDEX('2015'!$E$7:$EN$37,  MATCH(GJ46, '2015'!$A$7:$A$37, 0), MATCH(GJ15, '2015'!$E$4:$EN$4, 0) )</f>
        <v>19480</v>
      </c>
      <c r="GR46" s="47">
        <f>INDEX('2016'!$E$7:$EN$37,  MATCH(GJ46, '2016'!$A$7:$A$37, 0), MATCH(GJ15, '2016'!$E$4:$EN$4, 0) )</f>
        <v>20964</v>
      </c>
      <c r="GS46" s="47">
        <f>INDEX('2017'!$E$7:$EN$37,  MATCH(GJ46, '2017'!$A$7:$A$37, 0), MATCH(GJ15, '2017'!$E$4:$EN$4, 0) )</f>
        <v>22579</v>
      </c>
      <c r="GT46" s="47">
        <f>INDEX('2018'!$E$7:$EN$37,  MATCH(GJ46, '2018'!$A$7:$A$37, 0), MATCH(GJ15, '2018'!$E$4:$EN$4, 0) )</f>
        <v>23992</v>
      </c>
      <c r="GU46" s="47">
        <f>INDEX('2019'!$E$7:$EN$37,  MATCH(GJ46, '2019'!$A$7:$A$37, 0), MATCH(GJ15, '2019'!$E$4:$EN$4, 0) )</f>
        <v>25689</v>
      </c>
    </row>
    <row r="47" spans="50:203" x14ac:dyDescent="0.25">
      <c r="CI47" s="15">
        <v>1000</v>
      </c>
      <c r="CJ47" s="37" t="str">
        <f t="shared" si="79"/>
        <v>United States</v>
      </c>
      <c r="CK47" s="41">
        <f t="shared" si="114"/>
        <v>4.1360974847336758E-2</v>
      </c>
      <c r="CL47" s="41">
        <f t="shared" si="114"/>
        <v>4.2224128970445002E-2</v>
      </c>
      <c r="CM47" s="41">
        <f t="shared" si="114"/>
        <v>4.2729812754388356E-2</v>
      </c>
      <c r="CN47" s="41">
        <f t="shared" si="114"/>
        <v>4.3254384276311272E-2</v>
      </c>
      <c r="CO47" s="41">
        <f t="shared" si="111"/>
        <v>4.3665738889821094E-2</v>
      </c>
      <c r="CP47" s="41">
        <f t="shared" si="111"/>
        <v>4.4232594371480236E-2</v>
      </c>
      <c r="CQ47" s="41">
        <f t="shared" si="111"/>
        <v>4.5672811144231405E-2</v>
      </c>
      <c r="CR47" s="41">
        <f t="shared" si="111"/>
        <v>4.7344292413628586E-2</v>
      </c>
      <c r="CS47" s="41">
        <f t="shared" si="111"/>
        <v>4.9298542420945154E-2</v>
      </c>
      <c r="CT47" s="41">
        <f t="shared" si="111"/>
        <v>5.1713985735929162E-2</v>
      </c>
      <c r="CV47" s="9">
        <f t="shared" si="82"/>
        <v>10000</v>
      </c>
      <c r="CW47" s="21" t="str">
        <f t="shared" si="92"/>
        <v>United States</v>
      </c>
      <c r="CX47" s="42">
        <f t="shared" si="115"/>
        <v>2.0312996223080911E-2</v>
      </c>
      <c r="CY47" s="42">
        <f t="shared" si="115"/>
        <v>2.1408024991016086E-2</v>
      </c>
      <c r="CZ47" s="42">
        <f t="shared" si="115"/>
        <v>2.2257295058283531E-2</v>
      </c>
      <c r="DA47" s="42">
        <f t="shared" si="115"/>
        <v>2.306173195851715E-2</v>
      </c>
      <c r="DB47" s="42">
        <f t="shared" si="112"/>
        <v>2.3882178519691086E-2</v>
      </c>
      <c r="DC47" s="42">
        <f t="shared" si="112"/>
        <v>2.4745543956050879E-2</v>
      </c>
      <c r="DD47" s="42">
        <f t="shared" si="112"/>
        <v>2.5975567556780564E-2</v>
      </c>
      <c r="DE47" s="42">
        <f t="shared" si="112"/>
        <v>2.7440342025342481E-2</v>
      </c>
      <c r="DF47" s="42">
        <f t="shared" si="112"/>
        <v>2.90512497210287E-2</v>
      </c>
      <c r="DG47" s="42">
        <f t="shared" si="112"/>
        <v>3.1329076714512627E-2</v>
      </c>
      <c r="DI47" s="9">
        <f t="shared" si="85"/>
        <v>10000</v>
      </c>
      <c r="DJ47" s="21" t="str">
        <f t="shared" si="93"/>
        <v>United States</v>
      </c>
      <c r="DK47" s="42">
        <f t="shared" si="116"/>
        <v>2.1047978624255847E-2</v>
      </c>
      <c r="DL47" s="42">
        <f t="shared" si="116"/>
        <v>2.0816103979428912E-2</v>
      </c>
      <c r="DM47" s="42">
        <f t="shared" si="116"/>
        <v>2.0472517696104826E-2</v>
      </c>
      <c r="DN47" s="42">
        <f t="shared" si="116"/>
        <v>2.0192652317794119E-2</v>
      </c>
      <c r="DO47" s="42">
        <f t="shared" si="113"/>
        <v>1.9783560370130009E-2</v>
      </c>
      <c r="DP47" s="42">
        <f t="shared" si="113"/>
        <v>1.9487050415429353E-2</v>
      </c>
      <c r="DQ47" s="42">
        <f t="shared" si="113"/>
        <v>1.9697243587450841E-2</v>
      </c>
      <c r="DR47" s="42">
        <f t="shared" si="113"/>
        <v>1.9903950388286108E-2</v>
      </c>
      <c r="DS47" s="42">
        <f t="shared" si="113"/>
        <v>2.0247292699916458E-2</v>
      </c>
      <c r="DT47" s="42">
        <f t="shared" si="113"/>
        <v>2.0384909021416535E-2</v>
      </c>
      <c r="DV47" s="9">
        <f t="shared" si="88"/>
        <v>10000</v>
      </c>
      <c r="DW47" s="21" t="str">
        <f t="shared" si="94"/>
        <v>United States</v>
      </c>
      <c r="DX47" s="46">
        <f t="shared" si="95"/>
        <v>2828687</v>
      </c>
      <c r="DY47" s="46">
        <f t="shared" si="95"/>
        <v>2986167</v>
      </c>
      <c r="DZ47" s="46">
        <f t="shared" si="89"/>
        <v>3113654</v>
      </c>
      <c r="EA47" s="46">
        <f t="shared" si="89"/>
        <v>3223722</v>
      </c>
      <c r="EB47" s="46">
        <f t="shared" si="89"/>
        <v>3375439</v>
      </c>
      <c r="EC47" s="46">
        <f t="shared" si="89"/>
        <v>3553984</v>
      </c>
      <c r="ED47" s="46">
        <f t="shared" si="89"/>
        <v>3788828</v>
      </c>
      <c r="EE47" s="46">
        <f t="shared" si="89"/>
        <v>4073026</v>
      </c>
      <c r="EF47" s="46">
        <f t="shared" si="89"/>
        <v>4374277</v>
      </c>
      <c r="EG47" s="46">
        <f t="shared" si="89"/>
        <v>4785071</v>
      </c>
      <c r="EI47" s="9">
        <f t="shared" si="90"/>
        <v>10000</v>
      </c>
      <c r="EJ47" s="21" t="str">
        <f t="shared" si="96"/>
        <v>United States</v>
      </c>
      <c r="EK47" s="46">
        <f t="shared" si="97"/>
        <v>2931037</v>
      </c>
      <c r="EL47" s="46">
        <f t="shared" si="97"/>
        <v>2903601</v>
      </c>
      <c r="EM47" s="46">
        <f t="shared" si="91"/>
        <v>2863975</v>
      </c>
      <c r="EN47" s="46">
        <f t="shared" si="91"/>
        <v>2822663</v>
      </c>
      <c r="EO47" s="46">
        <f t="shared" si="91"/>
        <v>2796152</v>
      </c>
      <c r="EP47" s="46">
        <f t="shared" si="91"/>
        <v>2798753</v>
      </c>
      <c r="EQ47" s="46">
        <f t="shared" si="91"/>
        <v>2873064</v>
      </c>
      <c r="ER47" s="46">
        <f t="shared" si="91"/>
        <v>2954384</v>
      </c>
      <c r="ES47" s="46">
        <f t="shared" si="91"/>
        <v>3048656</v>
      </c>
      <c r="ET47" s="46">
        <f t="shared" si="91"/>
        <v>3113505</v>
      </c>
      <c r="EW47" s="9">
        <f t="shared" si="98"/>
        <v>1000</v>
      </c>
      <c r="EX47" s="21" t="str">
        <f t="shared" si="99"/>
        <v>United States</v>
      </c>
      <c r="EY47" s="47">
        <f>INDEX('2010'!$E$7:$EN$37,  MATCH(EW47, '2010'!$A$7:$A$37, 0), MATCH(EW15, '2010'!$E$4:$EN$4, 0) )</f>
        <v>139255035</v>
      </c>
      <c r="EZ47" s="47">
        <f>INDEX('2011'!$E$7:$EN$37,  MATCH(EW47, '2011'!$A$7:$A$37, 0), MATCH(EW15, '2011'!$E$4:$EN$4, 0) )</f>
        <v>139488206</v>
      </c>
      <c r="FA47" s="47">
        <f>INDEX('2012'!$E$7:$EN$37,  MATCH(EW47, '2012'!$A$7:$A$37, 0), MATCH(EW15, '2012'!$E$4:$EN$4, 0) )</f>
        <v>139893639</v>
      </c>
      <c r="FB47" s="47">
        <f>INDEX('2013'!$E$7:$EN$37,  MATCH(EW47, '2013'!$A$7:$A$37, 0), MATCH(EW15, '2013'!$E$4:$EN$4, 0) )</f>
        <v>139786639</v>
      </c>
      <c r="FC47" s="47">
        <f>INDEX('2014'!$E$7:$EN$37,  MATCH(EW47, '2014'!$A$7:$A$37, 0), MATCH(EW15, '2014'!$E$4:$EN$4, 0) )</f>
        <v>141337148</v>
      </c>
      <c r="FD47" s="47">
        <f>INDEX('2015'!$E$7:$EN$37,  MATCH(EW47, '2015'!$A$7:$A$37, 0), MATCH(EW15, '2015'!$E$4:$EN$4, 0) )</f>
        <v>143621171</v>
      </c>
      <c r="FE47" s="47">
        <f>INDEX('2016'!$E$7:$EN$37,  MATCH(EW47, '2016'!$A$7:$A$37, 0), MATCH(EW15, '2016'!$E$4:$EN$4, 0) )</f>
        <v>145861221</v>
      </c>
      <c r="FF47" s="47">
        <f>INDEX('2017'!$E$7:$EN$37,  MATCH(EW47, '2017'!$A$7:$A$37, 0), MATCH(EW15, '2017'!$E$4:$EN$4, 0) )</f>
        <v>148432042</v>
      </c>
      <c r="FG47" s="47">
        <f>INDEX('2018'!$E$7:$EN$37,  MATCH(EW47, '2018'!$A$7:$A$37, 0), MATCH(EW15, '2018'!$E$4:$EN$4, 0) )</f>
        <v>150571044</v>
      </c>
      <c r="FH47" s="47">
        <f>INDEX('2019'!$E$7:$EN$37,  MATCH(EW47, '2019'!$A$7:$A$37, 0), MATCH(EW15, '2019'!$E$4:$EN$4, 0) )</f>
        <v>152735781</v>
      </c>
      <c r="FJ47" s="9">
        <f t="shared" si="100"/>
        <v>1000</v>
      </c>
      <c r="FK47" s="21" t="str">
        <f t="shared" si="101"/>
        <v>United States</v>
      </c>
      <c r="FL47" s="47">
        <f>INDEX('2010'!$E$7:$EN$37,  MATCH(FJ47, '2010'!$A$7:$A$37, 0), MATCH(FJ15, '2010'!$E$4:$EN$4, 0) )</f>
        <v>5759724</v>
      </c>
      <c r="FM47" s="47">
        <f>INDEX('2011'!$E$7:$EN$37,  MATCH(FJ47, '2011'!$A$7:$A$37, 0), MATCH(FJ15, '2011'!$E$4:$EN$4, 0) )</f>
        <v>5889768</v>
      </c>
      <c r="FN47" s="47">
        <f>INDEX('2012'!$E$7:$EN$37,  MATCH(FJ47, '2012'!$A$7:$A$37, 0), MATCH(FJ15, '2012'!$E$4:$EN$4, 0) )</f>
        <v>5977629</v>
      </c>
      <c r="FO47" s="47">
        <f>INDEX('2013'!$E$7:$EN$37,  MATCH(FJ47, '2013'!$A$7:$A$37, 0), MATCH(FJ15, '2013'!$E$4:$EN$4, 0) )</f>
        <v>6046385</v>
      </c>
      <c r="FP47" s="47">
        <f>INDEX('2014'!$E$7:$EN$37,  MATCH(FJ47, '2014'!$A$7:$A$37, 0), MATCH(FJ15, '2014'!$E$4:$EN$4, 0) )</f>
        <v>6171591</v>
      </c>
      <c r="FQ47" s="47">
        <f>INDEX('2015'!$E$7:$EN$37,  MATCH(FJ47, '2015'!$A$7:$A$37, 0), MATCH(FJ15, '2015'!$E$4:$EN$4, 0) )</f>
        <v>6352737</v>
      </c>
      <c r="FR47" s="47">
        <f>INDEX('2016'!$E$7:$EN$37,  MATCH(FJ47, '2016'!$A$7:$A$37, 0), MATCH(FJ15, '2016'!$E$4:$EN$4, 0) )</f>
        <v>6661892</v>
      </c>
      <c r="FS47" s="47">
        <f>INDEX('2017'!$E$7:$EN$37,  MATCH(FJ47, '2017'!$A$7:$A$37, 0), MATCH(FJ15, '2017'!$E$4:$EN$4, 0) )</f>
        <v>7027410</v>
      </c>
      <c r="FT47" s="47">
        <f>INDEX('2018'!$E$7:$EN$37,  MATCH(FJ47, '2018'!$A$7:$A$37, 0), MATCH(FJ15, '2018'!$E$4:$EN$4, 0) )</f>
        <v>7422933</v>
      </c>
      <c r="FU47" s="47">
        <f>INDEX('2019'!$E$7:$EN$37,  MATCH(FJ47, '2019'!$A$7:$A$37, 0), MATCH(FJ15, '2019'!$E$4:$EN$4, 0) )</f>
        <v>7898576</v>
      </c>
      <c r="FW47" s="9">
        <f t="shared" si="102"/>
        <v>1000</v>
      </c>
      <c r="FX47" s="21" t="str">
        <f t="shared" si="103"/>
        <v>United States</v>
      </c>
      <c r="FY47" s="47">
        <f>INDEX('2010'!$E$7:$EN$37,  MATCH(FW47, '2010'!$A$7:$A$37, 0), MATCH(FW15, '2010'!$E$4:$EN$4, 0) )</f>
        <v>815897</v>
      </c>
      <c r="FZ47" s="47">
        <f>INDEX('2011'!$E$7:$EN$37,  MATCH(FW47, '2011'!$A$7:$A$37, 0), MATCH(FW15, '2011'!$E$4:$EN$4, 0) )</f>
        <v>825316</v>
      </c>
      <c r="GA47" s="47">
        <f>INDEX('2012'!$E$7:$EN$37,  MATCH(FW47, '2012'!$A$7:$A$37, 0), MATCH(FW15, '2012'!$E$4:$EN$4, 0) )</f>
        <v>834222</v>
      </c>
      <c r="GB47" s="47">
        <f>INDEX('2013'!$E$7:$EN$37,  MATCH(FW47, '2013'!$A$7:$A$37, 0), MATCH(FW15, '2013'!$E$4:$EN$4, 0) )</f>
        <v>831600</v>
      </c>
      <c r="GC47" s="47">
        <f>INDEX('2014'!$E$7:$EN$37,  MATCH(FW47, '2014'!$A$7:$A$37, 0), MATCH(FW15, '2014'!$E$4:$EN$4, 0) )</f>
        <v>835384</v>
      </c>
      <c r="GD47" s="47">
        <f>INDEX('2015'!$E$7:$EN$37,  MATCH(FW47, '2015'!$A$7:$A$37, 0), MATCH(FW15, '2015'!$E$4:$EN$4, 0) )</f>
        <v>848753</v>
      </c>
      <c r="GE47" s="47">
        <f>INDEX('2016'!$E$7:$EN$37,  MATCH(FW47, '2016'!$A$7:$A$37, 0), MATCH(FW15, '2016'!$E$4:$EN$4, 0) )</f>
        <v>895042</v>
      </c>
      <c r="GF47" s="47">
        <f>INDEX('2017'!$E$7:$EN$37,  MATCH(FW47, '2017'!$A$7:$A$37, 0), MATCH(FW15, '2017'!$E$4:$EN$4, 0) )</f>
        <v>939971</v>
      </c>
      <c r="GG47" s="47">
        <f>INDEX('2018'!$E$7:$EN$37,  MATCH(FW47, '2018'!$A$7:$A$37, 0), MATCH(FW15, '2018'!$E$4:$EN$4, 0) )</f>
        <v>986852</v>
      </c>
      <c r="GH47" s="47">
        <f>INDEX('2019'!$E$7:$EN$37,  MATCH(FW47, '2019'!$A$7:$A$37, 0), MATCH(FW15, '2019'!$E$4:$EN$4, 0) )</f>
        <v>1017531</v>
      </c>
      <c r="GJ47" s="9">
        <f t="shared" si="104"/>
        <v>1000</v>
      </c>
      <c r="GK47" s="21" t="str">
        <f t="shared" si="105"/>
        <v>United States</v>
      </c>
      <c r="GL47" s="47">
        <f>INDEX('2010'!$E$7:$EN$37,  MATCH(GJ47, '2010'!$A$7:$A$37, 0), MATCH(GJ15, '2010'!$E$4:$EN$4, 0) )</f>
        <v>2115140</v>
      </c>
      <c r="GM47" s="47">
        <f>INDEX('2011'!$E$7:$EN$37,  MATCH(GJ47, '2011'!$A$7:$A$37, 0), MATCH(GJ15, '2011'!$E$4:$EN$4, 0) )</f>
        <v>2078285</v>
      </c>
      <c r="GN47" s="47">
        <f>INDEX('2012'!$E$7:$EN$37,  MATCH(GJ47, '2012'!$A$7:$A$37, 0), MATCH(GJ15, '2012'!$E$4:$EN$4, 0) )</f>
        <v>2029753</v>
      </c>
      <c r="GO47" s="47">
        <f>INDEX('2013'!$E$7:$EN$37,  MATCH(GJ47, '2013'!$A$7:$A$37, 0), MATCH(GJ15, '2013'!$E$4:$EN$4, 0) )</f>
        <v>1991063</v>
      </c>
      <c r="GP47" s="47">
        <f>INDEX('2014'!$E$7:$EN$37,  MATCH(GJ47, '2014'!$A$7:$A$37, 0), MATCH(GJ15, '2014'!$E$4:$EN$4, 0) )</f>
        <v>1960768</v>
      </c>
      <c r="GQ47" s="47">
        <f>INDEX('2015'!$E$7:$EN$37,  MATCH(GJ47, '2015'!$A$7:$A$37, 0), MATCH(GJ15, '2015'!$E$4:$EN$4, 0) )</f>
        <v>1950000</v>
      </c>
      <c r="GR47" s="47">
        <f>INDEX('2016'!$E$7:$EN$37,  MATCH(GJ47, '2016'!$A$7:$A$37, 0), MATCH(GJ15, '2016'!$E$4:$EN$4, 0) )</f>
        <v>1978022</v>
      </c>
      <c r="GS47" s="47">
        <f>INDEX('2017'!$E$7:$EN$37,  MATCH(GJ47, '2017'!$A$7:$A$37, 0), MATCH(GJ15, '2017'!$E$4:$EN$4, 0) )</f>
        <v>2014413</v>
      </c>
      <c r="GT47" s="47">
        <f>INDEX('2018'!$E$7:$EN$37,  MATCH(GJ47, '2018'!$A$7:$A$37, 0), MATCH(GJ15, '2018'!$E$4:$EN$4, 0) )</f>
        <v>2061804</v>
      </c>
      <c r="GU47" s="47">
        <f>INDEX('2019'!$E$7:$EN$37,  MATCH(GJ47, '2019'!$A$7:$A$37, 0), MATCH(GJ15, '2019'!$E$4:$EN$4, 0) )</f>
        <v>2095974</v>
      </c>
    </row>
    <row r="50" spans="153:203" x14ac:dyDescent="0.25">
      <c r="EW50" s="9">
        <f>EW4</f>
        <v>100</v>
      </c>
      <c r="EX50" s="21" t="str">
        <f t="shared" ref="EX50" si="117">EX4</f>
        <v>Total Workers</v>
      </c>
      <c r="EY50" s="10"/>
      <c r="EZ50" s="10"/>
      <c r="FA50" s="10"/>
      <c r="FB50" s="10"/>
      <c r="FC50" s="10"/>
      <c r="FD50" s="36" t="s">
        <v>621</v>
      </c>
      <c r="FE50" s="10"/>
      <c r="FF50" s="10"/>
      <c r="FG50" s="10"/>
      <c r="FH50" s="10"/>
      <c r="FJ50" s="9">
        <f>FJ4</f>
        <v>700</v>
      </c>
      <c r="FK50" s="21" t="str">
        <f t="shared" ref="FK50" si="118">FK4</f>
        <v>Worked at home</v>
      </c>
      <c r="FL50" s="10"/>
      <c r="FM50" s="10"/>
      <c r="FN50" s="10"/>
      <c r="FO50" s="10"/>
      <c r="FP50" s="10"/>
      <c r="FQ50" s="36" t="s">
        <v>621</v>
      </c>
      <c r="FR50" s="10"/>
      <c r="FS50" s="10"/>
      <c r="FT50" s="10"/>
      <c r="FU50" s="10"/>
      <c r="FW50" s="9">
        <f>FW4</f>
        <v>712</v>
      </c>
      <c r="FX50" s="21" t="str">
        <f t="shared" ref="FX50" si="119">FX4</f>
        <v>Self-employed in own incorporated business workers</v>
      </c>
      <c r="FY50" s="10"/>
      <c r="FZ50" s="10"/>
      <c r="GA50" s="10"/>
      <c r="GB50" s="10"/>
      <c r="GC50" s="10"/>
      <c r="GD50" s="36" t="s">
        <v>621</v>
      </c>
      <c r="GE50" s="10"/>
      <c r="GF50" s="10"/>
      <c r="GG50" s="10"/>
      <c r="GH50" s="10"/>
      <c r="GJ50" s="9">
        <f>GJ4</f>
        <v>760</v>
      </c>
      <c r="GK50" s="21" t="str">
        <f t="shared" ref="GK50" si="120">GK4</f>
        <v>Self-employed in own not incorporated business workers</v>
      </c>
      <c r="GL50" s="10"/>
      <c r="GM50" s="10"/>
      <c r="GN50" s="10"/>
      <c r="GO50" s="10"/>
      <c r="GP50" s="10"/>
      <c r="GQ50" s="36" t="s">
        <v>621</v>
      </c>
      <c r="GR50" s="10"/>
      <c r="GS50" s="10"/>
      <c r="GT50" s="10"/>
      <c r="GU50" s="10"/>
    </row>
    <row r="51" spans="153:203" x14ac:dyDescent="0.25">
      <c r="EW51" s="10"/>
      <c r="EX51" s="10"/>
      <c r="EY51" s="10"/>
      <c r="EZ51" s="10"/>
      <c r="FA51" s="10"/>
      <c r="FB51" s="10"/>
      <c r="FC51" s="10"/>
      <c r="FD51" s="10"/>
      <c r="FE51" s="10"/>
      <c r="FF51" s="10"/>
      <c r="FG51" s="10"/>
      <c r="FH51" s="10"/>
      <c r="FJ51" s="10"/>
      <c r="FK51" s="10"/>
      <c r="FL51" s="10"/>
      <c r="FM51" s="10"/>
      <c r="FN51" s="10"/>
      <c r="FO51" s="10"/>
      <c r="FP51" s="10"/>
      <c r="FQ51" s="10"/>
      <c r="FR51" s="10"/>
      <c r="FS51" s="10"/>
      <c r="FT51" s="10"/>
      <c r="FU51" s="10"/>
      <c r="FW51" s="10"/>
      <c r="FX51" s="10"/>
      <c r="FY51" s="10"/>
      <c r="FZ51" s="10"/>
      <c r="GA51" s="10"/>
      <c r="GB51" s="10"/>
      <c r="GC51" s="10"/>
      <c r="GD51" s="10"/>
      <c r="GE51" s="10"/>
      <c r="GF51" s="10"/>
      <c r="GG51" s="10"/>
      <c r="GH51" s="10"/>
      <c r="GJ51" s="10"/>
      <c r="GK51" s="10"/>
      <c r="GL51" s="10"/>
      <c r="GM51" s="10"/>
      <c r="GN51" s="10"/>
      <c r="GO51" s="10"/>
      <c r="GP51" s="10"/>
      <c r="GQ51" s="10"/>
      <c r="GR51" s="10"/>
      <c r="GS51" s="10"/>
      <c r="GT51" s="10"/>
      <c r="GU51" s="10"/>
    </row>
    <row r="52" spans="153:203" x14ac:dyDescent="0.25">
      <c r="EW52" s="10"/>
      <c r="EX52" s="38"/>
      <c r="EY52" s="2">
        <v>2010</v>
      </c>
      <c r="EZ52" s="2">
        <v>2011</v>
      </c>
      <c r="FA52" s="2">
        <v>2012</v>
      </c>
      <c r="FB52" s="2">
        <v>2013</v>
      </c>
      <c r="FC52" s="2">
        <v>2014</v>
      </c>
      <c r="FD52" s="2">
        <v>2015</v>
      </c>
      <c r="FE52" s="2">
        <v>2016</v>
      </c>
      <c r="FF52" s="2">
        <v>2017</v>
      </c>
      <c r="FG52" s="2">
        <v>2018</v>
      </c>
      <c r="FH52" s="2">
        <v>2019</v>
      </c>
      <c r="FJ52" s="10"/>
      <c r="FK52" s="38"/>
      <c r="FL52" s="2">
        <v>2010</v>
      </c>
      <c r="FM52" s="2">
        <v>2011</v>
      </c>
      <c r="FN52" s="2">
        <v>2012</v>
      </c>
      <c r="FO52" s="2">
        <v>2013</v>
      </c>
      <c r="FP52" s="2">
        <v>2014</v>
      </c>
      <c r="FQ52" s="2">
        <v>2015</v>
      </c>
      <c r="FR52" s="2">
        <v>2016</v>
      </c>
      <c r="FS52" s="2">
        <v>2017</v>
      </c>
      <c r="FT52" s="2">
        <v>2018</v>
      </c>
      <c r="FU52" s="2">
        <v>2019</v>
      </c>
      <c r="FW52" s="10"/>
      <c r="FX52" s="38"/>
      <c r="FY52" s="2">
        <v>2010</v>
      </c>
      <c r="FZ52" s="2">
        <v>2011</v>
      </c>
      <c r="GA52" s="2">
        <v>2012</v>
      </c>
      <c r="GB52" s="2">
        <v>2013</v>
      </c>
      <c r="GC52" s="2">
        <v>2014</v>
      </c>
      <c r="GD52" s="2">
        <v>2015</v>
      </c>
      <c r="GE52" s="2">
        <v>2016</v>
      </c>
      <c r="GF52" s="2">
        <v>2017</v>
      </c>
      <c r="GG52" s="2">
        <v>2018</v>
      </c>
      <c r="GH52" s="2">
        <v>2019</v>
      </c>
      <c r="GJ52" s="10"/>
      <c r="GK52" s="38"/>
      <c r="GL52" s="2">
        <v>2010</v>
      </c>
      <c r="GM52" s="2">
        <v>2011</v>
      </c>
      <c r="GN52" s="2">
        <v>2012</v>
      </c>
      <c r="GO52" s="2">
        <v>2013</v>
      </c>
      <c r="GP52" s="2">
        <v>2014</v>
      </c>
      <c r="GQ52" s="2">
        <v>2015</v>
      </c>
      <c r="GR52" s="2">
        <v>2016</v>
      </c>
      <c r="GS52" s="2">
        <v>2017</v>
      </c>
      <c r="GT52" s="2">
        <v>2018</v>
      </c>
      <c r="GU52" s="2">
        <v>2019</v>
      </c>
    </row>
    <row r="53" spans="153:203" x14ac:dyDescent="0.25">
      <c r="EW53" s="9">
        <f>EW7</f>
        <v>101</v>
      </c>
      <c r="EX53" s="21" t="str">
        <f t="shared" ref="EX53:EX59" si="121">EX7</f>
        <v>Wasatch Front</v>
      </c>
      <c r="EY53" s="43">
        <f>SUM(EY54:EY57)</f>
        <v>6615</v>
      </c>
      <c r="EZ53" s="43">
        <f>SUM(EZ54:EZ57)</f>
        <v>6590</v>
      </c>
      <c r="FA53" s="43">
        <f t="shared" ref="FA53:FH53" si="122">SUM(FA54:FA57)</f>
        <v>6873</v>
      </c>
      <c r="FB53" s="43">
        <f t="shared" si="122"/>
        <v>7167</v>
      </c>
      <c r="FC53" s="43">
        <f t="shared" si="122"/>
        <v>7082</v>
      </c>
      <c r="FD53" s="43">
        <f t="shared" si="122"/>
        <v>6974</v>
      </c>
      <c r="FE53" s="43">
        <f t="shared" si="122"/>
        <v>7477</v>
      </c>
      <c r="FF53" s="43">
        <f t="shared" si="122"/>
        <v>7681</v>
      </c>
      <c r="FG53" s="43">
        <f t="shared" si="122"/>
        <v>7550</v>
      </c>
      <c r="FH53" s="43">
        <f t="shared" si="122"/>
        <v>7321</v>
      </c>
      <c r="FJ53" s="9">
        <f>FJ7</f>
        <v>101</v>
      </c>
      <c r="FK53" s="21" t="str">
        <f t="shared" ref="FK53:FK59" si="123">FK7</f>
        <v>Wasatch Front</v>
      </c>
      <c r="FL53" s="43">
        <f>SUM(FL54:FL57)</f>
        <v>2418</v>
      </c>
      <c r="FM53" s="43">
        <f>SUM(FM54:FM57)</f>
        <v>2688</v>
      </c>
      <c r="FN53" s="43">
        <f t="shared" ref="FN53:FU53" si="124">SUM(FN54:FN57)</f>
        <v>2681</v>
      </c>
      <c r="FO53" s="43">
        <f t="shared" si="124"/>
        <v>2665</v>
      </c>
      <c r="FP53" s="43">
        <f t="shared" si="124"/>
        <v>2711</v>
      </c>
      <c r="FQ53" s="43">
        <f t="shared" si="124"/>
        <v>3248</v>
      </c>
      <c r="FR53" s="43">
        <f t="shared" si="124"/>
        <v>2975</v>
      </c>
      <c r="FS53" s="43">
        <f t="shared" si="124"/>
        <v>3199</v>
      </c>
      <c r="FT53" s="43">
        <f t="shared" si="124"/>
        <v>3504</v>
      </c>
      <c r="FU53" s="43">
        <f t="shared" si="124"/>
        <v>3922</v>
      </c>
      <c r="FW53" s="9">
        <f>FW7</f>
        <v>101</v>
      </c>
      <c r="FX53" s="21" t="str">
        <f t="shared" ref="FX53:FX59" si="125">FX7</f>
        <v>Wasatch Front</v>
      </c>
      <c r="FY53" s="43">
        <f>SUM(FY54:FY57)</f>
        <v>993</v>
      </c>
      <c r="FZ53" s="43">
        <f>SUM(FZ54:FZ57)</f>
        <v>984</v>
      </c>
      <c r="GA53" s="43">
        <f t="shared" ref="GA53:GH53" si="126">SUM(GA54:GA57)</f>
        <v>1002</v>
      </c>
      <c r="GB53" s="43">
        <f t="shared" si="126"/>
        <v>1099</v>
      </c>
      <c r="GC53" s="43">
        <f t="shared" si="126"/>
        <v>997</v>
      </c>
      <c r="GD53" s="43">
        <f t="shared" si="126"/>
        <v>1225</v>
      </c>
      <c r="GE53" s="43">
        <f t="shared" si="126"/>
        <v>1114</v>
      </c>
      <c r="GF53" s="43">
        <f t="shared" si="126"/>
        <v>1387</v>
      </c>
      <c r="GG53" s="43">
        <f t="shared" si="126"/>
        <v>1567</v>
      </c>
      <c r="GH53" s="43">
        <f t="shared" si="126"/>
        <v>1591</v>
      </c>
      <c r="GJ53" s="9">
        <f>GJ7</f>
        <v>101</v>
      </c>
      <c r="GK53" s="21" t="str">
        <f t="shared" ref="GK53:GK59" si="127">GK7</f>
        <v>Wasatch Front</v>
      </c>
      <c r="GL53" s="43">
        <f>SUM(GL54:GL57)</f>
        <v>1677</v>
      </c>
      <c r="GM53" s="43">
        <f>SUM(GM54:GM57)</f>
        <v>1573</v>
      </c>
      <c r="GN53" s="43">
        <f t="shared" ref="GN53:GU53" si="128">SUM(GN54:GN57)</f>
        <v>1553</v>
      </c>
      <c r="GO53" s="43">
        <f t="shared" si="128"/>
        <v>1457</v>
      </c>
      <c r="GP53" s="43">
        <f t="shared" si="128"/>
        <v>1531</v>
      </c>
      <c r="GQ53" s="43">
        <f t="shared" si="128"/>
        <v>1511</v>
      </c>
      <c r="GR53" s="43">
        <f t="shared" si="128"/>
        <v>1600</v>
      </c>
      <c r="GS53" s="43">
        <f t="shared" si="128"/>
        <v>1602</v>
      </c>
      <c r="GT53" s="43">
        <f t="shared" si="128"/>
        <v>1787</v>
      </c>
      <c r="GU53" s="43">
        <f t="shared" si="128"/>
        <v>1748</v>
      </c>
    </row>
    <row r="54" spans="153:203" x14ac:dyDescent="0.25">
      <c r="EW54" s="9">
        <f t="shared" ref="EW54" si="129">EW8</f>
        <v>57</v>
      </c>
      <c r="EX54" s="21" t="str">
        <f t="shared" si="121"/>
        <v>Weber</v>
      </c>
      <c r="EY54" s="45">
        <f t="shared" ref="EY54:FH54" si="130">EY91</f>
        <v>1296</v>
      </c>
      <c r="EZ54" s="45">
        <f t="shared" si="130"/>
        <v>1250</v>
      </c>
      <c r="FA54" s="45">
        <f t="shared" si="130"/>
        <v>1237</v>
      </c>
      <c r="FB54" s="45">
        <f t="shared" si="130"/>
        <v>1086</v>
      </c>
      <c r="FC54" s="45">
        <f t="shared" si="130"/>
        <v>1462</v>
      </c>
      <c r="FD54" s="45">
        <f t="shared" si="130"/>
        <v>1440</v>
      </c>
      <c r="FE54" s="45">
        <f t="shared" si="130"/>
        <v>1402</v>
      </c>
      <c r="FF54" s="45">
        <f t="shared" si="130"/>
        <v>1317</v>
      </c>
      <c r="FG54" s="45">
        <f t="shared" si="130"/>
        <v>1309</v>
      </c>
      <c r="FH54" s="45">
        <f t="shared" si="130"/>
        <v>1376</v>
      </c>
      <c r="FJ54" s="9">
        <f t="shared" ref="FJ54" si="131">FJ8</f>
        <v>57</v>
      </c>
      <c r="FK54" s="21" t="str">
        <f t="shared" si="123"/>
        <v>Weber</v>
      </c>
      <c r="FL54" s="45">
        <f t="shared" ref="FL54:FU54" si="132">FL91</f>
        <v>401</v>
      </c>
      <c r="FM54" s="45">
        <f t="shared" si="132"/>
        <v>376</v>
      </c>
      <c r="FN54" s="45">
        <f t="shared" si="132"/>
        <v>400</v>
      </c>
      <c r="FO54" s="45">
        <f t="shared" si="132"/>
        <v>349</v>
      </c>
      <c r="FP54" s="45">
        <f t="shared" si="132"/>
        <v>398</v>
      </c>
      <c r="FQ54" s="45">
        <f t="shared" si="132"/>
        <v>531</v>
      </c>
      <c r="FR54" s="45">
        <f t="shared" si="132"/>
        <v>432</v>
      </c>
      <c r="FS54" s="45">
        <f t="shared" si="132"/>
        <v>493</v>
      </c>
      <c r="FT54" s="45">
        <f t="shared" si="132"/>
        <v>621</v>
      </c>
      <c r="FU54" s="45">
        <f t="shared" si="132"/>
        <v>647</v>
      </c>
      <c r="FW54" s="9">
        <f t="shared" ref="FW54" si="133">FW8</f>
        <v>57</v>
      </c>
      <c r="FX54" s="21" t="str">
        <f t="shared" si="125"/>
        <v>Weber</v>
      </c>
      <c r="FY54" s="45">
        <f t="shared" ref="FY54:GH54" si="134">FY91</f>
        <v>143</v>
      </c>
      <c r="FZ54" s="45">
        <f t="shared" si="134"/>
        <v>140</v>
      </c>
      <c r="GA54" s="45">
        <f t="shared" si="134"/>
        <v>166</v>
      </c>
      <c r="GB54" s="45">
        <f t="shared" si="134"/>
        <v>140</v>
      </c>
      <c r="GC54" s="45">
        <f t="shared" si="134"/>
        <v>160</v>
      </c>
      <c r="GD54" s="45">
        <f t="shared" si="134"/>
        <v>207</v>
      </c>
      <c r="GE54" s="45">
        <f t="shared" si="134"/>
        <v>212</v>
      </c>
      <c r="GF54" s="45">
        <f t="shared" si="134"/>
        <v>235</v>
      </c>
      <c r="GG54" s="45">
        <f t="shared" si="134"/>
        <v>273</v>
      </c>
      <c r="GH54" s="45">
        <f t="shared" si="134"/>
        <v>281</v>
      </c>
      <c r="GJ54" s="9">
        <f t="shared" ref="GJ54" si="135">GJ8</f>
        <v>57</v>
      </c>
      <c r="GK54" s="21" t="str">
        <f t="shared" si="127"/>
        <v>Weber</v>
      </c>
      <c r="GL54" s="45">
        <f t="shared" ref="GL54:GU54" si="136">GL91</f>
        <v>238</v>
      </c>
      <c r="GM54" s="45">
        <f t="shared" si="136"/>
        <v>254</v>
      </c>
      <c r="GN54" s="45">
        <f t="shared" si="136"/>
        <v>207</v>
      </c>
      <c r="GO54" s="45">
        <f t="shared" si="136"/>
        <v>198</v>
      </c>
      <c r="GP54" s="45">
        <f t="shared" si="136"/>
        <v>224</v>
      </c>
      <c r="GQ54" s="45">
        <f t="shared" si="136"/>
        <v>274</v>
      </c>
      <c r="GR54" s="45">
        <f t="shared" si="136"/>
        <v>235</v>
      </c>
      <c r="GS54" s="45">
        <f t="shared" si="136"/>
        <v>259</v>
      </c>
      <c r="GT54" s="45">
        <f t="shared" si="136"/>
        <v>248</v>
      </c>
      <c r="GU54" s="45">
        <f t="shared" si="136"/>
        <v>270</v>
      </c>
    </row>
    <row r="55" spans="153:203" x14ac:dyDescent="0.25">
      <c r="EW55" s="9">
        <f t="shared" ref="EW55" si="137">EW9</f>
        <v>11</v>
      </c>
      <c r="EX55" s="21" t="str">
        <f t="shared" si="121"/>
        <v>Davis</v>
      </c>
      <c r="EY55" s="45">
        <f t="shared" ref="EY55:FH55" si="138">EY68</f>
        <v>1155</v>
      </c>
      <c r="EZ55" s="45">
        <f t="shared" si="138"/>
        <v>1217</v>
      </c>
      <c r="FA55" s="45">
        <f t="shared" si="138"/>
        <v>1226</v>
      </c>
      <c r="FB55" s="45">
        <f t="shared" si="138"/>
        <v>1462</v>
      </c>
      <c r="FC55" s="45">
        <f t="shared" si="138"/>
        <v>1340</v>
      </c>
      <c r="FD55" s="45">
        <f t="shared" si="138"/>
        <v>1353</v>
      </c>
      <c r="FE55" s="45">
        <f t="shared" si="138"/>
        <v>1297</v>
      </c>
      <c r="FF55" s="45">
        <f t="shared" si="138"/>
        <v>1595</v>
      </c>
      <c r="FG55" s="45">
        <f t="shared" si="138"/>
        <v>1626</v>
      </c>
      <c r="FH55" s="45">
        <f t="shared" si="138"/>
        <v>1402</v>
      </c>
      <c r="FJ55" s="9">
        <f t="shared" ref="FJ55" si="139">FJ9</f>
        <v>11</v>
      </c>
      <c r="FK55" s="21" t="str">
        <f t="shared" si="123"/>
        <v>Davis</v>
      </c>
      <c r="FL55" s="45">
        <f t="shared" ref="FL55:FU55" si="140">FL68</f>
        <v>394</v>
      </c>
      <c r="FM55" s="45">
        <f t="shared" si="140"/>
        <v>567</v>
      </c>
      <c r="FN55" s="45">
        <f t="shared" si="140"/>
        <v>506</v>
      </c>
      <c r="FO55" s="45">
        <f t="shared" si="140"/>
        <v>481</v>
      </c>
      <c r="FP55" s="45">
        <f t="shared" si="140"/>
        <v>507</v>
      </c>
      <c r="FQ55" s="45">
        <f t="shared" si="140"/>
        <v>592</v>
      </c>
      <c r="FR55" s="45">
        <f t="shared" si="140"/>
        <v>587</v>
      </c>
      <c r="FS55" s="45">
        <f t="shared" si="140"/>
        <v>663</v>
      </c>
      <c r="FT55" s="45">
        <f t="shared" si="140"/>
        <v>630</v>
      </c>
      <c r="FU55" s="45">
        <f t="shared" si="140"/>
        <v>711</v>
      </c>
      <c r="FW55" s="9">
        <f t="shared" ref="FW55" si="141">FW9</f>
        <v>11</v>
      </c>
      <c r="FX55" s="21" t="str">
        <f t="shared" si="125"/>
        <v>Davis</v>
      </c>
      <c r="FY55" s="45">
        <f t="shared" ref="FY55:GH55" si="142">FY68</f>
        <v>184</v>
      </c>
      <c r="FZ55" s="45">
        <f t="shared" si="142"/>
        <v>159</v>
      </c>
      <c r="GA55" s="45">
        <f t="shared" si="142"/>
        <v>156</v>
      </c>
      <c r="GB55" s="45">
        <f t="shared" si="142"/>
        <v>169</v>
      </c>
      <c r="GC55" s="45">
        <f t="shared" si="142"/>
        <v>155</v>
      </c>
      <c r="GD55" s="45">
        <f t="shared" si="142"/>
        <v>226</v>
      </c>
      <c r="GE55" s="45">
        <f t="shared" si="142"/>
        <v>187</v>
      </c>
      <c r="GF55" s="45">
        <f t="shared" si="142"/>
        <v>218</v>
      </c>
      <c r="GG55" s="45">
        <f t="shared" si="142"/>
        <v>264</v>
      </c>
      <c r="GH55" s="45">
        <f t="shared" si="142"/>
        <v>264</v>
      </c>
      <c r="GJ55" s="9">
        <f t="shared" ref="GJ55" si="143">GJ9</f>
        <v>11</v>
      </c>
      <c r="GK55" s="21" t="str">
        <f t="shared" si="127"/>
        <v>Davis</v>
      </c>
      <c r="GL55" s="45">
        <f t="shared" ref="GL55:GU55" si="144">GL68</f>
        <v>285</v>
      </c>
      <c r="GM55" s="45">
        <f t="shared" si="144"/>
        <v>292</v>
      </c>
      <c r="GN55" s="45">
        <f t="shared" si="144"/>
        <v>273</v>
      </c>
      <c r="GO55" s="45">
        <f t="shared" si="144"/>
        <v>269</v>
      </c>
      <c r="GP55" s="45">
        <f t="shared" si="144"/>
        <v>337</v>
      </c>
      <c r="GQ55" s="45">
        <f t="shared" si="144"/>
        <v>278</v>
      </c>
      <c r="GR55" s="45">
        <f t="shared" si="144"/>
        <v>320</v>
      </c>
      <c r="GS55" s="45">
        <f t="shared" si="144"/>
        <v>252</v>
      </c>
      <c r="GT55" s="45">
        <f t="shared" si="144"/>
        <v>312</v>
      </c>
      <c r="GU55" s="45">
        <f t="shared" si="144"/>
        <v>326</v>
      </c>
    </row>
    <row r="56" spans="153:203" x14ac:dyDescent="0.25">
      <c r="EW56" s="9">
        <f t="shared" ref="EW56" si="145">EW10</f>
        <v>35</v>
      </c>
      <c r="EX56" s="21" t="str">
        <f t="shared" si="121"/>
        <v>Salt Lake</v>
      </c>
      <c r="EY56" s="45">
        <f t="shared" ref="EY56:FH56" si="146">EY80</f>
        <v>2158</v>
      </c>
      <c r="EZ56" s="45">
        <f t="shared" si="146"/>
        <v>2382</v>
      </c>
      <c r="FA56" s="45">
        <f t="shared" si="146"/>
        <v>2723</v>
      </c>
      <c r="FB56" s="45">
        <f t="shared" si="146"/>
        <v>2689</v>
      </c>
      <c r="FC56" s="45">
        <f t="shared" si="146"/>
        <v>2498</v>
      </c>
      <c r="FD56" s="45">
        <f t="shared" si="146"/>
        <v>2451</v>
      </c>
      <c r="FE56" s="45">
        <f t="shared" si="146"/>
        <v>3013</v>
      </c>
      <c r="FF56" s="45">
        <f t="shared" si="146"/>
        <v>2987</v>
      </c>
      <c r="FG56" s="45">
        <f t="shared" si="146"/>
        <v>2929</v>
      </c>
      <c r="FH56" s="45">
        <f t="shared" si="146"/>
        <v>2886</v>
      </c>
      <c r="FJ56" s="9">
        <f t="shared" ref="FJ56" si="147">FJ10</f>
        <v>35</v>
      </c>
      <c r="FK56" s="21" t="str">
        <f t="shared" si="123"/>
        <v>Salt Lake</v>
      </c>
      <c r="FL56" s="45">
        <f t="shared" ref="FL56:FU56" si="148">FL80</f>
        <v>869</v>
      </c>
      <c r="FM56" s="45">
        <f t="shared" si="148"/>
        <v>924</v>
      </c>
      <c r="FN56" s="45">
        <f t="shared" si="148"/>
        <v>1085</v>
      </c>
      <c r="FO56" s="45">
        <f t="shared" si="148"/>
        <v>1087</v>
      </c>
      <c r="FP56" s="45">
        <f t="shared" si="148"/>
        <v>1098</v>
      </c>
      <c r="FQ56" s="45">
        <f t="shared" si="148"/>
        <v>1303</v>
      </c>
      <c r="FR56" s="45">
        <f t="shared" si="148"/>
        <v>1252</v>
      </c>
      <c r="FS56" s="45">
        <f t="shared" si="148"/>
        <v>1317</v>
      </c>
      <c r="FT56" s="45">
        <f t="shared" si="148"/>
        <v>1426</v>
      </c>
      <c r="FU56" s="45">
        <f t="shared" si="148"/>
        <v>1660</v>
      </c>
      <c r="FW56" s="9">
        <f t="shared" ref="FW56" si="149">FW10</f>
        <v>35</v>
      </c>
      <c r="FX56" s="21" t="str">
        <f t="shared" si="125"/>
        <v>Salt Lake</v>
      </c>
      <c r="FY56" s="45">
        <f t="shared" ref="FY56:GH56" si="150">FY80</f>
        <v>398</v>
      </c>
      <c r="FZ56" s="45">
        <f t="shared" si="150"/>
        <v>449</v>
      </c>
      <c r="GA56" s="45">
        <f t="shared" si="150"/>
        <v>388</v>
      </c>
      <c r="GB56" s="45">
        <f t="shared" si="150"/>
        <v>444</v>
      </c>
      <c r="GC56" s="45">
        <f t="shared" si="150"/>
        <v>407</v>
      </c>
      <c r="GD56" s="45">
        <f t="shared" si="150"/>
        <v>529</v>
      </c>
      <c r="GE56" s="45">
        <f t="shared" si="150"/>
        <v>467</v>
      </c>
      <c r="GF56" s="45">
        <f t="shared" si="150"/>
        <v>575</v>
      </c>
      <c r="GG56" s="45">
        <f t="shared" si="150"/>
        <v>649</v>
      </c>
      <c r="GH56" s="45">
        <f t="shared" si="150"/>
        <v>621</v>
      </c>
      <c r="GJ56" s="9">
        <f t="shared" ref="GJ56" si="151">GJ10</f>
        <v>35</v>
      </c>
      <c r="GK56" s="21" t="str">
        <f t="shared" si="127"/>
        <v>Salt Lake</v>
      </c>
      <c r="GL56" s="45">
        <f t="shared" ref="GL56:GU56" si="152">GL80</f>
        <v>686</v>
      </c>
      <c r="GM56" s="45">
        <f t="shared" si="152"/>
        <v>570</v>
      </c>
      <c r="GN56" s="45">
        <f t="shared" si="152"/>
        <v>647</v>
      </c>
      <c r="GO56" s="45">
        <f t="shared" si="152"/>
        <v>583</v>
      </c>
      <c r="GP56" s="45">
        <f t="shared" si="152"/>
        <v>588</v>
      </c>
      <c r="GQ56" s="45">
        <f t="shared" si="152"/>
        <v>584</v>
      </c>
      <c r="GR56" s="45">
        <f t="shared" si="152"/>
        <v>713</v>
      </c>
      <c r="GS56" s="45">
        <f t="shared" si="152"/>
        <v>681</v>
      </c>
      <c r="GT56" s="45">
        <f t="shared" si="152"/>
        <v>769</v>
      </c>
      <c r="GU56" s="45">
        <f t="shared" si="152"/>
        <v>735</v>
      </c>
    </row>
    <row r="57" spans="153:203" x14ac:dyDescent="0.25">
      <c r="EW57" s="9">
        <f t="shared" ref="EW57" si="153">EW11</f>
        <v>49</v>
      </c>
      <c r="EX57" s="21" t="str">
        <f t="shared" si="121"/>
        <v>Utah</v>
      </c>
      <c r="EY57" s="45">
        <f t="shared" ref="EY57:FH57" si="154">EY87</f>
        <v>2006</v>
      </c>
      <c r="EZ57" s="45">
        <f t="shared" si="154"/>
        <v>1741</v>
      </c>
      <c r="FA57" s="45">
        <f t="shared" si="154"/>
        <v>1687</v>
      </c>
      <c r="FB57" s="45">
        <f t="shared" si="154"/>
        <v>1930</v>
      </c>
      <c r="FC57" s="45">
        <f t="shared" si="154"/>
        <v>1782</v>
      </c>
      <c r="FD57" s="45">
        <f t="shared" si="154"/>
        <v>1730</v>
      </c>
      <c r="FE57" s="45">
        <f t="shared" si="154"/>
        <v>1765</v>
      </c>
      <c r="FF57" s="45">
        <f t="shared" si="154"/>
        <v>1782</v>
      </c>
      <c r="FG57" s="45">
        <f t="shared" si="154"/>
        <v>1686</v>
      </c>
      <c r="FH57" s="45">
        <f t="shared" si="154"/>
        <v>1657</v>
      </c>
      <c r="FJ57" s="9">
        <f t="shared" ref="FJ57" si="155">FJ11</f>
        <v>49</v>
      </c>
      <c r="FK57" s="21" t="str">
        <f t="shared" si="123"/>
        <v>Utah</v>
      </c>
      <c r="FL57" s="45">
        <f t="shared" ref="FL57:FU57" si="156">FL87</f>
        <v>754</v>
      </c>
      <c r="FM57" s="45">
        <f t="shared" si="156"/>
        <v>821</v>
      </c>
      <c r="FN57" s="45">
        <f t="shared" si="156"/>
        <v>690</v>
      </c>
      <c r="FO57" s="45">
        <f t="shared" si="156"/>
        <v>748</v>
      </c>
      <c r="FP57" s="45">
        <f t="shared" si="156"/>
        <v>708</v>
      </c>
      <c r="FQ57" s="45">
        <f t="shared" si="156"/>
        <v>822</v>
      </c>
      <c r="FR57" s="45">
        <f t="shared" si="156"/>
        <v>704</v>
      </c>
      <c r="FS57" s="45">
        <f t="shared" si="156"/>
        <v>726</v>
      </c>
      <c r="FT57" s="45">
        <f t="shared" si="156"/>
        <v>827</v>
      </c>
      <c r="FU57" s="45">
        <f t="shared" si="156"/>
        <v>904</v>
      </c>
      <c r="FW57" s="9">
        <f t="shared" ref="FW57" si="157">FW11</f>
        <v>49</v>
      </c>
      <c r="FX57" s="21" t="str">
        <f t="shared" si="125"/>
        <v>Utah</v>
      </c>
      <c r="FY57" s="45">
        <f t="shared" ref="FY57:GH57" si="158">FY87</f>
        <v>268</v>
      </c>
      <c r="FZ57" s="45">
        <f t="shared" si="158"/>
        <v>236</v>
      </c>
      <c r="GA57" s="45">
        <f t="shared" si="158"/>
        <v>292</v>
      </c>
      <c r="GB57" s="45">
        <f t="shared" si="158"/>
        <v>346</v>
      </c>
      <c r="GC57" s="45">
        <f t="shared" si="158"/>
        <v>275</v>
      </c>
      <c r="GD57" s="45">
        <f t="shared" si="158"/>
        <v>263</v>
      </c>
      <c r="GE57" s="45">
        <f t="shared" si="158"/>
        <v>248</v>
      </c>
      <c r="GF57" s="45">
        <f t="shared" si="158"/>
        <v>359</v>
      </c>
      <c r="GG57" s="45">
        <f t="shared" si="158"/>
        <v>381</v>
      </c>
      <c r="GH57" s="45">
        <f t="shared" si="158"/>
        <v>425</v>
      </c>
      <c r="GJ57" s="9">
        <f t="shared" ref="GJ57" si="159">GJ11</f>
        <v>49</v>
      </c>
      <c r="GK57" s="21" t="str">
        <f t="shared" si="127"/>
        <v>Utah</v>
      </c>
      <c r="GL57" s="45">
        <f t="shared" ref="GL57:GU57" si="160">GL87</f>
        <v>468</v>
      </c>
      <c r="GM57" s="45">
        <f t="shared" si="160"/>
        <v>457</v>
      </c>
      <c r="GN57" s="45">
        <f t="shared" si="160"/>
        <v>426</v>
      </c>
      <c r="GO57" s="45">
        <f t="shared" si="160"/>
        <v>407</v>
      </c>
      <c r="GP57" s="45">
        <f t="shared" si="160"/>
        <v>382</v>
      </c>
      <c r="GQ57" s="45">
        <f t="shared" si="160"/>
        <v>375</v>
      </c>
      <c r="GR57" s="45">
        <f t="shared" si="160"/>
        <v>332</v>
      </c>
      <c r="GS57" s="45">
        <f t="shared" si="160"/>
        <v>410</v>
      </c>
      <c r="GT57" s="45">
        <f t="shared" si="160"/>
        <v>458</v>
      </c>
      <c r="GU57" s="45">
        <f t="shared" si="160"/>
        <v>417</v>
      </c>
    </row>
    <row r="58" spans="153:203" x14ac:dyDescent="0.25">
      <c r="EW58" s="9">
        <f t="shared" ref="EW58" si="161">EW12</f>
        <v>1049</v>
      </c>
      <c r="EX58" s="21" t="str">
        <f t="shared" si="121"/>
        <v>State of Utah</v>
      </c>
      <c r="EY58" s="46">
        <f t="shared" ref="EY58:FH58" si="162">EY92</f>
        <v>3882</v>
      </c>
      <c r="EZ58" s="46">
        <f t="shared" si="162"/>
        <v>4037</v>
      </c>
      <c r="FA58" s="46">
        <f t="shared" si="162"/>
        <v>3848</v>
      </c>
      <c r="FB58" s="46">
        <f t="shared" si="162"/>
        <v>4062</v>
      </c>
      <c r="FC58" s="46">
        <f t="shared" si="162"/>
        <v>3939</v>
      </c>
      <c r="FD58" s="46">
        <f t="shared" si="162"/>
        <v>4183</v>
      </c>
      <c r="FE58" s="46">
        <f t="shared" si="162"/>
        <v>4671</v>
      </c>
      <c r="FF58" s="46">
        <f t="shared" si="162"/>
        <v>5063</v>
      </c>
      <c r="FG58" s="46">
        <f t="shared" si="162"/>
        <v>4345</v>
      </c>
      <c r="FH58" s="46">
        <f t="shared" si="162"/>
        <v>4249</v>
      </c>
      <c r="FJ58" s="9">
        <f t="shared" ref="FJ58" si="163">FJ12</f>
        <v>1049</v>
      </c>
      <c r="FK58" s="21" t="str">
        <f t="shared" si="123"/>
        <v>State of Utah</v>
      </c>
      <c r="FL58" s="46">
        <f t="shared" ref="FL58:FU58" si="164">FL92</f>
        <v>1327</v>
      </c>
      <c r="FM58" s="46">
        <f t="shared" si="164"/>
        <v>1505</v>
      </c>
      <c r="FN58" s="46">
        <f t="shared" si="164"/>
        <v>1679</v>
      </c>
      <c r="FO58" s="46">
        <f t="shared" si="164"/>
        <v>1638</v>
      </c>
      <c r="FP58" s="46">
        <f t="shared" si="164"/>
        <v>1596</v>
      </c>
      <c r="FQ58" s="46">
        <f t="shared" si="164"/>
        <v>1833</v>
      </c>
      <c r="FR58" s="46">
        <f t="shared" si="164"/>
        <v>1999</v>
      </c>
      <c r="FS58" s="46">
        <f t="shared" si="164"/>
        <v>1939</v>
      </c>
      <c r="FT58" s="46">
        <f t="shared" si="164"/>
        <v>2205</v>
      </c>
      <c r="FU58" s="46">
        <f t="shared" si="164"/>
        <v>2411</v>
      </c>
      <c r="FW58" s="9">
        <f t="shared" ref="FW58" si="165">FW12</f>
        <v>1049</v>
      </c>
      <c r="FX58" s="21" t="str">
        <f t="shared" si="125"/>
        <v>State of Utah</v>
      </c>
      <c r="FY58" s="46">
        <f t="shared" ref="FY58:GH58" si="166">FY92</f>
        <v>617</v>
      </c>
      <c r="FZ58" s="46">
        <f t="shared" si="166"/>
        <v>627</v>
      </c>
      <c r="GA58" s="46">
        <f t="shared" si="166"/>
        <v>651</v>
      </c>
      <c r="GB58" s="46">
        <f t="shared" si="166"/>
        <v>679</v>
      </c>
      <c r="GC58" s="46">
        <f t="shared" si="166"/>
        <v>645</v>
      </c>
      <c r="GD58" s="46">
        <f t="shared" si="166"/>
        <v>814</v>
      </c>
      <c r="GE58" s="46">
        <f t="shared" si="166"/>
        <v>632</v>
      </c>
      <c r="GF58" s="46">
        <f t="shared" si="166"/>
        <v>884</v>
      </c>
      <c r="GG58" s="46">
        <f t="shared" si="166"/>
        <v>938</v>
      </c>
      <c r="GH58" s="46">
        <f t="shared" si="166"/>
        <v>1127</v>
      </c>
      <c r="GJ58" s="9">
        <f t="shared" ref="GJ58" si="167">GJ12</f>
        <v>1049</v>
      </c>
      <c r="GK58" s="21" t="str">
        <f t="shared" si="127"/>
        <v>State of Utah</v>
      </c>
      <c r="GL58" s="46">
        <f t="shared" ref="GL58:GU58" si="168">GL92</f>
        <v>970</v>
      </c>
      <c r="GM58" s="46">
        <f t="shared" si="168"/>
        <v>983</v>
      </c>
      <c r="GN58" s="46">
        <f t="shared" si="168"/>
        <v>898</v>
      </c>
      <c r="GO58" s="46">
        <f t="shared" si="168"/>
        <v>967</v>
      </c>
      <c r="GP58" s="46">
        <f t="shared" si="168"/>
        <v>738</v>
      </c>
      <c r="GQ58" s="46">
        <f t="shared" si="168"/>
        <v>829</v>
      </c>
      <c r="GR58" s="46">
        <f t="shared" si="168"/>
        <v>1012</v>
      </c>
      <c r="GS58" s="46">
        <f t="shared" si="168"/>
        <v>1022</v>
      </c>
      <c r="GT58" s="46">
        <f t="shared" si="168"/>
        <v>1172</v>
      </c>
      <c r="GU58" s="46">
        <f t="shared" si="168"/>
        <v>1188</v>
      </c>
    </row>
    <row r="59" spans="153:203" x14ac:dyDescent="0.25">
      <c r="EW59" s="9">
        <f t="shared" ref="EW59" si="169">EW13</f>
        <v>1000</v>
      </c>
      <c r="EX59" s="21" t="str">
        <f t="shared" si="121"/>
        <v>United States</v>
      </c>
      <c r="EY59" s="46">
        <f t="shared" ref="EY59:FH59" si="170">EY93</f>
        <v>120716</v>
      </c>
      <c r="EZ59" s="46">
        <f t="shared" si="170"/>
        <v>132753</v>
      </c>
      <c r="FA59" s="46">
        <f t="shared" si="170"/>
        <v>138411</v>
      </c>
      <c r="FB59" s="46">
        <f t="shared" si="170"/>
        <v>142773</v>
      </c>
      <c r="FC59" s="46">
        <f t="shared" si="170"/>
        <v>142073</v>
      </c>
      <c r="FD59" s="46">
        <f t="shared" si="170"/>
        <v>143374</v>
      </c>
      <c r="FE59" s="46">
        <f t="shared" si="170"/>
        <v>149643</v>
      </c>
      <c r="FF59" s="46">
        <f t="shared" si="170"/>
        <v>153416</v>
      </c>
      <c r="FG59" s="46">
        <f t="shared" si="170"/>
        <v>169078</v>
      </c>
      <c r="FH59" s="46">
        <f t="shared" si="170"/>
        <v>170067</v>
      </c>
      <c r="FJ59" s="9">
        <f t="shared" ref="FJ59" si="171">FJ13</f>
        <v>1000</v>
      </c>
      <c r="FK59" s="21" t="str">
        <f t="shared" si="123"/>
        <v>United States</v>
      </c>
      <c r="FL59" s="46">
        <f t="shared" ref="FL59:FU59" si="172">FL93</f>
        <v>19688</v>
      </c>
      <c r="FM59" s="46">
        <f t="shared" si="172"/>
        <v>19418</v>
      </c>
      <c r="FN59" s="46">
        <f t="shared" si="172"/>
        <v>16168</v>
      </c>
      <c r="FO59" s="46">
        <f t="shared" si="172"/>
        <v>21247</v>
      </c>
      <c r="FP59" s="46">
        <f t="shared" si="172"/>
        <v>19620</v>
      </c>
      <c r="FQ59" s="46">
        <f t="shared" si="172"/>
        <v>18023</v>
      </c>
      <c r="FR59" s="46">
        <f t="shared" si="172"/>
        <v>19354</v>
      </c>
      <c r="FS59" s="46">
        <f t="shared" si="172"/>
        <v>20203</v>
      </c>
      <c r="FT59" s="46">
        <f t="shared" si="172"/>
        <v>21167</v>
      </c>
      <c r="FU59" s="46">
        <f t="shared" si="172"/>
        <v>27244</v>
      </c>
      <c r="FW59" s="9">
        <f t="shared" ref="FW59" si="173">FW13</f>
        <v>1000</v>
      </c>
      <c r="FX59" s="21" t="str">
        <f t="shared" si="125"/>
        <v>United States</v>
      </c>
      <c r="FY59" s="46">
        <f t="shared" ref="FY59:GH59" si="174">FY93</f>
        <v>6728</v>
      </c>
      <c r="FZ59" s="46">
        <f t="shared" si="174"/>
        <v>7220</v>
      </c>
      <c r="GA59" s="46">
        <f t="shared" si="174"/>
        <v>7490</v>
      </c>
      <c r="GB59" s="46">
        <f t="shared" si="174"/>
        <v>8472</v>
      </c>
      <c r="GC59" s="46">
        <f t="shared" si="174"/>
        <v>7672</v>
      </c>
      <c r="GD59" s="46">
        <f t="shared" si="174"/>
        <v>7053</v>
      </c>
      <c r="GE59" s="46">
        <f t="shared" si="174"/>
        <v>7823</v>
      </c>
      <c r="GF59" s="46">
        <f t="shared" si="174"/>
        <v>9309</v>
      </c>
      <c r="GG59" s="46">
        <f t="shared" si="174"/>
        <v>8929</v>
      </c>
      <c r="GH59" s="46">
        <f t="shared" si="174"/>
        <v>10033</v>
      </c>
      <c r="GJ59" s="9">
        <f t="shared" ref="GJ59" si="175">GJ13</f>
        <v>1000</v>
      </c>
      <c r="GK59" s="21" t="str">
        <f t="shared" si="127"/>
        <v>United States</v>
      </c>
      <c r="GL59" s="46">
        <f t="shared" ref="GL59:GU59" si="176">GL93</f>
        <v>13350</v>
      </c>
      <c r="GM59" s="46">
        <f t="shared" si="176"/>
        <v>12013</v>
      </c>
      <c r="GN59" s="46">
        <f t="shared" si="176"/>
        <v>11536</v>
      </c>
      <c r="GO59" s="46">
        <f t="shared" si="176"/>
        <v>12497</v>
      </c>
      <c r="GP59" s="46">
        <f t="shared" si="176"/>
        <v>13500</v>
      </c>
      <c r="GQ59" s="46">
        <f t="shared" si="176"/>
        <v>13475</v>
      </c>
      <c r="GR59" s="46">
        <f t="shared" si="176"/>
        <v>11911</v>
      </c>
      <c r="GS59" s="46">
        <f t="shared" si="176"/>
        <v>14677</v>
      </c>
      <c r="GT59" s="46">
        <f t="shared" si="176"/>
        <v>15596</v>
      </c>
      <c r="GU59" s="46">
        <f t="shared" si="176"/>
        <v>18436</v>
      </c>
    </row>
    <row r="61" spans="153:203" x14ac:dyDescent="0.25">
      <c r="EW61" s="49">
        <f>EW50 + 0.2</f>
        <v>100.2</v>
      </c>
      <c r="EX61" s="21" t="str">
        <f>EX50</f>
        <v>Total Workers</v>
      </c>
      <c r="EY61" s="10"/>
      <c r="EZ61" s="10"/>
      <c r="FA61" s="10"/>
      <c r="FB61" s="10"/>
      <c r="FC61" s="10"/>
      <c r="FD61" s="36" t="s">
        <v>621</v>
      </c>
      <c r="FE61" s="10"/>
      <c r="FF61" s="10"/>
      <c r="FG61" s="10"/>
      <c r="FH61" s="10"/>
      <c r="FJ61" s="49">
        <f>FJ50 + 0.2</f>
        <v>700.2</v>
      </c>
      <c r="FK61" s="21" t="str">
        <f>FK50</f>
        <v>Worked at home</v>
      </c>
      <c r="FL61" s="10"/>
      <c r="FM61" s="10"/>
      <c r="FN61" s="10"/>
      <c r="FO61" s="10"/>
      <c r="FP61" s="10"/>
      <c r="FQ61" s="36" t="s">
        <v>621</v>
      </c>
      <c r="FR61" s="10"/>
      <c r="FS61" s="10"/>
      <c r="FT61" s="10"/>
      <c r="FU61" s="10"/>
      <c r="FW61" s="49">
        <f>FW50 + 0.2</f>
        <v>712.2</v>
      </c>
      <c r="FX61" s="21" t="str">
        <f>FX50</f>
        <v>Self-employed in own incorporated business workers</v>
      </c>
      <c r="FY61" s="10"/>
      <c r="FZ61" s="10"/>
      <c r="GA61" s="10"/>
      <c r="GB61" s="10"/>
      <c r="GC61" s="10"/>
      <c r="GD61" s="36" t="s">
        <v>621</v>
      </c>
      <c r="GE61" s="10"/>
      <c r="GF61" s="10"/>
      <c r="GG61" s="10"/>
      <c r="GH61" s="10"/>
      <c r="GJ61" s="49">
        <f>GJ50 + 0.2</f>
        <v>760.2</v>
      </c>
      <c r="GK61" s="21" t="str">
        <f>GK50</f>
        <v>Self-employed in own not incorporated business workers</v>
      </c>
      <c r="GL61" s="10"/>
      <c r="GM61" s="10"/>
      <c r="GN61" s="10"/>
      <c r="GO61" s="10"/>
      <c r="GP61" s="10"/>
      <c r="GQ61" s="36" t="s">
        <v>621</v>
      </c>
      <c r="GR61" s="10"/>
      <c r="GS61" s="10"/>
      <c r="GT61" s="10"/>
      <c r="GU61" s="10"/>
    </row>
    <row r="62" spans="153:203" x14ac:dyDescent="0.25">
      <c r="EW62" s="10"/>
      <c r="EX62" s="38" t="s">
        <v>620</v>
      </c>
      <c r="EY62" s="2">
        <v>2010</v>
      </c>
      <c r="EZ62" s="2">
        <v>2011</v>
      </c>
      <c r="FA62" s="2">
        <v>2012</v>
      </c>
      <c r="FB62" s="2">
        <v>2013</v>
      </c>
      <c r="FC62" s="2">
        <v>2014</v>
      </c>
      <c r="FD62" s="2">
        <v>2015</v>
      </c>
      <c r="FE62" s="2">
        <v>2016</v>
      </c>
      <c r="FF62" s="2">
        <v>2017</v>
      </c>
      <c r="FG62" s="2">
        <v>2018</v>
      </c>
      <c r="FH62" s="2">
        <v>2019</v>
      </c>
      <c r="FJ62" s="10"/>
      <c r="FK62" s="38" t="s">
        <v>620</v>
      </c>
      <c r="FL62" s="2">
        <v>2010</v>
      </c>
      <c r="FM62" s="2">
        <v>2011</v>
      </c>
      <c r="FN62" s="2">
        <v>2012</v>
      </c>
      <c r="FO62" s="2">
        <v>2013</v>
      </c>
      <c r="FP62" s="2">
        <v>2014</v>
      </c>
      <c r="FQ62" s="2">
        <v>2015</v>
      </c>
      <c r="FR62" s="2">
        <v>2016</v>
      </c>
      <c r="FS62" s="2">
        <v>2017</v>
      </c>
      <c r="FT62" s="2">
        <v>2018</v>
      </c>
      <c r="FU62" s="2">
        <v>2019</v>
      </c>
      <c r="FW62" s="10"/>
      <c r="FX62" s="38" t="s">
        <v>620</v>
      </c>
      <c r="FY62" s="2">
        <v>2010</v>
      </c>
      <c r="FZ62" s="2">
        <v>2011</v>
      </c>
      <c r="GA62" s="2">
        <v>2012</v>
      </c>
      <c r="GB62" s="2">
        <v>2013</v>
      </c>
      <c r="GC62" s="2">
        <v>2014</v>
      </c>
      <c r="GD62" s="2">
        <v>2015</v>
      </c>
      <c r="GE62" s="2">
        <v>2016</v>
      </c>
      <c r="GF62" s="2">
        <v>2017</v>
      </c>
      <c r="GG62" s="2">
        <v>2018</v>
      </c>
      <c r="GH62" s="2">
        <v>2019</v>
      </c>
      <c r="GJ62" s="10"/>
      <c r="GK62" s="38" t="s">
        <v>620</v>
      </c>
      <c r="GL62" s="2">
        <v>2010</v>
      </c>
      <c r="GM62" s="2">
        <v>2011</v>
      </c>
      <c r="GN62" s="2">
        <v>2012</v>
      </c>
      <c r="GO62" s="2">
        <v>2013</v>
      </c>
      <c r="GP62" s="2">
        <v>2014</v>
      </c>
      <c r="GQ62" s="2">
        <v>2015</v>
      </c>
      <c r="GR62" s="2">
        <v>2016</v>
      </c>
      <c r="GS62" s="2">
        <v>2017</v>
      </c>
      <c r="GT62" s="2">
        <v>2018</v>
      </c>
      <c r="GU62" s="2">
        <v>2019</v>
      </c>
    </row>
    <row r="63" spans="153:203" x14ac:dyDescent="0.25">
      <c r="EW63" s="9">
        <f t="shared" ref="EW63:EX63" si="177">EW17</f>
        <v>1</v>
      </c>
      <c r="EX63" s="21" t="str">
        <f t="shared" si="177"/>
        <v>Beaver</v>
      </c>
      <c r="EY63" s="48">
        <f>INDEX('2010'!$E$7:$EN$37,  MATCH(EW63, '2010'!$A$7:$A$37, 0), MATCH(EW61, '2010'!$E$4:$EN$4, 0) )</f>
        <v>302</v>
      </c>
      <c r="EZ63" s="48">
        <f>INDEX('2011'!$E$7:$EN$37,  MATCH(EW63, '2011'!$A$7:$A$37, 0), MATCH(EW61, '2011'!$E$4:$EN$4, 0) )</f>
        <v>238</v>
      </c>
      <c r="FA63" s="48">
        <f>INDEX('2012'!$E$7:$EN$37,  MATCH(EW63, '2012'!$A$7:$A$37, 0), MATCH(EW61, '2012'!$E$4:$EN$4, 0) )</f>
        <v>209</v>
      </c>
      <c r="FB63" s="48">
        <f>INDEX('2013'!$E$7:$EN$37,  MATCH(EW63, '2013'!$A$7:$A$37, 0), MATCH(EW61, '2013'!$E$4:$EN$4, 0) )</f>
        <v>200</v>
      </c>
      <c r="FC63" s="48">
        <f>INDEX('2014'!$E$7:$EN$37,  MATCH(EW63, '2014'!$A$7:$A$37, 0), MATCH(EW61, '2014'!$E$4:$EN$4, 0) )</f>
        <v>180</v>
      </c>
      <c r="FD63" s="48">
        <f>INDEX('2015'!$E$7:$EN$37,  MATCH(EW63, '2015'!$A$7:$A$37, 0), MATCH(EW61, '2015'!$E$4:$EN$4, 0) )</f>
        <v>131</v>
      </c>
      <c r="FE63" s="48">
        <f>INDEX('2016'!$E$7:$EN$37,  MATCH(EW63, '2016'!$A$7:$A$37, 0), MATCH(EW61, '2016'!$E$4:$EN$4, 0) )</f>
        <v>141</v>
      </c>
      <c r="FF63" s="48">
        <f>INDEX('2017'!$E$7:$EN$37,  MATCH(EW63, '2017'!$A$7:$A$37, 0), MATCH(EW61, '2017'!$E$4:$EN$4, 0) )</f>
        <v>166</v>
      </c>
      <c r="FG63" s="48">
        <f>INDEX('2018'!$E$7:$EN$37,  MATCH(EW63, '2018'!$A$7:$A$37, 0), MATCH(EW61, '2018'!$E$4:$EN$4, 0) )</f>
        <v>131</v>
      </c>
      <c r="FH63" s="48">
        <f>INDEX('2019'!$E$7:$EN$37,  MATCH(EW63, '2019'!$A$7:$A$37, 0), MATCH(EW61, '2019'!$E$4:$EN$4, 0) )</f>
        <v>171</v>
      </c>
      <c r="FJ63" s="9">
        <f t="shared" ref="FJ63:FK63" si="178">FJ17</f>
        <v>1</v>
      </c>
      <c r="FK63" s="21" t="str">
        <f t="shared" si="178"/>
        <v>Beaver</v>
      </c>
      <c r="FL63" s="48">
        <f>INDEX('2010'!$E$7:$EN$37,  MATCH(FJ63, '2010'!$A$7:$A$37, 0), MATCH(FJ61, '2010'!$E$4:$EN$4, 0) )</f>
        <v>67</v>
      </c>
      <c r="FM63" s="48">
        <f>INDEX('2011'!$E$7:$EN$37,  MATCH(FJ63, '2011'!$A$7:$A$37, 0), MATCH(FJ61, '2011'!$E$4:$EN$4, 0) )</f>
        <v>55</v>
      </c>
      <c r="FN63" s="48">
        <f>INDEX('2012'!$E$7:$EN$37,  MATCH(FJ63, '2012'!$A$7:$A$37, 0), MATCH(FJ61, '2012'!$E$4:$EN$4, 0) )</f>
        <v>46</v>
      </c>
      <c r="FO63" s="48">
        <f>INDEX('2013'!$E$7:$EN$37,  MATCH(FJ63, '2013'!$A$7:$A$37, 0), MATCH(FJ61, '2013'!$E$4:$EN$4, 0) )</f>
        <v>44</v>
      </c>
      <c r="FP63" s="48">
        <f>INDEX('2014'!$E$7:$EN$37,  MATCH(FJ63, '2014'!$A$7:$A$37, 0), MATCH(FJ61, '2014'!$E$4:$EN$4, 0) )</f>
        <v>34</v>
      </c>
      <c r="FQ63" s="48">
        <f>INDEX('2015'!$E$7:$EN$37,  MATCH(FJ63, '2015'!$A$7:$A$37, 0), MATCH(FJ61, '2015'!$E$4:$EN$4, 0) )</f>
        <v>25</v>
      </c>
      <c r="FR63" s="48">
        <f>INDEX('2016'!$E$7:$EN$37,  MATCH(FJ63, '2016'!$A$7:$A$37, 0), MATCH(FJ61, '2016'!$E$4:$EN$4, 0) )</f>
        <v>32</v>
      </c>
      <c r="FS63" s="48">
        <f>INDEX('2017'!$E$7:$EN$37,  MATCH(FJ63, '2017'!$A$7:$A$37, 0), MATCH(FJ61, '2017'!$E$4:$EN$4, 0) )</f>
        <v>64</v>
      </c>
      <c r="FT63" s="48">
        <f>INDEX('2018'!$E$7:$EN$37,  MATCH(FJ63, '2018'!$A$7:$A$37, 0), MATCH(FJ61, '2018'!$E$4:$EN$4, 0) )</f>
        <v>58</v>
      </c>
      <c r="FU63" s="48">
        <f>INDEX('2019'!$E$7:$EN$37,  MATCH(FJ63, '2019'!$A$7:$A$37, 0), MATCH(FJ61, '2019'!$E$4:$EN$4, 0) )</f>
        <v>77</v>
      </c>
      <c r="FW63" s="9">
        <f t="shared" ref="FW63:FX63" si="179">FW17</f>
        <v>1</v>
      </c>
      <c r="FX63" s="21" t="str">
        <f t="shared" si="179"/>
        <v>Beaver</v>
      </c>
      <c r="FY63" s="48">
        <f>INDEX('2010'!$E$7:$EN$37,  MATCH(FW63, '2010'!$A$7:$A$37, 0), MATCH(FW61, '2010'!$E$4:$EN$4, 0) )</f>
        <v>46</v>
      </c>
      <c r="FZ63" s="48">
        <f>INDEX('2011'!$E$7:$EN$37,  MATCH(FW63, '2011'!$A$7:$A$37, 0), MATCH(FW61, '2011'!$E$4:$EN$4, 0) )</f>
        <v>18</v>
      </c>
      <c r="GA63" s="48">
        <f>INDEX('2012'!$E$7:$EN$37,  MATCH(FW63, '2012'!$A$7:$A$37, 0), MATCH(FW61, '2012'!$E$4:$EN$4, 0) )</f>
        <v>17</v>
      </c>
      <c r="GB63" s="48">
        <f>INDEX('2013'!$E$7:$EN$37,  MATCH(FW63, '2013'!$A$7:$A$37, 0), MATCH(FW61, '2013'!$E$4:$EN$4, 0) )</f>
        <v>16</v>
      </c>
      <c r="GC63" s="48">
        <f>INDEX('2014'!$E$7:$EN$37,  MATCH(FW63, '2014'!$A$7:$A$37, 0), MATCH(FW61, '2014'!$E$4:$EN$4, 0) )</f>
        <v>14</v>
      </c>
      <c r="GD63" s="48">
        <f>INDEX('2015'!$E$7:$EN$37,  MATCH(FW63, '2015'!$A$7:$A$37, 0), MATCH(FW61, '2015'!$E$4:$EN$4, 0) )</f>
        <v>12</v>
      </c>
      <c r="GE63" s="48">
        <f>INDEX('2016'!$E$7:$EN$37,  MATCH(FW63, '2016'!$A$7:$A$37, 0), MATCH(FW61, '2016'!$E$4:$EN$4, 0) )</f>
        <v>13</v>
      </c>
      <c r="GF63" s="48">
        <f>INDEX('2017'!$E$7:$EN$37,  MATCH(FW63, '2017'!$A$7:$A$37, 0), MATCH(FW61, '2017'!$E$4:$EN$4, 0) )</f>
        <v>13</v>
      </c>
      <c r="GG63" s="48">
        <f>INDEX('2018'!$E$7:$EN$37,  MATCH(FW63, '2018'!$A$7:$A$37, 0), MATCH(FW61, '2018'!$E$4:$EN$4, 0) )</f>
        <v>28</v>
      </c>
      <c r="GH63" s="48">
        <f>INDEX('2019'!$E$7:$EN$37,  MATCH(FW63, '2019'!$A$7:$A$37, 0), MATCH(FW61, '2019'!$E$4:$EN$4, 0) )</f>
        <v>24</v>
      </c>
      <c r="GJ63" s="9">
        <f t="shared" ref="GJ63:GK63" si="180">GJ17</f>
        <v>1</v>
      </c>
      <c r="GK63" s="21" t="str">
        <f t="shared" si="180"/>
        <v>Beaver</v>
      </c>
      <c r="GL63" s="48">
        <f>INDEX('2010'!$E$7:$EN$37,  MATCH(GJ63, '2010'!$A$7:$A$37, 0), MATCH(GJ61, '2010'!$E$4:$EN$4, 0) )</f>
        <v>36</v>
      </c>
      <c r="GM63" s="48">
        <f>INDEX('2011'!$E$7:$EN$37,  MATCH(GJ63, '2011'!$A$7:$A$37, 0), MATCH(GJ61, '2011'!$E$4:$EN$4, 0) )</f>
        <v>36</v>
      </c>
      <c r="GN63" s="48">
        <f>INDEX('2012'!$E$7:$EN$37,  MATCH(GJ63, '2012'!$A$7:$A$37, 0), MATCH(GJ61, '2012'!$E$4:$EN$4, 0) )</f>
        <v>30</v>
      </c>
      <c r="GO63" s="48">
        <f>INDEX('2013'!$E$7:$EN$37,  MATCH(GJ63, '2013'!$A$7:$A$37, 0), MATCH(GJ61, '2013'!$E$4:$EN$4, 0) )</f>
        <v>22</v>
      </c>
      <c r="GP63" s="48">
        <f>INDEX('2014'!$E$7:$EN$37,  MATCH(GJ63, '2014'!$A$7:$A$37, 0), MATCH(GJ61, '2014'!$E$4:$EN$4, 0) )</f>
        <v>25</v>
      </c>
      <c r="GQ63" s="48">
        <f>INDEX('2015'!$E$7:$EN$37,  MATCH(GJ63, '2015'!$A$7:$A$37, 0), MATCH(GJ61, '2015'!$E$4:$EN$4, 0) )</f>
        <v>21</v>
      </c>
      <c r="GR63" s="48">
        <f>INDEX('2016'!$E$7:$EN$37,  MATCH(GJ63, '2016'!$A$7:$A$37, 0), MATCH(GJ61, '2016'!$E$4:$EN$4, 0) )</f>
        <v>30</v>
      </c>
      <c r="GS63" s="48">
        <f>INDEX('2017'!$E$7:$EN$37,  MATCH(GJ63, '2017'!$A$7:$A$37, 0), MATCH(GJ61, '2017'!$E$4:$EN$4, 0) )</f>
        <v>34</v>
      </c>
      <c r="GT63" s="48">
        <f>INDEX('2018'!$E$7:$EN$37,  MATCH(GJ63, '2018'!$A$7:$A$37, 0), MATCH(GJ61, '2018'!$E$4:$EN$4, 0) )</f>
        <v>20</v>
      </c>
      <c r="GU63" s="48">
        <f>INDEX('2019'!$E$7:$EN$37,  MATCH(GJ63, '2019'!$A$7:$A$37, 0), MATCH(GJ61, '2019'!$E$4:$EN$4, 0) )</f>
        <v>48</v>
      </c>
    </row>
    <row r="64" spans="153:203" x14ac:dyDescent="0.25">
      <c r="EW64" s="9">
        <f t="shared" ref="EW64:EX64" si="181">EW18</f>
        <v>3</v>
      </c>
      <c r="EX64" s="21" t="str">
        <f t="shared" si="181"/>
        <v>Box Elder</v>
      </c>
      <c r="EY64" s="48">
        <f>INDEX('2010'!$E$7:$EN$37,  MATCH(EW64, '2010'!$A$7:$A$37, 0), MATCH(EW61, '2010'!$E$4:$EN$4, 0) )</f>
        <v>477</v>
      </c>
      <c r="EZ64" s="48">
        <f>INDEX('2011'!$E$7:$EN$37,  MATCH(EW64, '2011'!$A$7:$A$37, 0), MATCH(EW61, '2011'!$E$4:$EN$4, 0) )</f>
        <v>465</v>
      </c>
      <c r="FA64" s="48">
        <f>INDEX('2012'!$E$7:$EN$37,  MATCH(EW64, '2012'!$A$7:$A$37, 0), MATCH(EW61, '2012'!$E$4:$EN$4, 0) )</f>
        <v>550</v>
      </c>
      <c r="FB64" s="48">
        <f>INDEX('2013'!$E$7:$EN$37,  MATCH(EW64, '2013'!$A$7:$A$37, 0), MATCH(EW61, '2013'!$E$4:$EN$4, 0) )</f>
        <v>447</v>
      </c>
      <c r="FC64" s="48">
        <f>INDEX('2014'!$E$7:$EN$37,  MATCH(EW64, '2014'!$A$7:$A$37, 0), MATCH(EW61, '2014'!$E$4:$EN$4, 0) )</f>
        <v>493</v>
      </c>
      <c r="FD64" s="48">
        <f>INDEX('2015'!$E$7:$EN$37,  MATCH(EW64, '2015'!$A$7:$A$37, 0), MATCH(EW61, '2015'!$E$4:$EN$4, 0) )</f>
        <v>499</v>
      </c>
      <c r="FE64" s="48">
        <f>INDEX('2016'!$E$7:$EN$37,  MATCH(EW64, '2016'!$A$7:$A$37, 0), MATCH(EW61, '2016'!$E$4:$EN$4, 0) )</f>
        <v>489</v>
      </c>
      <c r="FF64" s="48">
        <f>INDEX('2017'!$E$7:$EN$37,  MATCH(EW64, '2017'!$A$7:$A$37, 0), MATCH(EW61, '2017'!$E$4:$EN$4, 0) )</f>
        <v>434</v>
      </c>
      <c r="FG64" s="48">
        <f>INDEX('2018'!$E$7:$EN$37,  MATCH(EW64, '2018'!$A$7:$A$37, 0), MATCH(EW61, '2018'!$E$4:$EN$4, 0) )</f>
        <v>462</v>
      </c>
      <c r="FH64" s="48">
        <f>INDEX('2019'!$E$7:$EN$37,  MATCH(EW64, '2019'!$A$7:$A$37, 0), MATCH(EW61, '2019'!$E$4:$EN$4, 0) )</f>
        <v>445</v>
      </c>
      <c r="FJ64" s="9">
        <f t="shared" ref="FJ64:FK64" si="182">FJ18</f>
        <v>3</v>
      </c>
      <c r="FK64" s="21" t="str">
        <f t="shared" si="182"/>
        <v>Box Elder</v>
      </c>
      <c r="FL64" s="48">
        <f>INDEX('2010'!$E$7:$EN$37,  MATCH(FJ64, '2010'!$A$7:$A$37, 0), MATCH(FJ61, '2010'!$E$4:$EN$4, 0) )</f>
        <v>171</v>
      </c>
      <c r="FM64" s="48">
        <f>INDEX('2011'!$E$7:$EN$37,  MATCH(FJ64, '2011'!$A$7:$A$37, 0), MATCH(FJ61, '2011'!$E$4:$EN$4, 0) )</f>
        <v>170</v>
      </c>
      <c r="FN64" s="48">
        <f>INDEX('2012'!$E$7:$EN$37,  MATCH(FJ64, '2012'!$A$7:$A$37, 0), MATCH(FJ61, '2012'!$E$4:$EN$4, 0) )</f>
        <v>179</v>
      </c>
      <c r="FO64" s="48">
        <f>INDEX('2013'!$E$7:$EN$37,  MATCH(FJ64, '2013'!$A$7:$A$37, 0), MATCH(FJ61, '2013'!$E$4:$EN$4, 0) )</f>
        <v>166</v>
      </c>
      <c r="FP64" s="48">
        <f>INDEX('2014'!$E$7:$EN$37,  MATCH(FJ64, '2014'!$A$7:$A$37, 0), MATCH(FJ61, '2014'!$E$4:$EN$4, 0) )</f>
        <v>138</v>
      </c>
      <c r="FQ64" s="48">
        <f>INDEX('2015'!$E$7:$EN$37,  MATCH(FJ64, '2015'!$A$7:$A$37, 0), MATCH(FJ61, '2015'!$E$4:$EN$4, 0) )</f>
        <v>146</v>
      </c>
      <c r="FR64" s="48">
        <f>INDEX('2016'!$E$7:$EN$37,  MATCH(FJ64, '2016'!$A$7:$A$37, 0), MATCH(FJ61, '2016'!$E$4:$EN$4, 0) )</f>
        <v>176</v>
      </c>
      <c r="FS64" s="48">
        <f>INDEX('2017'!$E$7:$EN$37,  MATCH(FJ64, '2017'!$A$7:$A$37, 0), MATCH(FJ61, '2017'!$E$4:$EN$4, 0) )</f>
        <v>156</v>
      </c>
      <c r="FT64" s="48">
        <f>INDEX('2018'!$E$7:$EN$37,  MATCH(FJ64, '2018'!$A$7:$A$37, 0), MATCH(FJ61, '2018'!$E$4:$EN$4, 0) )</f>
        <v>178</v>
      </c>
      <c r="FU64" s="48">
        <f>INDEX('2019'!$E$7:$EN$37,  MATCH(FJ64, '2019'!$A$7:$A$37, 0), MATCH(FJ61, '2019'!$E$4:$EN$4, 0) )</f>
        <v>210</v>
      </c>
      <c r="FW64" s="9">
        <f t="shared" ref="FW64:FX64" si="183">FW18</f>
        <v>3</v>
      </c>
      <c r="FX64" s="21" t="str">
        <f t="shared" si="183"/>
        <v>Box Elder</v>
      </c>
      <c r="FY64" s="48">
        <f>INDEX('2010'!$E$7:$EN$37,  MATCH(FW64, '2010'!$A$7:$A$37, 0), MATCH(FW61, '2010'!$E$4:$EN$4, 0) )</f>
        <v>68</v>
      </c>
      <c r="FZ64" s="48">
        <f>INDEX('2011'!$E$7:$EN$37,  MATCH(FW64, '2011'!$A$7:$A$37, 0), MATCH(FW61, '2011'!$E$4:$EN$4, 0) )</f>
        <v>75</v>
      </c>
      <c r="GA64" s="48">
        <f>INDEX('2012'!$E$7:$EN$37,  MATCH(FW64, '2012'!$A$7:$A$37, 0), MATCH(FW61, '2012'!$E$4:$EN$4, 0) )</f>
        <v>67</v>
      </c>
      <c r="GB64" s="48">
        <f>INDEX('2013'!$E$7:$EN$37,  MATCH(FW64, '2013'!$A$7:$A$37, 0), MATCH(FW61, '2013'!$E$4:$EN$4, 0) )</f>
        <v>71</v>
      </c>
      <c r="GC64" s="48">
        <f>INDEX('2014'!$E$7:$EN$37,  MATCH(FW64, '2014'!$A$7:$A$37, 0), MATCH(FW61, '2014'!$E$4:$EN$4, 0) )</f>
        <v>79</v>
      </c>
      <c r="GD64" s="48">
        <f>INDEX('2015'!$E$7:$EN$37,  MATCH(FW64, '2015'!$A$7:$A$37, 0), MATCH(FW61, '2015'!$E$4:$EN$4, 0) )</f>
        <v>82</v>
      </c>
      <c r="GE64" s="48">
        <f>INDEX('2016'!$E$7:$EN$37,  MATCH(FW64, '2016'!$A$7:$A$37, 0), MATCH(FW61, '2016'!$E$4:$EN$4, 0) )</f>
        <v>62</v>
      </c>
      <c r="GF64" s="48">
        <f>INDEX('2017'!$E$7:$EN$37,  MATCH(FW64, '2017'!$A$7:$A$37, 0), MATCH(FW61, '2017'!$E$4:$EN$4, 0) )</f>
        <v>51</v>
      </c>
      <c r="GG64" s="48">
        <f>INDEX('2018'!$E$7:$EN$37,  MATCH(FW64, '2018'!$A$7:$A$37, 0), MATCH(FW61, '2018'!$E$4:$EN$4, 0) )</f>
        <v>75</v>
      </c>
      <c r="GH64" s="48">
        <f>INDEX('2019'!$E$7:$EN$37,  MATCH(FW64, '2019'!$A$7:$A$37, 0), MATCH(FW61, '2019'!$E$4:$EN$4, 0) )</f>
        <v>54</v>
      </c>
      <c r="GJ64" s="9">
        <f t="shared" ref="GJ64:GK64" si="184">GJ18</f>
        <v>3</v>
      </c>
      <c r="GK64" s="21" t="str">
        <f t="shared" si="184"/>
        <v>Box Elder</v>
      </c>
      <c r="GL64" s="48">
        <f>INDEX('2010'!$E$7:$EN$37,  MATCH(GJ64, '2010'!$A$7:$A$37, 0), MATCH(GJ61, '2010'!$E$4:$EN$4, 0) )</f>
        <v>143</v>
      </c>
      <c r="GM64" s="48">
        <f>INDEX('2011'!$E$7:$EN$37,  MATCH(GJ64, '2011'!$A$7:$A$37, 0), MATCH(GJ61, '2011'!$E$4:$EN$4, 0) )</f>
        <v>147</v>
      </c>
      <c r="GN64" s="48">
        <f>INDEX('2012'!$E$7:$EN$37,  MATCH(GJ64, '2012'!$A$7:$A$37, 0), MATCH(GJ61, '2012'!$E$4:$EN$4, 0) )</f>
        <v>151</v>
      </c>
      <c r="GO64" s="48">
        <f>INDEX('2013'!$E$7:$EN$37,  MATCH(GJ64, '2013'!$A$7:$A$37, 0), MATCH(GJ61, '2013'!$E$4:$EN$4, 0) )</f>
        <v>137</v>
      </c>
      <c r="GP64" s="48">
        <f>INDEX('2014'!$E$7:$EN$37,  MATCH(GJ64, '2014'!$A$7:$A$37, 0), MATCH(GJ61, '2014'!$E$4:$EN$4, 0) )</f>
        <v>94</v>
      </c>
      <c r="GQ64" s="48">
        <f>INDEX('2015'!$E$7:$EN$37,  MATCH(GJ64, '2015'!$A$7:$A$37, 0), MATCH(GJ61, '2015'!$E$4:$EN$4, 0) )</f>
        <v>99</v>
      </c>
      <c r="GR64" s="48">
        <f>INDEX('2016'!$E$7:$EN$37,  MATCH(GJ64, '2016'!$A$7:$A$37, 0), MATCH(GJ61, '2016'!$E$4:$EN$4, 0) )</f>
        <v>129</v>
      </c>
      <c r="GS64" s="48">
        <f>INDEX('2017'!$E$7:$EN$37,  MATCH(GJ64, '2017'!$A$7:$A$37, 0), MATCH(GJ61, '2017'!$E$4:$EN$4, 0) )</f>
        <v>97</v>
      </c>
      <c r="GT64" s="48">
        <f>INDEX('2018'!$E$7:$EN$37,  MATCH(GJ64, '2018'!$A$7:$A$37, 0), MATCH(GJ61, '2018'!$E$4:$EN$4, 0) )</f>
        <v>99</v>
      </c>
      <c r="GU64" s="48">
        <f>INDEX('2019'!$E$7:$EN$37,  MATCH(GJ64, '2019'!$A$7:$A$37, 0), MATCH(GJ61, '2019'!$E$4:$EN$4, 0) )</f>
        <v>110</v>
      </c>
    </row>
    <row r="65" spans="153:203" x14ac:dyDescent="0.25">
      <c r="EW65" s="9">
        <f t="shared" ref="EW65:EX65" si="185">EW19</f>
        <v>5</v>
      </c>
      <c r="EX65" s="21" t="str">
        <f t="shared" si="185"/>
        <v>Cache</v>
      </c>
      <c r="EY65" s="48">
        <f>INDEX('2010'!$E$7:$EN$37,  MATCH(EW65, '2010'!$A$7:$A$37, 0), MATCH(EW61, '2010'!$E$4:$EN$4, 0) )</f>
        <v>784</v>
      </c>
      <c r="EZ65" s="48">
        <f>INDEX('2011'!$E$7:$EN$37,  MATCH(EW65, '2011'!$A$7:$A$37, 0), MATCH(EW61, '2011'!$E$4:$EN$4, 0) )</f>
        <v>661</v>
      </c>
      <c r="FA65" s="48">
        <f>INDEX('2012'!$E$7:$EN$37,  MATCH(EW65, '2012'!$A$7:$A$37, 0), MATCH(EW61, '2012'!$E$4:$EN$4, 0) )</f>
        <v>818</v>
      </c>
      <c r="FB65" s="48">
        <f>INDEX('2013'!$E$7:$EN$37,  MATCH(EW65, '2013'!$A$7:$A$37, 0), MATCH(EW61, '2013'!$E$4:$EN$4, 0) )</f>
        <v>868</v>
      </c>
      <c r="FC65" s="48">
        <f>INDEX('2014'!$E$7:$EN$37,  MATCH(EW65, '2014'!$A$7:$A$37, 0), MATCH(EW61, '2014'!$E$4:$EN$4, 0) )</f>
        <v>721</v>
      </c>
      <c r="FD65" s="48">
        <f>INDEX('2015'!$E$7:$EN$37,  MATCH(EW65, '2015'!$A$7:$A$37, 0), MATCH(EW61, '2015'!$E$4:$EN$4, 0) )</f>
        <v>787</v>
      </c>
      <c r="FE65" s="48">
        <f>INDEX('2016'!$E$7:$EN$37,  MATCH(EW65, '2016'!$A$7:$A$37, 0), MATCH(EW61, '2016'!$E$4:$EN$4, 0) )</f>
        <v>749</v>
      </c>
      <c r="FF65" s="48">
        <f>INDEX('2017'!$E$7:$EN$37,  MATCH(EW65, '2017'!$A$7:$A$37, 0), MATCH(EW61, '2017'!$E$4:$EN$4, 0) )</f>
        <v>931</v>
      </c>
      <c r="FG65" s="48">
        <f>INDEX('2018'!$E$7:$EN$37,  MATCH(EW65, '2018'!$A$7:$A$37, 0), MATCH(EW61, '2018'!$E$4:$EN$4, 0) )</f>
        <v>809</v>
      </c>
      <c r="FH65" s="48">
        <f>INDEX('2019'!$E$7:$EN$37,  MATCH(EW65, '2019'!$A$7:$A$37, 0), MATCH(EW61, '2019'!$E$4:$EN$4, 0) )</f>
        <v>912</v>
      </c>
      <c r="FJ65" s="9">
        <f t="shared" ref="FJ65:FK65" si="186">FJ19</f>
        <v>5</v>
      </c>
      <c r="FK65" s="21" t="str">
        <f t="shared" si="186"/>
        <v>Cache</v>
      </c>
      <c r="FL65" s="48">
        <f>INDEX('2010'!$E$7:$EN$37,  MATCH(FJ65, '2010'!$A$7:$A$37, 0), MATCH(FJ61, '2010'!$E$4:$EN$4, 0) )</f>
        <v>302</v>
      </c>
      <c r="FM65" s="48">
        <f>INDEX('2011'!$E$7:$EN$37,  MATCH(FJ65, '2011'!$A$7:$A$37, 0), MATCH(FJ61, '2011'!$E$4:$EN$4, 0) )</f>
        <v>305</v>
      </c>
      <c r="FN65" s="48">
        <f>INDEX('2012'!$E$7:$EN$37,  MATCH(FJ65, '2012'!$A$7:$A$37, 0), MATCH(FJ61, '2012'!$E$4:$EN$4, 0) )</f>
        <v>242</v>
      </c>
      <c r="FO65" s="48">
        <f>INDEX('2013'!$E$7:$EN$37,  MATCH(FJ65, '2013'!$A$7:$A$37, 0), MATCH(FJ61, '2013'!$E$4:$EN$4, 0) )</f>
        <v>305</v>
      </c>
      <c r="FP65" s="48">
        <f>INDEX('2014'!$E$7:$EN$37,  MATCH(FJ65, '2014'!$A$7:$A$37, 0), MATCH(FJ61, '2014'!$E$4:$EN$4, 0) )</f>
        <v>266</v>
      </c>
      <c r="FQ65" s="48">
        <f>INDEX('2015'!$E$7:$EN$37,  MATCH(FJ65, '2015'!$A$7:$A$37, 0), MATCH(FJ61, '2015'!$E$4:$EN$4, 0) )</f>
        <v>290</v>
      </c>
      <c r="FR65" s="48">
        <f>INDEX('2016'!$E$7:$EN$37,  MATCH(FJ65, '2016'!$A$7:$A$37, 0), MATCH(FJ61, '2016'!$E$4:$EN$4, 0) )</f>
        <v>319</v>
      </c>
      <c r="FS65" s="48">
        <f>INDEX('2017'!$E$7:$EN$37,  MATCH(FJ65, '2017'!$A$7:$A$37, 0), MATCH(FJ61, '2017'!$E$4:$EN$4, 0) )</f>
        <v>315</v>
      </c>
      <c r="FT65" s="48">
        <f>INDEX('2018'!$E$7:$EN$37,  MATCH(FJ65, '2018'!$A$7:$A$37, 0), MATCH(FJ61, '2018'!$E$4:$EN$4, 0) )</f>
        <v>383</v>
      </c>
      <c r="FU65" s="48">
        <f>INDEX('2019'!$E$7:$EN$37,  MATCH(FJ65, '2019'!$A$7:$A$37, 0), MATCH(FJ61, '2019'!$E$4:$EN$4, 0) )</f>
        <v>388</v>
      </c>
      <c r="FW65" s="9">
        <f t="shared" ref="FW65:FX65" si="187">FW19</f>
        <v>5</v>
      </c>
      <c r="FX65" s="21" t="str">
        <f t="shared" si="187"/>
        <v>Cache</v>
      </c>
      <c r="FY65" s="48">
        <f>INDEX('2010'!$E$7:$EN$37,  MATCH(FW65, '2010'!$A$7:$A$37, 0), MATCH(FW61, '2010'!$E$4:$EN$4, 0) )</f>
        <v>111</v>
      </c>
      <c r="FZ65" s="48">
        <f>INDEX('2011'!$E$7:$EN$37,  MATCH(FW65, '2011'!$A$7:$A$37, 0), MATCH(FW61, '2011'!$E$4:$EN$4, 0) )</f>
        <v>101</v>
      </c>
      <c r="GA65" s="48">
        <f>INDEX('2012'!$E$7:$EN$37,  MATCH(FW65, '2012'!$A$7:$A$37, 0), MATCH(FW61, '2012'!$E$4:$EN$4, 0) )</f>
        <v>101</v>
      </c>
      <c r="GB65" s="48">
        <f>INDEX('2013'!$E$7:$EN$37,  MATCH(FW65, '2013'!$A$7:$A$37, 0), MATCH(FW61, '2013'!$E$4:$EN$4, 0) )</f>
        <v>110</v>
      </c>
      <c r="GC65" s="48">
        <f>INDEX('2014'!$E$7:$EN$37,  MATCH(FW65, '2014'!$A$7:$A$37, 0), MATCH(FW61, '2014'!$E$4:$EN$4, 0) )</f>
        <v>84</v>
      </c>
      <c r="GD65" s="48">
        <f>INDEX('2015'!$E$7:$EN$37,  MATCH(FW65, '2015'!$A$7:$A$37, 0), MATCH(FW61, '2015'!$E$4:$EN$4, 0) )</f>
        <v>126</v>
      </c>
      <c r="GE65" s="48">
        <f>INDEX('2016'!$E$7:$EN$37,  MATCH(FW65, '2016'!$A$7:$A$37, 0), MATCH(FW61, '2016'!$E$4:$EN$4, 0) )</f>
        <v>134</v>
      </c>
      <c r="GF65" s="48">
        <f>INDEX('2017'!$E$7:$EN$37,  MATCH(FW65, '2017'!$A$7:$A$37, 0), MATCH(FW61, '2017'!$E$4:$EN$4, 0) )</f>
        <v>153</v>
      </c>
      <c r="GG65" s="48">
        <f>INDEX('2018'!$E$7:$EN$37,  MATCH(FW65, '2018'!$A$7:$A$37, 0), MATCH(FW61, '2018'!$E$4:$EN$4, 0) )</f>
        <v>198</v>
      </c>
      <c r="GH65" s="48">
        <f>INDEX('2019'!$E$7:$EN$37,  MATCH(FW65, '2019'!$A$7:$A$37, 0), MATCH(FW61, '2019'!$E$4:$EN$4, 0) )</f>
        <v>190</v>
      </c>
      <c r="GJ65" s="9">
        <f t="shared" ref="GJ65:GK65" si="188">GJ19</f>
        <v>5</v>
      </c>
      <c r="GK65" s="21" t="str">
        <f t="shared" si="188"/>
        <v>Cache</v>
      </c>
      <c r="GL65" s="48">
        <f>INDEX('2010'!$E$7:$EN$37,  MATCH(GJ65, '2010'!$A$7:$A$37, 0), MATCH(GJ61, '2010'!$E$4:$EN$4, 0) )</f>
        <v>178</v>
      </c>
      <c r="GM65" s="48">
        <f>INDEX('2011'!$E$7:$EN$37,  MATCH(GJ65, '2011'!$A$7:$A$37, 0), MATCH(GJ61, '2011'!$E$4:$EN$4, 0) )</f>
        <v>162</v>
      </c>
      <c r="GN65" s="48">
        <f>INDEX('2012'!$E$7:$EN$37,  MATCH(GJ65, '2012'!$A$7:$A$37, 0), MATCH(GJ61, '2012'!$E$4:$EN$4, 0) )</f>
        <v>126</v>
      </c>
      <c r="GO65" s="48">
        <f>INDEX('2013'!$E$7:$EN$37,  MATCH(GJ65, '2013'!$A$7:$A$37, 0), MATCH(GJ61, '2013'!$E$4:$EN$4, 0) )</f>
        <v>153</v>
      </c>
      <c r="GP65" s="48">
        <f>INDEX('2014'!$E$7:$EN$37,  MATCH(GJ65, '2014'!$A$7:$A$37, 0), MATCH(GJ61, '2014'!$E$4:$EN$4, 0) )</f>
        <v>145</v>
      </c>
      <c r="GQ65" s="48">
        <f>INDEX('2015'!$E$7:$EN$37,  MATCH(GJ65, '2015'!$A$7:$A$37, 0), MATCH(GJ61, '2015'!$E$4:$EN$4, 0) )</f>
        <v>133</v>
      </c>
      <c r="GR65" s="48">
        <f>INDEX('2016'!$E$7:$EN$37,  MATCH(GJ65, '2016'!$A$7:$A$37, 0), MATCH(GJ61, '2016'!$E$4:$EN$4, 0) )</f>
        <v>153</v>
      </c>
      <c r="GS65" s="48">
        <f>INDEX('2017'!$E$7:$EN$37,  MATCH(GJ65, '2017'!$A$7:$A$37, 0), MATCH(GJ61, '2017'!$E$4:$EN$4, 0) )</f>
        <v>123</v>
      </c>
      <c r="GT65" s="48">
        <f>INDEX('2018'!$E$7:$EN$37,  MATCH(GJ65, '2018'!$A$7:$A$37, 0), MATCH(GJ61, '2018'!$E$4:$EN$4, 0) )</f>
        <v>163</v>
      </c>
      <c r="GU65" s="48">
        <f>INDEX('2019'!$E$7:$EN$37,  MATCH(GJ65, '2019'!$A$7:$A$37, 0), MATCH(GJ61, '2019'!$E$4:$EN$4, 0) )</f>
        <v>164</v>
      </c>
    </row>
    <row r="66" spans="153:203" x14ac:dyDescent="0.25">
      <c r="EW66" s="9">
        <f t="shared" ref="EW66:EX66" si="189">EW20</f>
        <v>7</v>
      </c>
      <c r="EX66" s="21" t="str">
        <f t="shared" si="189"/>
        <v>Carbon</v>
      </c>
      <c r="EY66" s="48">
        <f>INDEX('2010'!$E$7:$EN$37,  MATCH(EW66, '2010'!$A$7:$A$37, 0), MATCH(EW61, '2010'!$E$4:$EN$4, 0) )</f>
        <v>346</v>
      </c>
      <c r="EZ66" s="48">
        <f>INDEX('2011'!$E$7:$EN$37,  MATCH(EW66, '2011'!$A$7:$A$37, 0), MATCH(EW61, '2011'!$E$4:$EN$4, 0) )</f>
        <v>353</v>
      </c>
      <c r="FA66" s="48">
        <f>INDEX('2012'!$E$7:$EN$37,  MATCH(EW66, '2012'!$A$7:$A$37, 0), MATCH(EW61, '2012'!$E$4:$EN$4, 0) )</f>
        <v>352</v>
      </c>
      <c r="FB66" s="48">
        <f>INDEX('2013'!$E$7:$EN$37,  MATCH(EW66, '2013'!$A$7:$A$37, 0), MATCH(EW61, '2013'!$E$4:$EN$4, 0) )</f>
        <v>296</v>
      </c>
      <c r="FC66" s="48">
        <f>INDEX('2014'!$E$7:$EN$37,  MATCH(EW66, '2014'!$A$7:$A$37, 0), MATCH(EW61, '2014'!$E$4:$EN$4, 0) )</f>
        <v>330</v>
      </c>
      <c r="FD66" s="48">
        <f>INDEX('2015'!$E$7:$EN$37,  MATCH(EW66, '2015'!$A$7:$A$37, 0), MATCH(EW61, '2015'!$E$4:$EN$4, 0) )</f>
        <v>367</v>
      </c>
      <c r="FE66" s="48">
        <f>INDEX('2016'!$E$7:$EN$37,  MATCH(EW66, '2016'!$A$7:$A$37, 0), MATCH(EW61, '2016'!$E$4:$EN$4, 0) )</f>
        <v>292</v>
      </c>
      <c r="FF66" s="48">
        <f>INDEX('2017'!$E$7:$EN$37,  MATCH(EW66, '2017'!$A$7:$A$37, 0), MATCH(EW61, '2017'!$E$4:$EN$4, 0) )</f>
        <v>424</v>
      </c>
      <c r="FG66" s="48">
        <f>INDEX('2018'!$E$7:$EN$37,  MATCH(EW66, '2018'!$A$7:$A$37, 0), MATCH(EW61, '2018'!$E$4:$EN$4, 0) )</f>
        <v>381</v>
      </c>
      <c r="FH66" s="48">
        <f>INDEX('2019'!$E$7:$EN$37,  MATCH(EW66, '2019'!$A$7:$A$37, 0), MATCH(EW61, '2019'!$E$4:$EN$4, 0) )</f>
        <v>356</v>
      </c>
      <c r="FJ66" s="9">
        <f t="shared" ref="FJ66:FK66" si="190">FJ20</f>
        <v>7</v>
      </c>
      <c r="FK66" s="21" t="str">
        <f t="shared" si="190"/>
        <v>Carbon</v>
      </c>
      <c r="FL66" s="48">
        <f>INDEX('2010'!$E$7:$EN$37,  MATCH(FJ66, '2010'!$A$7:$A$37, 0), MATCH(FJ61, '2010'!$E$4:$EN$4, 0) )</f>
        <v>128</v>
      </c>
      <c r="FM66" s="48">
        <f>INDEX('2011'!$E$7:$EN$37,  MATCH(FJ66, '2011'!$A$7:$A$37, 0), MATCH(FJ61, '2011'!$E$4:$EN$4, 0) )</f>
        <v>95</v>
      </c>
      <c r="FN66" s="48">
        <f>INDEX('2012'!$E$7:$EN$37,  MATCH(FJ66, '2012'!$A$7:$A$37, 0), MATCH(FJ61, '2012'!$E$4:$EN$4, 0) )</f>
        <v>95</v>
      </c>
      <c r="FO66" s="48">
        <f>INDEX('2013'!$E$7:$EN$37,  MATCH(FJ66, '2013'!$A$7:$A$37, 0), MATCH(FJ61, '2013'!$E$4:$EN$4, 0) )</f>
        <v>90</v>
      </c>
      <c r="FP66" s="48">
        <f>INDEX('2014'!$E$7:$EN$37,  MATCH(FJ66, '2014'!$A$7:$A$37, 0), MATCH(FJ61, '2014'!$E$4:$EN$4, 0) )</f>
        <v>80</v>
      </c>
      <c r="FQ66" s="48">
        <f>INDEX('2015'!$E$7:$EN$37,  MATCH(FJ66, '2015'!$A$7:$A$37, 0), MATCH(FJ61, '2015'!$E$4:$EN$4, 0) )</f>
        <v>94</v>
      </c>
      <c r="FR66" s="48">
        <f>INDEX('2016'!$E$7:$EN$37,  MATCH(FJ66, '2016'!$A$7:$A$37, 0), MATCH(FJ61, '2016'!$E$4:$EN$4, 0) )</f>
        <v>81</v>
      </c>
      <c r="FS66" s="48">
        <f>INDEX('2017'!$E$7:$EN$37,  MATCH(FJ66, '2017'!$A$7:$A$37, 0), MATCH(FJ61, '2017'!$E$4:$EN$4, 0) )</f>
        <v>91</v>
      </c>
      <c r="FT66" s="48">
        <f>INDEX('2018'!$E$7:$EN$37,  MATCH(FJ66, '2018'!$A$7:$A$37, 0), MATCH(FJ61, '2018'!$E$4:$EN$4, 0) )</f>
        <v>124</v>
      </c>
      <c r="FU66" s="48">
        <f>INDEX('2019'!$E$7:$EN$37,  MATCH(FJ66, '2019'!$A$7:$A$37, 0), MATCH(FJ61, '2019'!$E$4:$EN$4, 0) )</f>
        <v>108</v>
      </c>
      <c r="FW66" s="9">
        <f t="shared" ref="FW66:FX66" si="191">FW20</f>
        <v>7</v>
      </c>
      <c r="FX66" s="21" t="str">
        <f t="shared" si="191"/>
        <v>Carbon</v>
      </c>
      <c r="FY66" s="48">
        <f>INDEX('2010'!$E$7:$EN$37,  MATCH(FW66, '2010'!$A$7:$A$37, 0), MATCH(FW61, '2010'!$E$4:$EN$4, 0) )</f>
        <v>22</v>
      </c>
      <c r="FZ66" s="48">
        <f>INDEX('2011'!$E$7:$EN$37,  MATCH(FW66, '2011'!$A$7:$A$37, 0), MATCH(FW61, '2011'!$E$4:$EN$4, 0) )</f>
        <v>4</v>
      </c>
      <c r="GA66" s="48">
        <f>INDEX('2012'!$E$7:$EN$37,  MATCH(FW66, '2012'!$A$7:$A$37, 0), MATCH(FW61, '2012'!$E$4:$EN$4, 0) )</f>
        <v>13</v>
      </c>
      <c r="GB66" s="48">
        <f>INDEX('2013'!$E$7:$EN$37,  MATCH(FW66, '2013'!$A$7:$A$37, 0), MATCH(FW61, '2013'!$E$4:$EN$4, 0) )</f>
        <v>8</v>
      </c>
      <c r="GC66" s="48">
        <f>INDEX('2014'!$E$7:$EN$37,  MATCH(FW66, '2014'!$A$7:$A$37, 0), MATCH(FW61, '2014'!$E$4:$EN$4, 0) )</f>
        <v>19</v>
      </c>
      <c r="GD66" s="48">
        <f>INDEX('2015'!$E$7:$EN$37,  MATCH(FW66, '2015'!$A$7:$A$37, 0), MATCH(FW61, '2015'!$E$4:$EN$4, 0) )</f>
        <v>18</v>
      </c>
      <c r="GE66" s="48">
        <f>INDEX('2016'!$E$7:$EN$37,  MATCH(FW66, '2016'!$A$7:$A$37, 0), MATCH(FW61, '2016'!$E$4:$EN$4, 0) )</f>
        <v>20</v>
      </c>
      <c r="GF66" s="48">
        <f>INDEX('2017'!$E$7:$EN$37,  MATCH(FW66, '2017'!$A$7:$A$37, 0), MATCH(FW61, '2017'!$E$4:$EN$4, 0) )</f>
        <v>37</v>
      </c>
      <c r="GG66" s="48">
        <f>INDEX('2018'!$E$7:$EN$37,  MATCH(FW66, '2018'!$A$7:$A$37, 0), MATCH(FW61, '2018'!$E$4:$EN$4, 0) )</f>
        <v>72</v>
      </c>
      <c r="GH66" s="48">
        <f>INDEX('2019'!$E$7:$EN$37,  MATCH(FW66, '2019'!$A$7:$A$37, 0), MATCH(FW61, '2019'!$E$4:$EN$4, 0) )</f>
        <v>64</v>
      </c>
      <c r="GJ66" s="9">
        <f t="shared" ref="GJ66:GK66" si="192">GJ20</f>
        <v>7</v>
      </c>
      <c r="GK66" s="21" t="str">
        <f t="shared" si="192"/>
        <v>Carbon</v>
      </c>
      <c r="GL66" s="48">
        <f>INDEX('2010'!$E$7:$EN$37,  MATCH(GJ66, '2010'!$A$7:$A$37, 0), MATCH(GJ61, '2010'!$E$4:$EN$4, 0) )</f>
        <v>59</v>
      </c>
      <c r="GM66" s="48">
        <f>INDEX('2011'!$E$7:$EN$37,  MATCH(GJ66, '2011'!$A$7:$A$37, 0), MATCH(GJ61, '2011'!$E$4:$EN$4, 0) )</f>
        <v>59</v>
      </c>
      <c r="GN66" s="48">
        <f>INDEX('2012'!$E$7:$EN$37,  MATCH(GJ66, '2012'!$A$7:$A$37, 0), MATCH(GJ61, '2012'!$E$4:$EN$4, 0) )</f>
        <v>61</v>
      </c>
      <c r="GO66" s="48">
        <f>INDEX('2013'!$E$7:$EN$37,  MATCH(GJ66, '2013'!$A$7:$A$37, 0), MATCH(GJ61, '2013'!$E$4:$EN$4, 0) )</f>
        <v>55</v>
      </c>
      <c r="GP66" s="48">
        <f>INDEX('2014'!$E$7:$EN$37,  MATCH(GJ66, '2014'!$A$7:$A$37, 0), MATCH(GJ61, '2014'!$E$4:$EN$4, 0) )</f>
        <v>55</v>
      </c>
      <c r="GQ66" s="48">
        <f>INDEX('2015'!$E$7:$EN$37,  MATCH(GJ66, '2015'!$A$7:$A$37, 0), MATCH(GJ61, '2015'!$E$4:$EN$4, 0) )</f>
        <v>56</v>
      </c>
      <c r="GR66" s="48">
        <f>INDEX('2016'!$E$7:$EN$37,  MATCH(GJ66, '2016'!$A$7:$A$37, 0), MATCH(GJ61, '2016'!$E$4:$EN$4, 0) )</f>
        <v>47</v>
      </c>
      <c r="GS66" s="48">
        <f>INDEX('2017'!$E$7:$EN$37,  MATCH(GJ66, '2017'!$A$7:$A$37, 0), MATCH(GJ61, '2017'!$E$4:$EN$4, 0) )</f>
        <v>47</v>
      </c>
      <c r="GT66" s="48">
        <f>INDEX('2018'!$E$7:$EN$37,  MATCH(GJ66, '2018'!$A$7:$A$37, 0), MATCH(GJ61, '2018'!$E$4:$EN$4, 0) )</f>
        <v>58</v>
      </c>
      <c r="GU66" s="48">
        <f>INDEX('2019'!$E$7:$EN$37,  MATCH(GJ66, '2019'!$A$7:$A$37, 0), MATCH(GJ61, '2019'!$E$4:$EN$4, 0) )</f>
        <v>64</v>
      </c>
    </row>
    <row r="67" spans="153:203" x14ac:dyDescent="0.25">
      <c r="EW67" s="9">
        <f t="shared" ref="EW67:EX67" si="193">EW21</f>
        <v>9</v>
      </c>
      <c r="EX67" s="21" t="str">
        <f t="shared" si="193"/>
        <v>Daggett</v>
      </c>
      <c r="EY67" s="48">
        <f>INDEX('2010'!$E$7:$EN$37,  MATCH(EW67, '2010'!$A$7:$A$37, 0), MATCH(EW61, '2010'!$E$4:$EN$4, 0) )</f>
        <v>94</v>
      </c>
      <c r="EZ67" s="48">
        <f>INDEX('2011'!$E$7:$EN$37,  MATCH(EW67, '2011'!$A$7:$A$37, 0), MATCH(EW61, '2011'!$E$4:$EN$4, 0) )</f>
        <v>83</v>
      </c>
      <c r="FA67" s="48">
        <f>INDEX('2012'!$E$7:$EN$37,  MATCH(EW67, '2012'!$A$7:$A$37, 0), MATCH(EW61, '2012'!$E$4:$EN$4, 0) )</f>
        <v>70</v>
      </c>
      <c r="FB67" s="48">
        <f>INDEX('2013'!$E$7:$EN$37,  MATCH(EW67, '2013'!$A$7:$A$37, 0), MATCH(EW61, '2013'!$E$4:$EN$4, 0) )</f>
        <v>59</v>
      </c>
      <c r="FC67" s="48">
        <f>INDEX('2014'!$E$7:$EN$37,  MATCH(EW67, '2014'!$A$7:$A$37, 0), MATCH(EW61, '2014'!$E$4:$EN$4, 0) )</f>
        <v>57</v>
      </c>
      <c r="FD67" s="48">
        <f>INDEX('2015'!$E$7:$EN$37,  MATCH(EW67, '2015'!$A$7:$A$37, 0), MATCH(EW61, '2015'!$E$4:$EN$4, 0) )</f>
        <v>55</v>
      </c>
      <c r="FE67" s="48">
        <f>INDEX('2016'!$E$7:$EN$37,  MATCH(EW67, '2016'!$A$7:$A$37, 0), MATCH(EW61, '2016'!$E$4:$EN$4, 0) )</f>
        <v>80</v>
      </c>
      <c r="FF67" s="48">
        <f>INDEX('2017'!$E$7:$EN$37,  MATCH(EW67, '2017'!$A$7:$A$37, 0), MATCH(EW61, '2017'!$E$4:$EN$4, 0) )</f>
        <v>122</v>
      </c>
      <c r="FG67" s="48">
        <f>INDEX('2018'!$E$7:$EN$37,  MATCH(EW67, '2018'!$A$7:$A$37, 0), MATCH(EW61, '2018'!$E$4:$EN$4, 0) )</f>
        <v>104</v>
      </c>
      <c r="FH67" s="48">
        <f>INDEX('2019'!$E$7:$EN$37,  MATCH(EW67, '2019'!$A$7:$A$37, 0), MATCH(EW61, '2019'!$E$4:$EN$4, 0) )</f>
        <v>111</v>
      </c>
      <c r="FJ67" s="9">
        <f t="shared" ref="FJ67:FK67" si="194">FJ21</f>
        <v>9</v>
      </c>
      <c r="FK67" s="21" t="str">
        <f t="shared" si="194"/>
        <v>Daggett</v>
      </c>
      <c r="FL67" s="48">
        <f>INDEX('2010'!$E$7:$EN$37,  MATCH(FJ67, '2010'!$A$7:$A$37, 0), MATCH(FJ61, '2010'!$E$4:$EN$4, 0) )</f>
        <v>41</v>
      </c>
      <c r="FM67" s="48">
        <f>INDEX('2011'!$E$7:$EN$37,  MATCH(FJ67, '2011'!$A$7:$A$37, 0), MATCH(FJ61, '2011'!$E$4:$EN$4, 0) )</f>
        <v>43</v>
      </c>
      <c r="FN67" s="48">
        <f>INDEX('2012'!$E$7:$EN$37,  MATCH(FJ67, '2012'!$A$7:$A$37, 0), MATCH(FJ61, '2012'!$E$4:$EN$4, 0) )</f>
        <v>28</v>
      </c>
      <c r="FO67" s="48">
        <f>INDEX('2013'!$E$7:$EN$37,  MATCH(FJ67, '2013'!$A$7:$A$37, 0), MATCH(FJ61, '2013'!$E$4:$EN$4, 0) )</f>
        <v>31</v>
      </c>
      <c r="FP67" s="48">
        <f>INDEX('2014'!$E$7:$EN$37,  MATCH(FJ67, '2014'!$A$7:$A$37, 0), MATCH(FJ61, '2014'!$E$4:$EN$4, 0) )</f>
        <v>33</v>
      </c>
      <c r="FQ67" s="48">
        <f>INDEX('2015'!$E$7:$EN$37,  MATCH(FJ67, '2015'!$A$7:$A$37, 0), MATCH(FJ61, '2015'!$E$4:$EN$4, 0) )</f>
        <v>10</v>
      </c>
      <c r="FR67" s="48">
        <f>INDEX('2016'!$E$7:$EN$37,  MATCH(FJ67, '2016'!$A$7:$A$37, 0), MATCH(FJ61, '2016'!$E$4:$EN$4, 0) )</f>
        <v>18</v>
      </c>
      <c r="FS67" s="48">
        <f>INDEX('2017'!$E$7:$EN$37,  MATCH(FJ67, '2017'!$A$7:$A$37, 0), MATCH(FJ61, '2017'!$E$4:$EN$4, 0) )</f>
        <v>21</v>
      </c>
      <c r="FT67" s="48">
        <f>INDEX('2018'!$E$7:$EN$37,  MATCH(FJ67, '2018'!$A$7:$A$37, 0), MATCH(FJ61, '2018'!$E$4:$EN$4, 0) )</f>
        <v>15</v>
      </c>
      <c r="FU67" s="48">
        <f>INDEX('2019'!$E$7:$EN$37,  MATCH(FJ67, '2019'!$A$7:$A$37, 0), MATCH(FJ61, '2019'!$E$4:$EN$4, 0) )</f>
        <v>18</v>
      </c>
      <c r="FW67" s="9">
        <f t="shared" ref="FW67:FX67" si="195">FW21</f>
        <v>9</v>
      </c>
      <c r="FX67" s="21" t="str">
        <f t="shared" si="195"/>
        <v>Daggett</v>
      </c>
      <c r="FY67" s="48">
        <f>INDEX('2010'!$E$7:$EN$37,  MATCH(FW67, '2010'!$A$7:$A$37, 0), MATCH(FW61, '2010'!$E$4:$EN$4, 0) )</f>
        <v>41</v>
      </c>
      <c r="FZ67" s="48">
        <f>INDEX('2011'!$E$7:$EN$37,  MATCH(FW67, '2011'!$A$7:$A$37, 0), MATCH(FW61, '2011'!$E$4:$EN$4, 0) )</f>
        <v>41</v>
      </c>
      <c r="GA67" s="48">
        <f>INDEX('2012'!$E$7:$EN$37,  MATCH(FW67, '2012'!$A$7:$A$37, 0), MATCH(FW61, '2012'!$E$4:$EN$4, 0) )</f>
        <v>27</v>
      </c>
      <c r="GB67" s="48">
        <f>INDEX('2013'!$E$7:$EN$37,  MATCH(FW67, '2013'!$A$7:$A$37, 0), MATCH(FW61, '2013'!$E$4:$EN$4, 0) )</f>
        <v>29</v>
      </c>
      <c r="GC67" s="48">
        <f>INDEX('2014'!$E$7:$EN$37,  MATCH(FW67, '2014'!$A$7:$A$37, 0), MATCH(FW61, '2014'!$E$4:$EN$4, 0) )</f>
        <v>31</v>
      </c>
      <c r="GD67" s="48">
        <f>INDEX('2015'!$E$7:$EN$37,  MATCH(FW67, '2015'!$A$7:$A$37, 0), MATCH(FW61, '2015'!$E$4:$EN$4, 0) )</f>
        <v>11</v>
      </c>
      <c r="GE67" s="48">
        <f>INDEX('2016'!$E$7:$EN$37,  MATCH(FW67, '2016'!$A$7:$A$37, 0), MATCH(FW61, '2016'!$E$4:$EN$4, 0) )</f>
        <v>14</v>
      </c>
      <c r="GF67" s="48">
        <f>INDEX('2017'!$E$7:$EN$37,  MATCH(FW67, '2017'!$A$7:$A$37, 0), MATCH(FW61, '2017'!$E$4:$EN$4, 0) )</f>
        <v>18</v>
      </c>
      <c r="GG67" s="48">
        <f>INDEX('2018'!$E$7:$EN$37,  MATCH(FW67, '2018'!$A$7:$A$37, 0), MATCH(FW61, '2018'!$E$4:$EN$4, 0) )</f>
        <v>13</v>
      </c>
      <c r="GH67" s="48">
        <f>INDEX('2019'!$E$7:$EN$37,  MATCH(FW67, '2019'!$A$7:$A$37, 0), MATCH(FW61, '2019'!$E$4:$EN$4, 0) )</f>
        <v>18</v>
      </c>
      <c r="GJ67" s="9">
        <f t="shared" ref="GJ67:GK67" si="196">GJ21</f>
        <v>9</v>
      </c>
      <c r="GK67" s="21" t="str">
        <f t="shared" si="196"/>
        <v>Daggett</v>
      </c>
      <c r="GL67" s="48">
        <f>INDEX('2010'!$E$7:$EN$37,  MATCH(GJ67, '2010'!$A$7:$A$37, 0), MATCH(GJ61, '2010'!$E$4:$EN$4, 0) )</f>
        <v>119</v>
      </c>
      <c r="GM67" s="48">
        <f>INDEX('2011'!$E$7:$EN$37,  MATCH(GJ67, '2011'!$A$7:$A$37, 0), MATCH(GJ61, '2011'!$E$4:$EN$4, 0) )</f>
        <v>89</v>
      </c>
      <c r="GN67" s="48">
        <f>INDEX('2012'!$E$7:$EN$37,  MATCH(GJ67, '2012'!$A$7:$A$37, 0), MATCH(GJ61, '2012'!$E$4:$EN$4, 0) )</f>
        <v>11</v>
      </c>
      <c r="GO67" s="48">
        <f>INDEX('2013'!$E$7:$EN$37,  MATCH(GJ67, '2013'!$A$7:$A$37, 0), MATCH(GJ61, '2013'!$E$4:$EN$4, 0) )</f>
        <v>7</v>
      </c>
      <c r="GP67" s="48">
        <f>INDEX('2014'!$E$7:$EN$37,  MATCH(GJ67, '2014'!$A$7:$A$37, 0), MATCH(GJ61, '2014'!$E$4:$EN$4, 0) )</f>
        <v>7</v>
      </c>
      <c r="GQ67" s="48">
        <f>INDEX('2015'!$E$7:$EN$37,  MATCH(GJ67, '2015'!$A$7:$A$37, 0), MATCH(GJ61, '2015'!$E$4:$EN$4, 0) )</f>
        <v>9</v>
      </c>
      <c r="GR67" s="48">
        <f>INDEX('2016'!$E$7:$EN$37,  MATCH(GJ67, '2016'!$A$7:$A$37, 0), MATCH(GJ61, '2016'!$E$4:$EN$4, 0) )</f>
        <v>10</v>
      </c>
      <c r="GS67" s="48">
        <f>INDEX('2017'!$E$7:$EN$37,  MATCH(GJ67, '2017'!$A$7:$A$37, 0), MATCH(GJ61, '2017'!$E$4:$EN$4, 0) )</f>
        <v>8</v>
      </c>
      <c r="GT67" s="48">
        <f>INDEX('2018'!$E$7:$EN$37,  MATCH(GJ67, '2018'!$A$7:$A$37, 0), MATCH(GJ61, '2018'!$E$4:$EN$4, 0) )</f>
        <v>11</v>
      </c>
      <c r="GU67" s="48">
        <f>INDEX('2019'!$E$7:$EN$37,  MATCH(GJ67, '2019'!$A$7:$A$37, 0), MATCH(GJ61, '2019'!$E$4:$EN$4, 0) )</f>
        <v>11</v>
      </c>
    </row>
    <row r="68" spans="153:203" x14ac:dyDescent="0.25">
      <c r="EW68" s="9">
        <f t="shared" ref="EW68:EX68" si="197">EW22</f>
        <v>11</v>
      </c>
      <c r="EX68" s="21" t="str">
        <f t="shared" si="197"/>
        <v>Davis</v>
      </c>
      <c r="EY68" s="48">
        <f>INDEX('2010'!$E$7:$EN$37,  MATCH(EW68, '2010'!$A$7:$A$37, 0), MATCH(EW61, '2010'!$E$4:$EN$4, 0) )</f>
        <v>1155</v>
      </c>
      <c r="EZ68" s="48">
        <f>INDEX('2011'!$E$7:$EN$37,  MATCH(EW68, '2011'!$A$7:$A$37, 0), MATCH(EW61, '2011'!$E$4:$EN$4, 0) )</f>
        <v>1217</v>
      </c>
      <c r="FA68" s="48">
        <f>INDEX('2012'!$E$7:$EN$37,  MATCH(EW68, '2012'!$A$7:$A$37, 0), MATCH(EW61, '2012'!$E$4:$EN$4, 0) )</f>
        <v>1226</v>
      </c>
      <c r="FB68" s="48">
        <f>INDEX('2013'!$E$7:$EN$37,  MATCH(EW68, '2013'!$A$7:$A$37, 0), MATCH(EW61, '2013'!$E$4:$EN$4, 0) )</f>
        <v>1462</v>
      </c>
      <c r="FC68" s="48">
        <f>INDEX('2014'!$E$7:$EN$37,  MATCH(EW68, '2014'!$A$7:$A$37, 0), MATCH(EW61, '2014'!$E$4:$EN$4, 0) )</f>
        <v>1340</v>
      </c>
      <c r="FD68" s="48">
        <f>INDEX('2015'!$E$7:$EN$37,  MATCH(EW68, '2015'!$A$7:$A$37, 0), MATCH(EW61, '2015'!$E$4:$EN$4, 0) )</f>
        <v>1353</v>
      </c>
      <c r="FE68" s="48">
        <f>INDEX('2016'!$E$7:$EN$37,  MATCH(EW68, '2016'!$A$7:$A$37, 0), MATCH(EW61, '2016'!$E$4:$EN$4, 0) )</f>
        <v>1297</v>
      </c>
      <c r="FF68" s="48">
        <f>INDEX('2017'!$E$7:$EN$37,  MATCH(EW68, '2017'!$A$7:$A$37, 0), MATCH(EW61, '2017'!$E$4:$EN$4, 0) )</f>
        <v>1595</v>
      </c>
      <c r="FG68" s="48">
        <f>INDEX('2018'!$E$7:$EN$37,  MATCH(EW68, '2018'!$A$7:$A$37, 0), MATCH(EW61, '2018'!$E$4:$EN$4, 0) )</f>
        <v>1626</v>
      </c>
      <c r="FH68" s="48">
        <f>INDEX('2019'!$E$7:$EN$37,  MATCH(EW68, '2019'!$A$7:$A$37, 0), MATCH(EW61, '2019'!$E$4:$EN$4, 0) )</f>
        <v>1402</v>
      </c>
      <c r="FJ68" s="9">
        <f t="shared" ref="FJ68:FK68" si="198">FJ22</f>
        <v>11</v>
      </c>
      <c r="FK68" s="21" t="str">
        <f t="shared" si="198"/>
        <v>Davis</v>
      </c>
      <c r="FL68" s="48">
        <f>INDEX('2010'!$E$7:$EN$37,  MATCH(FJ68, '2010'!$A$7:$A$37, 0), MATCH(FJ61, '2010'!$E$4:$EN$4, 0) )</f>
        <v>394</v>
      </c>
      <c r="FM68" s="48">
        <f>INDEX('2011'!$E$7:$EN$37,  MATCH(FJ68, '2011'!$A$7:$A$37, 0), MATCH(FJ61, '2011'!$E$4:$EN$4, 0) )</f>
        <v>567</v>
      </c>
      <c r="FN68" s="48">
        <f>INDEX('2012'!$E$7:$EN$37,  MATCH(FJ68, '2012'!$A$7:$A$37, 0), MATCH(FJ61, '2012'!$E$4:$EN$4, 0) )</f>
        <v>506</v>
      </c>
      <c r="FO68" s="48">
        <f>INDEX('2013'!$E$7:$EN$37,  MATCH(FJ68, '2013'!$A$7:$A$37, 0), MATCH(FJ61, '2013'!$E$4:$EN$4, 0) )</f>
        <v>481</v>
      </c>
      <c r="FP68" s="48">
        <f>INDEX('2014'!$E$7:$EN$37,  MATCH(FJ68, '2014'!$A$7:$A$37, 0), MATCH(FJ61, '2014'!$E$4:$EN$4, 0) )</f>
        <v>507</v>
      </c>
      <c r="FQ68" s="48">
        <f>INDEX('2015'!$E$7:$EN$37,  MATCH(FJ68, '2015'!$A$7:$A$37, 0), MATCH(FJ61, '2015'!$E$4:$EN$4, 0) )</f>
        <v>592</v>
      </c>
      <c r="FR68" s="48">
        <f>INDEX('2016'!$E$7:$EN$37,  MATCH(FJ68, '2016'!$A$7:$A$37, 0), MATCH(FJ61, '2016'!$E$4:$EN$4, 0) )</f>
        <v>587</v>
      </c>
      <c r="FS68" s="48">
        <f>INDEX('2017'!$E$7:$EN$37,  MATCH(FJ68, '2017'!$A$7:$A$37, 0), MATCH(FJ61, '2017'!$E$4:$EN$4, 0) )</f>
        <v>663</v>
      </c>
      <c r="FT68" s="48">
        <f>INDEX('2018'!$E$7:$EN$37,  MATCH(FJ68, '2018'!$A$7:$A$37, 0), MATCH(FJ61, '2018'!$E$4:$EN$4, 0) )</f>
        <v>630</v>
      </c>
      <c r="FU68" s="48">
        <f>INDEX('2019'!$E$7:$EN$37,  MATCH(FJ68, '2019'!$A$7:$A$37, 0), MATCH(FJ61, '2019'!$E$4:$EN$4, 0) )</f>
        <v>711</v>
      </c>
      <c r="FW68" s="9">
        <f t="shared" ref="FW68:FX68" si="199">FW22</f>
        <v>11</v>
      </c>
      <c r="FX68" s="21" t="str">
        <f t="shared" si="199"/>
        <v>Davis</v>
      </c>
      <c r="FY68" s="48">
        <f>INDEX('2010'!$E$7:$EN$37,  MATCH(FW68, '2010'!$A$7:$A$37, 0), MATCH(FW61, '2010'!$E$4:$EN$4, 0) )</f>
        <v>184</v>
      </c>
      <c r="FZ68" s="48">
        <f>INDEX('2011'!$E$7:$EN$37,  MATCH(FW68, '2011'!$A$7:$A$37, 0), MATCH(FW61, '2011'!$E$4:$EN$4, 0) )</f>
        <v>159</v>
      </c>
      <c r="GA68" s="48">
        <f>INDEX('2012'!$E$7:$EN$37,  MATCH(FW68, '2012'!$A$7:$A$37, 0), MATCH(FW61, '2012'!$E$4:$EN$4, 0) )</f>
        <v>156</v>
      </c>
      <c r="GB68" s="48">
        <f>INDEX('2013'!$E$7:$EN$37,  MATCH(FW68, '2013'!$A$7:$A$37, 0), MATCH(FW61, '2013'!$E$4:$EN$4, 0) )</f>
        <v>169</v>
      </c>
      <c r="GC68" s="48">
        <f>INDEX('2014'!$E$7:$EN$37,  MATCH(FW68, '2014'!$A$7:$A$37, 0), MATCH(FW61, '2014'!$E$4:$EN$4, 0) )</f>
        <v>155</v>
      </c>
      <c r="GD68" s="48">
        <f>INDEX('2015'!$E$7:$EN$37,  MATCH(FW68, '2015'!$A$7:$A$37, 0), MATCH(FW61, '2015'!$E$4:$EN$4, 0) )</f>
        <v>226</v>
      </c>
      <c r="GE68" s="48">
        <f>INDEX('2016'!$E$7:$EN$37,  MATCH(FW68, '2016'!$A$7:$A$37, 0), MATCH(FW61, '2016'!$E$4:$EN$4, 0) )</f>
        <v>187</v>
      </c>
      <c r="GF68" s="48">
        <f>INDEX('2017'!$E$7:$EN$37,  MATCH(FW68, '2017'!$A$7:$A$37, 0), MATCH(FW61, '2017'!$E$4:$EN$4, 0) )</f>
        <v>218</v>
      </c>
      <c r="GG68" s="48">
        <f>INDEX('2018'!$E$7:$EN$37,  MATCH(FW68, '2018'!$A$7:$A$37, 0), MATCH(FW61, '2018'!$E$4:$EN$4, 0) )</f>
        <v>264</v>
      </c>
      <c r="GH68" s="48">
        <f>INDEX('2019'!$E$7:$EN$37,  MATCH(FW68, '2019'!$A$7:$A$37, 0), MATCH(FW61, '2019'!$E$4:$EN$4, 0) )</f>
        <v>264</v>
      </c>
      <c r="GJ68" s="9">
        <f t="shared" ref="GJ68:GK68" si="200">GJ22</f>
        <v>11</v>
      </c>
      <c r="GK68" s="21" t="str">
        <f t="shared" si="200"/>
        <v>Davis</v>
      </c>
      <c r="GL68" s="48">
        <f>INDEX('2010'!$E$7:$EN$37,  MATCH(GJ68, '2010'!$A$7:$A$37, 0), MATCH(GJ61, '2010'!$E$4:$EN$4, 0) )</f>
        <v>285</v>
      </c>
      <c r="GM68" s="48">
        <f>INDEX('2011'!$E$7:$EN$37,  MATCH(GJ68, '2011'!$A$7:$A$37, 0), MATCH(GJ61, '2011'!$E$4:$EN$4, 0) )</f>
        <v>292</v>
      </c>
      <c r="GN68" s="48">
        <f>INDEX('2012'!$E$7:$EN$37,  MATCH(GJ68, '2012'!$A$7:$A$37, 0), MATCH(GJ61, '2012'!$E$4:$EN$4, 0) )</f>
        <v>273</v>
      </c>
      <c r="GO68" s="48">
        <f>INDEX('2013'!$E$7:$EN$37,  MATCH(GJ68, '2013'!$A$7:$A$37, 0), MATCH(GJ61, '2013'!$E$4:$EN$4, 0) )</f>
        <v>269</v>
      </c>
      <c r="GP68" s="48">
        <f>INDEX('2014'!$E$7:$EN$37,  MATCH(GJ68, '2014'!$A$7:$A$37, 0), MATCH(GJ61, '2014'!$E$4:$EN$4, 0) )</f>
        <v>337</v>
      </c>
      <c r="GQ68" s="48">
        <f>INDEX('2015'!$E$7:$EN$37,  MATCH(GJ68, '2015'!$A$7:$A$37, 0), MATCH(GJ61, '2015'!$E$4:$EN$4, 0) )</f>
        <v>278</v>
      </c>
      <c r="GR68" s="48">
        <f>INDEX('2016'!$E$7:$EN$37,  MATCH(GJ68, '2016'!$A$7:$A$37, 0), MATCH(GJ61, '2016'!$E$4:$EN$4, 0) )</f>
        <v>320</v>
      </c>
      <c r="GS68" s="48">
        <f>INDEX('2017'!$E$7:$EN$37,  MATCH(GJ68, '2017'!$A$7:$A$37, 0), MATCH(GJ61, '2017'!$E$4:$EN$4, 0) )</f>
        <v>252</v>
      </c>
      <c r="GT68" s="48">
        <f>INDEX('2018'!$E$7:$EN$37,  MATCH(GJ68, '2018'!$A$7:$A$37, 0), MATCH(GJ61, '2018'!$E$4:$EN$4, 0) )</f>
        <v>312</v>
      </c>
      <c r="GU68" s="48">
        <f>INDEX('2019'!$E$7:$EN$37,  MATCH(GJ68, '2019'!$A$7:$A$37, 0), MATCH(GJ61, '2019'!$E$4:$EN$4, 0) )</f>
        <v>326</v>
      </c>
    </row>
    <row r="69" spans="153:203" x14ac:dyDescent="0.25">
      <c r="EW69" s="9">
        <f t="shared" ref="EW69:EX69" si="201">EW23</f>
        <v>13</v>
      </c>
      <c r="EX69" s="21" t="str">
        <f t="shared" si="201"/>
        <v>Duchesne</v>
      </c>
      <c r="EY69" s="48">
        <f>INDEX('2010'!$E$7:$EN$37,  MATCH(EW69, '2010'!$A$7:$A$37, 0), MATCH(EW61, '2010'!$E$4:$EN$4, 0) )</f>
        <v>283</v>
      </c>
      <c r="EZ69" s="48">
        <f>INDEX('2011'!$E$7:$EN$37,  MATCH(EW69, '2011'!$A$7:$A$37, 0), MATCH(EW61, '2011'!$E$4:$EN$4, 0) )</f>
        <v>330</v>
      </c>
      <c r="FA69" s="48">
        <f>INDEX('2012'!$E$7:$EN$37,  MATCH(EW69, '2012'!$A$7:$A$37, 0), MATCH(EW61, '2012'!$E$4:$EN$4, 0) )</f>
        <v>213</v>
      </c>
      <c r="FB69" s="48">
        <f>INDEX('2013'!$E$7:$EN$37,  MATCH(EW69, '2013'!$A$7:$A$37, 0), MATCH(EW61, '2013'!$E$4:$EN$4, 0) )</f>
        <v>269</v>
      </c>
      <c r="FC69" s="48">
        <f>INDEX('2014'!$E$7:$EN$37,  MATCH(EW69, '2014'!$A$7:$A$37, 0), MATCH(EW61, '2014'!$E$4:$EN$4, 0) )</f>
        <v>285</v>
      </c>
      <c r="FD69" s="48">
        <f>INDEX('2015'!$E$7:$EN$37,  MATCH(EW69, '2015'!$A$7:$A$37, 0), MATCH(EW61, '2015'!$E$4:$EN$4, 0) )</f>
        <v>232</v>
      </c>
      <c r="FE69" s="48">
        <f>INDEX('2016'!$E$7:$EN$37,  MATCH(EW69, '2016'!$A$7:$A$37, 0), MATCH(EW61, '2016'!$E$4:$EN$4, 0) )</f>
        <v>211</v>
      </c>
      <c r="FF69" s="48">
        <f>INDEX('2017'!$E$7:$EN$37,  MATCH(EW69, '2017'!$A$7:$A$37, 0), MATCH(EW61, '2017'!$E$4:$EN$4, 0) )</f>
        <v>199</v>
      </c>
      <c r="FG69" s="48">
        <f>INDEX('2018'!$E$7:$EN$37,  MATCH(EW69, '2018'!$A$7:$A$37, 0), MATCH(EW61, '2018'!$E$4:$EN$4, 0) )</f>
        <v>183</v>
      </c>
      <c r="FH69" s="48">
        <f>INDEX('2019'!$E$7:$EN$37,  MATCH(EW69, '2019'!$A$7:$A$37, 0), MATCH(EW61, '2019'!$E$4:$EN$4, 0) )</f>
        <v>233</v>
      </c>
      <c r="FJ69" s="9">
        <f t="shared" ref="FJ69:FK69" si="202">FJ23</f>
        <v>13</v>
      </c>
      <c r="FK69" s="21" t="str">
        <f t="shared" si="202"/>
        <v>Duchesne</v>
      </c>
      <c r="FL69" s="48">
        <f>INDEX('2010'!$E$7:$EN$37,  MATCH(FJ69, '2010'!$A$7:$A$37, 0), MATCH(FJ61, '2010'!$E$4:$EN$4, 0) )</f>
        <v>129</v>
      </c>
      <c r="FM69" s="48">
        <f>INDEX('2011'!$E$7:$EN$37,  MATCH(FJ69, '2011'!$A$7:$A$37, 0), MATCH(FJ61, '2011'!$E$4:$EN$4, 0) )</f>
        <v>131</v>
      </c>
      <c r="FN69" s="48">
        <f>INDEX('2012'!$E$7:$EN$37,  MATCH(FJ69, '2012'!$A$7:$A$37, 0), MATCH(FJ61, '2012'!$E$4:$EN$4, 0) )</f>
        <v>99</v>
      </c>
      <c r="FO69" s="48">
        <f>INDEX('2013'!$E$7:$EN$37,  MATCH(FJ69, '2013'!$A$7:$A$37, 0), MATCH(FJ61, '2013'!$E$4:$EN$4, 0) )</f>
        <v>97</v>
      </c>
      <c r="FP69" s="48">
        <f>INDEX('2014'!$E$7:$EN$37,  MATCH(FJ69, '2014'!$A$7:$A$37, 0), MATCH(FJ61, '2014'!$E$4:$EN$4, 0) )</f>
        <v>71</v>
      </c>
      <c r="FQ69" s="48">
        <f>INDEX('2015'!$E$7:$EN$37,  MATCH(FJ69, '2015'!$A$7:$A$37, 0), MATCH(FJ61, '2015'!$E$4:$EN$4, 0) )</f>
        <v>58</v>
      </c>
      <c r="FR69" s="48">
        <f>INDEX('2016'!$E$7:$EN$37,  MATCH(FJ69, '2016'!$A$7:$A$37, 0), MATCH(FJ61, '2016'!$E$4:$EN$4, 0) )</f>
        <v>74</v>
      </c>
      <c r="FS69" s="48">
        <f>INDEX('2017'!$E$7:$EN$37,  MATCH(FJ69, '2017'!$A$7:$A$37, 0), MATCH(FJ61, '2017'!$E$4:$EN$4, 0) )</f>
        <v>80</v>
      </c>
      <c r="FT69" s="48">
        <f>INDEX('2018'!$E$7:$EN$37,  MATCH(FJ69, '2018'!$A$7:$A$37, 0), MATCH(FJ61, '2018'!$E$4:$EN$4, 0) )</f>
        <v>95</v>
      </c>
      <c r="FU69" s="48">
        <f>INDEX('2019'!$E$7:$EN$37,  MATCH(FJ69, '2019'!$A$7:$A$37, 0), MATCH(FJ61, '2019'!$E$4:$EN$4, 0) )</f>
        <v>107</v>
      </c>
      <c r="FW69" s="9">
        <f t="shared" ref="FW69:FX69" si="203">FW23</f>
        <v>13</v>
      </c>
      <c r="FX69" s="21" t="str">
        <f t="shared" si="203"/>
        <v>Duchesne</v>
      </c>
      <c r="FY69" s="48">
        <f>INDEX('2010'!$E$7:$EN$37,  MATCH(FW69, '2010'!$A$7:$A$37, 0), MATCH(FW61, '2010'!$E$4:$EN$4, 0) )</f>
        <v>31</v>
      </c>
      <c r="FZ69" s="48">
        <f>INDEX('2011'!$E$7:$EN$37,  MATCH(FW69, '2011'!$A$7:$A$37, 0), MATCH(FW61, '2011'!$E$4:$EN$4, 0) )</f>
        <v>22</v>
      </c>
      <c r="GA69" s="48">
        <f>INDEX('2012'!$E$7:$EN$37,  MATCH(FW69, '2012'!$A$7:$A$37, 0), MATCH(FW61, '2012'!$E$4:$EN$4, 0) )</f>
        <v>33</v>
      </c>
      <c r="GB69" s="48">
        <f>INDEX('2013'!$E$7:$EN$37,  MATCH(FW69, '2013'!$A$7:$A$37, 0), MATCH(FW61, '2013'!$E$4:$EN$4, 0) )</f>
        <v>22</v>
      </c>
      <c r="GC69" s="48">
        <f>INDEX('2014'!$E$7:$EN$37,  MATCH(FW69, '2014'!$A$7:$A$37, 0), MATCH(FW61, '2014'!$E$4:$EN$4, 0) )</f>
        <v>25</v>
      </c>
      <c r="GD69" s="48">
        <f>INDEX('2015'!$E$7:$EN$37,  MATCH(FW69, '2015'!$A$7:$A$37, 0), MATCH(FW61, '2015'!$E$4:$EN$4, 0) )</f>
        <v>30</v>
      </c>
      <c r="GE69" s="48">
        <f>INDEX('2016'!$E$7:$EN$37,  MATCH(FW69, '2016'!$A$7:$A$37, 0), MATCH(FW61, '2016'!$E$4:$EN$4, 0) )</f>
        <v>42</v>
      </c>
      <c r="GF69" s="48">
        <f>INDEX('2017'!$E$7:$EN$37,  MATCH(FW69, '2017'!$A$7:$A$37, 0), MATCH(FW61, '2017'!$E$4:$EN$4, 0) )</f>
        <v>42</v>
      </c>
      <c r="GG69" s="48">
        <f>INDEX('2018'!$E$7:$EN$37,  MATCH(FW69, '2018'!$A$7:$A$37, 0), MATCH(FW61, '2018'!$E$4:$EN$4, 0) )</f>
        <v>52</v>
      </c>
      <c r="GH69" s="48">
        <f>INDEX('2019'!$E$7:$EN$37,  MATCH(FW69, '2019'!$A$7:$A$37, 0), MATCH(FW61, '2019'!$E$4:$EN$4, 0) )</f>
        <v>56</v>
      </c>
      <c r="GJ69" s="9">
        <f t="shared" ref="GJ69:GK69" si="204">GJ23</f>
        <v>13</v>
      </c>
      <c r="GK69" s="21" t="str">
        <f t="shared" si="204"/>
        <v>Duchesne</v>
      </c>
      <c r="GL69" s="48">
        <f>INDEX('2010'!$E$7:$EN$37,  MATCH(GJ69, '2010'!$A$7:$A$37, 0), MATCH(GJ61, '2010'!$E$4:$EN$4, 0) )</f>
        <v>95</v>
      </c>
      <c r="GM69" s="48">
        <f>INDEX('2011'!$E$7:$EN$37,  MATCH(GJ69, '2011'!$A$7:$A$37, 0), MATCH(GJ61, '2011'!$E$4:$EN$4, 0) )</f>
        <v>98</v>
      </c>
      <c r="GN69" s="48">
        <f>INDEX('2012'!$E$7:$EN$37,  MATCH(GJ69, '2012'!$A$7:$A$37, 0), MATCH(GJ61, '2012'!$E$4:$EN$4, 0) )</f>
        <v>58</v>
      </c>
      <c r="GO69" s="48">
        <f>INDEX('2013'!$E$7:$EN$37,  MATCH(GJ69, '2013'!$A$7:$A$37, 0), MATCH(GJ61, '2013'!$E$4:$EN$4, 0) )</f>
        <v>54</v>
      </c>
      <c r="GP69" s="48">
        <f>INDEX('2014'!$E$7:$EN$37,  MATCH(GJ69, '2014'!$A$7:$A$37, 0), MATCH(GJ61, '2014'!$E$4:$EN$4, 0) )</f>
        <v>35</v>
      </c>
      <c r="GQ69" s="48">
        <f>INDEX('2015'!$E$7:$EN$37,  MATCH(GJ69, '2015'!$A$7:$A$37, 0), MATCH(GJ61, '2015'!$E$4:$EN$4, 0) )</f>
        <v>22</v>
      </c>
      <c r="GR69" s="48">
        <f>INDEX('2016'!$E$7:$EN$37,  MATCH(GJ69, '2016'!$A$7:$A$37, 0), MATCH(GJ61, '2016'!$E$4:$EN$4, 0) )</f>
        <v>38</v>
      </c>
      <c r="GS69" s="48">
        <f>INDEX('2017'!$E$7:$EN$37,  MATCH(GJ69, '2017'!$A$7:$A$37, 0), MATCH(GJ61, '2017'!$E$4:$EN$4, 0) )</f>
        <v>50</v>
      </c>
      <c r="GT69" s="48">
        <f>INDEX('2018'!$E$7:$EN$37,  MATCH(GJ69, '2018'!$A$7:$A$37, 0), MATCH(GJ61, '2018'!$E$4:$EN$4, 0) )</f>
        <v>62</v>
      </c>
      <c r="GU69" s="48">
        <f>INDEX('2019'!$E$7:$EN$37,  MATCH(GJ69, '2019'!$A$7:$A$37, 0), MATCH(GJ61, '2019'!$E$4:$EN$4, 0) )</f>
        <v>63</v>
      </c>
    </row>
    <row r="70" spans="153:203" x14ac:dyDescent="0.25">
      <c r="EW70" s="9">
        <f t="shared" ref="EW70:EX70" si="205">EW24</f>
        <v>15</v>
      </c>
      <c r="EX70" s="21" t="str">
        <f t="shared" si="205"/>
        <v>Emery</v>
      </c>
      <c r="EY70" s="48">
        <f>INDEX('2010'!$E$7:$EN$37,  MATCH(EW70, '2010'!$A$7:$A$37, 0), MATCH(EW61, '2010'!$E$4:$EN$4, 0) )</f>
        <v>163</v>
      </c>
      <c r="EZ70" s="48">
        <f>INDEX('2011'!$E$7:$EN$37,  MATCH(EW70, '2011'!$A$7:$A$37, 0), MATCH(EW61, '2011'!$E$4:$EN$4, 0) )</f>
        <v>154</v>
      </c>
      <c r="FA70" s="48">
        <f>INDEX('2012'!$E$7:$EN$37,  MATCH(EW70, '2012'!$A$7:$A$37, 0), MATCH(EW61, '2012'!$E$4:$EN$4, 0) )</f>
        <v>191</v>
      </c>
      <c r="FB70" s="48">
        <f>INDEX('2013'!$E$7:$EN$37,  MATCH(EW70, '2013'!$A$7:$A$37, 0), MATCH(EW61, '2013'!$E$4:$EN$4, 0) )</f>
        <v>157</v>
      </c>
      <c r="FC70" s="48">
        <f>INDEX('2014'!$E$7:$EN$37,  MATCH(EW70, '2014'!$A$7:$A$37, 0), MATCH(EW61, '2014'!$E$4:$EN$4, 0) )</f>
        <v>166</v>
      </c>
      <c r="FD70" s="48">
        <f>INDEX('2015'!$E$7:$EN$37,  MATCH(EW70, '2015'!$A$7:$A$37, 0), MATCH(EW61, '2015'!$E$4:$EN$4, 0) )</f>
        <v>188</v>
      </c>
      <c r="FE70" s="48">
        <f>INDEX('2016'!$E$7:$EN$37,  MATCH(EW70, '2016'!$A$7:$A$37, 0), MATCH(EW61, '2016'!$E$4:$EN$4, 0) )</f>
        <v>182</v>
      </c>
      <c r="FF70" s="48">
        <f>INDEX('2017'!$E$7:$EN$37,  MATCH(EW70, '2017'!$A$7:$A$37, 0), MATCH(EW61, '2017'!$E$4:$EN$4, 0) )</f>
        <v>169</v>
      </c>
      <c r="FG70" s="48">
        <f>INDEX('2018'!$E$7:$EN$37,  MATCH(EW70, '2018'!$A$7:$A$37, 0), MATCH(EW61, '2018'!$E$4:$EN$4, 0) )</f>
        <v>174</v>
      </c>
      <c r="FH70" s="48">
        <f>INDEX('2019'!$E$7:$EN$37,  MATCH(EW70, '2019'!$A$7:$A$37, 0), MATCH(EW61, '2019'!$E$4:$EN$4, 0) )</f>
        <v>181</v>
      </c>
      <c r="FJ70" s="9">
        <f t="shared" ref="FJ70:FK70" si="206">FJ24</f>
        <v>15</v>
      </c>
      <c r="FK70" s="21" t="str">
        <f t="shared" si="206"/>
        <v>Emery</v>
      </c>
      <c r="FL70" s="48">
        <f>INDEX('2010'!$E$7:$EN$37,  MATCH(FJ70, '2010'!$A$7:$A$37, 0), MATCH(FJ61, '2010'!$E$4:$EN$4, 0) )</f>
        <v>96</v>
      </c>
      <c r="FM70" s="48">
        <f>INDEX('2011'!$E$7:$EN$37,  MATCH(FJ70, '2011'!$A$7:$A$37, 0), MATCH(FJ61, '2011'!$E$4:$EN$4, 0) )</f>
        <v>99</v>
      </c>
      <c r="FN70" s="48">
        <f>INDEX('2012'!$E$7:$EN$37,  MATCH(FJ70, '2012'!$A$7:$A$37, 0), MATCH(FJ61, '2012'!$E$4:$EN$4, 0) )</f>
        <v>98</v>
      </c>
      <c r="FO70" s="48">
        <f>INDEX('2013'!$E$7:$EN$37,  MATCH(FJ70, '2013'!$A$7:$A$37, 0), MATCH(FJ61, '2013'!$E$4:$EN$4, 0) )</f>
        <v>96</v>
      </c>
      <c r="FP70" s="48">
        <f>INDEX('2014'!$E$7:$EN$37,  MATCH(FJ70, '2014'!$A$7:$A$37, 0), MATCH(FJ61, '2014'!$E$4:$EN$4, 0) )</f>
        <v>68</v>
      </c>
      <c r="FQ70" s="48">
        <f>INDEX('2015'!$E$7:$EN$37,  MATCH(FJ70, '2015'!$A$7:$A$37, 0), MATCH(FJ61, '2015'!$E$4:$EN$4, 0) )</f>
        <v>67</v>
      </c>
      <c r="FR70" s="48">
        <f>INDEX('2016'!$E$7:$EN$37,  MATCH(FJ70, '2016'!$A$7:$A$37, 0), MATCH(FJ61, '2016'!$E$4:$EN$4, 0) )</f>
        <v>81</v>
      </c>
      <c r="FS70" s="48">
        <f>INDEX('2017'!$E$7:$EN$37,  MATCH(FJ70, '2017'!$A$7:$A$37, 0), MATCH(FJ61, '2017'!$E$4:$EN$4, 0) )</f>
        <v>78</v>
      </c>
      <c r="FT70" s="48">
        <f>INDEX('2018'!$E$7:$EN$37,  MATCH(FJ70, '2018'!$A$7:$A$37, 0), MATCH(FJ61, '2018'!$E$4:$EN$4, 0) )</f>
        <v>74</v>
      </c>
      <c r="FU70" s="48">
        <f>INDEX('2019'!$E$7:$EN$37,  MATCH(FJ70, '2019'!$A$7:$A$37, 0), MATCH(FJ61, '2019'!$E$4:$EN$4, 0) )</f>
        <v>82</v>
      </c>
      <c r="FW70" s="9">
        <f t="shared" ref="FW70:FX70" si="207">FW24</f>
        <v>15</v>
      </c>
      <c r="FX70" s="21" t="str">
        <f t="shared" si="207"/>
        <v>Emery</v>
      </c>
      <c r="FY70" s="48">
        <f>INDEX('2010'!$E$7:$EN$37,  MATCH(FW70, '2010'!$A$7:$A$37, 0), MATCH(FW61, '2010'!$E$4:$EN$4, 0) )</f>
        <v>69</v>
      </c>
      <c r="FZ70" s="48">
        <f>INDEX('2011'!$E$7:$EN$37,  MATCH(FW70, '2011'!$A$7:$A$37, 0), MATCH(FW61, '2011'!$E$4:$EN$4, 0) )</f>
        <v>66</v>
      </c>
      <c r="GA70" s="48">
        <f>INDEX('2012'!$E$7:$EN$37,  MATCH(FW70, '2012'!$A$7:$A$37, 0), MATCH(FW61, '2012'!$E$4:$EN$4, 0) )</f>
        <v>71</v>
      </c>
      <c r="GB70" s="48">
        <f>INDEX('2013'!$E$7:$EN$37,  MATCH(FW70, '2013'!$A$7:$A$37, 0), MATCH(FW61, '2013'!$E$4:$EN$4, 0) )</f>
        <v>74</v>
      </c>
      <c r="GC70" s="48">
        <f>INDEX('2014'!$E$7:$EN$37,  MATCH(FW70, '2014'!$A$7:$A$37, 0), MATCH(FW61, '2014'!$E$4:$EN$4, 0) )</f>
        <v>29</v>
      </c>
      <c r="GD70" s="48">
        <f>INDEX('2015'!$E$7:$EN$37,  MATCH(FW70, '2015'!$A$7:$A$37, 0), MATCH(FW61, '2015'!$E$4:$EN$4, 0) )</f>
        <v>26</v>
      </c>
      <c r="GE70" s="48">
        <f>INDEX('2016'!$E$7:$EN$37,  MATCH(FW70, '2016'!$A$7:$A$37, 0), MATCH(FW61, '2016'!$E$4:$EN$4, 0) )</f>
        <v>30</v>
      </c>
      <c r="GF70" s="48">
        <f>INDEX('2017'!$E$7:$EN$37,  MATCH(FW70, '2017'!$A$7:$A$37, 0), MATCH(FW61, '2017'!$E$4:$EN$4, 0) )</f>
        <v>19</v>
      </c>
      <c r="GG70" s="48">
        <f>INDEX('2018'!$E$7:$EN$37,  MATCH(FW70, '2018'!$A$7:$A$37, 0), MATCH(FW61, '2018'!$E$4:$EN$4, 0) )</f>
        <v>27</v>
      </c>
      <c r="GH70" s="48">
        <f>INDEX('2019'!$E$7:$EN$37,  MATCH(FW70, '2019'!$A$7:$A$37, 0), MATCH(FW61, '2019'!$E$4:$EN$4, 0) )</f>
        <v>34</v>
      </c>
      <c r="GJ70" s="9">
        <f t="shared" ref="GJ70:GK70" si="208">GJ24</f>
        <v>15</v>
      </c>
      <c r="GK70" s="21" t="str">
        <f t="shared" si="208"/>
        <v>Emery</v>
      </c>
      <c r="GL70" s="48">
        <f>INDEX('2010'!$E$7:$EN$37,  MATCH(GJ70, '2010'!$A$7:$A$37, 0), MATCH(GJ61, '2010'!$E$4:$EN$4, 0) )</f>
        <v>45</v>
      </c>
      <c r="GM70" s="48">
        <f>INDEX('2011'!$E$7:$EN$37,  MATCH(GJ70, '2011'!$A$7:$A$37, 0), MATCH(GJ61, '2011'!$E$4:$EN$4, 0) )</f>
        <v>45</v>
      </c>
      <c r="GN70" s="48">
        <f>INDEX('2012'!$E$7:$EN$37,  MATCH(GJ70, '2012'!$A$7:$A$37, 0), MATCH(GJ61, '2012'!$E$4:$EN$4, 0) )</f>
        <v>31</v>
      </c>
      <c r="GO70" s="48">
        <f>INDEX('2013'!$E$7:$EN$37,  MATCH(GJ70, '2013'!$A$7:$A$37, 0), MATCH(GJ61, '2013'!$E$4:$EN$4, 0) )</f>
        <v>29</v>
      </c>
      <c r="GP70" s="48">
        <f>INDEX('2014'!$E$7:$EN$37,  MATCH(GJ70, '2014'!$A$7:$A$37, 0), MATCH(GJ61, '2014'!$E$4:$EN$4, 0) )</f>
        <v>40</v>
      </c>
      <c r="GQ70" s="48">
        <f>INDEX('2015'!$E$7:$EN$37,  MATCH(GJ70, '2015'!$A$7:$A$37, 0), MATCH(GJ61, '2015'!$E$4:$EN$4, 0) )</f>
        <v>57</v>
      </c>
      <c r="GR70" s="48">
        <f>INDEX('2016'!$E$7:$EN$37,  MATCH(GJ70, '2016'!$A$7:$A$37, 0), MATCH(GJ61, '2016'!$E$4:$EN$4, 0) )</f>
        <v>60</v>
      </c>
      <c r="GS70" s="48">
        <f>INDEX('2017'!$E$7:$EN$37,  MATCH(GJ70, '2017'!$A$7:$A$37, 0), MATCH(GJ61, '2017'!$E$4:$EN$4, 0) )</f>
        <v>61</v>
      </c>
      <c r="GT70" s="48">
        <f>INDEX('2018'!$E$7:$EN$37,  MATCH(GJ70, '2018'!$A$7:$A$37, 0), MATCH(GJ61, '2018'!$E$4:$EN$4, 0) )</f>
        <v>61</v>
      </c>
      <c r="GU70" s="48">
        <f>INDEX('2019'!$E$7:$EN$37,  MATCH(GJ70, '2019'!$A$7:$A$37, 0), MATCH(GJ61, '2019'!$E$4:$EN$4, 0) )</f>
        <v>60</v>
      </c>
    </row>
    <row r="71" spans="153:203" x14ac:dyDescent="0.25">
      <c r="EW71" s="9">
        <f t="shared" ref="EW71:EX71" si="209">EW25</f>
        <v>17</v>
      </c>
      <c r="EX71" s="21" t="str">
        <f t="shared" si="209"/>
        <v>Garfield</v>
      </c>
      <c r="EY71" s="48">
        <f>INDEX('2010'!$E$7:$EN$37,  MATCH(EW71, '2010'!$A$7:$A$37, 0), MATCH(EW61, '2010'!$E$4:$EN$4, 0) )</f>
        <v>178</v>
      </c>
      <c r="EZ71" s="48">
        <f>INDEX('2011'!$E$7:$EN$37,  MATCH(EW71, '2011'!$A$7:$A$37, 0), MATCH(EW61, '2011'!$E$4:$EN$4, 0) )</f>
        <v>172</v>
      </c>
      <c r="FA71" s="48">
        <f>INDEX('2012'!$E$7:$EN$37,  MATCH(EW71, '2012'!$A$7:$A$37, 0), MATCH(EW61, '2012'!$E$4:$EN$4, 0) )</f>
        <v>152</v>
      </c>
      <c r="FB71" s="48">
        <f>INDEX('2013'!$E$7:$EN$37,  MATCH(EW71, '2013'!$A$7:$A$37, 0), MATCH(EW61, '2013'!$E$4:$EN$4, 0) )</f>
        <v>135</v>
      </c>
      <c r="FC71" s="48">
        <f>INDEX('2014'!$E$7:$EN$37,  MATCH(EW71, '2014'!$A$7:$A$37, 0), MATCH(EW61, '2014'!$E$4:$EN$4, 0) )</f>
        <v>152</v>
      </c>
      <c r="FD71" s="48">
        <f>INDEX('2015'!$E$7:$EN$37,  MATCH(EW71, '2015'!$A$7:$A$37, 0), MATCH(EW61, '2015'!$E$4:$EN$4, 0) )</f>
        <v>144</v>
      </c>
      <c r="FE71" s="48">
        <f>INDEX('2016'!$E$7:$EN$37,  MATCH(EW71, '2016'!$A$7:$A$37, 0), MATCH(EW61, '2016'!$E$4:$EN$4, 0) )</f>
        <v>130</v>
      </c>
      <c r="FF71" s="48">
        <f>INDEX('2017'!$E$7:$EN$37,  MATCH(EW71, '2017'!$A$7:$A$37, 0), MATCH(EW61, '2017'!$E$4:$EN$4, 0) )</f>
        <v>159</v>
      </c>
      <c r="FG71" s="48">
        <f>INDEX('2018'!$E$7:$EN$37,  MATCH(EW71, '2018'!$A$7:$A$37, 0), MATCH(EW61, '2018'!$E$4:$EN$4, 0) )</f>
        <v>116</v>
      </c>
      <c r="FH71" s="48">
        <f>INDEX('2019'!$E$7:$EN$37,  MATCH(EW71, '2019'!$A$7:$A$37, 0), MATCH(EW61, '2019'!$E$4:$EN$4, 0) )</f>
        <v>171</v>
      </c>
      <c r="FJ71" s="9">
        <f t="shared" ref="FJ71:FK71" si="210">FJ25</f>
        <v>17</v>
      </c>
      <c r="FK71" s="21" t="str">
        <f t="shared" si="210"/>
        <v>Garfield</v>
      </c>
      <c r="FL71" s="48">
        <f>INDEX('2010'!$E$7:$EN$37,  MATCH(FJ71, '2010'!$A$7:$A$37, 0), MATCH(FJ61, '2010'!$E$4:$EN$4, 0) )</f>
        <v>113</v>
      </c>
      <c r="FM71" s="48">
        <f>INDEX('2011'!$E$7:$EN$37,  MATCH(FJ71, '2011'!$A$7:$A$37, 0), MATCH(FJ61, '2011'!$E$4:$EN$4, 0) )</f>
        <v>96</v>
      </c>
      <c r="FN71" s="48">
        <f>INDEX('2012'!$E$7:$EN$37,  MATCH(FJ71, '2012'!$A$7:$A$37, 0), MATCH(FJ61, '2012'!$E$4:$EN$4, 0) )</f>
        <v>50</v>
      </c>
      <c r="FO71" s="48">
        <f>INDEX('2013'!$E$7:$EN$37,  MATCH(FJ71, '2013'!$A$7:$A$37, 0), MATCH(FJ61, '2013'!$E$4:$EN$4, 0) )</f>
        <v>42</v>
      </c>
      <c r="FP71" s="48">
        <f>INDEX('2014'!$E$7:$EN$37,  MATCH(FJ71, '2014'!$A$7:$A$37, 0), MATCH(FJ61, '2014'!$E$4:$EN$4, 0) )</f>
        <v>44</v>
      </c>
      <c r="FQ71" s="48">
        <f>INDEX('2015'!$E$7:$EN$37,  MATCH(FJ71, '2015'!$A$7:$A$37, 0), MATCH(FJ61, '2015'!$E$4:$EN$4, 0) )</f>
        <v>32</v>
      </c>
      <c r="FR71" s="48">
        <f>INDEX('2016'!$E$7:$EN$37,  MATCH(FJ71, '2016'!$A$7:$A$37, 0), MATCH(FJ61, '2016'!$E$4:$EN$4, 0) )</f>
        <v>45</v>
      </c>
      <c r="FS71" s="48">
        <f>INDEX('2017'!$E$7:$EN$37,  MATCH(FJ71, '2017'!$A$7:$A$37, 0), MATCH(FJ61, '2017'!$E$4:$EN$4, 0) )</f>
        <v>52</v>
      </c>
      <c r="FT71" s="48">
        <f>INDEX('2018'!$E$7:$EN$37,  MATCH(FJ71, '2018'!$A$7:$A$37, 0), MATCH(FJ61, '2018'!$E$4:$EN$4, 0) )</f>
        <v>66</v>
      </c>
      <c r="FU71" s="48">
        <f>INDEX('2019'!$E$7:$EN$37,  MATCH(FJ71, '2019'!$A$7:$A$37, 0), MATCH(FJ61, '2019'!$E$4:$EN$4, 0) )</f>
        <v>64</v>
      </c>
      <c r="FW71" s="9">
        <f t="shared" ref="FW71:FX71" si="211">FW25</f>
        <v>17</v>
      </c>
      <c r="FX71" s="21" t="str">
        <f t="shared" si="211"/>
        <v>Garfield</v>
      </c>
      <c r="FY71" s="48">
        <f>INDEX('2010'!$E$7:$EN$37,  MATCH(FW71, '2010'!$A$7:$A$37, 0), MATCH(FW61, '2010'!$E$4:$EN$4, 0) )</f>
        <v>34</v>
      </c>
      <c r="FZ71" s="48">
        <f>INDEX('2011'!$E$7:$EN$37,  MATCH(FW71, '2011'!$A$7:$A$37, 0), MATCH(FW61, '2011'!$E$4:$EN$4, 0) )</f>
        <v>30</v>
      </c>
      <c r="GA71" s="48">
        <f>INDEX('2012'!$E$7:$EN$37,  MATCH(FW71, '2012'!$A$7:$A$37, 0), MATCH(FW61, '2012'!$E$4:$EN$4, 0) )</f>
        <v>12</v>
      </c>
      <c r="GB71" s="48">
        <f>INDEX('2013'!$E$7:$EN$37,  MATCH(FW71, '2013'!$A$7:$A$37, 0), MATCH(FW61, '2013'!$E$4:$EN$4, 0) )</f>
        <v>5</v>
      </c>
      <c r="GC71" s="48">
        <f>INDEX('2014'!$E$7:$EN$37,  MATCH(FW71, '2014'!$A$7:$A$37, 0), MATCH(FW61, '2014'!$E$4:$EN$4, 0) )</f>
        <v>12</v>
      </c>
      <c r="GD71" s="48">
        <f>INDEX('2015'!$E$7:$EN$37,  MATCH(FW71, '2015'!$A$7:$A$37, 0), MATCH(FW61, '2015'!$E$4:$EN$4, 0) )</f>
        <v>13</v>
      </c>
      <c r="GE71" s="48">
        <f>INDEX('2016'!$E$7:$EN$37,  MATCH(FW71, '2016'!$A$7:$A$37, 0), MATCH(FW61, '2016'!$E$4:$EN$4, 0) )</f>
        <v>9</v>
      </c>
      <c r="GF71" s="48">
        <f>INDEX('2017'!$E$7:$EN$37,  MATCH(FW71, '2017'!$A$7:$A$37, 0), MATCH(FW61, '2017'!$E$4:$EN$4, 0) )</f>
        <v>16</v>
      </c>
      <c r="GG71" s="48">
        <f>INDEX('2018'!$E$7:$EN$37,  MATCH(FW71, '2018'!$A$7:$A$37, 0), MATCH(FW61, '2018'!$E$4:$EN$4, 0) )</f>
        <v>18</v>
      </c>
      <c r="GH71" s="48">
        <f>INDEX('2019'!$E$7:$EN$37,  MATCH(FW71, '2019'!$A$7:$A$37, 0), MATCH(FW61, '2019'!$E$4:$EN$4, 0) )</f>
        <v>23</v>
      </c>
      <c r="GJ71" s="9">
        <f t="shared" ref="GJ71:GK71" si="212">GJ25</f>
        <v>17</v>
      </c>
      <c r="GK71" s="21" t="str">
        <f t="shared" si="212"/>
        <v>Garfield</v>
      </c>
      <c r="GL71" s="48">
        <f>INDEX('2010'!$E$7:$EN$37,  MATCH(GJ71, '2010'!$A$7:$A$37, 0), MATCH(GJ61, '2010'!$E$4:$EN$4, 0) )</f>
        <v>50</v>
      </c>
      <c r="GM71" s="48">
        <f>INDEX('2011'!$E$7:$EN$37,  MATCH(GJ71, '2011'!$A$7:$A$37, 0), MATCH(GJ61, '2011'!$E$4:$EN$4, 0) )</f>
        <v>50</v>
      </c>
      <c r="GN71" s="48">
        <f>INDEX('2012'!$E$7:$EN$37,  MATCH(GJ71, '2012'!$A$7:$A$37, 0), MATCH(GJ61, '2012'!$E$4:$EN$4, 0) )</f>
        <v>40</v>
      </c>
      <c r="GO71" s="48">
        <f>INDEX('2013'!$E$7:$EN$37,  MATCH(GJ71, '2013'!$A$7:$A$37, 0), MATCH(GJ61, '2013'!$E$4:$EN$4, 0) )</f>
        <v>29</v>
      </c>
      <c r="GP71" s="48">
        <f>INDEX('2014'!$E$7:$EN$37,  MATCH(GJ71, '2014'!$A$7:$A$37, 0), MATCH(GJ61, '2014'!$E$4:$EN$4, 0) )</f>
        <v>28</v>
      </c>
      <c r="GQ71" s="48">
        <f>INDEX('2015'!$E$7:$EN$37,  MATCH(GJ71, '2015'!$A$7:$A$37, 0), MATCH(GJ61, '2015'!$E$4:$EN$4, 0) )</f>
        <v>15</v>
      </c>
      <c r="GR71" s="48">
        <f>INDEX('2016'!$E$7:$EN$37,  MATCH(GJ71, '2016'!$A$7:$A$37, 0), MATCH(GJ61, '2016'!$E$4:$EN$4, 0) )</f>
        <v>17</v>
      </c>
      <c r="GS71" s="48">
        <f>INDEX('2017'!$E$7:$EN$37,  MATCH(GJ71, '2017'!$A$7:$A$37, 0), MATCH(GJ61, '2017'!$E$4:$EN$4, 0) )</f>
        <v>24</v>
      </c>
      <c r="GT71" s="48">
        <f>INDEX('2018'!$E$7:$EN$37,  MATCH(GJ71, '2018'!$A$7:$A$37, 0), MATCH(GJ61, '2018'!$E$4:$EN$4, 0) )</f>
        <v>28</v>
      </c>
      <c r="GU71" s="48">
        <f>INDEX('2019'!$E$7:$EN$37,  MATCH(GJ71, '2019'!$A$7:$A$37, 0), MATCH(GJ61, '2019'!$E$4:$EN$4, 0) )</f>
        <v>27</v>
      </c>
    </row>
    <row r="72" spans="153:203" x14ac:dyDescent="0.25">
      <c r="EW72" s="9">
        <f t="shared" ref="EW72:EX72" si="213">EW26</f>
        <v>19</v>
      </c>
      <c r="EX72" s="21" t="str">
        <f t="shared" si="213"/>
        <v>Grand</v>
      </c>
      <c r="EY72" s="48">
        <f>INDEX('2010'!$E$7:$EN$37,  MATCH(EW72, '2010'!$A$7:$A$37, 0), MATCH(EW61, '2010'!$E$4:$EN$4, 0) )</f>
        <v>365</v>
      </c>
      <c r="EZ72" s="48">
        <f>INDEX('2011'!$E$7:$EN$37,  MATCH(EW72, '2011'!$A$7:$A$37, 0), MATCH(EW61, '2011'!$E$4:$EN$4, 0) )</f>
        <v>371</v>
      </c>
      <c r="FA72" s="48">
        <f>INDEX('2012'!$E$7:$EN$37,  MATCH(EW72, '2012'!$A$7:$A$37, 0), MATCH(EW61, '2012'!$E$4:$EN$4, 0) )</f>
        <v>255</v>
      </c>
      <c r="FB72" s="48">
        <f>INDEX('2013'!$E$7:$EN$37,  MATCH(EW72, '2013'!$A$7:$A$37, 0), MATCH(EW61, '2013'!$E$4:$EN$4, 0) )</f>
        <v>286</v>
      </c>
      <c r="FC72" s="48">
        <f>INDEX('2014'!$E$7:$EN$37,  MATCH(EW72, '2014'!$A$7:$A$37, 0), MATCH(EW61, '2014'!$E$4:$EN$4, 0) )</f>
        <v>279</v>
      </c>
      <c r="FD72" s="48">
        <f>INDEX('2015'!$E$7:$EN$37,  MATCH(EW72, '2015'!$A$7:$A$37, 0), MATCH(EW61, '2015'!$E$4:$EN$4, 0) )</f>
        <v>289</v>
      </c>
      <c r="FE72" s="48">
        <f>INDEX('2016'!$E$7:$EN$37,  MATCH(EW72, '2016'!$A$7:$A$37, 0), MATCH(EW61, '2016'!$E$4:$EN$4, 0) )</f>
        <v>298</v>
      </c>
      <c r="FF72" s="48">
        <f>INDEX('2017'!$E$7:$EN$37,  MATCH(EW72, '2017'!$A$7:$A$37, 0), MATCH(EW61, '2017'!$E$4:$EN$4, 0) )</f>
        <v>324</v>
      </c>
      <c r="FG72" s="48">
        <f>INDEX('2018'!$E$7:$EN$37,  MATCH(EW72, '2018'!$A$7:$A$37, 0), MATCH(EW61, '2018'!$E$4:$EN$4, 0) )</f>
        <v>291</v>
      </c>
      <c r="FH72" s="48">
        <f>INDEX('2019'!$E$7:$EN$37,  MATCH(EW72, '2019'!$A$7:$A$37, 0), MATCH(EW61, '2019'!$E$4:$EN$4, 0) )</f>
        <v>320</v>
      </c>
      <c r="FJ72" s="9">
        <f t="shared" ref="FJ72:FK72" si="214">FJ26</f>
        <v>19</v>
      </c>
      <c r="FK72" s="21" t="str">
        <f t="shared" si="214"/>
        <v>Grand</v>
      </c>
      <c r="FL72" s="48">
        <f>INDEX('2010'!$E$7:$EN$37,  MATCH(FJ72, '2010'!$A$7:$A$37, 0), MATCH(FJ61, '2010'!$E$4:$EN$4, 0) )</f>
        <v>84</v>
      </c>
      <c r="FM72" s="48">
        <f>INDEX('2011'!$E$7:$EN$37,  MATCH(FJ72, '2011'!$A$7:$A$37, 0), MATCH(FJ61, '2011'!$E$4:$EN$4, 0) )</f>
        <v>95</v>
      </c>
      <c r="FN72" s="48">
        <f>INDEX('2012'!$E$7:$EN$37,  MATCH(FJ72, '2012'!$A$7:$A$37, 0), MATCH(FJ61, '2012'!$E$4:$EN$4, 0) )</f>
        <v>122</v>
      </c>
      <c r="FO72" s="48">
        <f>INDEX('2013'!$E$7:$EN$37,  MATCH(FJ72, '2013'!$A$7:$A$37, 0), MATCH(FJ61, '2013'!$E$4:$EN$4, 0) )</f>
        <v>124</v>
      </c>
      <c r="FP72" s="48">
        <f>INDEX('2014'!$E$7:$EN$37,  MATCH(FJ72, '2014'!$A$7:$A$37, 0), MATCH(FJ61, '2014'!$E$4:$EN$4, 0) )</f>
        <v>135</v>
      </c>
      <c r="FQ72" s="48">
        <f>INDEX('2015'!$E$7:$EN$37,  MATCH(FJ72, '2015'!$A$7:$A$37, 0), MATCH(FJ61, '2015'!$E$4:$EN$4, 0) )</f>
        <v>136</v>
      </c>
      <c r="FR72" s="48">
        <f>INDEX('2016'!$E$7:$EN$37,  MATCH(FJ72, '2016'!$A$7:$A$37, 0), MATCH(FJ61, '2016'!$E$4:$EN$4, 0) )</f>
        <v>159</v>
      </c>
      <c r="FS72" s="48">
        <f>INDEX('2017'!$E$7:$EN$37,  MATCH(FJ72, '2017'!$A$7:$A$37, 0), MATCH(FJ61, '2017'!$E$4:$EN$4, 0) )</f>
        <v>179</v>
      </c>
      <c r="FT72" s="48">
        <f>INDEX('2018'!$E$7:$EN$37,  MATCH(FJ72, '2018'!$A$7:$A$37, 0), MATCH(FJ61, '2018'!$E$4:$EN$4, 0) )</f>
        <v>129</v>
      </c>
      <c r="FU72" s="48">
        <f>INDEX('2019'!$E$7:$EN$37,  MATCH(FJ72, '2019'!$A$7:$A$37, 0), MATCH(FJ61, '2019'!$E$4:$EN$4, 0) )</f>
        <v>149</v>
      </c>
      <c r="FW72" s="9">
        <f t="shared" ref="FW72:FX72" si="215">FW26</f>
        <v>19</v>
      </c>
      <c r="FX72" s="21" t="str">
        <f t="shared" si="215"/>
        <v>Grand</v>
      </c>
      <c r="FY72" s="48">
        <f>INDEX('2010'!$E$7:$EN$37,  MATCH(FW72, '2010'!$A$7:$A$37, 0), MATCH(FW61, '2010'!$E$4:$EN$4, 0) )</f>
        <v>35</v>
      </c>
      <c r="FZ72" s="48">
        <f>INDEX('2011'!$E$7:$EN$37,  MATCH(FW72, '2011'!$A$7:$A$37, 0), MATCH(FW61, '2011'!$E$4:$EN$4, 0) )</f>
        <v>21</v>
      </c>
      <c r="GA72" s="48">
        <f>INDEX('2012'!$E$7:$EN$37,  MATCH(FW72, '2012'!$A$7:$A$37, 0), MATCH(FW61, '2012'!$E$4:$EN$4, 0) )</f>
        <v>31</v>
      </c>
      <c r="GB72" s="48">
        <f>INDEX('2013'!$E$7:$EN$37,  MATCH(FW72, '2013'!$A$7:$A$37, 0), MATCH(FW61, '2013'!$E$4:$EN$4, 0) )</f>
        <v>28</v>
      </c>
      <c r="GC72" s="48">
        <f>INDEX('2014'!$E$7:$EN$37,  MATCH(FW72, '2014'!$A$7:$A$37, 0), MATCH(FW61, '2014'!$E$4:$EN$4, 0) )</f>
        <v>37</v>
      </c>
      <c r="GD72" s="48">
        <f>INDEX('2015'!$E$7:$EN$37,  MATCH(FW72, '2015'!$A$7:$A$37, 0), MATCH(FW61, '2015'!$E$4:$EN$4, 0) )</f>
        <v>38</v>
      </c>
      <c r="GE72" s="48">
        <f>INDEX('2016'!$E$7:$EN$37,  MATCH(FW72, '2016'!$A$7:$A$37, 0), MATCH(FW61, '2016'!$E$4:$EN$4, 0) )</f>
        <v>41</v>
      </c>
      <c r="GF72" s="48">
        <f>INDEX('2017'!$E$7:$EN$37,  MATCH(FW72, '2017'!$A$7:$A$37, 0), MATCH(FW61, '2017'!$E$4:$EN$4, 0) )</f>
        <v>32</v>
      </c>
      <c r="GG72" s="48">
        <f>INDEX('2018'!$E$7:$EN$37,  MATCH(FW72, '2018'!$A$7:$A$37, 0), MATCH(FW61, '2018'!$E$4:$EN$4, 0) )</f>
        <v>23</v>
      </c>
      <c r="GH72" s="48">
        <f>INDEX('2019'!$E$7:$EN$37,  MATCH(FW72, '2019'!$A$7:$A$37, 0), MATCH(FW61, '2019'!$E$4:$EN$4, 0) )</f>
        <v>68</v>
      </c>
      <c r="GJ72" s="9">
        <f t="shared" ref="GJ72:GK72" si="216">GJ26</f>
        <v>19</v>
      </c>
      <c r="GK72" s="21" t="str">
        <f t="shared" si="216"/>
        <v>Grand</v>
      </c>
      <c r="GL72" s="48">
        <f>INDEX('2010'!$E$7:$EN$37,  MATCH(GJ72, '2010'!$A$7:$A$37, 0), MATCH(GJ61, '2010'!$E$4:$EN$4, 0) )</f>
        <v>45</v>
      </c>
      <c r="GM72" s="48">
        <f>INDEX('2011'!$E$7:$EN$37,  MATCH(GJ72, '2011'!$A$7:$A$37, 0), MATCH(GJ61, '2011'!$E$4:$EN$4, 0) )</f>
        <v>34</v>
      </c>
      <c r="GN72" s="48">
        <f>INDEX('2012'!$E$7:$EN$37,  MATCH(GJ72, '2012'!$A$7:$A$37, 0), MATCH(GJ61, '2012'!$E$4:$EN$4, 0) )</f>
        <v>26</v>
      </c>
      <c r="GO72" s="48">
        <f>INDEX('2013'!$E$7:$EN$37,  MATCH(GJ72, '2013'!$A$7:$A$37, 0), MATCH(GJ61, '2013'!$E$4:$EN$4, 0) )</f>
        <v>58</v>
      </c>
      <c r="GP72" s="48">
        <f>INDEX('2014'!$E$7:$EN$37,  MATCH(GJ72, '2014'!$A$7:$A$37, 0), MATCH(GJ61, '2014'!$E$4:$EN$4, 0) )</f>
        <v>100</v>
      </c>
      <c r="GQ72" s="48">
        <f>INDEX('2015'!$E$7:$EN$37,  MATCH(GJ72, '2015'!$A$7:$A$37, 0), MATCH(GJ61, '2015'!$E$4:$EN$4, 0) )</f>
        <v>96</v>
      </c>
      <c r="GR72" s="48">
        <f>INDEX('2016'!$E$7:$EN$37,  MATCH(GJ72, '2016'!$A$7:$A$37, 0), MATCH(GJ61, '2016'!$E$4:$EN$4, 0) )</f>
        <v>113</v>
      </c>
      <c r="GS72" s="48">
        <f>INDEX('2017'!$E$7:$EN$37,  MATCH(GJ72, '2017'!$A$7:$A$37, 0), MATCH(GJ61, '2017'!$E$4:$EN$4, 0) )</f>
        <v>151</v>
      </c>
      <c r="GT72" s="48">
        <f>INDEX('2018'!$E$7:$EN$37,  MATCH(GJ72, '2018'!$A$7:$A$37, 0), MATCH(GJ61, '2018'!$E$4:$EN$4, 0) )</f>
        <v>106</v>
      </c>
      <c r="GU72" s="48">
        <f>INDEX('2019'!$E$7:$EN$37,  MATCH(GJ72, '2019'!$A$7:$A$37, 0), MATCH(GJ61, '2019'!$E$4:$EN$4, 0) )</f>
        <v>79</v>
      </c>
    </row>
    <row r="73" spans="153:203" x14ac:dyDescent="0.25">
      <c r="EW73" s="9">
        <f t="shared" ref="EW73:EX73" si="217">EW27</f>
        <v>21</v>
      </c>
      <c r="EX73" s="21" t="str">
        <f t="shared" si="217"/>
        <v>Iron</v>
      </c>
      <c r="EY73" s="48">
        <f>INDEX('2010'!$E$7:$EN$37,  MATCH(EW73, '2010'!$A$7:$A$37, 0), MATCH(EW61, '2010'!$E$4:$EN$4, 0) )</f>
        <v>557</v>
      </c>
      <c r="EZ73" s="48">
        <f>INDEX('2011'!$E$7:$EN$37,  MATCH(EW73, '2011'!$A$7:$A$37, 0), MATCH(EW61, '2011'!$E$4:$EN$4, 0) )</f>
        <v>747</v>
      </c>
      <c r="FA73" s="48">
        <f>INDEX('2012'!$E$7:$EN$37,  MATCH(EW73, '2012'!$A$7:$A$37, 0), MATCH(EW61, '2012'!$E$4:$EN$4, 0) )</f>
        <v>690</v>
      </c>
      <c r="FB73" s="48">
        <f>INDEX('2013'!$E$7:$EN$37,  MATCH(EW73, '2013'!$A$7:$A$37, 0), MATCH(EW61, '2013'!$E$4:$EN$4, 0) )</f>
        <v>688</v>
      </c>
      <c r="FC73" s="48">
        <f>INDEX('2014'!$E$7:$EN$37,  MATCH(EW73, '2014'!$A$7:$A$37, 0), MATCH(EW61, '2014'!$E$4:$EN$4, 0) )</f>
        <v>664</v>
      </c>
      <c r="FD73" s="48">
        <f>INDEX('2015'!$E$7:$EN$37,  MATCH(EW73, '2015'!$A$7:$A$37, 0), MATCH(EW61, '2015'!$E$4:$EN$4, 0) )</f>
        <v>682</v>
      </c>
      <c r="FE73" s="48">
        <f>INDEX('2016'!$E$7:$EN$37,  MATCH(EW73, '2016'!$A$7:$A$37, 0), MATCH(EW61, '2016'!$E$4:$EN$4, 0) )</f>
        <v>864</v>
      </c>
      <c r="FF73" s="48">
        <f>INDEX('2017'!$E$7:$EN$37,  MATCH(EW73, '2017'!$A$7:$A$37, 0), MATCH(EW61, '2017'!$E$4:$EN$4, 0) )</f>
        <v>724</v>
      </c>
      <c r="FG73" s="48">
        <f>INDEX('2018'!$E$7:$EN$37,  MATCH(EW73, '2018'!$A$7:$A$37, 0), MATCH(EW61, '2018'!$E$4:$EN$4, 0) )</f>
        <v>747</v>
      </c>
      <c r="FH73" s="48">
        <f>INDEX('2019'!$E$7:$EN$37,  MATCH(EW73, '2019'!$A$7:$A$37, 0), MATCH(EW61, '2019'!$E$4:$EN$4, 0) )</f>
        <v>629</v>
      </c>
      <c r="FJ73" s="9">
        <f t="shared" ref="FJ73:FK73" si="218">FJ27</f>
        <v>21</v>
      </c>
      <c r="FK73" s="21" t="str">
        <f t="shared" si="218"/>
        <v>Iron</v>
      </c>
      <c r="FL73" s="48">
        <f>INDEX('2010'!$E$7:$EN$37,  MATCH(FJ73, '2010'!$A$7:$A$37, 0), MATCH(FJ61, '2010'!$E$4:$EN$4, 0) )</f>
        <v>186</v>
      </c>
      <c r="FM73" s="48">
        <f>INDEX('2011'!$E$7:$EN$37,  MATCH(FJ73, '2011'!$A$7:$A$37, 0), MATCH(FJ61, '2011'!$E$4:$EN$4, 0) )</f>
        <v>208</v>
      </c>
      <c r="FN73" s="48">
        <f>INDEX('2012'!$E$7:$EN$37,  MATCH(FJ73, '2012'!$A$7:$A$37, 0), MATCH(FJ61, '2012'!$E$4:$EN$4, 0) )</f>
        <v>139</v>
      </c>
      <c r="FO73" s="48">
        <f>INDEX('2013'!$E$7:$EN$37,  MATCH(FJ73, '2013'!$A$7:$A$37, 0), MATCH(FJ61, '2013'!$E$4:$EN$4, 0) )</f>
        <v>142</v>
      </c>
      <c r="FP73" s="48">
        <f>INDEX('2014'!$E$7:$EN$37,  MATCH(FJ73, '2014'!$A$7:$A$37, 0), MATCH(FJ61, '2014'!$E$4:$EN$4, 0) )</f>
        <v>133</v>
      </c>
      <c r="FQ73" s="48">
        <f>INDEX('2015'!$E$7:$EN$37,  MATCH(FJ73, '2015'!$A$7:$A$37, 0), MATCH(FJ61, '2015'!$E$4:$EN$4, 0) )</f>
        <v>143</v>
      </c>
      <c r="FR73" s="48">
        <f>INDEX('2016'!$E$7:$EN$37,  MATCH(FJ73, '2016'!$A$7:$A$37, 0), MATCH(FJ61, '2016'!$E$4:$EN$4, 0) )</f>
        <v>177</v>
      </c>
      <c r="FS73" s="48">
        <f>INDEX('2017'!$E$7:$EN$37,  MATCH(FJ73, '2017'!$A$7:$A$37, 0), MATCH(FJ61, '2017'!$E$4:$EN$4, 0) )</f>
        <v>187</v>
      </c>
      <c r="FT73" s="48">
        <f>INDEX('2018'!$E$7:$EN$37,  MATCH(FJ73, '2018'!$A$7:$A$37, 0), MATCH(FJ61, '2018'!$E$4:$EN$4, 0) )</f>
        <v>224</v>
      </c>
      <c r="FU73" s="48">
        <f>INDEX('2019'!$E$7:$EN$37,  MATCH(FJ73, '2019'!$A$7:$A$37, 0), MATCH(FJ61, '2019'!$E$4:$EN$4, 0) )</f>
        <v>274</v>
      </c>
      <c r="FW73" s="9">
        <f t="shared" ref="FW73:FX73" si="219">FW27</f>
        <v>21</v>
      </c>
      <c r="FX73" s="21" t="str">
        <f t="shared" si="219"/>
        <v>Iron</v>
      </c>
      <c r="FY73" s="48">
        <f>INDEX('2010'!$E$7:$EN$37,  MATCH(FW73, '2010'!$A$7:$A$37, 0), MATCH(FW61, '2010'!$E$4:$EN$4, 0) )</f>
        <v>46</v>
      </c>
      <c r="FZ73" s="48">
        <f>INDEX('2011'!$E$7:$EN$37,  MATCH(FW73, '2011'!$A$7:$A$37, 0), MATCH(FW61, '2011'!$E$4:$EN$4, 0) )</f>
        <v>59</v>
      </c>
      <c r="GA73" s="48">
        <f>INDEX('2012'!$E$7:$EN$37,  MATCH(FW73, '2012'!$A$7:$A$37, 0), MATCH(FW61, '2012'!$E$4:$EN$4, 0) )</f>
        <v>45</v>
      </c>
      <c r="GB73" s="48">
        <f>INDEX('2013'!$E$7:$EN$37,  MATCH(FW73, '2013'!$A$7:$A$37, 0), MATCH(FW61, '2013'!$E$4:$EN$4, 0) )</f>
        <v>40</v>
      </c>
      <c r="GC73" s="48">
        <f>INDEX('2014'!$E$7:$EN$37,  MATCH(FW73, '2014'!$A$7:$A$37, 0), MATCH(FW61, '2014'!$E$4:$EN$4, 0) )</f>
        <v>31</v>
      </c>
      <c r="GD73" s="48">
        <f>INDEX('2015'!$E$7:$EN$37,  MATCH(FW73, '2015'!$A$7:$A$37, 0), MATCH(FW61, '2015'!$E$4:$EN$4, 0) )</f>
        <v>87</v>
      </c>
      <c r="GE73" s="48">
        <f>INDEX('2016'!$E$7:$EN$37,  MATCH(FW73, '2016'!$A$7:$A$37, 0), MATCH(FW61, '2016'!$E$4:$EN$4, 0) )</f>
        <v>83</v>
      </c>
      <c r="GF73" s="48">
        <f>INDEX('2017'!$E$7:$EN$37,  MATCH(FW73, '2017'!$A$7:$A$37, 0), MATCH(FW61, '2017'!$E$4:$EN$4, 0) )</f>
        <v>72</v>
      </c>
      <c r="GG73" s="48">
        <f>INDEX('2018'!$E$7:$EN$37,  MATCH(FW73, '2018'!$A$7:$A$37, 0), MATCH(FW61, '2018'!$E$4:$EN$4, 0) )</f>
        <v>111</v>
      </c>
      <c r="GH73" s="48">
        <f>INDEX('2019'!$E$7:$EN$37,  MATCH(FW73, '2019'!$A$7:$A$37, 0), MATCH(FW61, '2019'!$E$4:$EN$4, 0) )</f>
        <v>160</v>
      </c>
      <c r="GJ73" s="9">
        <f t="shared" ref="GJ73:GK73" si="220">GJ27</f>
        <v>21</v>
      </c>
      <c r="GK73" s="21" t="str">
        <f t="shared" si="220"/>
        <v>Iron</v>
      </c>
      <c r="GL73" s="48">
        <f>INDEX('2010'!$E$7:$EN$37,  MATCH(GJ73, '2010'!$A$7:$A$37, 0), MATCH(GJ61, '2010'!$E$4:$EN$4, 0) )</f>
        <v>159</v>
      </c>
      <c r="GM73" s="48">
        <f>INDEX('2011'!$E$7:$EN$37,  MATCH(GJ73, '2011'!$A$7:$A$37, 0), MATCH(GJ61, '2011'!$E$4:$EN$4, 0) )</f>
        <v>138</v>
      </c>
      <c r="GN73" s="48">
        <f>INDEX('2012'!$E$7:$EN$37,  MATCH(GJ73, '2012'!$A$7:$A$37, 0), MATCH(GJ61, '2012'!$E$4:$EN$4, 0) )</f>
        <v>101</v>
      </c>
      <c r="GO73" s="48">
        <f>INDEX('2013'!$E$7:$EN$37,  MATCH(GJ73, '2013'!$A$7:$A$37, 0), MATCH(GJ61, '2013'!$E$4:$EN$4, 0) )</f>
        <v>105</v>
      </c>
      <c r="GP73" s="48">
        <f>INDEX('2014'!$E$7:$EN$37,  MATCH(GJ73, '2014'!$A$7:$A$37, 0), MATCH(GJ61, '2014'!$E$4:$EN$4, 0) )</f>
        <v>87</v>
      </c>
      <c r="GQ73" s="48">
        <f>INDEX('2015'!$E$7:$EN$37,  MATCH(GJ73, '2015'!$A$7:$A$37, 0), MATCH(GJ61, '2015'!$E$4:$EN$4, 0) )</f>
        <v>91</v>
      </c>
      <c r="GR73" s="48">
        <f>INDEX('2016'!$E$7:$EN$37,  MATCH(GJ73, '2016'!$A$7:$A$37, 0), MATCH(GJ61, '2016'!$E$4:$EN$4, 0) )</f>
        <v>85</v>
      </c>
      <c r="GS73" s="48">
        <f>INDEX('2017'!$E$7:$EN$37,  MATCH(GJ73, '2017'!$A$7:$A$37, 0), MATCH(GJ61, '2017'!$E$4:$EN$4, 0) )</f>
        <v>120</v>
      </c>
      <c r="GT73" s="48">
        <f>INDEX('2018'!$E$7:$EN$37,  MATCH(GJ73, '2018'!$A$7:$A$37, 0), MATCH(GJ61, '2018'!$E$4:$EN$4, 0) )</f>
        <v>90</v>
      </c>
      <c r="GU73" s="48">
        <f>INDEX('2019'!$E$7:$EN$37,  MATCH(GJ73, '2019'!$A$7:$A$37, 0), MATCH(GJ61, '2019'!$E$4:$EN$4, 0) )</f>
        <v>146</v>
      </c>
    </row>
    <row r="74" spans="153:203" x14ac:dyDescent="0.25">
      <c r="EW74" s="9">
        <f t="shared" ref="EW74:EX74" si="221">EW28</f>
        <v>23</v>
      </c>
      <c r="EX74" s="21" t="str">
        <f t="shared" si="221"/>
        <v>Juab</v>
      </c>
      <c r="EY74" s="48">
        <f>INDEX('2010'!$E$7:$EN$37,  MATCH(EW74, '2010'!$A$7:$A$37, 0), MATCH(EW61, '2010'!$E$4:$EN$4, 0) )</f>
        <v>199</v>
      </c>
      <c r="EZ74" s="48">
        <f>INDEX('2011'!$E$7:$EN$37,  MATCH(EW74, '2011'!$A$7:$A$37, 0), MATCH(EW61, '2011'!$E$4:$EN$4, 0) )</f>
        <v>210</v>
      </c>
      <c r="FA74" s="48">
        <f>INDEX('2012'!$E$7:$EN$37,  MATCH(EW74, '2012'!$A$7:$A$37, 0), MATCH(EW61, '2012'!$E$4:$EN$4, 0) )</f>
        <v>234</v>
      </c>
      <c r="FB74" s="48">
        <f>INDEX('2013'!$E$7:$EN$37,  MATCH(EW74, '2013'!$A$7:$A$37, 0), MATCH(EW61, '2013'!$E$4:$EN$4, 0) )</f>
        <v>207</v>
      </c>
      <c r="FC74" s="48">
        <f>INDEX('2014'!$E$7:$EN$37,  MATCH(EW74, '2014'!$A$7:$A$37, 0), MATCH(EW61, '2014'!$E$4:$EN$4, 0) )</f>
        <v>233</v>
      </c>
      <c r="FD74" s="48">
        <f>INDEX('2015'!$E$7:$EN$37,  MATCH(EW74, '2015'!$A$7:$A$37, 0), MATCH(EW61, '2015'!$E$4:$EN$4, 0) )</f>
        <v>230</v>
      </c>
      <c r="FE74" s="48">
        <f>INDEX('2016'!$E$7:$EN$37,  MATCH(EW74, '2016'!$A$7:$A$37, 0), MATCH(EW61, '2016'!$E$4:$EN$4, 0) )</f>
        <v>252</v>
      </c>
      <c r="FF74" s="48">
        <f>INDEX('2017'!$E$7:$EN$37,  MATCH(EW74, '2017'!$A$7:$A$37, 0), MATCH(EW61, '2017'!$E$4:$EN$4, 0) )</f>
        <v>197</v>
      </c>
      <c r="FG74" s="48">
        <f>INDEX('2018'!$E$7:$EN$37,  MATCH(EW74, '2018'!$A$7:$A$37, 0), MATCH(EW61, '2018'!$E$4:$EN$4, 0) )</f>
        <v>202</v>
      </c>
      <c r="FH74" s="48">
        <f>INDEX('2019'!$E$7:$EN$37,  MATCH(EW74, '2019'!$A$7:$A$37, 0), MATCH(EW61, '2019'!$E$4:$EN$4, 0) )</f>
        <v>187</v>
      </c>
      <c r="FJ74" s="9">
        <f t="shared" ref="FJ74:FK74" si="222">FJ28</f>
        <v>23</v>
      </c>
      <c r="FK74" s="21" t="str">
        <f t="shared" si="222"/>
        <v>Juab</v>
      </c>
      <c r="FL74" s="48">
        <f>INDEX('2010'!$E$7:$EN$37,  MATCH(FJ74, '2010'!$A$7:$A$37, 0), MATCH(FJ61, '2010'!$E$4:$EN$4, 0) )</f>
        <v>66</v>
      </c>
      <c r="FM74" s="48">
        <f>INDEX('2011'!$E$7:$EN$37,  MATCH(FJ74, '2011'!$A$7:$A$37, 0), MATCH(FJ61, '2011'!$E$4:$EN$4, 0) )</f>
        <v>73</v>
      </c>
      <c r="FN74" s="48">
        <f>INDEX('2012'!$E$7:$EN$37,  MATCH(FJ74, '2012'!$A$7:$A$37, 0), MATCH(FJ61, '2012'!$E$4:$EN$4, 0) )</f>
        <v>55</v>
      </c>
      <c r="FO74" s="48">
        <f>INDEX('2013'!$E$7:$EN$37,  MATCH(FJ74, '2013'!$A$7:$A$37, 0), MATCH(FJ61, '2013'!$E$4:$EN$4, 0) )</f>
        <v>70</v>
      </c>
      <c r="FP74" s="48">
        <f>INDEX('2014'!$E$7:$EN$37,  MATCH(FJ74, '2014'!$A$7:$A$37, 0), MATCH(FJ61, '2014'!$E$4:$EN$4, 0) )</f>
        <v>58</v>
      </c>
      <c r="FQ74" s="48">
        <f>INDEX('2015'!$E$7:$EN$37,  MATCH(FJ74, '2015'!$A$7:$A$37, 0), MATCH(FJ61, '2015'!$E$4:$EN$4, 0) )</f>
        <v>66</v>
      </c>
      <c r="FR74" s="48">
        <f>INDEX('2016'!$E$7:$EN$37,  MATCH(FJ74, '2016'!$A$7:$A$37, 0), MATCH(FJ61, '2016'!$E$4:$EN$4, 0) )</f>
        <v>81</v>
      </c>
      <c r="FS74" s="48">
        <f>INDEX('2017'!$E$7:$EN$37,  MATCH(FJ74, '2017'!$A$7:$A$37, 0), MATCH(FJ61, '2017'!$E$4:$EN$4, 0) )</f>
        <v>92</v>
      </c>
      <c r="FT74" s="48">
        <f>INDEX('2018'!$E$7:$EN$37,  MATCH(FJ74, '2018'!$A$7:$A$37, 0), MATCH(FJ61, '2018'!$E$4:$EN$4, 0) )</f>
        <v>97</v>
      </c>
      <c r="FU74" s="48">
        <f>INDEX('2019'!$E$7:$EN$37,  MATCH(FJ74, '2019'!$A$7:$A$37, 0), MATCH(FJ61, '2019'!$E$4:$EN$4, 0) )</f>
        <v>113</v>
      </c>
      <c r="FW74" s="9">
        <f t="shared" ref="FW74:FX74" si="223">FW28</f>
        <v>23</v>
      </c>
      <c r="FX74" s="21" t="str">
        <f t="shared" si="223"/>
        <v>Juab</v>
      </c>
      <c r="FY74" s="48">
        <f>INDEX('2010'!$E$7:$EN$37,  MATCH(FW74, '2010'!$A$7:$A$37, 0), MATCH(FW61, '2010'!$E$4:$EN$4, 0) )</f>
        <v>26</v>
      </c>
      <c r="FZ74" s="48">
        <f>INDEX('2011'!$E$7:$EN$37,  MATCH(FW74, '2011'!$A$7:$A$37, 0), MATCH(FW61, '2011'!$E$4:$EN$4, 0) )</f>
        <v>27</v>
      </c>
      <c r="GA74" s="48">
        <f>INDEX('2012'!$E$7:$EN$37,  MATCH(FW74, '2012'!$A$7:$A$37, 0), MATCH(FW61, '2012'!$E$4:$EN$4, 0) )</f>
        <v>33</v>
      </c>
      <c r="GB74" s="48">
        <f>INDEX('2013'!$E$7:$EN$37,  MATCH(FW74, '2013'!$A$7:$A$37, 0), MATCH(FW61, '2013'!$E$4:$EN$4, 0) )</f>
        <v>25</v>
      </c>
      <c r="GC74" s="48">
        <f>INDEX('2014'!$E$7:$EN$37,  MATCH(FW74, '2014'!$A$7:$A$37, 0), MATCH(FW61, '2014'!$E$4:$EN$4, 0) )</f>
        <v>21</v>
      </c>
      <c r="GD74" s="48">
        <f>INDEX('2015'!$E$7:$EN$37,  MATCH(FW74, '2015'!$A$7:$A$37, 0), MATCH(FW61, '2015'!$E$4:$EN$4, 0) )</f>
        <v>10</v>
      </c>
      <c r="GE74" s="48">
        <f>INDEX('2016'!$E$7:$EN$37,  MATCH(FW74, '2016'!$A$7:$A$37, 0), MATCH(FW61, '2016'!$E$4:$EN$4, 0) )</f>
        <v>10</v>
      </c>
      <c r="GF74" s="48">
        <f>INDEX('2017'!$E$7:$EN$37,  MATCH(FW74, '2017'!$A$7:$A$37, 0), MATCH(FW61, '2017'!$E$4:$EN$4, 0) )</f>
        <v>14</v>
      </c>
      <c r="GG74" s="48">
        <f>INDEX('2018'!$E$7:$EN$37,  MATCH(FW74, '2018'!$A$7:$A$37, 0), MATCH(FW61, '2018'!$E$4:$EN$4, 0) )</f>
        <v>13</v>
      </c>
      <c r="GH74" s="48">
        <f>INDEX('2019'!$E$7:$EN$37,  MATCH(FW74, '2019'!$A$7:$A$37, 0), MATCH(FW61, '2019'!$E$4:$EN$4, 0) )</f>
        <v>21</v>
      </c>
      <c r="GJ74" s="9">
        <f t="shared" ref="GJ74:GK74" si="224">GJ28</f>
        <v>23</v>
      </c>
      <c r="GK74" s="21" t="str">
        <f t="shared" si="224"/>
        <v>Juab</v>
      </c>
      <c r="GL74" s="48">
        <f>INDEX('2010'!$E$7:$EN$37,  MATCH(GJ74, '2010'!$A$7:$A$37, 0), MATCH(GJ61, '2010'!$E$4:$EN$4, 0) )</f>
        <v>20</v>
      </c>
      <c r="GM74" s="48">
        <f>INDEX('2011'!$E$7:$EN$37,  MATCH(GJ74, '2011'!$A$7:$A$37, 0), MATCH(GJ61, '2011'!$E$4:$EN$4, 0) )</f>
        <v>18</v>
      </c>
      <c r="GN74" s="48">
        <f>INDEX('2012'!$E$7:$EN$37,  MATCH(GJ74, '2012'!$A$7:$A$37, 0), MATCH(GJ61, '2012'!$E$4:$EN$4, 0) )</f>
        <v>19</v>
      </c>
      <c r="GO74" s="48">
        <f>INDEX('2013'!$E$7:$EN$37,  MATCH(GJ74, '2013'!$A$7:$A$37, 0), MATCH(GJ61, '2013'!$E$4:$EN$4, 0) )</f>
        <v>24</v>
      </c>
      <c r="GP74" s="48">
        <f>INDEX('2014'!$E$7:$EN$37,  MATCH(GJ74, '2014'!$A$7:$A$37, 0), MATCH(GJ61, '2014'!$E$4:$EN$4, 0) )</f>
        <v>27</v>
      </c>
      <c r="GQ74" s="48">
        <f>INDEX('2015'!$E$7:$EN$37,  MATCH(GJ74, '2015'!$A$7:$A$37, 0), MATCH(GJ61, '2015'!$E$4:$EN$4, 0) )</f>
        <v>34</v>
      </c>
      <c r="GR74" s="48">
        <f>INDEX('2016'!$E$7:$EN$37,  MATCH(GJ74, '2016'!$A$7:$A$37, 0), MATCH(GJ61, '2016'!$E$4:$EN$4, 0) )</f>
        <v>37</v>
      </c>
      <c r="GS74" s="48">
        <f>INDEX('2017'!$E$7:$EN$37,  MATCH(GJ74, '2017'!$A$7:$A$37, 0), MATCH(GJ61, '2017'!$E$4:$EN$4, 0) )</f>
        <v>34</v>
      </c>
      <c r="GT74" s="48">
        <f>INDEX('2018'!$E$7:$EN$37,  MATCH(GJ74, '2018'!$A$7:$A$37, 0), MATCH(GJ61, '2018'!$E$4:$EN$4, 0) )</f>
        <v>33</v>
      </c>
      <c r="GU74" s="48">
        <f>INDEX('2019'!$E$7:$EN$37,  MATCH(GJ74, '2019'!$A$7:$A$37, 0), MATCH(GJ61, '2019'!$E$4:$EN$4, 0) )</f>
        <v>71</v>
      </c>
    </row>
    <row r="75" spans="153:203" x14ac:dyDescent="0.25">
      <c r="EW75" s="9">
        <f t="shared" ref="EW75:EX75" si="225">EW29</f>
        <v>25</v>
      </c>
      <c r="EX75" s="21" t="str">
        <f t="shared" si="225"/>
        <v>Kane</v>
      </c>
      <c r="EY75" s="48">
        <f>INDEX('2010'!$E$7:$EN$37,  MATCH(EW75, '2010'!$A$7:$A$37, 0), MATCH(EW61, '2010'!$E$4:$EN$4, 0) )</f>
        <v>313</v>
      </c>
      <c r="EZ75" s="48">
        <f>INDEX('2011'!$E$7:$EN$37,  MATCH(EW75, '2011'!$A$7:$A$37, 0), MATCH(EW61, '2011'!$E$4:$EN$4, 0) )</f>
        <v>228</v>
      </c>
      <c r="FA75" s="48">
        <f>INDEX('2012'!$E$7:$EN$37,  MATCH(EW75, '2012'!$A$7:$A$37, 0), MATCH(EW61, '2012'!$E$4:$EN$4, 0) )</f>
        <v>226</v>
      </c>
      <c r="FB75" s="48">
        <f>INDEX('2013'!$E$7:$EN$37,  MATCH(EW75, '2013'!$A$7:$A$37, 0), MATCH(EW61, '2013'!$E$4:$EN$4, 0) )</f>
        <v>190</v>
      </c>
      <c r="FC75" s="48">
        <f>INDEX('2014'!$E$7:$EN$37,  MATCH(EW75, '2014'!$A$7:$A$37, 0), MATCH(EW61, '2014'!$E$4:$EN$4, 0) )</f>
        <v>175</v>
      </c>
      <c r="FD75" s="48">
        <f>INDEX('2015'!$E$7:$EN$37,  MATCH(EW75, '2015'!$A$7:$A$37, 0), MATCH(EW61, '2015'!$E$4:$EN$4, 0) )</f>
        <v>201</v>
      </c>
      <c r="FE75" s="48">
        <f>INDEX('2016'!$E$7:$EN$37,  MATCH(EW75, '2016'!$A$7:$A$37, 0), MATCH(EW61, '2016'!$E$4:$EN$4, 0) )</f>
        <v>215</v>
      </c>
      <c r="FF75" s="48">
        <f>INDEX('2017'!$E$7:$EN$37,  MATCH(EW75, '2017'!$A$7:$A$37, 0), MATCH(EW61, '2017'!$E$4:$EN$4, 0) )</f>
        <v>193</v>
      </c>
      <c r="FG75" s="48">
        <f>INDEX('2018'!$E$7:$EN$37,  MATCH(EW75, '2018'!$A$7:$A$37, 0), MATCH(EW61, '2018'!$E$4:$EN$4, 0) )</f>
        <v>207</v>
      </c>
      <c r="FH75" s="48">
        <f>INDEX('2019'!$E$7:$EN$37,  MATCH(EW75, '2019'!$A$7:$A$37, 0), MATCH(EW61, '2019'!$E$4:$EN$4, 0) )</f>
        <v>238</v>
      </c>
      <c r="FJ75" s="9">
        <f t="shared" ref="FJ75:FK75" si="226">FJ29</f>
        <v>25</v>
      </c>
      <c r="FK75" s="21" t="str">
        <f t="shared" si="226"/>
        <v>Kane</v>
      </c>
      <c r="FL75" s="48">
        <f>INDEX('2010'!$E$7:$EN$37,  MATCH(FJ75, '2010'!$A$7:$A$37, 0), MATCH(FJ61, '2010'!$E$4:$EN$4, 0) )</f>
        <v>102</v>
      </c>
      <c r="FM75" s="48">
        <f>INDEX('2011'!$E$7:$EN$37,  MATCH(FJ75, '2011'!$A$7:$A$37, 0), MATCH(FJ61, '2011'!$E$4:$EN$4, 0) )</f>
        <v>94</v>
      </c>
      <c r="FN75" s="48">
        <f>INDEX('2012'!$E$7:$EN$37,  MATCH(FJ75, '2012'!$A$7:$A$37, 0), MATCH(FJ61, '2012'!$E$4:$EN$4, 0) )</f>
        <v>115</v>
      </c>
      <c r="FO75" s="48">
        <f>INDEX('2013'!$E$7:$EN$37,  MATCH(FJ75, '2013'!$A$7:$A$37, 0), MATCH(FJ61, '2013'!$E$4:$EN$4, 0) )</f>
        <v>113</v>
      </c>
      <c r="FP75" s="48">
        <f>INDEX('2014'!$E$7:$EN$37,  MATCH(FJ75, '2014'!$A$7:$A$37, 0), MATCH(FJ61, '2014'!$E$4:$EN$4, 0) )</f>
        <v>104</v>
      </c>
      <c r="FQ75" s="48">
        <f>INDEX('2015'!$E$7:$EN$37,  MATCH(FJ75, '2015'!$A$7:$A$37, 0), MATCH(FJ61, '2015'!$E$4:$EN$4, 0) )</f>
        <v>106</v>
      </c>
      <c r="FR75" s="48">
        <f>INDEX('2016'!$E$7:$EN$37,  MATCH(FJ75, '2016'!$A$7:$A$37, 0), MATCH(FJ61, '2016'!$E$4:$EN$4, 0) )</f>
        <v>89</v>
      </c>
      <c r="FS75" s="48">
        <f>INDEX('2017'!$E$7:$EN$37,  MATCH(FJ75, '2017'!$A$7:$A$37, 0), MATCH(FJ61, '2017'!$E$4:$EN$4, 0) )</f>
        <v>63</v>
      </c>
      <c r="FT75" s="48">
        <f>INDEX('2018'!$E$7:$EN$37,  MATCH(FJ75, '2018'!$A$7:$A$37, 0), MATCH(FJ61, '2018'!$E$4:$EN$4, 0) )</f>
        <v>67</v>
      </c>
      <c r="FU75" s="48">
        <f>INDEX('2019'!$E$7:$EN$37,  MATCH(FJ75, '2019'!$A$7:$A$37, 0), MATCH(FJ61, '2019'!$E$4:$EN$4, 0) )</f>
        <v>95</v>
      </c>
      <c r="FW75" s="9">
        <f t="shared" ref="FW75:FX75" si="227">FW29</f>
        <v>25</v>
      </c>
      <c r="FX75" s="21" t="str">
        <f t="shared" si="227"/>
        <v>Kane</v>
      </c>
      <c r="FY75" s="48">
        <f>INDEX('2010'!$E$7:$EN$37,  MATCH(FW75, '2010'!$A$7:$A$37, 0), MATCH(FW61, '2010'!$E$4:$EN$4, 0) )</f>
        <v>33</v>
      </c>
      <c r="FZ75" s="48">
        <f>INDEX('2011'!$E$7:$EN$37,  MATCH(FW75, '2011'!$A$7:$A$37, 0), MATCH(FW61, '2011'!$E$4:$EN$4, 0) )</f>
        <v>27</v>
      </c>
      <c r="GA75" s="48">
        <f>INDEX('2012'!$E$7:$EN$37,  MATCH(FW75, '2012'!$A$7:$A$37, 0), MATCH(FW61, '2012'!$E$4:$EN$4, 0) )</f>
        <v>39</v>
      </c>
      <c r="GB75" s="48">
        <f>INDEX('2013'!$E$7:$EN$37,  MATCH(FW75, '2013'!$A$7:$A$37, 0), MATCH(FW61, '2013'!$E$4:$EN$4, 0) )</f>
        <v>50</v>
      </c>
      <c r="GC75" s="48">
        <f>INDEX('2014'!$E$7:$EN$37,  MATCH(FW75, '2014'!$A$7:$A$37, 0), MATCH(FW61, '2014'!$E$4:$EN$4, 0) )</f>
        <v>67</v>
      </c>
      <c r="GD75" s="48">
        <f>INDEX('2015'!$E$7:$EN$37,  MATCH(FW75, '2015'!$A$7:$A$37, 0), MATCH(FW61, '2015'!$E$4:$EN$4, 0) )</f>
        <v>64</v>
      </c>
      <c r="GE75" s="48">
        <f>INDEX('2016'!$E$7:$EN$37,  MATCH(FW75, '2016'!$A$7:$A$37, 0), MATCH(FW61, '2016'!$E$4:$EN$4, 0) )</f>
        <v>57</v>
      </c>
      <c r="GF75" s="48">
        <f>INDEX('2017'!$E$7:$EN$37,  MATCH(FW75, '2017'!$A$7:$A$37, 0), MATCH(FW61, '2017'!$E$4:$EN$4, 0) )</f>
        <v>15</v>
      </c>
      <c r="GG75" s="48">
        <f>INDEX('2018'!$E$7:$EN$37,  MATCH(FW75, '2018'!$A$7:$A$37, 0), MATCH(FW61, '2018'!$E$4:$EN$4, 0) )</f>
        <v>27</v>
      </c>
      <c r="GH75" s="48">
        <f>INDEX('2019'!$E$7:$EN$37,  MATCH(FW75, '2019'!$A$7:$A$37, 0), MATCH(FW61, '2019'!$E$4:$EN$4, 0) )</f>
        <v>32</v>
      </c>
      <c r="GJ75" s="9">
        <f t="shared" ref="GJ75:GK75" si="228">GJ29</f>
        <v>25</v>
      </c>
      <c r="GK75" s="21" t="str">
        <f t="shared" si="228"/>
        <v>Kane</v>
      </c>
      <c r="GL75" s="48">
        <f>INDEX('2010'!$E$7:$EN$37,  MATCH(GJ75, '2010'!$A$7:$A$37, 0), MATCH(GJ61, '2010'!$E$4:$EN$4, 0) )</f>
        <v>82</v>
      </c>
      <c r="GM75" s="48">
        <f>INDEX('2011'!$E$7:$EN$37,  MATCH(GJ75, '2011'!$A$7:$A$37, 0), MATCH(GJ61, '2011'!$E$4:$EN$4, 0) )</f>
        <v>79</v>
      </c>
      <c r="GN75" s="48">
        <f>INDEX('2012'!$E$7:$EN$37,  MATCH(GJ75, '2012'!$A$7:$A$37, 0), MATCH(GJ61, '2012'!$E$4:$EN$4, 0) )</f>
        <v>80</v>
      </c>
      <c r="GO75" s="48">
        <f>INDEX('2013'!$E$7:$EN$37,  MATCH(GJ75, '2013'!$A$7:$A$37, 0), MATCH(GJ61, '2013'!$E$4:$EN$4, 0) )</f>
        <v>74</v>
      </c>
      <c r="GP75" s="48">
        <f>INDEX('2014'!$E$7:$EN$37,  MATCH(GJ75, '2014'!$A$7:$A$37, 0), MATCH(GJ61, '2014'!$E$4:$EN$4, 0) )</f>
        <v>29</v>
      </c>
      <c r="GQ75" s="48">
        <f>INDEX('2015'!$E$7:$EN$37,  MATCH(GJ75, '2015'!$A$7:$A$37, 0), MATCH(GJ61, '2015'!$E$4:$EN$4, 0) )</f>
        <v>19</v>
      </c>
      <c r="GR75" s="48">
        <f>INDEX('2016'!$E$7:$EN$37,  MATCH(GJ75, '2016'!$A$7:$A$37, 0), MATCH(GJ61, '2016'!$E$4:$EN$4, 0) )</f>
        <v>24</v>
      </c>
      <c r="GS75" s="48">
        <f>INDEX('2017'!$E$7:$EN$37,  MATCH(GJ75, '2017'!$A$7:$A$37, 0), MATCH(GJ61, '2017'!$E$4:$EN$4, 0) )</f>
        <v>25</v>
      </c>
      <c r="GT75" s="48">
        <f>INDEX('2018'!$E$7:$EN$37,  MATCH(GJ75, '2018'!$A$7:$A$37, 0), MATCH(GJ61, '2018'!$E$4:$EN$4, 0) )</f>
        <v>11</v>
      </c>
      <c r="GU75" s="48">
        <f>INDEX('2019'!$E$7:$EN$37,  MATCH(GJ75, '2019'!$A$7:$A$37, 0), MATCH(GJ61, '2019'!$E$4:$EN$4, 0) )</f>
        <v>12</v>
      </c>
    </row>
    <row r="76" spans="153:203" x14ac:dyDescent="0.25">
      <c r="EW76" s="9">
        <f t="shared" ref="EW76:EX76" si="229">EW30</f>
        <v>27</v>
      </c>
      <c r="EX76" s="21" t="str">
        <f t="shared" si="229"/>
        <v>Millard</v>
      </c>
      <c r="EY76" s="48">
        <f>INDEX('2010'!$E$7:$EN$37,  MATCH(EW76, '2010'!$A$7:$A$37, 0), MATCH(EW61, '2010'!$E$4:$EN$4, 0) )</f>
        <v>282</v>
      </c>
      <c r="EZ76" s="48">
        <f>INDEX('2011'!$E$7:$EN$37,  MATCH(EW76, '2011'!$A$7:$A$37, 0), MATCH(EW61, '2011'!$E$4:$EN$4, 0) )</f>
        <v>224</v>
      </c>
      <c r="FA76" s="48">
        <f>INDEX('2012'!$E$7:$EN$37,  MATCH(EW76, '2012'!$A$7:$A$37, 0), MATCH(EW61, '2012'!$E$4:$EN$4, 0) )</f>
        <v>212</v>
      </c>
      <c r="FB76" s="48">
        <f>INDEX('2013'!$E$7:$EN$37,  MATCH(EW76, '2013'!$A$7:$A$37, 0), MATCH(EW61, '2013'!$E$4:$EN$4, 0) )</f>
        <v>243</v>
      </c>
      <c r="FC76" s="48">
        <f>INDEX('2014'!$E$7:$EN$37,  MATCH(EW76, '2014'!$A$7:$A$37, 0), MATCH(EW61, '2014'!$E$4:$EN$4, 0) )</f>
        <v>249</v>
      </c>
      <c r="FD76" s="48">
        <f>INDEX('2015'!$E$7:$EN$37,  MATCH(EW76, '2015'!$A$7:$A$37, 0), MATCH(EW61, '2015'!$E$4:$EN$4, 0) )</f>
        <v>233</v>
      </c>
      <c r="FE76" s="48">
        <f>INDEX('2016'!$E$7:$EN$37,  MATCH(EW76, '2016'!$A$7:$A$37, 0), MATCH(EW61, '2016'!$E$4:$EN$4, 0) )</f>
        <v>214</v>
      </c>
      <c r="FF76" s="48">
        <f>INDEX('2017'!$E$7:$EN$37,  MATCH(EW76, '2017'!$A$7:$A$37, 0), MATCH(EW61, '2017'!$E$4:$EN$4, 0) )</f>
        <v>175</v>
      </c>
      <c r="FG76" s="48">
        <f>INDEX('2018'!$E$7:$EN$37,  MATCH(EW76, '2018'!$A$7:$A$37, 0), MATCH(EW61, '2018'!$E$4:$EN$4, 0) )</f>
        <v>211</v>
      </c>
      <c r="FH76" s="48">
        <f>INDEX('2019'!$E$7:$EN$37,  MATCH(EW76, '2019'!$A$7:$A$37, 0), MATCH(EW61, '2019'!$E$4:$EN$4, 0) )</f>
        <v>210</v>
      </c>
      <c r="FJ76" s="9">
        <f t="shared" ref="FJ76:FK76" si="230">FJ30</f>
        <v>27</v>
      </c>
      <c r="FK76" s="21" t="str">
        <f t="shared" si="230"/>
        <v>Millard</v>
      </c>
      <c r="FL76" s="48">
        <f>INDEX('2010'!$E$7:$EN$37,  MATCH(FJ76, '2010'!$A$7:$A$37, 0), MATCH(FJ61, '2010'!$E$4:$EN$4, 0) )</f>
        <v>65</v>
      </c>
      <c r="FM76" s="48">
        <f>INDEX('2011'!$E$7:$EN$37,  MATCH(FJ76, '2011'!$A$7:$A$37, 0), MATCH(FJ61, '2011'!$E$4:$EN$4, 0) )</f>
        <v>62</v>
      </c>
      <c r="FN76" s="48">
        <f>INDEX('2012'!$E$7:$EN$37,  MATCH(FJ76, '2012'!$A$7:$A$37, 0), MATCH(FJ61, '2012'!$E$4:$EN$4, 0) )</f>
        <v>61</v>
      </c>
      <c r="FO76" s="48">
        <f>INDEX('2013'!$E$7:$EN$37,  MATCH(FJ76, '2013'!$A$7:$A$37, 0), MATCH(FJ61, '2013'!$E$4:$EN$4, 0) )</f>
        <v>71</v>
      </c>
      <c r="FP76" s="48">
        <f>INDEX('2014'!$E$7:$EN$37,  MATCH(FJ76, '2014'!$A$7:$A$37, 0), MATCH(FJ61, '2014'!$E$4:$EN$4, 0) )</f>
        <v>72</v>
      </c>
      <c r="FQ76" s="48">
        <f>INDEX('2015'!$E$7:$EN$37,  MATCH(FJ76, '2015'!$A$7:$A$37, 0), MATCH(FJ61, '2015'!$E$4:$EN$4, 0) )</f>
        <v>63</v>
      </c>
      <c r="FR76" s="48">
        <f>INDEX('2016'!$E$7:$EN$37,  MATCH(FJ76, '2016'!$A$7:$A$37, 0), MATCH(FJ61, '2016'!$E$4:$EN$4, 0) )</f>
        <v>71</v>
      </c>
      <c r="FS76" s="48">
        <f>INDEX('2017'!$E$7:$EN$37,  MATCH(FJ76, '2017'!$A$7:$A$37, 0), MATCH(FJ61, '2017'!$E$4:$EN$4, 0) )</f>
        <v>134</v>
      </c>
      <c r="FT76" s="48">
        <f>INDEX('2018'!$E$7:$EN$37,  MATCH(FJ76, '2018'!$A$7:$A$37, 0), MATCH(FJ61, '2018'!$E$4:$EN$4, 0) )</f>
        <v>120</v>
      </c>
      <c r="FU76" s="48">
        <f>INDEX('2019'!$E$7:$EN$37,  MATCH(FJ76, '2019'!$A$7:$A$37, 0), MATCH(FJ61, '2019'!$E$4:$EN$4, 0) )</f>
        <v>115</v>
      </c>
      <c r="FW76" s="9">
        <f t="shared" ref="FW76:FX76" si="231">FW30</f>
        <v>27</v>
      </c>
      <c r="FX76" s="21" t="str">
        <f t="shared" si="231"/>
        <v>Millard</v>
      </c>
      <c r="FY76" s="48">
        <f>INDEX('2010'!$E$7:$EN$37,  MATCH(FW76, '2010'!$A$7:$A$37, 0), MATCH(FW61, '2010'!$E$4:$EN$4, 0) )</f>
        <v>26</v>
      </c>
      <c r="FZ76" s="48">
        <f>INDEX('2011'!$E$7:$EN$37,  MATCH(FW76, '2011'!$A$7:$A$37, 0), MATCH(FW61, '2011'!$E$4:$EN$4, 0) )</f>
        <v>28</v>
      </c>
      <c r="GA76" s="48">
        <f>INDEX('2012'!$E$7:$EN$37,  MATCH(FW76, '2012'!$A$7:$A$37, 0), MATCH(FW61, '2012'!$E$4:$EN$4, 0) )</f>
        <v>22</v>
      </c>
      <c r="GB76" s="48">
        <f>INDEX('2013'!$E$7:$EN$37,  MATCH(FW76, '2013'!$A$7:$A$37, 0), MATCH(FW61, '2013'!$E$4:$EN$4, 0) )</f>
        <v>20</v>
      </c>
      <c r="GC76" s="48">
        <f>INDEX('2014'!$E$7:$EN$37,  MATCH(FW76, '2014'!$A$7:$A$37, 0), MATCH(FW61, '2014'!$E$4:$EN$4, 0) )</f>
        <v>20</v>
      </c>
      <c r="GD76" s="48">
        <f>INDEX('2015'!$E$7:$EN$37,  MATCH(FW76, '2015'!$A$7:$A$37, 0), MATCH(FW61, '2015'!$E$4:$EN$4, 0) )</f>
        <v>18</v>
      </c>
      <c r="GE76" s="48">
        <f>INDEX('2016'!$E$7:$EN$37,  MATCH(FW76, '2016'!$A$7:$A$37, 0), MATCH(FW61, '2016'!$E$4:$EN$4, 0) )</f>
        <v>9</v>
      </c>
      <c r="GF76" s="48">
        <f>INDEX('2017'!$E$7:$EN$37,  MATCH(FW76, '2017'!$A$7:$A$37, 0), MATCH(FW61, '2017'!$E$4:$EN$4, 0) )</f>
        <v>99</v>
      </c>
      <c r="GG76" s="48">
        <f>INDEX('2018'!$E$7:$EN$37,  MATCH(FW76, '2018'!$A$7:$A$37, 0), MATCH(FW61, '2018'!$E$4:$EN$4, 0) )</f>
        <v>72</v>
      </c>
      <c r="GH76" s="48">
        <f>INDEX('2019'!$E$7:$EN$37,  MATCH(FW76, '2019'!$A$7:$A$37, 0), MATCH(FW61, '2019'!$E$4:$EN$4, 0) )</f>
        <v>71</v>
      </c>
      <c r="GJ76" s="9">
        <f t="shared" ref="GJ76:GK76" si="232">GJ30</f>
        <v>27</v>
      </c>
      <c r="GK76" s="21" t="str">
        <f t="shared" si="232"/>
        <v>Millard</v>
      </c>
      <c r="GL76" s="48">
        <f>INDEX('2010'!$E$7:$EN$37,  MATCH(GJ76, '2010'!$A$7:$A$37, 0), MATCH(GJ61, '2010'!$E$4:$EN$4, 0) )</f>
        <v>54</v>
      </c>
      <c r="GM76" s="48">
        <f>INDEX('2011'!$E$7:$EN$37,  MATCH(GJ76, '2011'!$A$7:$A$37, 0), MATCH(GJ61, '2011'!$E$4:$EN$4, 0) )</f>
        <v>55</v>
      </c>
      <c r="GN76" s="48">
        <f>INDEX('2012'!$E$7:$EN$37,  MATCH(GJ76, '2012'!$A$7:$A$37, 0), MATCH(GJ61, '2012'!$E$4:$EN$4, 0) )</f>
        <v>51</v>
      </c>
      <c r="GO76" s="48">
        <f>INDEX('2013'!$E$7:$EN$37,  MATCH(GJ76, '2013'!$A$7:$A$37, 0), MATCH(GJ61, '2013'!$E$4:$EN$4, 0) )</f>
        <v>59</v>
      </c>
      <c r="GP76" s="48">
        <f>INDEX('2014'!$E$7:$EN$37,  MATCH(GJ76, '2014'!$A$7:$A$37, 0), MATCH(GJ61, '2014'!$E$4:$EN$4, 0) )</f>
        <v>61</v>
      </c>
      <c r="GQ76" s="48">
        <f>INDEX('2015'!$E$7:$EN$37,  MATCH(GJ76, '2015'!$A$7:$A$37, 0), MATCH(GJ61, '2015'!$E$4:$EN$4, 0) )</f>
        <v>57</v>
      </c>
      <c r="GR76" s="48">
        <f>INDEX('2016'!$E$7:$EN$37,  MATCH(GJ76, '2016'!$A$7:$A$37, 0), MATCH(GJ61, '2016'!$E$4:$EN$4, 0) )</f>
        <v>59</v>
      </c>
      <c r="GS76" s="48">
        <f>INDEX('2017'!$E$7:$EN$37,  MATCH(GJ76, '2017'!$A$7:$A$37, 0), MATCH(GJ61, '2017'!$E$4:$EN$4, 0) )</f>
        <v>92</v>
      </c>
      <c r="GT76" s="48">
        <f>INDEX('2018'!$E$7:$EN$37,  MATCH(GJ76, '2018'!$A$7:$A$37, 0), MATCH(GJ61, '2018'!$E$4:$EN$4, 0) )</f>
        <v>84</v>
      </c>
      <c r="GU76" s="48">
        <f>INDEX('2019'!$E$7:$EN$37,  MATCH(GJ76, '2019'!$A$7:$A$37, 0), MATCH(GJ61, '2019'!$E$4:$EN$4, 0) )</f>
        <v>83</v>
      </c>
    </row>
    <row r="77" spans="153:203" x14ac:dyDescent="0.25">
      <c r="EW77" s="9">
        <f t="shared" ref="EW77:EX77" si="233">EW31</f>
        <v>29</v>
      </c>
      <c r="EX77" s="21" t="str">
        <f t="shared" si="233"/>
        <v>Morgan</v>
      </c>
      <c r="EY77" s="48">
        <f>INDEX('2010'!$E$7:$EN$37,  MATCH(EW77, '2010'!$A$7:$A$37, 0), MATCH(EW61, '2010'!$E$4:$EN$4, 0) )</f>
        <v>162</v>
      </c>
      <c r="EZ77" s="48">
        <f>INDEX('2011'!$E$7:$EN$37,  MATCH(EW77, '2011'!$A$7:$A$37, 0), MATCH(EW61, '2011'!$E$4:$EN$4, 0) )</f>
        <v>199</v>
      </c>
      <c r="FA77" s="48">
        <f>INDEX('2012'!$E$7:$EN$37,  MATCH(EW77, '2012'!$A$7:$A$37, 0), MATCH(EW61, '2012'!$E$4:$EN$4, 0) )</f>
        <v>196</v>
      </c>
      <c r="FB77" s="48">
        <f>INDEX('2013'!$E$7:$EN$37,  MATCH(EW77, '2013'!$A$7:$A$37, 0), MATCH(EW61, '2013'!$E$4:$EN$4, 0) )</f>
        <v>207</v>
      </c>
      <c r="FC77" s="48">
        <f>INDEX('2014'!$E$7:$EN$37,  MATCH(EW77, '2014'!$A$7:$A$37, 0), MATCH(EW61, '2014'!$E$4:$EN$4, 0) )</f>
        <v>183</v>
      </c>
      <c r="FD77" s="48">
        <f>INDEX('2015'!$E$7:$EN$37,  MATCH(EW77, '2015'!$A$7:$A$37, 0), MATCH(EW61, '2015'!$E$4:$EN$4, 0) )</f>
        <v>201</v>
      </c>
      <c r="FE77" s="48">
        <f>INDEX('2016'!$E$7:$EN$37,  MATCH(EW77, '2016'!$A$7:$A$37, 0), MATCH(EW61, '2016'!$E$4:$EN$4, 0) )</f>
        <v>201</v>
      </c>
      <c r="FF77" s="48">
        <f>INDEX('2017'!$E$7:$EN$37,  MATCH(EW77, '2017'!$A$7:$A$37, 0), MATCH(EW61, '2017'!$E$4:$EN$4, 0) )</f>
        <v>191</v>
      </c>
      <c r="FG77" s="48">
        <f>INDEX('2018'!$E$7:$EN$37,  MATCH(EW77, '2018'!$A$7:$A$37, 0), MATCH(EW61, '2018'!$E$4:$EN$4, 0) )</f>
        <v>217</v>
      </c>
      <c r="FH77" s="48">
        <f>INDEX('2019'!$E$7:$EN$37,  MATCH(EW77, '2019'!$A$7:$A$37, 0), MATCH(EW61, '2019'!$E$4:$EN$4, 0) )</f>
        <v>222</v>
      </c>
      <c r="FJ77" s="9">
        <f t="shared" ref="FJ77:FK77" si="234">FJ31</f>
        <v>29</v>
      </c>
      <c r="FK77" s="21" t="str">
        <f t="shared" si="234"/>
        <v>Morgan</v>
      </c>
      <c r="FL77" s="48">
        <f>INDEX('2010'!$E$7:$EN$37,  MATCH(FJ77, '2010'!$A$7:$A$37, 0), MATCH(FJ61, '2010'!$E$4:$EN$4, 0) )</f>
        <v>89</v>
      </c>
      <c r="FM77" s="48">
        <f>INDEX('2011'!$E$7:$EN$37,  MATCH(FJ77, '2011'!$A$7:$A$37, 0), MATCH(FJ61, '2011'!$E$4:$EN$4, 0) )</f>
        <v>71</v>
      </c>
      <c r="FN77" s="48">
        <f>INDEX('2012'!$E$7:$EN$37,  MATCH(FJ77, '2012'!$A$7:$A$37, 0), MATCH(FJ61, '2012'!$E$4:$EN$4, 0) )</f>
        <v>75</v>
      </c>
      <c r="FO77" s="48">
        <f>INDEX('2013'!$E$7:$EN$37,  MATCH(FJ77, '2013'!$A$7:$A$37, 0), MATCH(FJ61, '2013'!$E$4:$EN$4, 0) )</f>
        <v>71</v>
      </c>
      <c r="FP77" s="48">
        <f>INDEX('2014'!$E$7:$EN$37,  MATCH(FJ77, '2014'!$A$7:$A$37, 0), MATCH(FJ61, '2014'!$E$4:$EN$4, 0) )</f>
        <v>88</v>
      </c>
      <c r="FQ77" s="48">
        <f>INDEX('2015'!$E$7:$EN$37,  MATCH(FJ77, '2015'!$A$7:$A$37, 0), MATCH(FJ61, '2015'!$E$4:$EN$4, 0) )</f>
        <v>80</v>
      </c>
      <c r="FR77" s="48">
        <f>INDEX('2016'!$E$7:$EN$37,  MATCH(FJ77, '2016'!$A$7:$A$37, 0), MATCH(FJ61, '2016'!$E$4:$EN$4, 0) )</f>
        <v>62</v>
      </c>
      <c r="FS77" s="48">
        <f>INDEX('2017'!$E$7:$EN$37,  MATCH(FJ77, '2017'!$A$7:$A$37, 0), MATCH(FJ61, '2017'!$E$4:$EN$4, 0) )</f>
        <v>62</v>
      </c>
      <c r="FT77" s="48">
        <f>INDEX('2018'!$E$7:$EN$37,  MATCH(FJ77, '2018'!$A$7:$A$37, 0), MATCH(FJ61, '2018'!$E$4:$EN$4, 0) )</f>
        <v>67</v>
      </c>
      <c r="FU77" s="48">
        <f>INDEX('2019'!$E$7:$EN$37,  MATCH(FJ77, '2019'!$A$7:$A$37, 0), MATCH(FJ61, '2019'!$E$4:$EN$4, 0) )</f>
        <v>74</v>
      </c>
      <c r="FW77" s="9">
        <f t="shared" ref="FW77:FX77" si="235">FW31</f>
        <v>29</v>
      </c>
      <c r="FX77" s="21" t="str">
        <f t="shared" si="235"/>
        <v>Morgan</v>
      </c>
      <c r="FY77" s="48">
        <f>INDEX('2010'!$E$7:$EN$37,  MATCH(FW77, '2010'!$A$7:$A$37, 0), MATCH(FW61, '2010'!$E$4:$EN$4, 0) )</f>
        <v>23</v>
      </c>
      <c r="FZ77" s="48">
        <f>INDEX('2011'!$E$7:$EN$37,  MATCH(FW77, '2011'!$A$7:$A$37, 0), MATCH(FW61, '2011'!$E$4:$EN$4, 0) )</f>
        <v>15</v>
      </c>
      <c r="GA77" s="48">
        <f>INDEX('2012'!$E$7:$EN$37,  MATCH(FW77, '2012'!$A$7:$A$37, 0), MATCH(FW61, '2012'!$E$4:$EN$4, 0) )</f>
        <v>37</v>
      </c>
      <c r="GB77" s="48">
        <f>INDEX('2013'!$E$7:$EN$37,  MATCH(FW77, '2013'!$A$7:$A$37, 0), MATCH(FW61, '2013'!$E$4:$EN$4, 0) )</f>
        <v>36</v>
      </c>
      <c r="GC77" s="48">
        <f>INDEX('2014'!$E$7:$EN$37,  MATCH(FW77, '2014'!$A$7:$A$37, 0), MATCH(FW61, '2014'!$E$4:$EN$4, 0) )</f>
        <v>42</v>
      </c>
      <c r="GD77" s="48">
        <f>INDEX('2015'!$E$7:$EN$37,  MATCH(FW77, '2015'!$A$7:$A$37, 0), MATCH(FW61, '2015'!$E$4:$EN$4, 0) )</f>
        <v>24</v>
      </c>
      <c r="GE77" s="48">
        <f>INDEX('2016'!$E$7:$EN$37,  MATCH(FW77, '2016'!$A$7:$A$37, 0), MATCH(FW61, '2016'!$E$4:$EN$4, 0) )</f>
        <v>23</v>
      </c>
      <c r="GF77" s="48">
        <f>INDEX('2017'!$E$7:$EN$37,  MATCH(FW77, '2017'!$A$7:$A$37, 0), MATCH(FW61, '2017'!$E$4:$EN$4, 0) )</f>
        <v>25</v>
      </c>
      <c r="GG77" s="48">
        <f>INDEX('2018'!$E$7:$EN$37,  MATCH(FW77, '2018'!$A$7:$A$37, 0), MATCH(FW61, '2018'!$E$4:$EN$4, 0) )</f>
        <v>19</v>
      </c>
      <c r="GH77" s="48">
        <f>INDEX('2019'!$E$7:$EN$37,  MATCH(FW77, '2019'!$A$7:$A$37, 0), MATCH(FW61, '2019'!$E$4:$EN$4, 0) )</f>
        <v>24</v>
      </c>
      <c r="GJ77" s="9">
        <f t="shared" ref="GJ77:GK77" si="236">GJ31</f>
        <v>29</v>
      </c>
      <c r="GK77" s="21" t="str">
        <f t="shared" si="236"/>
        <v>Morgan</v>
      </c>
      <c r="GL77" s="48">
        <f>INDEX('2010'!$E$7:$EN$37,  MATCH(GJ77, '2010'!$A$7:$A$37, 0), MATCH(GJ61, '2010'!$E$4:$EN$4, 0) )</f>
        <v>87</v>
      </c>
      <c r="GM77" s="48">
        <f>INDEX('2011'!$E$7:$EN$37,  MATCH(GJ77, '2011'!$A$7:$A$37, 0), MATCH(GJ61, '2011'!$E$4:$EN$4, 0) )</f>
        <v>47</v>
      </c>
      <c r="GN77" s="48">
        <f>INDEX('2012'!$E$7:$EN$37,  MATCH(GJ77, '2012'!$A$7:$A$37, 0), MATCH(GJ61, '2012'!$E$4:$EN$4, 0) )</f>
        <v>44</v>
      </c>
      <c r="GO77" s="48">
        <f>INDEX('2013'!$E$7:$EN$37,  MATCH(GJ77, '2013'!$A$7:$A$37, 0), MATCH(GJ61, '2013'!$E$4:$EN$4, 0) )</f>
        <v>41</v>
      </c>
      <c r="GP77" s="48">
        <f>INDEX('2014'!$E$7:$EN$37,  MATCH(GJ77, '2014'!$A$7:$A$37, 0), MATCH(GJ61, '2014'!$E$4:$EN$4, 0) )</f>
        <v>49</v>
      </c>
      <c r="GQ77" s="48">
        <f>INDEX('2015'!$E$7:$EN$37,  MATCH(GJ77, '2015'!$A$7:$A$37, 0), MATCH(GJ61, '2015'!$E$4:$EN$4, 0) )</f>
        <v>40</v>
      </c>
      <c r="GR77" s="48">
        <f>INDEX('2016'!$E$7:$EN$37,  MATCH(GJ77, '2016'!$A$7:$A$37, 0), MATCH(GJ61, '2016'!$E$4:$EN$4, 0) )</f>
        <v>38</v>
      </c>
      <c r="GS77" s="48">
        <f>INDEX('2017'!$E$7:$EN$37,  MATCH(GJ77, '2017'!$A$7:$A$37, 0), MATCH(GJ61, '2017'!$E$4:$EN$4, 0) )</f>
        <v>44</v>
      </c>
      <c r="GT77" s="48">
        <f>INDEX('2018'!$E$7:$EN$37,  MATCH(GJ77, '2018'!$A$7:$A$37, 0), MATCH(GJ61, '2018'!$E$4:$EN$4, 0) )</f>
        <v>43</v>
      </c>
      <c r="GU77" s="48">
        <f>INDEX('2019'!$E$7:$EN$37,  MATCH(GJ77, '2019'!$A$7:$A$37, 0), MATCH(GJ61, '2019'!$E$4:$EN$4, 0) )</f>
        <v>33</v>
      </c>
    </row>
    <row r="78" spans="153:203" x14ac:dyDescent="0.25">
      <c r="EW78" s="9">
        <f t="shared" ref="EW78:EX78" si="237">EW32</f>
        <v>31</v>
      </c>
      <c r="EX78" s="21" t="str">
        <f t="shared" si="237"/>
        <v>Piute</v>
      </c>
      <c r="EY78" s="48">
        <f>INDEX('2010'!$E$7:$EN$37,  MATCH(EW78, '2010'!$A$7:$A$37, 0), MATCH(EW61, '2010'!$E$4:$EN$4, 0) )</f>
        <v>99</v>
      </c>
      <c r="EZ78" s="48">
        <f>INDEX('2011'!$E$7:$EN$37,  MATCH(EW78, '2011'!$A$7:$A$37, 0), MATCH(EW61, '2011'!$E$4:$EN$4, 0) )</f>
        <v>88</v>
      </c>
      <c r="FA78" s="48">
        <f>INDEX('2012'!$E$7:$EN$37,  MATCH(EW78, '2012'!$A$7:$A$37, 0), MATCH(EW61, '2012'!$E$4:$EN$4, 0) )</f>
        <v>53</v>
      </c>
      <c r="FB78" s="48">
        <f>INDEX('2013'!$E$7:$EN$37,  MATCH(EW78, '2013'!$A$7:$A$37, 0), MATCH(EW61, '2013'!$E$4:$EN$4, 0) )</f>
        <v>74</v>
      </c>
      <c r="FC78" s="48">
        <f>INDEX('2014'!$E$7:$EN$37,  MATCH(EW78, '2014'!$A$7:$A$37, 0), MATCH(EW61, '2014'!$E$4:$EN$4, 0) )</f>
        <v>97</v>
      </c>
      <c r="FD78" s="48">
        <f>INDEX('2015'!$E$7:$EN$37,  MATCH(EW78, '2015'!$A$7:$A$37, 0), MATCH(EW61, '2015'!$E$4:$EN$4, 0) )</f>
        <v>84</v>
      </c>
      <c r="FE78" s="48">
        <f>INDEX('2016'!$E$7:$EN$37,  MATCH(EW78, '2016'!$A$7:$A$37, 0), MATCH(EW61, '2016'!$E$4:$EN$4, 0) )</f>
        <v>74</v>
      </c>
      <c r="FF78" s="48">
        <f>INDEX('2017'!$E$7:$EN$37,  MATCH(EW78, '2017'!$A$7:$A$37, 0), MATCH(EW61, '2017'!$E$4:$EN$4, 0) )</f>
        <v>78</v>
      </c>
      <c r="FG78" s="48">
        <f>INDEX('2018'!$E$7:$EN$37,  MATCH(EW78, '2018'!$A$7:$A$37, 0), MATCH(EW61, '2018'!$E$4:$EN$4, 0) )</f>
        <v>111</v>
      </c>
      <c r="FH78" s="48">
        <f>INDEX('2019'!$E$7:$EN$37,  MATCH(EW78, '2019'!$A$7:$A$37, 0), MATCH(EW61, '2019'!$E$4:$EN$4, 0) )</f>
        <v>96</v>
      </c>
      <c r="FJ78" s="9">
        <f t="shared" ref="FJ78:FK78" si="238">FJ32</f>
        <v>31</v>
      </c>
      <c r="FK78" s="21" t="str">
        <f t="shared" si="238"/>
        <v>Piute</v>
      </c>
      <c r="FL78" s="48">
        <f>INDEX('2010'!$E$7:$EN$37,  MATCH(FJ78, '2010'!$A$7:$A$37, 0), MATCH(FJ61, '2010'!$E$4:$EN$4, 0) )</f>
        <v>32</v>
      </c>
      <c r="FM78" s="48">
        <f>INDEX('2011'!$E$7:$EN$37,  MATCH(FJ78, '2011'!$A$7:$A$37, 0), MATCH(FJ61, '2011'!$E$4:$EN$4, 0) )</f>
        <v>25</v>
      </c>
      <c r="FN78" s="48">
        <f>INDEX('2012'!$E$7:$EN$37,  MATCH(FJ78, '2012'!$A$7:$A$37, 0), MATCH(FJ61, '2012'!$E$4:$EN$4, 0) )</f>
        <v>26</v>
      </c>
      <c r="FO78" s="48">
        <f>INDEX('2013'!$E$7:$EN$37,  MATCH(FJ78, '2013'!$A$7:$A$37, 0), MATCH(FJ61, '2013'!$E$4:$EN$4, 0) )</f>
        <v>22</v>
      </c>
      <c r="FP78" s="48">
        <f>INDEX('2014'!$E$7:$EN$37,  MATCH(FJ78, '2014'!$A$7:$A$37, 0), MATCH(FJ61, '2014'!$E$4:$EN$4, 0) )</f>
        <v>25</v>
      </c>
      <c r="FQ78" s="48">
        <f>INDEX('2015'!$E$7:$EN$37,  MATCH(FJ78, '2015'!$A$7:$A$37, 0), MATCH(FJ61, '2015'!$E$4:$EN$4, 0) )</f>
        <v>24</v>
      </c>
      <c r="FR78" s="48">
        <f>INDEX('2016'!$E$7:$EN$37,  MATCH(FJ78, '2016'!$A$7:$A$37, 0), MATCH(FJ61, '2016'!$E$4:$EN$4, 0) )</f>
        <v>22</v>
      </c>
      <c r="FS78" s="48">
        <f>INDEX('2017'!$E$7:$EN$37,  MATCH(FJ78, '2017'!$A$7:$A$37, 0), MATCH(FJ61, '2017'!$E$4:$EN$4, 0) )</f>
        <v>8</v>
      </c>
      <c r="FT78" s="48">
        <f>INDEX('2018'!$E$7:$EN$37,  MATCH(FJ78, '2018'!$A$7:$A$37, 0), MATCH(FJ61, '2018'!$E$4:$EN$4, 0) )</f>
        <v>9</v>
      </c>
      <c r="FU78" s="48">
        <f>INDEX('2019'!$E$7:$EN$37,  MATCH(FJ78, '2019'!$A$7:$A$37, 0), MATCH(FJ61, '2019'!$E$4:$EN$4, 0) )</f>
        <v>9</v>
      </c>
      <c r="FW78" s="9">
        <f t="shared" ref="FW78:FX78" si="239">FW32</f>
        <v>31</v>
      </c>
      <c r="FX78" s="21" t="str">
        <f t="shared" si="239"/>
        <v>Piute</v>
      </c>
      <c r="FY78" s="48">
        <f>INDEX('2010'!$E$7:$EN$37,  MATCH(FW78, '2010'!$A$7:$A$37, 0), MATCH(FW61, '2010'!$E$4:$EN$4, 0) )</f>
        <v>8</v>
      </c>
      <c r="FZ78" s="48">
        <f>INDEX('2011'!$E$7:$EN$37,  MATCH(FW78, '2011'!$A$7:$A$37, 0), MATCH(FW61, '2011'!$E$4:$EN$4, 0) )</f>
        <v>89</v>
      </c>
      <c r="GA78" s="48">
        <f>INDEX('2012'!$E$7:$EN$37,  MATCH(FW78, '2012'!$A$7:$A$37, 0), MATCH(FW61, '2012'!$E$4:$EN$4, 0) )</f>
        <v>8</v>
      </c>
      <c r="GB78" s="48">
        <f>INDEX('2013'!$E$7:$EN$37,  MATCH(FW78, '2013'!$A$7:$A$37, 0), MATCH(FW61, '2013'!$E$4:$EN$4, 0) )</f>
        <v>8</v>
      </c>
      <c r="GC78" s="48">
        <f>INDEX('2014'!$E$7:$EN$37,  MATCH(FW78, '2014'!$A$7:$A$37, 0), MATCH(FW61, '2014'!$E$4:$EN$4, 0) )</f>
        <v>8</v>
      </c>
      <c r="GD78" s="48">
        <f>INDEX('2015'!$E$7:$EN$37,  MATCH(FW78, '2015'!$A$7:$A$37, 0), MATCH(FW61, '2015'!$E$4:$EN$4, 0) )</f>
        <v>7</v>
      </c>
      <c r="GE78" s="48">
        <f>INDEX('2016'!$E$7:$EN$37,  MATCH(FW78, '2016'!$A$7:$A$37, 0), MATCH(FW61, '2016'!$E$4:$EN$4, 0) )</f>
        <v>6</v>
      </c>
      <c r="GF78" s="48">
        <f>INDEX('2017'!$E$7:$EN$37,  MATCH(FW78, '2017'!$A$7:$A$37, 0), MATCH(FW61, '2017'!$E$4:$EN$4, 0) )</f>
        <v>11</v>
      </c>
      <c r="GG78" s="48">
        <f>INDEX('2018'!$E$7:$EN$37,  MATCH(FW78, '2018'!$A$7:$A$37, 0), MATCH(FW61, '2018'!$E$4:$EN$4, 0) )</f>
        <v>9</v>
      </c>
      <c r="GH78" s="48">
        <f>INDEX('2019'!$E$7:$EN$37,  MATCH(FW78, '2019'!$A$7:$A$37, 0), MATCH(FW61, '2019'!$E$4:$EN$4, 0) )</f>
        <v>8</v>
      </c>
      <c r="GJ78" s="9">
        <f t="shared" ref="GJ78:GK78" si="240">GJ32</f>
        <v>31</v>
      </c>
      <c r="GK78" s="21" t="str">
        <f t="shared" si="240"/>
        <v>Piute</v>
      </c>
      <c r="GL78" s="48">
        <f>INDEX('2010'!$E$7:$EN$37,  MATCH(GJ78, '2010'!$A$7:$A$37, 0), MATCH(GJ61, '2010'!$E$4:$EN$4, 0) )</f>
        <v>17</v>
      </c>
      <c r="GM78" s="48">
        <f>INDEX('2011'!$E$7:$EN$37,  MATCH(GJ78, '2011'!$A$7:$A$37, 0), MATCH(GJ61, '2011'!$E$4:$EN$4, 0) )</f>
        <v>12</v>
      </c>
      <c r="GN78" s="48">
        <f>INDEX('2012'!$E$7:$EN$37,  MATCH(GJ78, '2012'!$A$7:$A$37, 0), MATCH(GJ61, '2012'!$E$4:$EN$4, 0) )</f>
        <v>10</v>
      </c>
      <c r="GO78" s="48">
        <f>INDEX('2013'!$E$7:$EN$37,  MATCH(GJ78, '2013'!$A$7:$A$37, 0), MATCH(GJ61, '2013'!$E$4:$EN$4, 0) )</f>
        <v>9</v>
      </c>
      <c r="GP78" s="48">
        <f>INDEX('2014'!$E$7:$EN$37,  MATCH(GJ78, '2014'!$A$7:$A$37, 0), MATCH(GJ61, '2014'!$E$4:$EN$4, 0) )</f>
        <v>6</v>
      </c>
      <c r="GQ78" s="48">
        <f>INDEX('2015'!$E$7:$EN$37,  MATCH(GJ78, '2015'!$A$7:$A$37, 0), MATCH(GJ61, '2015'!$E$4:$EN$4, 0) )</f>
        <v>5</v>
      </c>
      <c r="GR78" s="48">
        <f>INDEX('2016'!$E$7:$EN$37,  MATCH(GJ78, '2016'!$A$7:$A$37, 0), MATCH(GJ61, '2016'!$E$4:$EN$4, 0) )</f>
        <v>5</v>
      </c>
      <c r="GS78" s="48">
        <f>INDEX('2017'!$E$7:$EN$37,  MATCH(GJ78, '2017'!$A$7:$A$37, 0), MATCH(GJ61, '2017'!$E$4:$EN$4, 0) )</f>
        <v>4</v>
      </c>
      <c r="GT78" s="48">
        <f>INDEX('2018'!$E$7:$EN$37,  MATCH(GJ78, '2018'!$A$7:$A$37, 0), MATCH(GJ61, '2018'!$E$4:$EN$4, 0) )</f>
        <v>11</v>
      </c>
      <c r="GU78" s="48">
        <f>INDEX('2019'!$E$7:$EN$37,  MATCH(GJ78, '2019'!$A$7:$A$37, 0), MATCH(GJ61, '2019'!$E$4:$EN$4, 0) )</f>
        <v>11</v>
      </c>
    </row>
    <row r="79" spans="153:203" x14ac:dyDescent="0.25">
      <c r="EW79" s="9">
        <f t="shared" ref="EW79:EX79" si="241">EW33</f>
        <v>33</v>
      </c>
      <c r="EX79" s="21" t="str">
        <f t="shared" si="241"/>
        <v>Rich</v>
      </c>
      <c r="EY79" s="48">
        <f>INDEX('2010'!$E$7:$EN$37,  MATCH(EW79, '2010'!$A$7:$A$37, 0), MATCH(EW61, '2010'!$E$4:$EN$4, 0) )</f>
        <v>109</v>
      </c>
      <c r="EZ79" s="48">
        <f>INDEX('2011'!$E$7:$EN$37,  MATCH(EW79, '2011'!$A$7:$A$37, 0), MATCH(EW61, '2011'!$E$4:$EN$4, 0) )</f>
        <v>101</v>
      </c>
      <c r="FA79" s="48">
        <f>INDEX('2012'!$E$7:$EN$37,  MATCH(EW79, '2012'!$A$7:$A$37, 0), MATCH(EW61, '2012'!$E$4:$EN$4, 0) )</f>
        <v>105</v>
      </c>
      <c r="FB79" s="48">
        <f>INDEX('2013'!$E$7:$EN$37,  MATCH(EW79, '2013'!$A$7:$A$37, 0), MATCH(EW61, '2013'!$E$4:$EN$4, 0) )</f>
        <v>94</v>
      </c>
      <c r="FC79" s="48">
        <f>INDEX('2014'!$E$7:$EN$37,  MATCH(EW79, '2014'!$A$7:$A$37, 0), MATCH(EW61, '2014'!$E$4:$EN$4, 0) )</f>
        <v>82</v>
      </c>
      <c r="FD79" s="48">
        <f>INDEX('2015'!$E$7:$EN$37,  MATCH(EW79, '2015'!$A$7:$A$37, 0), MATCH(EW61, '2015'!$E$4:$EN$4, 0) )</f>
        <v>78</v>
      </c>
      <c r="FE79" s="48">
        <f>INDEX('2016'!$E$7:$EN$37,  MATCH(EW79, '2016'!$A$7:$A$37, 0), MATCH(EW61, '2016'!$E$4:$EN$4, 0) )</f>
        <v>87</v>
      </c>
      <c r="FF79" s="48">
        <f>INDEX('2017'!$E$7:$EN$37,  MATCH(EW79, '2017'!$A$7:$A$37, 0), MATCH(EW61, '2017'!$E$4:$EN$4, 0) )</f>
        <v>78</v>
      </c>
      <c r="FG79" s="48">
        <f>INDEX('2018'!$E$7:$EN$37,  MATCH(EW79, '2018'!$A$7:$A$37, 0), MATCH(EW61, '2018'!$E$4:$EN$4, 0) )</f>
        <v>102</v>
      </c>
      <c r="FH79" s="48">
        <f>INDEX('2019'!$E$7:$EN$37,  MATCH(EW79, '2019'!$A$7:$A$37, 0), MATCH(EW61, '2019'!$E$4:$EN$4, 0) )</f>
        <v>88</v>
      </c>
      <c r="FJ79" s="9">
        <f t="shared" ref="FJ79:FK79" si="242">FJ33</f>
        <v>33</v>
      </c>
      <c r="FK79" s="21" t="str">
        <f t="shared" si="242"/>
        <v>Rich</v>
      </c>
      <c r="FL79" s="48">
        <f>INDEX('2010'!$E$7:$EN$37,  MATCH(FJ79, '2010'!$A$7:$A$37, 0), MATCH(FJ61, '2010'!$E$4:$EN$4, 0) )</f>
        <v>49</v>
      </c>
      <c r="FM79" s="48">
        <f>INDEX('2011'!$E$7:$EN$37,  MATCH(FJ79, '2011'!$A$7:$A$37, 0), MATCH(FJ61, '2011'!$E$4:$EN$4, 0) )</f>
        <v>52</v>
      </c>
      <c r="FN79" s="48">
        <f>INDEX('2012'!$E$7:$EN$37,  MATCH(FJ79, '2012'!$A$7:$A$37, 0), MATCH(FJ61, '2012'!$E$4:$EN$4, 0) )</f>
        <v>27</v>
      </c>
      <c r="FO79" s="48">
        <f>INDEX('2013'!$E$7:$EN$37,  MATCH(FJ79, '2013'!$A$7:$A$37, 0), MATCH(FJ61, '2013'!$E$4:$EN$4, 0) )</f>
        <v>23</v>
      </c>
      <c r="FP79" s="48">
        <f>INDEX('2014'!$E$7:$EN$37,  MATCH(FJ79, '2014'!$A$7:$A$37, 0), MATCH(FJ61, '2014'!$E$4:$EN$4, 0) )</f>
        <v>12</v>
      </c>
      <c r="FQ79" s="48">
        <f>INDEX('2015'!$E$7:$EN$37,  MATCH(FJ79, '2015'!$A$7:$A$37, 0), MATCH(FJ61, '2015'!$E$4:$EN$4, 0) )</f>
        <v>25</v>
      </c>
      <c r="FR79" s="48">
        <f>INDEX('2016'!$E$7:$EN$37,  MATCH(FJ79, '2016'!$A$7:$A$37, 0), MATCH(FJ61, '2016'!$E$4:$EN$4, 0) )</f>
        <v>39</v>
      </c>
      <c r="FS79" s="48">
        <f>INDEX('2017'!$E$7:$EN$37,  MATCH(FJ79, '2017'!$A$7:$A$37, 0), MATCH(FJ61, '2017'!$E$4:$EN$4, 0) )</f>
        <v>41</v>
      </c>
      <c r="FT79" s="48">
        <f>INDEX('2018'!$E$7:$EN$37,  MATCH(FJ79, '2018'!$A$7:$A$37, 0), MATCH(FJ61, '2018'!$E$4:$EN$4, 0) )</f>
        <v>35</v>
      </c>
      <c r="FU79" s="48">
        <f>INDEX('2019'!$E$7:$EN$37,  MATCH(FJ79, '2019'!$A$7:$A$37, 0), MATCH(FJ61, '2019'!$E$4:$EN$4, 0) )</f>
        <v>45</v>
      </c>
      <c r="FW79" s="9">
        <f t="shared" ref="FW79:FX79" si="243">FW33</f>
        <v>33</v>
      </c>
      <c r="FX79" s="21" t="str">
        <f t="shared" si="243"/>
        <v>Rich</v>
      </c>
      <c r="FY79" s="48">
        <f>INDEX('2010'!$E$7:$EN$37,  MATCH(FW79, '2010'!$A$7:$A$37, 0), MATCH(FW61, '2010'!$E$4:$EN$4, 0) )</f>
        <v>39</v>
      </c>
      <c r="FZ79" s="48">
        <f>INDEX('2011'!$E$7:$EN$37,  MATCH(FW79, '2011'!$A$7:$A$37, 0), MATCH(FW61, '2011'!$E$4:$EN$4, 0) )</f>
        <v>41</v>
      </c>
      <c r="GA79" s="48">
        <f>INDEX('2012'!$E$7:$EN$37,  MATCH(FW79, '2012'!$A$7:$A$37, 0), MATCH(FW61, '2012'!$E$4:$EN$4, 0) )</f>
        <v>19</v>
      </c>
      <c r="GB79" s="48">
        <f>INDEX('2013'!$E$7:$EN$37,  MATCH(FW79, '2013'!$A$7:$A$37, 0), MATCH(FW61, '2013'!$E$4:$EN$4, 0) )</f>
        <v>12</v>
      </c>
      <c r="GC79" s="48">
        <f>INDEX('2014'!$E$7:$EN$37,  MATCH(FW79, '2014'!$A$7:$A$37, 0), MATCH(FW61, '2014'!$E$4:$EN$4, 0) )</f>
        <v>3</v>
      </c>
      <c r="GD79" s="48">
        <f>INDEX('2015'!$E$7:$EN$37,  MATCH(FW79, '2015'!$A$7:$A$37, 0), MATCH(FW61, '2015'!$E$4:$EN$4, 0) )</f>
        <v>25</v>
      </c>
      <c r="GE79" s="48">
        <f>INDEX('2016'!$E$7:$EN$37,  MATCH(FW79, '2016'!$A$7:$A$37, 0), MATCH(FW61, '2016'!$E$4:$EN$4, 0) )</f>
        <v>23</v>
      </c>
      <c r="GF79" s="48">
        <f>INDEX('2017'!$E$7:$EN$37,  MATCH(FW79, '2017'!$A$7:$A$37, 0), MATCH(FW61, '2017'!$E$4:$EN$4, 0) )</f>
        <v>23</v>
      </c>
      <c r="GG79" s="48">
        <f>INDEX('2018'!$E$7:$EN$37,  MATCH(FW79, '2018'!$A$7:$A$37, 0), MATCH(FW61, '2018'!$E$4:$EN$4, 0) )</f>
        <v>30</v>
      </c>
      <c r="GH79" s="48">
        <f>INDEX('2019'!$E$7:$EN$37,  MATCH(FW79, '2019'!$A$7:$A$37, 0), MATCH(FW61, '2019'!$E$4:$EN$4, 0) )</f>
        <v>28</v>
      </c>
      <c r="GJ79" s="9">
        <f t="shared" ref="GJ79:GK79" si="244">GJ33</f>
        <v>33</v>
      </c>
      <c r="GK79" s="21" t="str">
        <f t="shared" si="244"/>
        <v>Rich</v>
      </c>
      <c r="GL79" s="48">
        <f>INDEX('2010'!$E$7:$EN$37,  MATCH(GJ79, '2010'!$A$7:$A$37, 0), MATCH(GJ61, '2010'!$E$4:$EN$4, 0) )</f>
        <v>23</v>
      </c>
      <c r="GM79" s="48">
        <f>INDEX('2011'!$E$7:$EN$37,  MATCH(GJ79, '2011'!$A$7:$A$37, 0), MATCH(GJ61, '2011'!$E$4:$EN$4, 0) )</f>
        <v>21</v>
      </c>
      <c r="GN79" s="48">
        <f>INDEX('2012'!$E$7:$EN$37,  MATCH(GJ79, '2012'!$A$7:$A$37, 0), MATCH(GJ61, '2012'!$E$4:$EN$4, 0) )</f>
        <v>9</v>
      </c>
      <c r="GO79" s="48">
        <f>INDEX('2013'!$E$7:$EN$37,  MATCH(GJ79, '2013'!$A$7:$A$37, 0), MATCH(GJ61, '2013'!$E$4:$EN$4, 0) )</f>
        <v>5</v>
      </c>
      <c r="GP79" s="48">
        <f>INDEX('2014'!$E$7:$EN$37,  MATCH(GJ79, '2014'!$A$7:$A$37, 0), MATCH(GJ61, '2014'!$E$4:$EN$4, 0) )</f>
        <v>8</v>
      </c>
      <c r="GQ79" s="48">
        <f>INDEX('2015'!$E$7:$EN$37,  MATCH(GJ79, '2015'!$A$7:$A$37, 0), MATCH(GJ61, '2015'!$E$4:$EN$4, 0) )</f>
        <v>6</v>
      </c>
      <c r="GR79" s="48">
        <f>INDEX('2016'!$E$7:$EN$37,  MATCH(GJ79, '2016'!$A$7:$A$37, 0), MATCH(GJ61, '2016'!$E$4:$EN$4, 0) )</f>
        <v>8</v>
      </c>
      <c r="GS79" s="48">
        <f>INDEX('2017'!$E$7:$EN$37,  MATCH(GJ79, '2017'!$A$7:$A$37, 0), MATCH(GJ61, '2017'!$E$4:$EN$4, 0) )</f>
        <v>13</v>
      </c>
      <c r="GT79" s="48">
        <f>INDEX('2018'!$E$7:$EN$37,  MATCH(GJ79, '2018'!$A$7:$A$37, 0), MATCH(GJ61, '2018'!$E$4:$EN$4, 0) )</f>
        <v>12</v>
      </c>
      <c r="GU79" s="48">
        <f>INDEX('2019'!$E$7:$EN$37,  MATCH(GJ79, '2019'!$A$7:$A$37, 0), MATCH(GJ61, '2019'!$E$4:$EN$4, 0) )</f>
        <v>13</v>
      </c>
    </row>
    <row r="80" spans="153:203" x14ac:dyDescent="0.25">
      <c r="EW80" s="9">
        <f t="shared" ref="EW80:EX80" si="245">EW34</f>
        <v>35</v>
      </c>
      <c r="EX80" s="21" t="str">
        <f t="shared" si="245"/>
        <v>Salt Lake</v>
      </c>
      <c r="EY80" s="48">
        <f>INDEX('2010'!$E$7:$EN$37,  MATCH(EW80, '2010'!$A$7:$A$37, 0), MATCH(EW61, '2010'!$E$4:$EN$4, 0) )</f>
        <v>2158</v>
      </c>
      <c r="EZ80" s="48">
        <f>INDEX('2011'!$E$7:$EN$37,  MATCH(EW80, '2011'!$A$7:$A$37, 0), MATCH(EW61, '2011'!$E$4:$EN$4, 0) )</f>
        <v>2382</v>
      </c>
      <c r="FA80" s="48">
        <f>INDEX('2012'!$E$7:$EN$37,  MATCH(EW80, '2012'!$A$7:$A$37, 0), MATCH(EW61, '2012'!$E$4:$EN$4, 0) )</f>
        <v>2723</v>
      </c>
      <c r="FB80" s="48">
        <f>INDEX('2013'!$E$7:$EN$37,  MATCH(EW80, '2013'!$A$7:$A$37, 0), MATCH(EW61, '2013'!$E$4:$EN$4, 0) )</f>
        <v>2689</v>
      </c>
      <c r="FC80" s="48">
        <f>INDEX('2014'!$E$7:$EN$37,  MATCH(EW80, '2014'!$A$7:$A$37, 0), MATCH(EW61, '2014'!$E$4:$EN$4, 0) )</f>
        <v>2498</v>
      </c>
      <c r="FD80" s="48">
        <f>INDEX('2015'!$E$7:$EN$37,  MATCH(EW80, '2015'!$A$7:$A$37, 0), MATCH(EW61, '2015'!$E$4:$EN$4, 0) )</f>
        <v>2451</v>
      </c>
      <c r="FE80" s="48">
        <f>INDEX('2016'!$E$7:$EN$37,  MATCH(EW80, '2016'!$A$7:$A$37, 0), MATCH(EW61, '2016'!$E$4:$EN$4, 0) )</f>
        <v>3013</v>
      </c>
      <c r="FF80" s="48">
        <f>INDEX('2017'!$E$7:$EN$37,  MATCH(EW80, '2017'!$A$7:$A$37, 0), MATCH(EW61, '2017'!$E$4:$EN$4, 0) )</f>
        <v>2987</v>
      </c>
      <c r="FG80" s="48">
        <f>INDEX('2018'!$E$7:$EN$37,  MATCH(EW80, '2018'!$A$7:$A$37, 0), MATCH(EW61, '2018'!$E$4:$EN$4, 0) )</f>
        <v>2929</v>
      </c>
      <c r="FH80" s="48">
        <f>INDEX('2019'!$E$7:$EN$37,  MATCH(EW80, '2019'!$A$7:$A$37, 0), MATCH(EW61, '2019'!$E$4:$EN$4, 0) )</f>
        <v>2886</v>
      </c>
      <c r="FJ80" s="9">
        <f t="shared" ref="FJ80:FK80" si="246">FJ34</f>
        <v>35</v>
      </c>
      <c r="FK80" s="21" t="str">
        <f t="shared" si="246"/>
        <v>Salt Lake</v>
      </c>
      <c r="FL80" s="48">
        <f>INDEX('2010'!$E$7:$EN$37,  MATCH(FJ80, '2010'!$A$7:$A$37, 0), MATCH(FJ61, '2010'!$E$4:$EN$4, 0) )</f>
        <v>869</v>
      </c>
      <c r="FM80" s="48">
        <f>INDEX('2011'!$E$7:$EN$37,  MATCH(FJ80, '2011'!$A$7:$A$37, 0), MATCH(FJ61, '2011'!$E$4:$EN$4, 0) )</f>
        <v>924</v>
      </c>
      <c r="FN80" s="48">
        <f>INDEX('2012'!$E$7:$EN$37,  MATCH(FJ80, '2012'!$A$7:$A$37, 0), MATCH(FJ61, '2012'!$E$4:$EN$4, 0) )</f>
        <v>1085</v>
      </c>
      <c r="FO80" s="48">
        <f>INDEX('2013'!$E$7:$EN$37,  MATCH(FJ80, '2013'!$A$7:$A$37, 0), MATCH(FJ61, '2013'!$E$4:$EN$4, 0) )</f>
        <v>1087</v>
      </c>
      <c r="FP80" s="48">
        <f>INDEX('2014'!$E$7:$EN$37,  MATCH(FJ80, '2014'!$A$7:$A$37, 0), MATCH(FJ61, '2014'!$E$4:$EN$4, 0) )</f>
        <v>1098</v>
      </c>
      <c r="FQ80" s="48">
        <f>INDEX('2015'!$E$7:$EN$37,  MATCH(FJ80, '2015'!$A$7:$A$37, 0), MATCH(FJ61, '2015'!$E$4:$EN$4, 0) )</f>
        <v>1303</v>
      </c>
      <c r="FR80" s="48">
        <f>INDEX('2016'!$E$7:$EN$37,  MATCH(FJ80, '2016'!$A$7:$A$37, 0), MATCH(FJ61, '2016'!$E$4:$EN$4, 0) )</f>
        <v>1252</v>
      </c>
      <c r="FS80" s="48">
        <f>INDEX('2017'!$E$7:$EN$37,  MATCH(FJ80, '2017'!$A$7:$A$37, 0), MATCH(FJ61, '2017'!$E$4:$EN$4, 0) )</f>
        <v>1317</v>
      </c>
      <c r="FT80" s="48">
        <f>INDEX('2018'!$E$7:$EN$37,  MATCH(FJ80, '2018'!$A$7:$A$37, 0), MATCH(FJ61, '2018'!$E$4:$EN$4, 0) )</f>
        <v>1426</v>
      </c>
      <c r="FU80" s="48">
        <f>INDEX('2019'!$E$7:$EN$37,  MATCH(FJ80, '2019'!$A$7:$A$37, 0), MATCH(FJ61, '2019'!$E$4:$EN$4, 0) )</f>
        <v>1660</v>
      </c>
      <c r="FW80" s="9">
        <f t="shared" ref="FW80:FX80" si="247">FW34</f>
        <v>35</v>
      </c>
      <c r="FX80" s="21" t="str">
        <f t="shared" si="247"/>
        <v>Salt Lake</v>
      </c>
      <c r="FY80" s="48">
        <f>INDEX('2010'!$E$7:$EN$37,  MATCH(FW80, '2010'!$A$7:$A$37, 0), MATCH(FW61, '2010'!$E$4:$EN$4, 0) )</f>
        <v>398</v>
      </c>
      <c r="FZ80" s="48">
        <f>INDEX('2011'!$E$7:$EN$37,  MATCH(FW80, '2011'!$A$7:$A$37, 0), MATCH(FW61, '2011'!$E$4:$EN$4, 0) )</f>
        <v>449</v>
      </c>
      <c r="GA80" s="48">
        <f>INDEX('2012'!$E$7:$EN$37,  MATCH(FW80, '2012'!$A$7:$A$37, 0), MATCH(FW61, '2012'!$E$4:$EN$4, 0) )</f>
        <v>388</v>
      </c>
      <c r="GB80" s="48">
        <f>INDEX('2013'!$E$7:$EN$37,  MATCH(FW80, '2013'!$A$7:$A$37, 0), MATCH(FW61, '2013'!$E$4:$EN$4, 0) )</f>
        <v>444</v>
      </c>
      <c r="GC80" s="48">
        <f>INDEX('2014'!$E$7:$EN$37,  MATCH(FW80, '2014'!$A$7:$A$37, 0), MATCH(FW61, '2014'!$E$4:$EN$4, 0) )</f>
        <v>407</v>
      </c>
      <c r="GD80" s="48">
        <f>INDEX('2015'!$E$7:$EN$37,  MATCH(FW80, '2015'!$A$7:$A$37, 0), MATCH(FW61, '2015'!$E$4:$EN$4, 0) )</f>
        <v>529</v>
      </c>
      <c r="GE80" s="48">
        <f>INDEX('2016'!$E$7:$EN$37,  MATCH(FW80, '2016'!$A$7:$A$37, 0), MATCH(FW61, '2016'!$E$4:$EN$4, 0) )</f>
        <v>467</v>
      </c>
      <c r="GF80" s="48">
        <f>INDEX('2017'!$E$7:$EN$37,  MATCH(FW80, '2017'!$A$7:$A$37, 0), MATCH(FW61, '2017'!$E$4:$EN$4, 0) )</f>
        <v>575</v>
      </c>
      <c r="GG80" s="48">
        <f>INDEX('2018'!$E$7:$EN$37,  MATCH(FW80, '2018'!$A$7:$A$37, 0), MATCH(FW61, '2018'!$E$4:$EN$4, 0) )</f>
        <v>649</v>
      </c>
      <c r="GH80" s="48">
        <f>INDEX('2019'!$E$7:$EN$37,  MATCH(FW80, '2019'!$A$7:$A$37, 0), MATCH(FW61, '2019'!$E$4:$EN$4, 0) )</f>
        <v>621</v>
      </c>
      <c r="GJ80" s="9">
        <f t="shared" ref="GJ80:GK80" si="248">GJ34</f>
        <v>35</v>
      </c>
      <c r="GK80" s="21" t="str">
        <f t="shared" si="248"/>
        <v>Salt Lake</v>
      </c>
      <c r="GL80" s="48">
        <f>INDEX('2010'!$E$7:$EN$37,  MATCH(GJ80, '2010'!$A$7:$A$37, 0), MATCH(GJ61, '2010'!$E$4:$EN$4, 0) )</f>
        <v>686</v>
      </c>
      <c r="GM80" s="48">
        <f>INDEX('2011'!$E$7:$EN$37,  MATCH(GJ80, '2011'!$A$7:$A$37, 0), MATCH(GJ61, '2011'!$E$4:$EN$4, 0) )</f>
        <v>570</v>
      </c>
      <c r="GN80" s="48">
        <f>INDEX('2012'!$E$7:$EN$37,  MATCH(GJ80, '2012'!$A$7:$A$37, 0), MATCH(GJ61, '2012'!$E$4:$EN$4, 0) )</f>
        <v>647</v>
      </c>
      <c r="GO80" s="48">
        <f>INDEX('2013'!$E$7:$EN$37,  MATCH(GJ80, '2013'!$A$7:$A$37, 0), MATCH(GJ61, '2013'!$E$4:$EN$4, 0) )</f>
        <v>583</v>
      </c>
      <c r="GP80" s="48">
        <f>INDEX('2014'!$E$7:$EN$37,  MATCH(GJ80, '2014'!$A$7:$A$37, 0), MATCH(GJ61, '2014'!$E$4:$EN$4, 0) )</f>
        <v>588</v>
      </c>
      <c r="GQ80" s="48">
        <f>INDEX('2015'!$E$7:$EN$37,  MATCH(GJ80, '2015'!$A$7:$A$37, 0), MATCH(GJ61, '2015'!$E$4:$EN$4, 0) )</f>
        <v>584</v>
      </c>
      <c r="GR80" s="48">
        <f>INDEX('2016'!$E$7:$EN$37,  MATCH(GJ80, '2016'!$A$7:$A$37, 0), MATCH(GJ61, '2016'!$E$4:$EN$4, 0) )</f>
        <v>713</v>
      </c>
      <c r="GS80" s="48">
        <f>INDEX('2017'!$E$7:$EN$37,  MATCH(GJ80, '2017'!$A$7:$A$37, 0), MATCH(GJ61, '2017'!$E$4:$EN$4, 0) )</f>
        <v>681</v>
      </c>
      <c r="GT80" s="48">
        <f>INDEX('2018'!$E$7:$EN$37,  MATCH(GJ80, '2018'!$A$7:$A$37, 0), MATCH(GJ61, '2018'!$E$4:$EN$4, 0) )</f>
        <v>769</v>
      </c>
      <c r="GU80" s="48">
        <f>INDEX('2019'!$E$7:$EN$37,  MATCH(GJ80, '2019'!$A$7:$A$37, 0), MATCH(GJ61, '2019'!$E$4:$EN$4, 0) )</f>
        <v>735</v>
      </c>
    </row>
    <row r="81" spans="153:203" x14ac:dyDescent="0.25">
      <c r="EW81" s="9">
        <f t="shared" ref="EW81:EX81" si="249">EW35</f>
        <v>37</v>
      </c>
      <c r="EX81" s="21" t="str">
        <f t="shared" si="249"/>
        <v>San Juan</v>
      </c>
      <c r="EY81" s="48">
        <f>INDEX('2010'!$E$7:$EN$37,  MATCH(EW81, '2010'!$A$7:$A$37, 0), MATCH(EW61, '2010'!$E$4:$EN$4, 0) )</f>
        <v>257</v>
      </c>
      <c r="EZ81" s="48">
        <f>INDEX('2011'!$E$7:$EN$37,  MATCH(EW81, '2011'!$A$7:$A$37, 0), MATCH(EW61, '2011'!$E$4:$EN$4, 0) )</f>
        <v>249</v>
      </c>
      <c r="FA81" s="48">
        <f>INDEX('2012'!$E$7:$EN$37,  MATCH(EW81, '2012'!$A$7:$A$37, 0), MATCH(EW61, '2012'!$E$4:$EN$4, 0) )</f>
        <v>257</v>
      </c>
      <c r="FB81" s="48">
        <f>INDEX('2013'!$E$7:$EN$37,  MATCH(EW81, '2013'!$A$7:$A$37, 0), MATCH(EW61, '2013'!$E$4:$EN$4, 0) )</f>
        <v>273</v>
      </c>
      <c r="FC81" s="48">
        <f>INDEX('2014'!$E$7:$EN$37,  MATCH(EW81, '2014'!$A$7:$A$37, 0), MATCH(EW61, '2014'!$E$4:$EN$4, 0) )</f>
        <v>250</v>
      </c>
      <c r="FD81" s="48">
        <f>INDEX('2015'!$E$7:$EN$37,  MATCH(EW81, '2015'!$A$7:$A$37, 0), MATCH(EW61, '2015'!$E$4:$EN$4, 0) )</f>
        <v>219</v>
      </c>
      <c r="FE81" s="48">
        <f>INDEX('2016'!$E$7:$EN$37,  MATCH(EW81, '2016'!$A$7:$A$37, 0), MATCH(EW61, '2016'!$E$4:$EN$4, 0) )</f>
        <v>253</v>
      </c>
      <c r="FF81" s="48">
        <f>INDEX('2017'!$E$7:$EN$37,  MATCH(EW81, '2017'!$A$7:$A$37, 0), MATCH(EW61, '2017'!$E$4:$EN$4, 0) )</f>
        <v>248</v>
      </c>
      <c r="FG81" s="48">
        <f>INDEX('2018'!$E$7:$EN$37,  MATCH(EW81, '2018'!$A$7:$A$37, 0), MATCH(EW61, '2018'!$E$4:$EN$4, 0) )</f>
        <v>244</v>
      </c>
      <c r="FH81" s="48">
        <f>INDEX('2019'!$E$7:$EN$37,  MATCH(EW81, '2019'!$A$7:$A$37, 0), MATCH(EW61, '2019'!$E$4:$EN$4, 0) )</f>
        <v>255</v>
      </c>
      <c r="FJ81" s="9">
        <f t="shared" ref="FJ81:FK81" si="250">FJ35</f>
        <v>37</v>
      </c>
      <c r="FK81" s="21" t="str">
        <f t="shared" si="250"/>
        <v>San Juan</v>
      </c>
      <c r="FL81" s="48">
        <f>INDEX('2010'!$E$7:$EN$37,  MATCH(FJ81, '2010'!$A$7:$A$37, 0), MATCH(FJ61, '2010'!$E$4:$EN$4, 0) )</f>
        <v>86</v>
      </c>
      <c r="FM81" s="48">
        <f>INDEX('2011'!$E$7:$EN$37,  MATCH(FJ81, '2011'!$A$7:$A$37, 0), MATCH(FJ61, '2011'!$E$4:$EN$4, 0) )</f>
        <v>76</v>
      </c>
      <c r="FN81" s="48">
        <f>INDEX('2012'!$E$7:$EN$37,  MATCH(FJ81, '2012'!$A$7:$A$37, 0), MATCH(FJ61, '2012'!$E$4:$EN$4, 0) )</f>
        <v>95</v>
      </c>
      <c r="FO81" s="48">
        <f>INDEX('2013'!$E$7:$EN$37,  MATCH(FJ81, '2013'!$A$7:$A$37, 0), MATCH(FJ61, '2013'!$E$4:$EN$4, 0) )</f>
        <v>108</v>
      </c>
      <c r="FP81" s="48">
        <f>INDEX('2014'!$E$7:$EN$37,  MATCH(FJ81, '2014'!$A$7:$A$37, 0), MATCH(FJ61, '2014'!$E$4:$EN$4, 0) )</f>
        <v>106</v>
      </c>
      <c r="FQ81" s="48">
        <f>INDEX('2015'!$E$7:$EN$37,  MATCH(FJ81, '2015'!$A$7:$A$37, 0), MATCH(FJ61, '2015'!$E$4:$EN$4, 0) )</f>
        <v>119</v>
      </c>
      <c r="FR81" s="48">
        <f>INDEX('2016'!$E$7:$EN$37,  MATCH(FJ81, '2016'!$A$7:$A$37, 0), MATCH(FJ61, '2016'!$E$4:$EN$4, 0) )</f>
        <v>127</v>
      </c>
      <c r="FS81" s="48">
        <f>INDEX('2017'!$E$7:$EN$37,  MATCH(FJ81, '2017'!$A$7:$A$37, 0), MATCH(FJ61, '2017'!$E$4:$EN$4, 0) )</f>
        <v>139</v>
      </c>
      <c r="FT81" s="48">
        <f>INDEX('2018'!$E$7:$EN$37,  MATCH(FJ81, '2018'!$A$7:$A$37, 0), MATCH(FJ61, '2018'!$E$4:$EN$4, 0) )</f>
        <v>164</v>
      </c>
      <c r="FU81" s="48">
        <f>INDEX('2019'!$E$7:$EN$37,  MATCH(FJ81, '2019'!$A$7:$A$37, 0), MATCH(FJ61, '2019'!$E$4:$EN$4, 0) )</f>
        <v>181</v>
      </c>
      <c r="FW81" s="9">
        <f t="shared" ref="FW81:FX81" si="251">FW35</f>
        <v>37</v>
      </c>
      <c r="FX81" s="21" t="str">
        <f t="shared" si="251"/>
        <v>San Juan</v>
      </c>
      <c r="FY81" s="48">
        <f>INDEX('2010'!$E$7:$EN$37,  MATCH(FW81, '2010'!$A$7:$A$37, 0), MATCH(FW61, '2010'!$E$4:$EN$4, 0) )</f>
        <v>42</v>
      </c>
      <c r="FZ81" s="48">
        <f>INDEX('2011'!$E$7:$EN$37,  MATCH(FW81, '2011'!$A$7:$A$37, 0), MATCH(FW61, '2011'!$E$4:$EN$4, 0) )</f>
        <v>36</v>
      </c>
      <c r="GA81" s="48">
        <f>INDEX('2012'!$E$7:$EN$37,  MATCH(FW81, '2012'!$A$7:$A$37, 0), MATCH(FW61, '2012'!$E$4:$EN$4, 0) )</f>
        <v>37</v>
      </c>
      <c r="GB81" s="48">
        <f>INDEX('2013'!$E$7:$EN$37,  MATCH(FW81, '2013'!$A$7:$A$37, 0), MATCH(FW61, '2013'!$E$4:$EN$4, 0) )</f>
        <v>33</v>
      </c>
      <c r="GC81" s="48">
        <f>INDEX('2014'!$E$7:$EN$37,  MATCH(FW81, '2014'!$A$7:$A$37, 0), MATCH(FW61, '2014'!$E$4:$EN$4, 0) )</f>
        <v>41</v>
      </c>
      <c r="GD81" s="48">
        <f>INDEX('2015'!$E$7:$EN$37,  MATCH(FW81, '2015'!$A$7:$A$37, 0), MATCH(FW61, '2015'!$E$4:$EN$4, 0) )</f>
        <v>46</v>
      </c>
      <c r="GE81" s="48">
        <f>INDEX('2016'!$E$7:$EN$37,  MATCH(FW81, '2016'!$A$7:$A$37, 0), MATCH(FW61, '2016'!$E$4:$EN$4, 0) )</f>
        <v>58</v>
      </c>
      <c r="GF81" s="48">
        <f>INDEX('2017'!$E$7:$EN$37,  MATCH(FW81, '2017'!$A$7:$A$37, 0), MATCH(FW61, '2017'!$E$4:$EN$4, 0) )</f>
        <v>46</v>
      </c>
      <c r="GG81" s="48">
        <f>INDEX('2018'!$E$7:$EN$37,  MATCH(FW81, '2018'!$A$7:$A$37, 0), MATCH(FW61, '2018'!$E$4:$EN$4, 0) )</f>
        <v>57</v>
      </c>
      <c r="GH81" s="48">
        <f>INDEX('2019'!$E$7:$EN$37,  MATCH(FW81, '2019'!$A$7:$A$37, 0), MATCH(FW61, '2019'!$E$4:$EN$4, 0) )</f>
        <v>54</v>
      </c>
      <c r="GJ81" s="9">
        <f t="shared" ref="GJ81:GK81" si="252">GJ35</f>
        <v>37</v>
      </c>
      <c r="GK81" s="21" t="str">
        <f t="shared" si="252"/>
        <v>San Juan</v>
      </c>
      <c r="GL81" s="48">
        <f>INDEX('2010'!$E$7:$EN$37,  MATCH(GJ81, '2010'!$A$7:$A$37, 0), MATCH(GJ61, '2010'!$E$4:$EN$4, 0) )</f>
        <v>51</v>
      </c>
      <c r="GM81" s="48">
        <f>INDEX('2011'!$E$7:$EN$37,  MATCH(GJ81, '2011'!$A$7:$A$37, 0), MATCH(GJ61, '2011'!$E$4:$EN$4, 0) )</f>
        <v>60</v>
      </c>
      <c r="GN81" s="48">
        <f>INDEX('2012'!$E$7:$EN$37,  MATCH(GJ81, '2012'!$A$7:$A$37, 0), MATCH(GJ61, '2012'!$E$4:$EN$4, 0) )</f>
        <v>61</v>
      </c>
      <c r="GO81" s="48">
        <f>INDEX('2013'!$E$7:$EN$37,  MATCH(GJ81, '2013'!$A$7:$A$37, 0), MATCH(GJ61, '2013'!$E$4:$EN$4, 0) )</f>
        <v>75</v>
      </c>
      <c r="GP81" s="48">
        <f>INDEX('2014'!$E$7:$EN$37,  MATCH(GJ81, '2014'!$A$7:$A$37, 0), MATCH(GJ61, '2014'!$E$4:$EN$4, 0) )</f>
        <v>66</v>
      </c>
      <c r="GQ81" s="48">
        <f>INDEX('2015'!$E$7:$EN$37,  MATCH(GJ81, '2015'!$A$7:$A$37, 0), MATCH(GJ61, '2015'!$E$4:$EN$4, 0) )</f>
        <v>76</v>
      </c>
      <c r="GR81" s="48">
        <f>INDEX('2016'!$E$7:$EN$37,  MATCH(GJ81, '2016'!$A$7:$A$37, 0), MATCH(GJ61, '2016'!$E$4:$EN$4, 0) )</f>
        <v>102</v>
      </c>
      <c r="GS81" s="48">
        <f>INDEX('2017'!$E$7:$EN$37,  MATCH(GJ81, '2017'!$A$7:$A$37, 0), MATCH(GJ61, '2017'!$E$4:$EN$4, 0) )</f>
        <v>129</v>
      </c>
      <c r="GT81" s="48">
        <f>INDEX('2018'!$E$7:$EN$37,  MATCH(GJ81, '2018'!$A$7:$A$37, 0), MATCH(GJ61, '2018'!$E$4:$EN$4, 0) )</f>
        <v>142</v>
      </c>
      <c r="GU81" s="48">
        <f>INDEX('2019'!$E$7:$EN$37,  MATCH(GJ81, '2019'!$A$7:$A$37, 0), MATCH(GJ61, '2019'!$E$4:$EN$4, 0) )</f>
        <v>165</v>
      </c>
    </row>
    <row r="82" spans="153:203" x14ac:dyDescent="0.25">
      <c r="EW82" s="9">
        <f t="shared" ref="EW82:EX82" si="253">EW36</f>
        <v>39</v>
      </c>
      <c r="EX82" s="21" t="str">
        <f t="shared" si="253"/>
        <v>Sanpete</v>
      </c>
      <c r="EY82" s="48">
        <f>INDEX('2010'!$E$7:$EN$37,  MATCH(EW82, '2010'!$A$7:$A$37, 0), MATCH(EW61, '2010'!$E$4:$EN$4, 0) )</f>
        <v>513</v>
      </c>
      <c r="EZ82" s="48">
        <f>INDEX('2011'!$E$7:$EN$37,  MATCH(EW82, '2011'!$A$7:$A$37, 0), MATCH(EW61, '2011'!$E$4:$EN$4, 0) )</f>
        <v>508</v>
      </c>
      <c r="FA82" s="48">
        <f>INDEX('2012'!$E$7:$EN$37,  MATCH(EW82, '2012'!$A$7:$A$37, 0), MATCH(EW61, '2012'!$E$4:$EN$4, 0) )</f>
        <v>449</v>
      </c>
      <c r="FB82" s="48">
        <f>INDEX('2013'!$E$7:$EN$37,  MATCH(EW82, '2013'!$A$7:$A$37, 0), MATCH(EW61, '2013'!$E$4:$EN$4, 0) )</f>
        <v>452</v>
      </c>
      <c r="FC82" s="48">
        <f>INDEX('2014'!$E$7:$EN$37,  MATCH(EW82, '2014'!$A$7:$A$37, 0), MATCH(EW61, '2014'!$E$4:$EN$4, 0) )</f>
        <v>692</v>
      </c>
      <c r="FD82" s="48">
        <f>INDEX('2015'!$E$7:$EN$37,  MATCH(EW82, '2015'!$A$7:$A$37, 0), MATCH(EW61, '2015'!$E$4:$EN$4, 0) )</f>
        <v>341</v>
      </c>
      <c r="FE82" s="48">
        <f>INDEX('2016'!$E$7:$EN$37,  MATCH(EW82, '2016'!$A$7:$A$37, 0), MATCH(EW61, '2016'!$E$4:$EN$4, 0) )</f>
        <v>452</v>
      </c>
      <c r="FF82" s="48">
        <f>INDEX('2017'!$E$7:$EN$37,  MATCH(EW82, '2017'!$A$7:$A$37, 0), MATCH(EW61, '2017'!$E$4:$EN$4, 0) )</f>
        <v>530</v>
      </c>
      <c r="FG82" s="48">
        <f>INDEX('2018'!$E$7:$EN$37,  MATCH(EW82, '2018'!$A$7:$A$37, 0), MATCH(EW61, '2018'!$E$4:$EN$4, 0) )</f>
        <v>469</v>
      </c>
      <c r="FH82" s="48">
        <f>INDEX('2019'!$E$7:$EN$37,  MATCH(EW82, '2019'!$A$7:$A$37, 0), MATCH(EW61, '2019'!$E$4:$EN$4, 0) )</f>
        <v>555</v>
      </c>
      <c r="FJ82" s="9">
        <f t="shared" ref="FJ82:FK82" si="254">FJ36</f>
        <v>39</v>
      </c>
      <c r="FK82" s="21" t="str">
        <f t="shared" si="254"/>
        <v>Sanpete</v>
      </c>
      <c r="FL82" s="48">
        <f>INDEX('2010'!$E$7:$EN$37,  MATCH(FJ82, '2010'!$A$7:$A$37, 0), MATCH(FJ61, '2010'!$E$4:$EN$4, 0) )</f>
        <v>165</v>
      </c>
      <c r="FM82" s="48">
        <f>INDEX('2011'!$E$7:$EN$37,  MATCH(FJ82, '2011'!$A$7:$A$37, 0), MATCH(FJ61, '2011'!$E$4:$EN$4, 0) )</f>
        <v>144</v>
      </c>
      <c r="FN82" s="48">
        <f>INDEX('2012'!$E$7:$EN$37,  MATCH(FJ82, '2012'!$A$7:$A$37, 0), MATCH(FJ61, '2012'!$E$4:$EN$4, 0) )</f>
        <v>168</v>
      </c>
      <c r="FO82" s="48">
        <f>INDEX('2013'!$E$7:$EN$37,  MATCH(FJ82, '2013'!$A$7:$A$37, 0), MATCH(FJ61, '2013'!$E$4:$EN$4, 0) )</f>
        <v>193</v>
      </c>
      <c r="FP82" s="48">
        <f>INDEX('2014'!$E$7:$EN$37,  MATCH(FJ82, '2014'!$A$7:$A$37, 0), MATCH(FJ61, '2014'!$E$4:$EN$4, 0) )</f>
        <v>159</v>
      </c>
      <c r="FQ82" s="48">
        <f>INDEX('2015'!$E$7:$EN$37,  MATCH(FJ82, '2015'!$A$7:$A$37, 0), MATCH(FJ61, '2015'!$E$4:$EN$4, 0) )</f>
        <v>163</v>
      </c>
      <c r="FR82" s="48">
        <f>INDEX('2016'!$E$7:$EN$37,  MATCH(FJ82, '2016'!$A$7:$A$37, 0), MATCH(FJ61, '2016'!$E$4:$EN$4, 0) )</f>
        <v>149</v>
      </c>
      <c r="FS82" s="48">
        <f>INDEX('2017'!$E$7:$EN$37,  MATCH(FJ82, '2017'!$A$7:$A$37, 0), MATCH(FJ61, '2017'!$E$4:$EN$4, 0) )</f>
        <v>189</v>
      </c>
      <c r="FT82" s="48">
        <f>INDEX('2018'!$E$7:$EN$37,  MATCH(FJ82, '2018'!$A$7:$A$37, 0), MATCH(FJ61, '2018'!$E$4:$EN$4, 0) )</f>
        <v>188</v>
      </c>
      <c r="FU82" s="48">
        <f>INDEX('2019'!$E$7:$EN$37,  MATCH(FJ82, '2019'!$A$7:$A$37, 0), MATCH(FJ61, '2019'!$E$4:$EN$4, 0) )</f>
        <v>238</v>
      </c>
      <c r="FW82" s="9">
        <f t="shared" ref="FW82:FX82" si="255">FW36</f>
        <v>39</v>
      </c>
      <c r="FX82" s="21" t="str">
        <f t="shared" si="255"/>
        <v>Sanpete</v>
      </c>
      <c r="FY82" s="48">
        <f>INDEX('2010'!$E$7:$EN$37,  MATCH(FW82, '2010'!$A$7:$A$37, 0), MATCH(FW61, '2010'!$E$4:$EN$4, 0) )</f>
        <v>83</v>
      </c>
      <c r="FZ82" s="48">
        <f>INDEX('2011'!$E$7:$EN$37,  MATCH(FW82, '2011'!$A$7:$A$37, 0), MATCH(FW61, '2011'!$E$4:$EN$4, 0) )</f>
        <v>59</v>
      </c>
      <c r="GA82" s="48">
        <f>INDEX('2012'!$E$7:$EN$37,  MATCH(FW82, '2012'!$A$7:$A$37, 0), MATCH(FW61, '2012'!$E$4:$EN$4, 0) )</f>
        <v>105</v>
      </c>
      <c r="GB82" s="48">
        <f>INDEX('2013'!$E$7:$EN$37,  MATCH(FW82, '2013'!$A$7:$A$37, 0), MATCH(FW61, '2013'!$E$4:$EN$4, 0) )</f>
        <v>129</v>
      </c>
      <c r="GC82" s="48">
        <f>INDEX('2014'!$E$7:$EN$37,  MATCH(FW82, '2014'!$A$7:$A$37, 0), MATCH(FW61, '2014'!$E$4:$EN$4, 0) )</f>
        <v>119</v>
      </c>
      <c r="GD82" s="48">
        <f>INDEX('2015'!$E$7:$EN$37,  MATCH(FW82, '2015'!$A$7:$A$37, 0), MATCH(FW61, '2015'!$E$4:$EN$4, 0) )</f>
        <v>106</v>
      </c>
      <c r="GE82" s="48">
        <f>INDEX('2016'!$E$7:$EN$37,  MATCH(FW82, '2016'!$A$7:$A$37, 0), MATCH(FW61, '2016'!$E$4:$EN$4, 0) )</f>
        <v>105</v>
      </c>
      <c r="GF82" s="48">
        <f>INDEX('2017'!$E$7:$EN$37,  MATCH(FW82, '2017'!$A$7:$A$37, 0), MATCH(FW61, '2017'!$E$4:$EN$4, 0) )</f>
        <v>90</v>
      </c>
      <c r="GG82" s="48">
        <f>INDEX('2018'!$E$7:$EN$37,  MATCH(FW82, '2018'!$A$7:$A$37, 0), MATCH(FW61, '2018'!$E$4:$EN$4, 0) )</f>
        <v>104</v>
      </c>
      <c r="GH82" s="48">
        <f>INDEX('2019'!$E$7:$EN$37,  MATCH(FW82, '2019'!$A$7:$A$37, 0), MATCH(FW61, '2019'!$E$4:$EN$4, 0) )</f>
        <v>106</v>
      </c>
      <c r="GJ82" s="9">
        <f t="shared" ref="GJ82:GK82" si="256">GJ36</f>
        <v>39</v>
      </c>
      <c r="GK82" s="21" t="str">
        <f t="shared" si="256"/>
        <v>Sanpete</v>
      </c>
      <c r="GL82" s="48">
        <f>INDEX('2010'!$E$7:$EN$37,  MATCH(GJ82, '2010'!$A$7:$A$37, 0), MATCH(GJ61, '2010'!$E$4:$EN$4, 0) )</f>
        <v>77</v>
      </c>
      <c r="GM82" s="48">
        <f>INDEX('2011'!$E$7:$EN$37,  MATCH(GJ82, '2011'!$A$7:$A$37, 0), MATCH(GJ61, '2011'!$E$4:$EN$4, 0) )</f>
        <v>82</v>
      </c>
      <c r="GN82" s="48">
        <f>INDEX('2012'!$E$7:$EN$37,  MATCH(GJ82, '2012'!$A$7:$A$37, 0), MATCH(GJ61, '2012'!$E$4:$EN$4, 0) )</f>
        <v>66</v>
      </c>
      <c r="GO82" s="48">
        <f>INDEX('2013'!$E$7:$EN$37,  MATCH(GJ82, '2013'!$A$7:$A$37, 0), MATCH(GJ61, '2013'!$E$4:$EN$4, 0) )</f>
        <v>75</v>
      </c>
      <c r="GP82" s="48">
        <f>INDEX('2014'!$E$7:$EN$37,  MATCH(GJ82, '2014'!$A$7:$A$37, 0), MATCH(GJ61, '2014'!$E$4:$EN$4, 0) )</f>
        <v>71</v>
      </c>
      <c r="GQ82" s="48">
        <f>INDEX('2015'!$E$7:$EN$37,  MATCH(GJ82, '2015'!$A$7:$A$37, 0), MATCH(GJ61, '2015'!$E$4:$EN$4, 0) )</f>
        <v>68</v>
      </c>
      <c r="GR82" s="48">
        <f>INDEX('2016'!$E$7:$EN$37,  MATCH(GJ82, '2016'!$A$7:$A$37, 0), MATCH(GJ61, '2016'!$E$4:$EN$4, 0) )</f>
        <v>74</v>
      </c>
      <c r="GS82" s="48">
        <f>INDEX('2017'!$E$7:$EN$37,  MATCH(GJ82, '2017'!$A$7:$A$37, 0), MATCH(GJ61, '2017'!$E$4:$EN$4, 0) )</f>
        <v>141</v>
      </c>
      <c r="GT82" s="48">
        <f>INDEX('2018'!$E$7:$EN$37,  MATCH(GJ82, '2018'!$A$7:$A$37, 0), MATCH(GJ61, '2018'!$E$4:$EN$4, 0) )</f>
        <v>126</v>
      </c>
      <c r="GU82" s="48">
        <f>INDEX('2019'!$E$7:$EN$37,  MATCH(GJ82, '2019'!$A$7:$A$37, 0), MATCH(GJ61, '2019'!$E$4:$EN$4, 0) )</f>
        <v>140</v>
      </c>
    </row>
    <row r="83" spans="153:203" x14ac:dyDescent="0.25">
      <c r="EW83" s="9">
        <f t="shared" ref="EW83:EX83" si="257">EW37</f>
        <v>41</v>
      </c>
      <c r="EX83" s="21" t="str">
        <f t="shared" si="257"/>
        <v>Sevier</v>
      </c>
      <c r="EY83" s="48">
        <f>INDEX('2010'!$E$7:$EN$37,  MATCH(EW83, '2010'!$A$7:$A$37, 0), MATCH(EW61, '2010'!$E$4:$EN$4, 0) )</f>
        <v>394</v>
      </c>
      <c r="EZ83" s="48">
        <f>INDEX('2011'!$E$7:$EN$37,  MATCH(EW83, '2011'!$A$7:$A$37, 0), MATCH(EW61, '2011'!$E$4:$EN$4, 0) )</f>
        <v>288</v>
      </c>
      <c r="FA83" s="48">
        <f>INDEX('2012'!$E$7:$EN$37,  MATCH(EW83, '2012'!$A$7:$A$37, 0), MATCH(EW61, '2012'!$E$4:$EN$4, 0) )</f>
        <v>292</v>
      </c>
      <c r="FB83" s="48">
        <f>INDEX('2013'!$E$7:$EN$37,  MATCH(EW83, '2013'!$A$7:$A$37, 0), MATCH(EW61, '2013'!$E$4:$EN$4, 0) )</f>
        <v>334</v>
      </c>
      <c r="FC83" s="48">
        <f>INDEX('2014'!$E$7:$EN$37,  MATCH(EW83, '2014'!$A$7:$A$37, 0), MATCH(EW61, '2014'!$E$4:$EN$4, 0) )</f>
        <v>296</v>
      </c>
      <c r="FD83" s="48">
        <f>INDEX('2015'!$E$7:$EN$37,  MATCH(EW83, '2015'!$A$7:$A$37, 0), MATCH(EW61, '2015'!$E$4:$EN$4, 0) )</f>
        <v>282</v>
      </c>
      <c r="FE83" s="48">
        <f>INDEX('2016'!$E$7:$EN$37,  MATCH(EW83, '2016'!$A$7:$A$37, 0), MATCH(EW61, '2016'!$E$4:$EN$4, 0) )</f>
        <v>289</v>
      </c>
      <c r="FF83" s="48">
        <f>INDEX('2017'!$E$7:$EN$37,  MATCH(EW83, '2017'!$A$7:$A$37, 0), MATCH(EW61, '2017'!$E$4:$EN$4, 0) )</f>
        <v>282</v>
      </c>
      <c r="FG83" s="48">
        <f>INDEX('2018'!$E$7:$EN$37,  MATCH(EW83, '2018'!$A$7:$A$37, 0), MATCH(EW61, '2018'!$E$4:$EN$4, 0) )</f>
        <v>325</v>
      </c>
      <c r="FH83" s="48">
        <f>INDEX('2019'!$E$7:$EN$37,  MATCH(EW83, '2019'!$A$7:$A$37, 0), MATCH(EW61, '2019'!$E$4:$EN$4, 0) )</f>
        <v>324</v>
      </c>
      <c r="FJ83" s="9">
        <f t="shared" ref="FJ83:FK83" si="258">FJ37</f>
        <v>41</v>
      </c>
      <c r="FK83" s="21" t="str">
        <f t="shared" si="258"/>
        <v>Sevier</v>
      </c>
      <c r="FL83" s="48">
        <f>INDEX('2010'!$E$7:$EN$37,  MATCH(FJ83, '2010'!$A$7:$A$37, 0), MATCH(FJ61, '2010'!$E$4:$EN$4, 0) )</f>
        <v>124</v>
      </c>
      <c r="FM83" s="48">
        <f>INDEX('2011'!$E$7:$EN$37,  MATCH(FJ83, '2011'!$A$7:$A$37, 0), MATCH(FJ61, '2011'!$E$4:$EN$4, 0) )</f>
        <v>116</v>
      </c>
      <c r="FN83" s="48">
        <f>INDEX('2012'!$E$7:$EN$37,  MATCH(FJ83, '2012'!$A$7:$A$37, 0), MATCH(FJ61, '2012'!$E$4:$EN$4, 0) )</f>
        <v>106</v>
      </c>
      <c r="FO83" s="48">
        <f>INDEX('2013'!$E$7:$EN$37,  MATCH(FJ83, '2013'!$A$7:$A$37, 0), MATCH(FJ61, '2013'!$E$4:$EN$4, 0) )</f>
        <v>116</v>
      </c>
      <c r="FP83" s="48">
        <f>INDEX('2014'!$E$7:$EN$37,  MATCH(FJ83, '2014'!$A$7:$A$37, 0), MATCH(FJ61, '2014'!$E$4:$EN$4, 0) )</f>
        <v>106</v>
      </c>
      <c r="FQ83" s="48">
        <f>INDEX('2015'!$E$7:$EN$37,  MATCH(FJ83, '2015'!$A$7:$A$37, 0), MATCH(FJ61, '2015'!$E$4:$EN$4, 0) )</f>
        <v>97</v>
      </c>
      <c r="FR83" s="48">
        <f>INDEX('2016'!$E$7:$EN$37,  MATCH(FJ83, '2016'!$A$7:$A$37, 0), MATCH(FJ61, '2016'!$E$4:$EN$4, 0) )</f>
        <v>105</v>
      </c>
      <c r="FS83" s="48">
        <f>INDEX('2017'!$E$7:$EN$37,  MATCH(FJ83, '2017'!$A$7:$A$37, 0), MATCH(FJ61, '2017'!$E$4:$EN$4, 0) )</f>
        <v>116</v>
      </c>
      <c r="FT83" s="48">
        <f>INDEX('2018'!$E$7:$EN$37,  MATCH(FJ83, '2018'!$A$7:$A$37, 0), MATCH(FJ61, '2018'!$E$4:$EN$4, 0) )</f>
        <v>147</v>
      </c>
      <c r="FU83" s="48">
        <f>INDEX('2019'!$E$7:$EN$37,  MATCH(FJ83, '2019'!$A$7:$A$37, 0), MATCH(FJ61, '2019'!$E$4:$EN$4, 0) )</f>
        <v>136</v>
      </c>
      <c r="FW83" s="9">
        <f t="shared" ref="FW83:FX83" si="259">FW37</f>
        <v>41</v>
      </c>
      <c r="FX83" s="21" t="str">
        <f t="shared" si="259"/>
        <v>Sevier</v>
      </c>
      <c r="FY83" s="48">
        <f>INDEX('2010'!$E$7:$EN$37,  MATCH(FW83, '2010'!$A$7:$A$37, 0), MATCH(FW61, '2010'!$E$4:$EN$4, 0) )</f>
        <v>24</v>
      </c>
      <c r="FZ83" s="48">
        <f>INDEX('2011'!$E$7:$EN$37,  MATCH(FW83, '2011'!$A$7:$A$37, 0), MATCH(FW61, '2011'!$E$4:$EN$4, 0) )</f>
        <v>33</v>
      </c>
      <c r="GA83" s="48">
        <f>INDEX('2012'!$E$7:$EN$37,  MATCH(FW83, '2012'!$A$7:$A$37, 0), MATCH(FW61, '2012'!$E$4:$EN$4, 0) )</f>
        <v>50</v>
      </c>
      <c r="GB83" s="48">
        <f>INDEX('2013'!$E$7:$EN$37,  MATCH(FW83, '2013'!$A$7:$A$37, 0), MATCH(FW61, '2013'!$E$4:$EN$4, 0) )</f>
        <v>55</v>
      </c>
      <c r="GC83" s="48">
        <f>INDEX('2014'!$E$7:$EN$37,  MATCH(FW83, '2014'!$A$7:$A$37, 0), MATCH(FW61, '2014'!$E$4:$EN$4, 0) )</f>
        <v>60</v>
      </c>
      <c r="GD83" s="48">
        <f>INDEX('2015'!$E$7:$EN$37,  MATCH(FW83, '2015'!$A$7:$A$37, 0), MATCH(FW61, '2015'!$E$4:$EN$4, 0) )</f>
        <v>51</v>
      </c>
      <c r="GE83" s="48">
        <f>INDEX('2016'!$E$7:$EN$37,  MATCH(FW83, '2016'!$A$7:$A$37, 0), MATCH(FW61, '2016'!$E$4:$EN$4, 0) )</f>
        <v>43</v>
      </c>
      <c r="GF83" s="48">
        <f>INDEX('2017'!$E$7:$EN$37,  MATCH(FW83, '2017'!$A$7:$A$37, 0), MATCH(FW61, '2017'!$E$4:$EN$4, 0) )</f>
        <v>47</v>
      </c>
      <c r="GG83" s="48">
        <f>INDEX('2018'!$E$7:$EN$37,  MATCH(FW83, '2018'!$A$7:$A$37, 0), MATCH(FW61, '2018'!$E$4:$EN$4, 0) )</f>
        <v>39</v>
      </c>
      <c r="GH83" s="48">
        <f>INDEX('2019'!$E$7:$EN$37,  MATCH(FW83, '2019'!$A$7:$A$37, 0), MATCH(FW61, '2019'!$E$4:$EN$4, 0) )</f>
        <v>43</v>
      </c>
      <c r="GJ83" s="9">
        <f t="shared" ref="GJ83:GK83" si="260">GJ37</f>
        <v>41</v>
      </c>
      <c r="GK83" s="21" t="str">
        <f t="shared" si="260"/>
        <v>Sevier</v>
      </c>
      <c r="GL83" s="48">
        <f>INDEX('2010'!$E$7:$EN$37,  MATCH(GJ83, '2010'!$A$7:$A$37, 0), MATCH(GJ61, '2010'!$E$4:$EN$4, 0) )</f>
        <v>88</v>
      </c>
      <c r="GM83" s="48">
        <f>INDEX('2011'!$E$7:$EN$37,  MATCH(GJ83, '2011'!$A$7:$A$37, 0), MATCH(GJ61, '2011'!$E$4:$EN$4, 0) )</f>
        <v>85</v>
      </c>
      <c r="GN83" s="48">
        <f>INDEX('2012'!$E$7:$EN$37,  MATCH(GJ83, '2012'!$A$7:$A$37, 0), MATCH(GJ61, '2012'!$E$4:$EN$4, 0) )</f>
        <v>82</v>
      </c>
      <c r="GO83" s="48">
        <f>INDEX('2013'!$E$7:$EN$37,  MATCH(GJ83, '2013'!$A$7:$A$37, 0), MATCH(GJ61, '2013'!$E$4:$EN$4, 0) )</f>
        <v>67</v>
      </c>
      <c r="GP83" s="48">
        <f>INDEX('2014'!$E$7:$EN$37,  MATCH(GJ83, '2014'!$A$7:$A$37, 0), MATCH(GJ61, '2014'!$E$4:$EN$4, 0) )</f>
        <v>56</v>
      </c>
      <c r="GQ83" s="48">
        <f>INDEX('2015'!$E$7:$EN$37,  MATCH(GJ83, '2015'!$A$7:$A$37, 0), MATCH(GJ61, '2015'!$E$4:$EN$4, 0) )</f>
        <v>40</v>
      </c>
      <c r="GR83" s="48">
        <f>INDEX('2016'!$E$7:$EN$37,  MATCH(GJ83, '2016'!$A$7:$A$37, 0), MATCH(GJ61, '2016'!$E$4:$EN$4, 0) )</f>
        <v>56</v>
      </c>
      <c r="GS83" s="48">
        <f>INDEX('2017'!$E$7:$EN$37,  MATCH(GJ83, '2017'!$A$7:$A$37, 0), MATCH(GJ61, '2017'!$E$4:$EN$4, 0) )</f>
        <v>91</v>
      </c>
      <c r="GT83" s="48">
        <f>INDEX('2018'!$E$7:$EN$37,  MATCH(GJ83, '2018'!$A$7:$A$37, 0), MATCH(GJ61, '2018'!$E$4:$EN$4, 0) )</f>
        <v>92</v>
      </c>
      <c r="GU83" s="48">
        <f>INDEX('2019'!$E$7:$EN$37,  MATCH(GJ83, '2019'!$A$7:$A$37, 0), MATCH(GJ61, '2019'!$E$4:$EN$4, 0) )</f>
        <v>99</v>
      </c>
    </row>
    <row r="84" spans="153:203" x14ac:dyDescent="0.25">
      <c r="EW84" s="9">
        <f t="shared" ref="EW84:EX84" si="261">EW38</f>
        <v>43</v>
      </c>
      <c r="EX84" s="21" t="str">
        <f t="shared" si="261"/>
        <v>Summit</v>
      </c>
      <c r="EY84" s="48">
        <f>INDEX('2010'!$E$7:$EN$37,  MATCH(EW84, '2010'!$A$7:$A$37, 0), MATCH(EW61, '2010'!$E$4:$EN$4, 0) )</f>
        <v>560</v>
      </c>
      <c r="EZ84" s="48">
        <f>INDEX('2011'!$E$7:$EN$37,  MATCH(EW84, '2011'!$A$7:$A$37, 0), MATCH(EW61, '2011'!$E$4:$EN$4, 0) )</f>
        <v>564</v>
      </c>
      <c r="FA84" s="48">
        <f>INDEX('2012'!$E$7:$EN$37,  MATCH(EW84, '2012'!$A$7:$A$37, 0), MATCH(EW61, '2012'!$E$4:$EN$4, 0) )</f>
        <v>564</v>
      </c>
      <c r="FB84" s="48">
        <f>INDEX('2013'!$E$7:$EN$37,  MATCH(EW84, '2013'!$A$7:$A$37, 0), MATCH(EW61, '2013'!$E$4:$EN$4, 0) )</f>
        <v>509</v>
      </c>
      <c r="FC84" s="48">
        <f>INDEX('2014'!$E$7:$EN$37,  MATCH(EW84, '2014'!$A$7:$A$37, 0), MATCH(EW61, '2014'!$E$4:$EN$4, 0) )</f>
        <v>450</v>
      </c>
      <c r="FD84" s="48">
        <f>INDEX('2015'!$E$7:$EN$37,  MATCH(EW84, '2015'!$A$7:$A$37, 0), MATCH(EW61, '2015'!$E$4:$EN$4, 0) )</f>
        <v>429</v>
      </c>
      <c r="FE84" s="48">
        <f>INDEX('2016'!$E$7:$EN$37,  MATCH(EW84, '2016'!$A$7:$A$37, 0), MATCH(EW61, '2016'!$E$4:$EN$4, 0) )</f>
        <v>407</v>
      </c>
      <c r="FF84" s="48">
        <f>INDEX('2017'!$E$7:$EN$37,  MATCH(EW84, '2017'!$A$7:$A$37, 0), MATCH(EW61, '2017'!$E$4:$EN$4, 0) )</f>
        <v>515</v>
      </c>
      <c r="FG84" s="48">
        <f>INDEX('2018'!$E$7:$EN$37,  MATCH(EW84, '2018'!$A$7:$A$37, 0), MATCH(EW61, '2018'!$E$4:$EN$4, 0) )</f>
        <v>427</v>
      </c>
      <c r="FH84" s="48">
        <f>INDEX('2019'!$E$7:$EN$37,  MATCH(EW84, '2019'!$A$7:$A$37, 0), MATCH(EW61, '2019'!$E$4:$EN$4, 0) )</f>
        <v>416</v>
      </c>
      <c r="FJ84" s="9">
        <f t="shared" ref="FJ84:FK84" si="262">FJ38</f>
        <v>43</v>
      </c>
      <c r="FK84" s="21" t="str">
        <f t="shared" si="262"/>
        <v>Summit</v>
      </c>
      <c r="FL84" s="48">
        <f>INDEX('2010'!$E$7:$EN$37,  MATCH(FJ84, '2010'!$A$7:$A$37, 0), MATCH(FJ61, '2010'!$E$4:$EN$4, 0) )</f>
        <v>368</v>
      </c>
      <c r="FM84" s="48">
        <f>INDEX('2011'!$E$7:$EN$37,  MATCH(FJ84, '2011'!$A$7:$A$37, 0), MATCH(FJ61, '2011'!$E$4:$EN$4, 0) )</f>
        <v>335</v>
      </c>
      <c r="FN84" s="48">
        <f>INDEX('2012'!$E$7:$EN$37,  MATCH(FJ84, '2012'!$A$7:$A$37, 0), MATCH(FJ61, '2012'!$E$4:$EN$4, 0) )</f>
        <v>362</v>
      </c>
      <c r="FO84" s="48">
        <f>INDEX('2013'!$E$7:$EN$37,  MATCH(FJ84, '2013'!$A$7:$A$37, 0), MATCH(FJ61, '2013'!$E$4:$EN$4, 0) )</f>
        <v>338</v>
      </c>
      <c r="FP84" s="48">
        <f>INDEX('2014'!$E$7:$EN$37,  MATCH(FJ84, '2014'!$A$7:$A$37, 0), MATCH(FJ61, '2014'!$E$4:$EN$4, 0) )</f>
        <v>325</v>
      </c>
      <c r="FQ84" s="48">
        <f>INDEX('2015'!$E$7:$EN$37,  MATCH(FJ84, '2015'!$A$7:$A$37, 0), MATCH(FJ61, '2015'!$E$4:$EN$4, 0) )</f>
        <v>252</v>
      </c>
      <c r="FR84" s="48">
        <f>INDEX('2016'!$E$7:$EN$37,  MATCH(FJ84, '2016'!$A$7:$A$37, 0), MATCH(FJ61, '2016'!$E$4:$EN$4, 0) )</f>
        <v>288</v>
      </c>
      <c r="FS84" s="48">
        <f>INDEX('2017'!$E$7:$EN$37,  MATCH(FJ84, '2017'!$A$7:$A$37, 0), MATCH(FJ61, '2017'!$E$4:$EN$4, 0) )</f>
        <v>331</v>
      </c>
      <c r="FT84" s="48">
        <f>INDEX('2018'!$E$7:$EN$37,  MATCH(FJ84, '2018'!$A$7:$A$37, 0), MATCH(FJ61, '2018'!$E$4:$EN$4, 0) )</f>
        <v>329</v>
      </c>
      <c r="FU84" s="48">
        <f>INDEX('2019'!$E$7:$EN$37,  MATCH(FJ84, '2019'!$A$7:$A$37, 0), MATCH(FJ61, '2019'!$E$4:$EN$4, 0) )</f>
        <v>331</v>
      </c>
      <c r="FW84" s="9">
        <f t="shared" ref="FW84:FX84" si="263">FW38</f>
        <v>43</v>
      </c>
      <c r="FX84" s="21" t="str">
        <f t="shared" si="263"/>
        <v>Summit</v>
      </c>
      <c r="FY84" s="48">
        <f>INDEX('2010'!$E$7:$EN$37,  MATCH(FW84, '2010'!$A$7:$A$37, 0), MATCH(FW61, '2010'!$E$4:$EN$4, 0) )</f>
        <v>139</v>
      </c>
      <c r="FZ84" s="48">
        <f>INDEX('2011'!$E$7:$EN$37,  MATCH(FW84, '2011'!$A$7:$A$37, 0), MATCH(FW61, '2011'!$E$4:$EN$4, 0) )</f>
        <v>160</v>
      </c>
      <c r="GA84" s="48">
        <f>INDEX('2012'!$E$7:$EN$37,  MATCH(FW84, '2012'!$A$7:$A$37, 0), MATCH(FW61, '2012'!$E$4:$EN$4, 0) )</f>
        <v>174</v>
      </c>
      <c r="GB84" s="48">
        <f>INDEX('2013'!$E$7:$EN$37,  MATCH(FW84, '2013'!$A$7:$A$37, 0), MATCH(FW61, '2013'!$E$4:$EN$4, 0) )</f>
        <v>182</v>
      </c>
      <c r="GC84" s="48">
        <f>INDEX('2014'!$E$7:$EN$37,  MATCH(FW84, '2014'!$A$7:$A$37, 0), MATCH(FW61, '2014'!$E$4:$EN$4, 0) )</f>
        <v>180</v>
      </c>
      <c r="GD84" s="48">
        <f>INDEX('2015'!$E$7:$EN$37,  MATCH(FW84, '2015'!$A$7:$A$37, 0), MATCH(FW61, '2015'!$E$4:$EN$4, 0) )</f>
        <v>183</v>
      </c>
      <c r="GE84" s="48">
        <f>INDEX('2016'!$E$7:$EN$37,  MATCH(FW84, '2016'!$A$7:$A$37, 0), MATCH(FW61, '2016'!$E$4:$EN$4, 0) )</f>
        <v>172</v>
      </c>
      <c r="GF84" s="48">
        <f>INDEX('2017'!$E$7:$EN$37,  MATCH(FW84, '2017'!$A$7:$A$37, 0), MATCH(FW61, '2017'!$E$4:$EN$4, 0) )</f>
        <v>156</v>
      </c>
      <c r="GG84" s="48">
        <f>INDEX('2018'!$E$7:$EN$37,  MATCH(FW84, '2018'!$A$7:$A$37, 0), MATCH(FW61, '2018'!$E$4:$EN$4, 0) )</f>
        <v>142</v>
      </c>
      <c r="GH84" s="48">
        <f>INDEX('2019'!$E$7:$EN$37,  MATCH(FW84, '2019'!$A$7:$A$37, 0), MATCH(FW61, '2019'!$E$4:$EN$4, 0) )</f>
        <v>142</v>
      </c>
      <c r="GJ84" s="9">
        <f t="shared" ref="GJ84:GK84" si="264">GJ38</f>
        <v>43</v>
      </c>
      <c r="GK84" s="21" t="str">
        <f t="shared" si="264"/>
        <v>Summit</v>
      </c>
      <c r="GL84" s="48">
        <f>INDEX('2010'!$E$7:$EN$37,  MATCH(GJ84, '2010'!$A$7:$A$37, 0), MATCH(GJ61, '2010'!$E$4:$EN$4, 0) )</f>
        <v>146</v>
      </c>
      <c r="GM84" s="48">
        <f>INDEX('2011'!$E$7:$EN$37,  MATCH(GJ84, '2011'!$A$7:$A$37, 0), MATCH(GJ61, '2011'!$E$4:$EN$4, 0) )</f>
        <v>162</v>
      </c>
      <c r="GN84" s="48">
        <f>INDEX('2012'!$E$7:$EN$37,  MATCH(GJ84, '2012'!$A$7:$A$37, 0), MATCH(GJ61, '2012'!$E$4:$EN$4, 0) )</f>
        <v>179</v>
      </c>
      <c r="GO84" s="48">
        <f>INDEX('2013'!$E$7:$EN$37,  MATCH(GJ84, '2013'!$A$7:$A$37, 0), MATCH(GJ61, '2013'!$E$4:$EN$4, 0) )</f>
        <v>170</v>
      </c>
      <c r="GP84" s="48">
        <f>INDEX('2014'!$E$7:$EN$37,  MATCH(GJ84, '2014'!$A$7:$A$37, 0), MATCH(GJ61, '2014'!$E$4:$EN$4, 0) )</f>
        <v>126</v>
      </c>
      <c r="GQ84" s="48">
        <f>INDEX('2015'!$E$7:$EN$37,  MATCH(GJ84, '2015'!$A$7:$A$37, 0), MATCH(GJ61, '2015'!$E$4:$EN$4, 0) )</f>
        <v>112</v>
      </c>
      <c r="GR84" s="48">
        <f>INDEX('2016'!$E$7:$EN$37,  MATCH(GJ84, '2016'!$A$7:$A$37, 0), MATCH(GJ61, '2016'!$E$4:$EN$4, 0) )</f>
        <v>141</v>
      </c>
      <c r="GS84" s="48">
        <f>INDEX('2017'!$E$7:$EN$37,  MATCH(GJ84, '2017'!$A$7:$A$37, 0), MATCH(GJ61, '2017'!$E$4:$EN$4, 0) )</f>
        <v>149</v>
      </c>
      <c r="GT84" s="48">
        <f>INDEX('2018'!$E$7:$EN$37,  MATCH(GJ84, '2018'!$A$7:$A$37, 0), MATCH(GJ61, '2018'!$E$4:$EN$4, 0) )</f>
        <v>158</v>
      </c>
      <c r="GU84" s="48">
        <f>INDEX('2019'!$E$7:$EN$37,  MATCH(GJ84, '2019'!$A$7:$A$37, 0), MATCH(GJ61, '2019'!$E$4:$EN$4, 0) )</f>
        <v>164</v>
      </c>
    </row>
    <row r="85" spans="153:203" x14ac:dyDescent="0.25">
      <c r="EW85" s="9">
        <f t="shared" ref="EW85:EX85" si="265">EW39</f>
        <v>45</v>
      </c>
      <c r="EX85" s="21" t="str">
        <f t="shared" si="265"/>
        <v>Tooele</v>
      </c>
      <c r="EY85" s="48">
        <f>INDEX('2010'!$E$7:$EN$37,  MATCH(EW85, '2010'!$A$7:$A$37, 0), MATCH(EW61, '2010'!$E$4:$EN$4, 0) )</f>
        <v>537</v>
      </c>
      <c r="EZ85" s="48">
        <f>INDEX('2011'!$E$7:$EN$37,  MATCH(EW85, '2011'!$A$7:$A$37, 0), MATCH(EW61, '2011'!$E$4:$EN$4, 0) )</f>
        <v>608</v>
      </c>
      <c r="FA85" s="48">
        <f>INDEX('2012'!$E$7:$EN$37,  MATCH(EW85, '2012'!$A$7:$A$37, 0), MATCH(EW61, '2012'!$E$4:$EN$4, 0) )</f>
        <v>649</v>
      </c>
      <c r="FB85" s="48">
        <f>INDEX('2013'!$E$7:$EN$37,  MATCH(EW85, '2013'!$A$7:$A$37, 0), MATCH(EW61, '2013'!$E$4:$EN$4, 0) )</f>
        <v>628</v>
      </c>
      <c r="FC85" s="48">
        <f>INDEX('2014'!$E$7:$EN$37,  MATCH(EW85, '2014'!$A$7:$A$37, 0), MATCH(EW61, '2014'!$E$4:$EN$4, 0) )</f>
        <v>684</v>
      </c>
      <c r="FD85" s="48">
        <f>INDEX('2015'!$E$7:$EN$37,  MATCH(EW85, '2015'!$A$7:$A$37, 0), MATCH(EW61, '2015'!$E$4:$EN$4, 0) )</f>
        <v>709</v>
      </c>
      <c r="FE85" s="48">
        <f>INDEX('2016'!$E$7:$EN$37,  MATCH(EW85, '2016'!$A$7:$A$37, 0), MATCH(EW61, '2016'!$E$4:$EN$4, 0) )</f>
        <v>613</v>
      </c>
      <c r="FF85" s="48">
        <f>INDEX('2017'!$E$7:$EN$37,  MATCH(EW85, '2017'!$A$7:$A$37, 0), MATCH(EW61, '2017'!$E$4:$EN$4, 0) )</f>
        <v>654</v>
      </c>
      <c r="FG85" s="48">
        <f>INDEX('2018'!$E$7:$EN$37,  MATCH(EW85, '2018'!$A$7:$A$37, 0), MATCH(EW61, '2018'!$E$4:$EN$4, 0) )</f>
        <v>671</v>
      </c>
      <c r="FH85" s="48">
        <f>INDEX('2019'!$E$7:$EN$37,  MATCH(EW85, '2019'!$A$7:$A$37, 0), MATCH(EW61, '2019'!$E$4:$EN$4, 0) )</f>
        <v>795</v>
      </c>
      <c r="FJ85" s="9">
        <f t="shared" ref="FJ85:FK85" si="266">FJ39</f>
        <v>45</v>
      </c>
      <c r="FK85" s="21" t="str">
        <f t="shared" si="266"/>
        <v>Tooele</v>
      </c>
      <c r="FL85" s="48">
        <f>INDEX('2010'!$E$7:$EN$37,  MATCH(FJ85, '2010'!$A$7:$A$37, 0), MATCH(FJ61, '2010'!$E$4:$EN$4, 0) )</f>
        <v>338</v>
      </c>
      <c r="FM85" s="48">
        <f>INDEX('2011'!$E$7:$EN$37,  MATCH(FJ85, '2011'!$A$7:$A$37, 0), MATCH(FJ61, '2011'!$E$4:$EN$4, 0) )</f>
        <v>186</v>
      </c>
      <c r="FN85" s="48">
        <f>INDEX('2012'!$E$7:$EN$37,  MATCH(FJ85, '2012'!$A$7:$A$37, 0), MATCH(FJ61, '2012'!$E$4:$EN$4, 0) )</f>
        <v>239</v>
      </c>
      <c r="FO85" s="48">
        <f>INDEX('2013'!$E$7:$EN$37,  MATCH(FJ85, '2013'!$A$7:$A$37, 0), MATCH(FJ61, '2013'!$E$4:$EN$4, 0) )</f>
        <v>218</v>
      </c>
      <c r="FP85" s="48">
        <f>INDEX('2014'!$E$7:$EN$37,  MATCH(FJ85, '2014'!$A$7:$A$37, 0), MATCH(FJ61, '2014'!$E$4:$EN$4, 0) )</f>
        <v>199</v>
      </c>
      <c r="FQ85" s="48">
        <f>INDEX('2015'!$E$7:$EN$37,  MATCH(FJ85, '2015'!$A$7:$A$37, 0), MATCH(FJ61, '2015'!$E$4:$EN$4, 0) )</f>
        <v>236</v>
      </c>
      <c r="FR85" s="48">
        <f>INDEX('2016'!$E$7:$EN$37,  MATCH(FJ85, '2016'!$A$7:$A$37, 0), MATCH(FJ61, '2016'!$E$4:$EN$4, 0) )</f>
        <v>214</v>
      </c>
      <c r="FS85" s="48">
        <f>INDEX('2017'!$E$7:$EN$37,  MATCH(FJ85, '2017'!$A$7:$A$37, 0), MATCH(FJ61, '2017'!$E$4:$EN$4, 0) )</f>
        <v>230</v>
      </c>
      <c r="FT85" s="48">
        <f>INDEX('2018'!$E$7:$EN$37,  MATCH(FJ85, '2018'!$A$7:$A$37, 0), MATCH(FJ61, '2018'!$E$4:$EN$4, 0) )</f>
        <v>240</v>
      </c>
      <c r="FU85" s="48">
        <f>INDEX('2019'!$E$7:$EN$37,  MATCH(FJ85, '2019'!$A$7:$A$37, 0), MATCH(FJ61, '2019'!$E$4:$EN$4, 0) )</f>
        <v>304</v>
      </c>
      <c r="FW85" s="9">
        <f t="shared" ref="FW85:FX85" si="267">FW39</f>
        <v>45</v>
      </c>
      <c r="FX85" s="21" t="str">
        <f t="shared" si="267"/>
        <v>Tooele</v>
      </c>
      <c r="FY85" s="48">
        <f>INDEX('2010'!$E$7:$EN$37,  MATCH(FW85, '2010'!$A$7:$A$37, 0), MATCH(FW61, '2010'!$E$4:$EN$4, 0) )</f>
        <v>37</v>
      </c>
      <c r="FZ85" s="48">
        <f>INDEX('2011'!$E$7:$EN$37,  MATCH(FW85, '2011'!$A$7:$A$37, 0), MATCH(FW61, '2011'!$E$4:$EN$4, 0) )</f>
        <v>86</v>
      </c>
      <c r="GA85" s="48">
        <f>INDEX('2012'!$E$7:$EN$37,  MATCH(FW85, '2012'!$A$7:$A$37, 0), MATCH(FW61, '2012'!$E$4:$EN$4, 0) )</f>
        <v>88</v>
      </c>
      <c r="GB85" s="48">
        <f>INDEX('2013'!$E$7:$EN$37,  MATCH(FW85, '2013'!$A$7:$A$37, 0), MATCH(FW61, '2013'!$E$4:$EN$4, 0) )</f>
        <v>92</v>
      </c>
      <c r="GC85" s="48">
        <f>INDEX('2014'!$E$7:$EN$37,  MATCH(FW85, '2014'!$A$7:$A$37, 0), MATCH(FW61, '2014'!$E$4:$EN$4, 0) )</f>
        <v>80</v>
      </c>
      <c r="GD85" s="48">
        <f>INDEX('2015'!$E$7:$EN$37,  MATCH(FW85, '2015'!$A$7:$A$37, 0), MATCH(FW61, '2015'!$E$4:$EN$4, 0) )</f>
        <v>101</v>
      </c>
      <c r="GE85" s="48">
        <f>INDEX('2016'!$E$7:$EN$37,  MATCH(FW85, '2016'!$A$7:$A$37, 0), MATCH(FW61, '2016'!$E$4:$EN$4, 0) )</f>
        <v>46</v>
      </c>
      <c r="GF85" s="48">
        <f>INDEX('2017'!$E$7:$EN$37,  MATCH(FW85, '2017'!$A$7:$A$37, 0), MATCH(FW61, '2017'!$E$4:$EN$4, 0) )</f>
        <v>43</v>
      </c>
      <c r="GG85" s="48">
        <f>INDEX('2018'!$E$7:$EN$37,  MATCH(FW85, '2018'!$A$7:$A$37, 0), MATCH(FW61, '2018'!$E$4:$EN$4, 0) )</f>
        <v>53</v>
      </c>
      <c r="GH85" s="48">
        <f>INDEX('2019'!$E$7:$EN$37,  MATCH(FW85, '2019'!$A$7:$A$37, 0), MATCH(FW61, '2019'!$E$4:$EN$4, 0) )</f>
        <v>54</v>
      </c>
      <c r="GJ85" s="9">
        <f t="shared" ref="GJ85:GK85" si="268">GJ39</f>
        <v>45</v>
      </c>
      <c r="GK85" s="21" t="str">
        <f t="shared" si="268"/>
        <v>Tooele</v>
      </c>
      <c r="GL85" s="48">
        <f>INDEX('2010'!$E$7:$EN$37,  MATCH(GJ85, '2010'!$A$7:$A$37, 0), MATCH(GJ61, '2010'!$E$4:$EN$4, 0) )</f>
        <v>133</v>
      </c>
      <c r="GM85" s="48">
        <f>INDEX('2011'!$E$7:$EN$37,  MATCH(GJ85, '2011'!$A$7:$A$37, 0), MATCH(GJ61, '2011'!$E$4:$EN$4, 0) )</f>
        <v>104</v>
      </c>
      <c r="GN85" s="48">
        <f>INDEX('2012'!$E$7:$EN$37,  MATCH(GJ85, '2012'!$A$7:$A$37, 0), MATCH(GJ61, '2012'!$E$4:$EN$4, 0) )</f>
        <v>103</v>
      </c>
      <c r="GO85" s="48">
        <f>INDEX('2013'!$E$7:$EN$37,  MATCH(GJ85, '2013'!$A$7:$A$37, 0), MATCH(GJ61, '2013'!$E$4:$EN$4, 0) )</f>
        <v>137</v>
      </c>
      <c r="GP85" s="48">
        <f>INDEX('2014'!$E$7:$EN$37,  MATCH(GJ85, '2014'!$A$7:$A$37, 0), MATCH(GJ61, '2014'!$E$4:$EN$4, 0) )</f>
        <v>94</v>
      </c>
      <c r="GQ85" s="48">
        <f>INDEX('2015'!$E$7:$EN$37,  MATCH(GJ85, '2015'!$A$7:$A$37, 0), MATCH(GJ61, '2015'!$E$4:$EN$4, 0) )</f>
        <v>151</v>
      </c>
      <c r="GR85" s="48">
        <f>INDEX('2016'!$E$7:$EN$37,  MATCH(GJ85, '2016'!$A$7:$A$37, 0), MATCH(GJ61, '2016'!$E$4:$EN$4, 0) )</f>
        <v>147</v>
      </c>
      <c r="GS85" s="48">
        <f>INDEX('2017'!$E$7:$EN$37,  MATCH(GJ85, '2017'!$A$7:$A$37, 0), MATCH(GJ61, '2017'!$E$4:$EN$4, 0) )</f>
        <v>147</v>
      </c>
      <c r="GT85" s="48">
        <f>INDEX('2018'!$E$7:$EN$37,  MATCH(GJ85, '2018'!$A$7:$A$37, 0), MATCH(GJ61, '2018'!$E$4:$EN$4, 0) )</f>
        <v>146</v>
      </c>
      <c r="GU85" s="48">
        <f>INDEX('2019'!$E$7:$EN$37,  MATCH(GJ85, '2019'!$A$7:$A$37, 0), MATCH(GJ61, '2019'!$E$4:$EN$4, 0) )</f>
        <v>165</v>
      </c>
    </row>
    <row r="86" spans="153:203" x14ac:dyDescent="0.25">
      <c r="EW86" s="9">
        <f t="shared" ref="EW86:EX86" si="269">EW40</f>
        <v>47</v>
      </c>
      <c r="EX86" s="21" t="str">
        <f t="shared" si="269"/>
        <v>Uintah</v>
      </c>
      <c r="EY86" s="48">
        <f>INDEX('2010'!$E$7:$EN$37,  MATCH(EW86, '2010'!$A$7:$A$37, 0), MATCH(EW61, '2010'!$E$4:$EN$4, 0) )</f>
        <v>442</v>
      </c>
      <c r="EZ86" s="48">
        <f>INDEX('2011'!$E$7:$EN$37,  MATCH(EW86, '2011'!$A$7:$A$37, 0), MATCH(EW61, '2011'!$E$4:$EN$4, 0) )</f>
        <v>494</v>
      </c>
      <c r="FA86" s="48">
        <f>INDEX('2012'!$E$7:$EN$37,  MATCH(EW86, '2012'!$A$7:$A$37, 0), MATCH(EW61, '2012'!$E$4:$EN$4, 0) )</f>
        <v>508</v>
      </c>
      <c r="FB86" s="48">
        <f>INDEX('2013'!$E$7:$EN$37,  MATCH(EW86, '2013'!$A$7:$A$37, 0), MATCH(EW61, '2013'!$E$4:$EN$4, 0) )</f>
        <v>482</v>
      </c>
      <c r="FC86" s="48">
        <f>INDEX('2014'!$E$7:$EN$37,  MATCH(EW86, '2014'!$A$7:$A$37, 0), MATCH(EW61, '2014'!$E$4:$EN$4, 0) )</f>
        <v>469</v>
      </c>
      <c r="FD86" s="48">
        <f>INDEX('2015'!$E$7:$EN$37,  MATCH(EW86, '2015'!$A$7:$A$37, 0), MATCH(EW61, '2015'!$E$4:$EN$4, 0) )</f>
        <v>549</v>
      </c>
      <c r="FE86" s="48">
        <f>INDEX('2016'!$E$7:$EN$37,  MATCH(EW86, '2016'!$A$7:$A$37, 0), MATCH(EW61, '2016'!$E$4:$EN$4, 0) )</f>
        <v>595</v>
      </c>
      <c r="FF86" s="48">
        <f>INDEX('2017'!$E$7:$EN$37,  MATCH(EW86, '2017'!$A$7:$A$37, 0), MATCH(EW61, '2017'!$E$4:$EN$4, 0) )</f>
        <v>564</v>
      </c>
      <c r="FG86" s="48">
        <f>INDEX('2018'!$E$7:$EN$37,  MATCH(EW86, '2018'!$A$7:$A$37, 0), MATCH(EW61, '2018'!$E$4:$EN$4, 0) )</f>
        <v>597</v>
      </c>
      <c r="FH86" s="48">
        <f>INDEX('2019'!$E$7:$EN$37,  MATCH(EW86, '2019'!$A$7:$A$37, 0), MATCH(EW61, '2019'!$E$4:$EN$4, 0) )</f>
        <v>567</v>
      </c>
      <c r="FJ86" s="9">
        <f t="shared" ref="FJ86:FK86" si="270">FJ40</f>
        <v>47</v>
      </c>
      <c r="FK86" s="21" t="str">
        <f t="shared" si="270"/>
        <v>Uintah</v>
      </c>
      <c r="FL86" s="48">
        <f>INDEX('2010'!$E$7:$EN$37,  MATCH(FJ86, '2010'!$A$7:$A$37, 0), MATCH(FJ61, '2010'!$E$4:$EN$4, 0) )</f>
        <v>135</v>
      </c>
      <c r="FM86" s="48">
        <f>INDEX('2011'!$E$7:$EN$37,  MATCH(FJ86, '2011'!$A$7:$A$37, 0), MATCH(FJ61, '2011'!$E$4:$EN$4, 0) )</f>
        <v>122</v>
      </c>
      <c r="FN86" s="48">
        <f>INDEX('2012'!$E$7:$EN$37,  MATCH(FJ86, '2012'!$A$7:$A$37, 0), MATCH(FJ61, '2012'!$E$4:$EN$4, 0) )</f>
        <v>160</v>
      </c>
      <c r="FO86" s="48">
        <f>INDEX('2013'!$E$7:$EN$37,  MATCH(FJ86, '2013'!$A$7:$A$37, 0), MATCH(FJ61, '2013'!$E$4:$EN$4, 0) )</f>
        <v>137</v>
      </c>
      <c r="FP86" s="48">
        <f>INDEX('2014'!$E$7:$EN$37,  MATCH(FJ86, '2014'!$A$7:$A$37, 0), MATCH(FJ61, '2014'!$E$4:$EN$4, 0) )</f>
        <v>147</v>
      </c>
      <c r="FQ86" s="48">
        <f>INDEX('2015'!$E$7:$EN$37,  MATCH(FJ86, '2015'!$A$7:$A$37, 0), MATCH(FJ61, '2015'!$E$4:$EN$4, 0) )</f>
        <v>146</v>
      </c>
      <c r="FR86" s="48">
        <f>INDEX('2016'!$E$7:$EN$37,  MATCH(FJ86, '2016'!$A$7:$A$37, 0), MATCH(FJ61, '2016'!$E$4:$EN$4, 0) )</f>
        <v>146</v>
      </c>
      <c r="FS86" s="48">
        <f>INDEX('2017'!$E$7:$EN$37,  MATCH(FJ86, '2017'!$A$7:$A$37, 0), MATCH(FJ61, '2017'!$E$4:$EN$4, 0) )</f>
        <v>163</v>
      </c>
      <c r="FT86" s="48">
        <f>INDEX('2018'!$E$7:$EN$37,  MATCH(FJ86, '2018'!$A$7:$A$37, 0), MATCH(FJ61, '2018'!$E$4:$EN$4, 0) )</f>
        <v>187</v>
      </c>
      <c r="FU86" s="48">
        <f>INDEX('2019'!$E$7:$EN$37,  MATCH(FJ86, '2019'!$A$7:$A$37, 0), MATCH(FJ61, '2019'!$E$4:$EN$4, 0) )</f>
        <v>160</v>
      </c>
      <c r="FW86" s="9">
        <f t="shared" ref="FW86:FX86" si="271">FW40</f>
        <v>47</v>
      </c>
      <c r="FX86" s="21" t="str">
        <f t="shared" si="271"/>
        <v>Uintah</v>
      </c>
      <c r="FY86" s="48">
        <f>INDEX('2010'!$E$7:$EN$37,  MATCH(FW86, '2010'!$A$7:$A$37, 0), MATCH(FW61, '2010'!$E$4:$EN$4, 0) )</f>
        <v>95</v>
      </c>
      <c r="FZ86" s="48">
        <f>INDEX('2011'!$E$7:$EN$37,  MATCH(FW86, '2011'!$A$7:$A$37, 0), MATCH(FW61, '2011'!$E$4:$EN$4, 0) )</f>
        <v>80</v>
      </c>
      <c r="GA86" s="48">
        <f>INDEX('2012'!$E$7:$EN$37,  MATCH(FW86, '2012'!$A$7:$A$37, 0), MATCH(FW61, '2012'!$E$4:$EN$4, 0) )</f>
        <v>99</v>
      </c>
      <c r="GB86" s="48">
        <f>INDEX('2013'!$E$7:$EN$37,  MATCH(FW86, '2013'!$A$7:$A$37, 0), MATCH(FW61, '2013'!$E$4:$EN$4, 0) )</f>
        <v>100</v>
      </c>
      <c r="GC86" s="48">
        <f>INDEX('2014'!$E$7:$EN$37,  MATCH(FW86, '2014'!$A$7:$A$37, 0), MATCH(FW61, '2014'!$E$4:$EN$4, 0) )</f>
        <v>66</v>
      </c>
      <c r="GD86" s="48">
        <f>INDEX('2015'!$E$7:$EN$37,  MATCH(FW86, '2015'!$A$7:$A$37, 0), MATCH(FW61, '2015'!$E$4:$EN$4, 0) )</f>
        <v>78</v>
      </c>
      <c r="GE86" s="48">
        <f>INDEX('2016'!$E$7:$EN$37,  MATCH(FW86, '2016'!$A$7:$A$37, 0), MATCH(FW61, '2016'!$E$4:$EN$4, 0) )</f>
        <v>54</v>
      </c>
      <c r="GF86" s="48">
        <f>INDEX('2017'!$E$7:$EN$37,  MATCH(FW86, '2017'!$A$7:$A$37, 0), MATCH(FW61, '2017'!$E$4:$EN$4, 0) )</f>
        <v>78</v>
      </c>
      <c r="GG86" s="48">
        <f>INDEX('2018'!$E$7:$EN$37,  MATCH(FW86, '2018'!$A$7:$A$37, 0), MATCH(FW61, '2018'!$E$4:$EN$4, 0) )</f>
        <v>87</v>
      </c>
      <c r="GH86" s="48">
        <f>INDEX('2019'!$E$7:$EN$37,  MATCH(FW86, '2019'!$A$7:$A$37, 0), MATCH(FW61, '2019'!$E$4:$EN$4, 0) )</f>
        <v>127</v>
      </c>
      <c r="GJ86" s="9">
        <f t="shared" ref="GJ86:GK86" si="272">GJ40</f>
        <v>47</v>
      </c>
      <c r="GK86" s="21" t="str">
        <f t="shared" si="272"/>
        <v>Uintah</v>
      </c>
      <c r="GL86" s="48">
        <f>INDEX('2010'!$E$7:$EN$37,  MATCH(GJ86, '2010'!$A$7:$A$37, 0), MATCH(GJ61, '2010'!$E$4:$EN$4, 0) )</f>
        <v>70</v>
      </c>
      <c r="GM86" s="48">
        <f>INDEX('2011'!$E$7:$EN$37,  MATCH(GJ86, '2011'!$A$7:$A$37, 0), MATCH(GJ61, '2011'!$E$4:$EN$4, 0) )</f>
        <v>74</v>
      </c>
      <c r="GN86" s="48">
        <f>INDEX('2012'!$E$7:$EN$37,  MATCH(GJ86, '2012'!$A$7:$A$37, 0), MATCH(GJ61, '2012'!$E$4:$EN$4, 0) )</f>
        <v>100</v>
      </c>
      <c r="GO86" s="48">
        <f>INDEX('2013'!$E$7:$EN$37,  MATCH(GJ86, '2013'!$A$7:$A$37, 0), MATCH(GJ61, '2013'!$E$4:$EN$4, 0) )</f>
        <v>72</v>
      </c>
      <c r="GP86" s="48">
        <f>INDEX('2014'!$E$7:$EN$37,  MATCH(GJ86, '2014'!$A$7:$A$37, 0), MATCH(GJ61, '2014'!$E$4:$EN$4, 0) )</f>
        <v>82</v>
      </c>
      <c r="GQ86" s="48">
        <f>INDEX('2015'!$E$7:$EN$37,  MATCH(GJ86, '2015'!$A$7:$A$37, 0), MATCH(GJ61, '2015'!$E$4:$EN$4, 0) )</f>
        <v>85</v>
      </c>
      <c r="GR86" s="48">
        <f>INDEX('2016'!$E$7:$EN$37,  MATCH(GJ86, '2016'!$A$7:$A$37, 0), MATCH(GJ61, '2016'!$E$4:$EN$4, 0) )</f>
        <v>96</v>
      </c>
      <c r="GS86" s="48">
        <f>INDEX('2017'!$E$7:$EN$37,  MATCH(GJ86, '2017'!$A$7:$A$37, 0), MATCH(GJ61, '2017'!$E$4:$EN$4, 0) )</f>
        <v>101</v>
      </c>
      <c r="GT86" s="48">
        <f>INDEX('2018'!$E$7:$EN$37,  MATCH(GJ86, '2018'!$A$7:$A$37, 0), MATCH(GJ61, '2018'!$E$4:$EN$4, 0) )</f>
        <v>109</v>
      </c>
      <c r="GU86" s="48">
        <f>INDEX('2019'!$E$7:$EN$37,  MATCH(GJ86, '2019'!$A$7:$A$37, 0), MATCH(GJ61, '2019'!$E$4:$EN$4, 0) )</f>
        <v>78</v>
      </c>
    </row>
    <row r="87" spans="153:203" x14ac:dyDescent="0.25">
      <c r="EW87" s="9">
        <f t="shared" ref="EW87:EX87" si="273">EW41</f>
        <v>49</v>
      </c>
      <c r="EX87" s="21" t="str">
        <f t="shared" si="273"/>
        <v>Utah</v>
      </c>
      <c r="EY87" s="48">
        <f>INDEX('2010'!$E$7:$EN$37,  MATCH(EW87, '2010'!$A$7:$A$37, 0), MATCH(EW61, '2010'!$E$4:$EN$4, 0) )</f>
        <v>2006</v>
      </c>
      <c r="EZ87" s="48">
        <f>INDEX('2011'!$E$7:$EN$37,  MATCH(EW87, '2011'!$A$7:$A$37, 0), MATCH(EW61, '2011'!$E$4:$EN$4, 0) )</f>
        <v>1741</v>
      </c>
      <c r="FA87" s="48">
        <f>INDEX('2012'!$E$7:$EN$37,  MATCH(EW87, '2012'!$A$7:$A$37, 0), MATCH(EW61, '2012'!$E$4:$EN$4, 0) )</f>
        <v>1687</v>
      </c>
      <c r="FB87" s="48">
        <f>INDEX('2013'!$E$7:$EN$37,  MATCH(EW87, '2013'!$A$7:$A$37, 0), MATCH(EW61, '2013'!$E$4:$EN$4, 0) )</f>
        <v>1930</v>
      </c>
      <c r="FC87" s="48">
        <f>INDEX('2014'!$E$7:$EN$37,  MATCH(EW87, '2014'!$A$7:$A$37, 0), MATCH(EW61, '2014'!$E$4:$EN$4, 0) )</f>
        <v>1782</v>
      </c>
      <c r="FD87" s="48">
        <f>INDEX('2015'!$E$7:$EN$37,  MATCH(EW87, '2015'!$A$7:$A$37, 0), MATCH(EW61, '2015'!$E$4:$EN$4, 0) )</f>
        <v>1730</v>
      </c>
      <c r="FE87" s="48">
        <f>INDEX('2016'!$E$7:$EN$37,  MATCH(EW87, '2016'!$A$7:$A$37, 0), MATCH(EW61, '2016'!$E$4:$EN$4, 0) )</f>
        <v>1765</v>
      </c>
      <c r="FF87" s="48">
        <f>INDEX('2017'!$E$7:$EN$37,  MATCH(EW87, '2017'!$A$7:$A$37, 0), MATCH(EW61, '2017'!$E$4:$EN$4, 0) )</f>
        <v>1782</v>
      </c>
      <c r="FG87" s="48">
        <f>INDEX('2018'!$E$7:$EN$37,  MATCH(EW87, '2018'!$A$7:$A$37, 0), MATCH(EW61, '2018'!$E$4:$EN$4, 0) )</f>
        <v>1686</v>
      </c>
      <c r="FH87" s="48">
        <f>INDEX('2019'!$E$7:$EN$37,  MATCH(EW87, '2019'!$A$7:$A$37, 0), MATCH(EW61, '2019'!$E$4:$EN$4, 0) )</f>
        <v>1657</v>
      </c>
      <c r="FJ87" s="9">
        <f t="shared" ref="FJ87:FK87" si="274">FJ41</f>
        <v>49</v>
      </c>
      <c r="FK87" s="21" t="str">
        <f t="shared" si="274"/>
        <v>Utah</v>
      </c>
      <c r="FL87" s="48">
        <f>INDEX('2010'!$E$7:$EN$37,  MATCH(FJ87, '2010'!$A$7:$A$37, 0), MATCH(FJ61, '2010'!$E$4:$EN$4, 0) )</f>
        <v>754</v>
      </c>
      <c r="FM87" s="48">
        <f>INDEX('2011'!$E$7:$EN$37,  MATCH(FJ87, '2011'!$A$7:$A$37, 0), MATCH(FJ61, '2011'!$E$4:$EN$4, 0) )</f>
        <v>821</v>
      </c>
      <c r="FN87" s="48">
        <f>INDEX('2012'!$E$7:$EN$37,  MATCH(FJ87, '2012'!$A$7:$A$37, 0), MATCH(FJ61, '2012'!$E$4:$EN$4, 0) )</f>
        <v>690</v>
      </c>
      <c r="FO87" s="48">
        <f>INDEX('2013'!$E$7:$EN$37,  MATCH(FJ87, '2013'!$A$7:$A$37, 0), MATCH(FJ61, '2013'!$E$4:$EN$4, 0) )</f>
        <v>748</v>
      </c>
      <c r="FP87" s="48">
        <f>INDEX('2014'!$E$7:$EN$37,  MATCH(FJ87, '2014'!$A$7:$A$37, 0), MATCH(FJ61, '2014'!$E$4:$EN$4, 0) )</f>
        <v>708</v>
      </c>
      <c r="FQ87" s="48">
        <f>INDEX('2015'!$E$7:$EN$37,  MATCH(FJ87, '2015'!$A$7:$A$37, 0), MATCH(FJ61, '2015'!$E$4:$EN$4, 0) )</f>
        <v>822</v>
      </c>
      <c r="FR87" s="48">
        <f>INDEX('2016'!$E$7:$EN$37,  MATCH(FJ87, '2016'!$A$7:$A$37, 0), MATCH(FJ61, '2016'!$E$4:$EN$4, 0) )</f>
        <v>704</v>
      </c>
      <c r="FS87" s="48">
        <f>INDEX('2017'!$E$7:$EN$37,  MATCH(FJ87, '2017'!$A$7:$A$37, 0), MATCH(FJ61, '2017'!$E$4:$EN$4, 0) )</f>
        <v>726</v>
      </c>
      <c r="FT87" s="48">
        <f>INDEX('2018'!$E$7:$EN$37,  MATCH(FJ87, '2018'!$A$7:$A$37, 0), MATCH(FJ61, '2018'!$E$4:$EN$4, 0) )</f>
        <v>827</v>
      </c>
      <c r="FU87" s="48">
        <f>INDEX('2019'!$E$7:$EN$37,  MATCH(FJ87, '2019'!$A$7:$A$37, 0), MATCH(FJ61, '2019'!$E$4:$EN$4, 0) )</f>
        <v>904</v>
      </c>
      <c r="FW87" s="9">
        <f t="shared" ref="FW87:FX87" si="275">FW41</f>
        <v>49</v>
      </c>
      <c r="FX87" s="21" t="str">
        <f t="shared" si="275"/>
        <v>Utah</v>
      </c>
      <c r="FY87" s="48">
        <f>INDEX('2010'!$E$7:$EN$37,  MATCH(FW87, '2010'!$A$7:$A$37, 0), MATCH(FW61, '2010'!$E$4:$EN$4, 0) )</f>
        <v>268</v>
      </c>
      <c r="FZ87" s="48">
        <f>INDEX('2011'!$E$7:$EN$37,  MATCH(FW87, '2011'!$A$7:$A$37, 0), MATCH(FW61, '2011'!$E$4:$EN$4, 0) )</f>
        <v>236</v>
      </c>
      <c r="GA87" s="48">
        <f>INDEX('2012'!$E$7:$EN$37,  MATCH(FW87, '2012'!$A$7:$A$37, 0), MATCH(FW61, '2012'!$E$4:$EN$4, 0) )</f>
        <v>292</v>
      </c>
      <c r="GB87" s="48">
        <f>INDEX('2013'!$E$7:$EN$37,  MATCH(FW87, '2013'!$A$7:$A$37, 0), MATCH(FW61, '2013'!$E$4:$EN$4, 0) )</f>
        <v>346</v>
      </c>
      <c r="GC87" s="48">
        <f>INDEX('2014'!$E$7:$EN$37,  MATCH(FW87, '2014'!$A$7:$A$37, 0), MATCH(FW61, '2014'!$E$4:$EN$4, 0) )</f>
        <v>275</v>
      </c>
      <c r="GD87" s="48">
        <f>INDEX('2015'!$E$7:$EN$37,  MATCH(FW87, '2015'!$A$7:$A$37, 0), MATCH(FW61, '2015'!$E$4:$EN$4, 0) )</f>
        <v>263</v>
      </c>
      <c r="GE87" s="48">
        <f>INDEX('2016'!$E$7:$EN$37,  MATCH(FW87, '2016'!$A$7:$A$37, 0), MATCH(FW61, '2016'!$E$4:$EN$4, 0) )</f>
        <v>248</v>
      </c>
      <c r="GF87" s="48">
        <f>INDEX('2017'!$E$7:$EN$37,  MATCH(FW87, '2017'!$A$7:$A$37, 0), MATCH(FW61, '2017'!$E$4:$EN$4, 0) )</f>
        <v>359</v>
      </c>
      <c r="GG87" s="48">
        <f>INDEX('2018'!$E$7:$EN$37,  MATCH(FW87, '2018'!$A$7:$A$37, 0), MATCH(FW61, '2018'!$E$4:$EN$4, 0) )</f>
        <v>381</v>
      </c>
      <c r="GH87" s="48">
        <f>INDEX('2019'!$E$7:$EN$37,  MATCH(FW87, '2019'!$A$7:$A$37, 0), MATCH(FW61, '2019'!$E$4:$EN$4, 0) )</f>
        <v>425</v>
      </c>
      <c r="GJ87" s="9">
        <f t="shared" ref="GJ87:GK87" si="276">GJ41</f>
        <v>49</v>
      </c>
      <c r="GK87" s="21" t="str">
        <f t="shared" si="276"/>
        <v>Utah</v>
      </c>
      <c r="GL87" s="48">
        <f>INDEX('2010'!$E$7:$EN$37,  MATCH(GJ87, '2010'!$A$7:$A$37, 0), MATCH(GJ61, '2010'!$E$4:$EN$4, 0) )</f>
        <v>468</v>
      </c>
      <c r="GM87" s="48">
        <f>INDEX('2011'!$E$7:$EN$37,  MATCH(GJ87, '2011'!$A$7:$A$37, 0), MATCH(GJ61, '2011'!$E$4:$EN$4, 0) )</f>
        <v>457</v>
      </c>
      <c r="GN87" s="48">
        <f>INDEX('2012'!$E$7:$EN$37,  MATCH(GJ87, '2012'!$A$7:$A$37, 0), MATCH(GJ61, '2012'!$E$4:$EN$4, 0) )</f>
        <v>426</v>
      </c>
      <c r="GO87" s="48">
        <f>INDEX('2013'!$E$7:$EN$37,  MATCH(GJ87, '2013'!$A$7:$A$37, 0), MATCH(GJ61, '2013'!$E$4:$EN$4, 0) )</f>
        <v>407</v>
      </c>
      <c r="GP87" s="48">
        <f>INDEX('2014'!$E$7:$EN$37,  MATCH(GJ87, '2014'!$A$7:$A$37, 0), MATCH(GJ61, '2014'!$E$4:$EN$4, 0) )</f>
        <v>382</v>
      </c>
      <c r="GQ87" s="48">
        <f>INDEX('2015'!$E$7:$EN$37,  MATCH(GJ87, '2015'!$A$7:$A$37, 0), MATCH(GJ61, '2015'!$E$4:$EN$4, 0) )</f>
        <v>375</v>
      </c>
      <c r="GR87" s="48">
        <f>INDEX('2016'!$E$7:$EN$37,  MATCH(GJ87, '2016'!$A$7:$A$37, 0), MATCH(GJ61, '2016'!$E$4:$EN$4, 0) )</f>
        <v>332</v>
      </c>
      <c r="GS87" s="48">
        <f>INDEX('2017'!$E$7:$EN$37,  MATCH(GJ87, '2017'!$A$7:$A$37, 0), MATCH(GJ61, '2017'!$E$4:$EN$4, 0) )</f>
        <v>410</v>
      </c>
      <c r="GT87" s="48">
        <f>INDEX('2018'!$E$7:$EN$37,  MATCH(GJ87, '2018'!$A$7:$A$37, 0), MATCH(GJ61, '2018'!$E$4:$EN$4, 0) )</f>
        <v>458</v>
      </c>
      <c r="GU87" s="48">
        <f>INDEX('2019'!$E$7:$EN$37,  MATCH(GJ87, '2019'!$A$7:$A$37, 0), MATCH(GJ61, '2019'!$E$4:$EN$4, 0) )</f>
        <v>417</v>
      </c>
    </row>
    <row r="88" spans="153:203" x14ac:dyDescent="0.25">
      <c r="EW88" s="9">
        <f t="shared" ref="EW88:EX88" si="277">EW42</f>
        <v>51</v>
      </c>
      <c r="EX88" s="21" t="str">
        <f t="shared" si="277"/>
        <v>Wasatch</v>
      </c>
      <c r="EY88" s="48">
        <f>INDEX('2010'!$E$7:$EN$37,  MATCH(EW88, '2010'!$A$7:$A$37, 0), MATCH(EW61, '2010'!$E$4:$EN$4, 0) )</f>
        <v>334</v>
      </c>
      <c r="EZ88" s="48">
        <f>INDEX('2011'!$E$7:$EN$37,  MATCH(EW88, '2011'!$A$7:$A$37, 0), MATCH(EW61, '2011'!$E$4:$EN$4, 0) )</f>
        <v>346</v>
      </c>
      <c r="FA88" s="48">
        <f>INDEX('2012'!$E$7:$EN$37,  MATCH(EW88, '2012'!$A$7:$A$37, 0), MATCH(EW61, '2012'!$E$4:$EN$4, 0) )</f>
        <v>400</v>
      </c>
      <c r="FB88" s="48">
        <f>INDEX('2013'!$E$7:$EN$37,  MATCH(EW88, '2013'!$A$7:$A$37, 0), MATCH(EW61, '2013'!$E$4:$EN$4, 0) )</f>
        <v>424</v>
      </c>
      <c r="FC88" s="48">
        <f>INDEX('2014'!$E$7:$EN$37,  MATCH(EW88, '2014'!$A$7:$A$37, 0), MATCH(EW61, '2014'!$E$4:$EN$4, 0) )</f>
        <v>394</v>
      </c>
      <c r="FD88" s="48">
        <f>INDEX('2015'!$E$7:$EN$37,  MATCH(EW88, '2015'!$A$7:$A$37, 0), MATCH(EW61, '2015'!$E$4:$EN$4, 0) )</f>
        <v>456</v>
      </c>
      <c r="FE88" s="48">
        <f>INDEX('2016'!$E$7:$EN$37,  MATCH(EW88, '2016'!$A$7:$A$37, 0), MATCH(EW61, '2016'!$E$4:$EN$4, 0) )</f>
        <v>449</v>
      </c>
      <c r="FF88" s="48">
        <f>INDEX('2017'!$E$7:$EN$37,  MATCH(EW88, '2017'!$A$7:$A$37, 0), MATCH(EW61, '2017'!$E$4:$EN$4, 0) )</f>
        <v>483</v>
      </c>
      <c r="FG88" s="48">
        <f>INDEX('2018'!$E$7:$EN$37,  MATCH(EW88, '2018'!$A$7:$A$37, 0), MATCH(EW61, '2018'!$E$4:$EN$4, 0) )</f>
        <v>413</v>
      </c>
      <c r="FH88" s="48">
        <f>INDEX('2019'!$E$7:$EN$37,  MATCH(EW88, '2019'!$A$7:$A$37, 0), MATCH(EW61, '2019'!$E$4:$EN$4, 0) )</f>
        <v>545</v>
      </c>
      <c r="FJ88" s="9">
        <f t="shared" ref="FJ88:FK88" si="278">FJ42</f>
        <v>51</v>
      </c>
      <c r="FK88" s="21" t="str">
        <f t="shared" si="278"/>
        <v>Wasatch</v>
      </c>
      <c r="FL88" s="48">
        <f>INDEX('2010'!$E$7:$EN$37,  MATCH(FJ88, '2010'!$A$7:$A$37, 0), MATCH(FJ61, '2010'!$E$4:$EN$4, 0) )</f>
        <v>216</v>
      </c>
      <c r="FM88" s="48">
        <f>INDEX('2011'!$E$7:$EN$37,  MATCH(FJ88, '2011'!$A$7:$A$37, 0), MATCH(FJ61, '2011'!$E$4:$EN$4, 0) )</f>
        <v>193</v>
      </c>
      <c r="FN88" s="48">
        <f>INDEX('2012'!$E$7:$EN$37,  MATCH(FJ88, '2012'!$A$7:$A$37, 0), MATCH(FJ61, '2012'!$E$4:$EN$4, 0) )</f>
        <v>247</v>
      </c>
      <c r="FO88" s="48">
        <f>INDEX('2013'!$E$7:$EN$37,  MATCH(FJ88, '2013'!$A$7:$A$37, 0), MATCH(FJ61, '2013'!$E$4:$EN$4, 0) )</f>
        <v>204</v>
      </c>
      <c r="FP88" s="48">
        <f>INDEX('2014'!$E$7:$EN$37,  MATCH(FJ88, '2014'!$A$7:$A$37, 0), MATCH(FJ61, '2014'!$E$4:$EN$4, 0) )</f>
        <v>207</v>
      </c>
      <c r="FQ88" s="48">
        <f>INDEX('2015'!$E$7:$EN$37,  MATCH(FJ88, '2015'!$A$7:$A$37, 0), MATCH(FJ61, '2015'!$E$4:$EN$4, 0) )</f>
        <v>176</v>
      </c>
      <c r="FR88" s="48">
        <f>INDEX('2016'!$E$7:$EN$37,  MATCH(FJ88, '2016'!$A$7:$A$37, 0), MATCH(FJ61, '2016'!$E$4:$EN$4, 0) )</f>
        <v>214</v>
      </c>
      <c r="FS88" s="48">
        <f>INDEX('2017'!$E$7:$EN$37,  MATCH(FJ88, '2017'!$A$7:$A$37, 0), MATCH(FJ61, '2017'!$E$4:$EN$4, 0) )</f>
        <v>243</v>
      </c>
      <c r="FT88" s="48">
        <f>INDEX('2018'!$E$7:$EN$37,  MATCH(FJ88, '2018'!$A$7:$A$37, 0), MATCH(FJ61, '2018'!$E$4:$EN$4, 0) )</f>
        <v>172</v>
      </c>
      <c r="FU88" s="48">
        <f>INDEX('2019'!$E$7:$EN$37,  MATCH(FJ88, '2019'!$A$7:$A$37, 0), MATCH(FJ61, '2019'!$E$4:$EN$4, 0) )</f>
        <v>230</v>
      </c>
      <c r="FW88" s="9">
        <f t="shared" ref="FW88:FX88" si="279">FW42</f>
        <v>51</v>
      </c>
      <c r="FX88" s="21" t="str">
        <f t="shared" si="279"/>
        <v>Wasatch</v>
      </c>
      <c r="FY88" s="48">
        <f>INDEX('2010'!$E$7:$EN$37,  MATCH(FW88, '2010'!$A$7:$A$37, 0), MATCH(FW61, '2010'!$E$4:$EN$4, 0) )</f>
        <v>90</v>
      </c>
      <c r="FZ88" s="48">
        <f>INDEX('2011'!$E$7:$EN$37,  MATCH(FW88, '2011'!$A$7:$A$37, 0), MATCH(FW61, '2011'!$E$4:$EN$4, 0) )</f>
        <v>117</v>
      </c>
      <c r="GA88" s="48">
        <f>INDEX('2012'!$E$7:$EN$37,  MATCH(FW88, '2012'!$A$7:$A$37, 0), MATCH(FW61, '2012'!$E$4:$EN$4, 0) )</f>
        <v>169</v>
      </c>
      <c r="GB88" s="48">
        <f>INDEX('2013'!$E$7:$EN$37,  MATCH(FW88, '2013'!$A$7:$A$37, 0), MATCH(FW61, '2013'!$E$4:$EN$4, 0) )</f>
        <v>128</v>
      </c>
      <c r="GC88" s="48">
        <f>INDEX('2014'!$E$7:$EN$37,  MATCH(FW88, '2014'!$A$7:$A$37, 0), MATCH(FW61, '2014'!$E$4:$EN$4, 0) )</f>
        <v>120</v>
      </c>
      <c r="GD88" s="48">
        <f>INDEX('2015'!$E$7:$EN$37,  MATCH(FW88, '2015'!$A$7:$A$37, 0), MATCH(FW61, '2015'!$E$4:$EN$4, 0) )</f>
        <v>113</v>
      </c>
      <c r="GE88" s="48">
        <f>INDEX('2016'!$E$7:$EN$37,  MATCH(FW88, '2016'!$A$7:$A$37, 0), MATCH(FW61, '2016'!$E$4:$EN$4, 0) )</f>
        <v>101</v>
      </c>
      <c r="GF88" s="48">
        <f>INDEX('2017'!$E$7:$EN$37,  MATCH(FW88, '2017'!$A$7:$A$37, 0), MATCH(FW61, '2017'!$E$4:$EN$4, 0) )</f>
        <v>81</v>
      </c>
      <c r="GG88" s="48">
        <f>INDEX('2018'!$E$7:$EN$37,  MATCH(FW88, '2018'!$A$7:$A$37, 0), MATCH(FW61, '2018'!$E$4:$EN$4, 0) )</f>
        <v>52</v>
      </c>
      <c r="GH88" s="48">
        <f>INDEX('2019'!$E$7:$EN$37,  MATCH(FW88, '2019'!$A$7:$A$37, 0), MATCH(FW61, '2019'!$E$4:$EN$4, 0) )</f>
        <v>55</v>
      </c>
      <c r="GJ88" s="9">
        <f t="shared" ref="GJ88:GK88" si="280">GJ42</f>
        <v>51</v>
      </c>
      <c r="GK88" s="21" t="str">
        <f t="shared" si="280"/>
        <v>Wasatch</v>
      </c>
      <c r="GL88" s="48">
        <f>INDEX('2010'!$E$7:$EN$37,  MATCH(GJ88, '2010'!$A$7:$A$37, 0), MATCH(GJ61, '2010'!$E$4:$EN$4, 0) )</f>
        <v>146</v>
      </c>
      <c r="GM88" s="48">
        <f>INDEX('2011'!$E$7:$EN$37,  MATCH(GJ88, '2011'!$A$7:$A$37, 0), MATCH(GJ61, '2011'!$E$4:$EN$4, 0) )</f>
        <v>99</v>
      </c>
      <c r="GN88" s="48">
        <f>INDEX('2012'!$E$7:$EN$37,  MATCH(GJ88, '2012'!$A$7:$A$37, 0), MATCH(GJ61, '2012'!$E$4:$EN$4, 0) )</f>
        <v>98</v>
      </c>
      <c r="GO88" s="48">
        <f>INDEX('2013'!$E$7:$EN$37,  MATCH(GJ88, '2013'!$A$7:$A$37, 0), MATCH(GJ61, '2013'!$E$4:$EN$4, 0) )</f>
        <v>80</v>
      </c>
      <c r="GP88" s="48">
        <f>INDEX('2014'!$E$7:$EN$37,  MATCH(GJ88, '2014'!$A$7:$A$37, 0), MATCH(GJ61, '2014'!$E$4:$EN$4, 0) )</f>
        <v>94</v>
      </c>
      <c r="GQ88" s="48">
        <f>INDEX('2015'!$E$7:$EN$37,  MATCH(GJ88, '2015'!$A$7:$A$37, 0), MATCH(GJ61, '2015'!$E$4:$EN$4, 0) )</f>
        <v>78</v>
      </c>
      <c r="GR88" s="48">
        <f>INDEX('2016'!$E$7:$EN$37,  MATCH(GJ88, '2016'!$A$7:$A$37, 0), MATCH(GJ61, '2016'!$E$4:$EN$4, 0) )</f>
        <v>95</v>
      </c>
      <c r="GS88" s="48">
        <f>INDEX('2017'!$E$7:$EN$37,  MATCH(GJ88, '2017'!$A$7:$A$37, 0), MATCH(GJ61, '2017'!$E$4:$EN$4, 0) )</f>
        <v>129</v>
      </c>
      <c r="GT88" s="48">
        <f>INDEX('2018'!$E$7:$EN$37,  MATCH(GJ88, '2018'!$A$7:$A$37, 0), MATCH(GJ61, '2018'!$E$4:$EN$4, 0) )</f>
        <v>125</v>
      </c>
      <c r="GU88" s="48">
        <f>INDEX('2019'!$E$7:$EN$37,  MATCH(GJ88, '2019'!$A$7:$A$37, 0), MATCH(GJ61, '2019'!$E$4:$EN$4, 0) )</f>
        <v>171</v>
      </c>
    </row>
    <row r="89" spans="153:203" x14ac:dyDescent="0.25">
      <c r="EW89" s="9">
        <f t="shared" ref="EW89:EX89" si="281">EW43</f>
        <v>53</v>
      </c>
      <c r="EX89" s="21" t="str">
        <f t="shared" si="281"/>
        <v>Washington</v>
      </c>
      <c r="EY89" s="48">
        <f>INDEX('2010'!$E$7:$EN$37,  MATCH(EW89, '2010'!$A$7:$A$37, 0), MATCH(EW61, '2010'!$E$4:$EN$4, 0) )</f>
        <v>865</v>
      </c>
      <c r="EZ89" s="48">
        <f>INDEX('2011'!$E$7:$EN$37,  MATCH(EW89, '2011'!$A$7:$A$37, 0), MATCH(EW61, '2011'!$E$4:$EN$4, 0) )</f>
        <v>1046</v>
      </c>
      <c r="FA89" s="48">
        <f>INDEX('2012'!$E$7:$EN$37,  MATCH(EW89, '2012'!$A$7:$A$37, 0), MATCH(EW61, '2012'!$E$4:$EN$4, 0) )</f>
        <v>1066</v>
      </c>
      <c r="FB89" s="48">
        <f>INDEX('2013'!$E$7:$EN$37,  MATCH(EW89, '2013'!$A$7:$A$37, 0), MATCH(EW61, '2013'!$E$4:$EN$4, 0) )</f>
        <v>1084</v>
      </c>
      <c r="FC89" s="48">
        <f>INDEX('2014'!$E$7:$EN$37,  MATCH(EW89, '2014'!$A$7:$A$37, 0), MATCH(EW61, '2014'!$E$4:$EN$4, 0) )</f>
        <v>991</v>
      </c>
      <c r="FD89" s="48">
        <f>INDEX('2015'!$E$7:$EN$37,  MATCH(EW89, '2015'!$A$7:$A$37, 0), MATCH(EW61, '2015'!$E$4:$EN$4, 0) )</f>
        <v>1322</v>
      </c>
      <c r="FE89" s="48">
        <f>INDEX('2016'!$E$7:$EN$37,  MATCH(EW89, '2016'!$A$7:$A$37, 0), MATCH(EW61, '2016'!$E$4:$EN$4, 0) )</f>
        <v>1359</v>
      </c>
      <c r="FF89" s="48">
        <f>INDEX('2017'!$E$7:$EN$37,  MATCH(EW89, '2017'!$A$7:$A$37, 0), MATCH(EW61, '2017'!$E$4:$EN$4, 0) )</f>
        <v>1106</v>
      </c>
      <c r="FG89" s="48">
        <f>INDEX('2018'!$E$7:$EN$37,  MATCH(EW89, '2018'!$A$7:$A$37, 0), MATCH(EW61, '2018'!$E$4:$EN$4, 0) )</f>
        <v>1153</v>
      </c>
      <c r="FH89" s="48">
        <f>INDEX('2019'!$E$7:$EN$37,  MATCH(EW89, '2019'!$A$7:$A$37, 0), MATCH(EW61, '2019'!$E$4:$EN$4, 0) )</f>
        <v>1469</v>
      </c>
      <c r="FJ89" s="9">
        <f t="shared" ref="FJ89:FK89" si="282">FJ43</f>
        <v>53</v>
      </c>
      <c r="FK89" s="21" t="str">
        <f t="shared" si="282"/>
        <v>Washington</v>
      </c>
      <c r="FL89" s="48">
        <f>INDEX('2010'!$E$7:$EN$37,  MATCH(FJ89, '2010'!$A$7:$A$37, 0), MATCH(FJ61, '2010'!$E$4:$EN$4, 0) )</f>
        <v>399</v>
      </c>
      <c r="FM89" s="48">
        <f>INDEX('2011'!$E$7:$EN$37,  MATCH(FJ89, '2011'!$A$7:$A$37, 0), MATCH(FJ61, '2011'!$E$4:$EN$4, 0) )</f>
        <v>351</v>
      </c>
      <c r="FN89" s="48">
        <f>INDEX('2012'!$E$7:$EN$37,  MATCH(FJ89, '2012'!$A$7:$A$37, 0), MATCH(FJ61, '2012'!$E$4:$EN$4, 0) )</f>
        <v>354</v>
      </c>
      <c r="FO89" s="48">
        <f>INDEX('2013'!$E$7:$EN$37,  MATCH(FJ89, '2013'!$A$7:$A$37, 0), MATCH(FJ61, '2013'!$E$4:$EN$4, 0) )</f>
        <v>359</v>
      </c>
      <c r="FP89" s="48">
        <f>INDEX('2014'!$E$7:$EN$37,  MATCH(FJ89, '2014'!$A$7:$A$37, 0), MATCH(FJ61, '2014'!$E$4:$EN$4, 0) )</f>
        <v>384</v>
      </c>
      <c r="FQ89" s="48">
        <f>INDEX('2015'!$E$7:$EN$37,  MATCH(FJ89, '2015'!$A$7:$A$37, 0), MATCH(FJ61, '2015'!$E$4:$EN$4, 0) )</f>
        <v>471</v>
      </c>
      <c r="FR89" s="48">
        <f>INDEX('2016'!$E$7:$EN$37,  MATCH(FJ89, '2016'!$A$7:$A$37, 0), MATCH(FJ61, '2016'!$E$4:$EN$4, 0) )</f>
        <v>465</v>
      </c>
      <c r="FS89" s="48">
        <f>INDEX('2017'!$E$7:$EN$37,  MATCH(FJ89, '2017'!$A$7:$A$37, 0), MATCH(FJ61, '2017'!$E$4:$EN$4, 0) )</f>
        <v>438</v>
      </c>
      <c r="FT89" s="48">
        <f>INDEX('2018'!$E$7:$EN$37,  MATCH(FJ89, '2018'!$A$7:$A$37, 0), MATCH(FJ61, '2018'!$E$4:$EN$4, 0) )</f>
        <v>568</v>
      </c>
      <c r="FU89" s="48">
        <f>INDEX('2019'!$E$7:$EN$37,  MATCH(FJ89, '2019'!$A$7:$A$37, 0), MATCH(FJ61, '2019'!$E$4:$EN$4, 0) )</f>
        <v>812</v>
      </c>
      <c r="FW89" s="9">
        <f t="shared" ref="FW89:FX89" si="283">FW43</f>
        <v>53</v>
      </c>
      <c r="FX89" s="21" t="str">
        <f t="shared" si="283"/>
        <v>Washington</v>
      </c>
      <c r="FY89" s="48">
        <f>INDEX('2010'!$E$7:$EN$37,  MATCH(FW89, '2010'!$A$7:$A$37, 0), MATCH(FW61, '2010'!$E$4:$EN$4, 0) )</f>
        <v>205</v>
      </c>
      <c r="FZ89" s="48">
        <f>INDEX('2011'!$E$7:$EN$37,  MATCH(FW89, '2011'!$A$7:$A$37, 0), MATCH(FW61, '2011'!$E$4:$EN$4, 0) )</f>
        <v>144</v>
      </c>
      <c r="GA89" s="48">
        <f>INDEX('2012'!$E$7:$EN$37,  MATCH(FW89, '2012'!$A$7:$A$37, 0), MATCH(FW61, '2012'!$E$4:$EN$4, 0) )</f>
        <v>164</v>
      </c>
      <c r="GB89" s="48">
        <f>INDEX('2013'!$E$7:$EN$37,  MATCH(FW89, '2013'!$A$7:$A$37, 0), MATCH(FW61, '2013'!$E$4:$EN$4, 0) )</f>
        <v>194</v>
      </c>
      <c r="GC89" s="48">
        <f>INDEX('2014'!$E$7:$EN$37,  MATCH(FW89, '2014'!$A$7:$A$37, 0), MATCH(FW61, '2014'!$E$4:$EN$4, 0) )</f>
        <v>237</v>
      </c>
      <c r="GD89" s="48">
        <f>INDEX('2015'!$E$7:$EN$37,  MATCH(FW89, '2015'!$A$7:$A$37, 0), MATCH(FW61, '2015'!$E$4:$EN$4, 0) )</f>
        <v>175</v>
      </c>
      <c r="GE89" s="48">
        <f>INDEX('2016'!$E$7:$EN$37,  MATCH(FW89, '2016'!$A$7:$A$37, 0), MATCH(FW61, '2016'!$E$4:$EN$4, 0) )</f>
        <v>206</v>
      </c>
      <c r="GF89" s="48">
        <f>INDEX('2017'!$E$7:$EN$37,  MATCH(FW89, '2017'!$A$7:$A$37, 0), MATCH(FW61, '2017'!$E$4:$EN$4, 0) )</f>
        <v>250</v>
      </c>
      <c r="GG89" s="48">
        <f>INDEX('2018'!$E$7:$EN$37,  MATCH(FW89, '2018'!$A$7:$A$37, 0), MATCH(FW61, '2018'!$E$4:$EN$4, 0) )</f>
        <v>325</v>
      </c>
      <c r="GH89" s="48">
        <f>INDEX('2019'!$E$7:$EN$37,  MATCH(FW89, '2019'!$A$7:$A$37, 0), MATCH(FW61, '2019'!$E$4:$EN$4, 0) )</f>
        <v>415</v>
      </c>
      <c r="GJ89" s="9">
        <f t="shared" ref="GJ89:GK89" si="284">GJ43</f>
        <v>53</v>
      </c>
      <c r="GK89" s="21" t="str">
        <f t="shared" si="284"/>
        <v>Washington</v>
      </c>
      <c r="GL89" s="48">
        <f>INDEX('2010'!$E$7:$EN$37,  MATCH(GJ89, '2010'!$A$7:$A$37, 0), MATCH(GJ61, '2010'!$E$4:$EN$4, 0) )</f>
        <v>193</v>
      </c>
      <c r="GM89" s="48">
        <f>INDEX('2011'!$E$7:$EN$37,  MATCH(GJ89, '2011'!$A$7:$A$37, 0), MATCH(GJ61, '2011'!$E$4:$EN$4, 0) )</f>
        <v>227</v>
      </c>
      <c r="GN89" s="48">
        <f>INDEX('2012'!$E$7:$EN$37,  MATCH(GJ89, '2012'!$A$7:$A$37, 0), MATCH(GJ61, '2012'!$E$4:$EN$4, 0) )</f>
        <v>244</v>
      </c>
      <c r="GO89" s="48">
        <f>INDEX('2013'!$E$7:$EN$37,  MATCH(GJ89, '2013'!$A$7:$A$37, 0), MATCH(GJ61, '2013'!$E$4:$EN$4, 0) )</f>
        <v>207</v>
      </c>
      <c r="GP89" s="48">
        <f>INDEX('2014'!$E$7:$EN$37,  MATCH(GJ89, '2014'!$A$7:$A$37, 0), MATCH(GJ61, '2014'!$E$4:$EN$4, 0) )</f>
        <v>200</v>
      </c>
      <c r="GQ89" s="48">
        <f>INDEX('2015'!$E$7:$EN$37,  MATCH(GJ89, '2015'!$A$7:$A$37, 0), MATCH(GJ61, '2015'!$E$4:$EN$4, 0) )</f>
        <v>252</v>
      </c>
      <c r="GR89" s="48">
        <f>INDEX('2016'!$E$7:$EN$37,  MATCH(GJ89, '2016'!$A$7:$A$37, 0), MATCH(GJ61, '2016'!$E$4:$EN$4, 0) )</f>
        <v>147</v>
      </c>
      <c r="GS89" s="48">
        <f>INDEX('2017'!$E$7:$EN$37,  MATCH(GJ89, '2017'!$A$7:$A$37, 0), MATCH(GJ61, '2017'!$E$4:$EN$4, 0) )</f>
        <v>222</v>
      </c>
      <c r="GT89" s="48">
        <f>INDEX('2018'!$E$7:$EN$37,  MATCH(GJ89, '2018'!$A$7:$A$37, 0), MATCH(GJ61, '2018'!$E$4:$EN$4, 0) )</f>
        <v>283</v>
      </c>
      <c r="GU89" s="48">
        <f>INDEX('2019'!$E$7:$EN$37,  MATCH(GJ89, '2019'!$A$7:$A$37, 0), MATCH(GJ61, '2019'!$E$4:$EN$4, 0) )</f>
        <v>329</v>
      </c>
    </row>
    <row r="90" spans="153:203" x14ac:dyDescent="0.25">
      <c r="EW90" s="9">
        <f t="shared" ref="EW90:EX90" si="285">EW44</f>
        <v>55</v>
      </c>
      <c r="EX90" s="21" t="str">
        <f t="shared" si="285"/>
        <v>Wayne</v>
      </c>
      <c r="EY90" s="48">
        <f>INDEX('2010'!$E$7:$EN$37,  MATCH(EW90, '2010'!$A$7:$A$37, 0), MATCH(EW61, '2010'!$E$4:$EN$4, 0) )</f>
        <v>110</v>
      </c>
      <c r="EZ90" s="48">
        <f>INDEX('2011'!$E$7:$EN$37,  MATCH(EW90, '2011'!$A$7:$A$37, 0), MATCH(EW61, '2011'!$E$4:$EN$4, 0) )</f>
        <v>93</v>
      </c>
      <c r="FA90" s="48">
        <f>INDEX('2012'!$E$7:$EN$37,  MATCH(EW90, '2012'!$A$7:$A$37, 0), MATCH(EW61, '2012'!$E$4:$EN$4, 0) )</f>
        <v>87</v>
      </c>
      <c r="FB90" s="48">
        <f>INDEX('2013'!$E$7:$EN$37,  MATCH(EW90, '2013'!$A$7:$A$37, 0), MATCH(EW61, '2013'!$E$4:$EN$4, 0) )</f>
        <v>104</v>
      </c>
      <c r="FC90" s="48">
        <f>INDEX('2014'!$E$7:$EN$37,  MATCH(EW90, '2014'!$A$7:$A$37, 0), MATCH(EW61, '2014'!$E$4:$EN$4, 0) )</f>
        <v>80</v>
      </c>
      <c r="FD90" s="48">
        <f>INDEX('2015'!$E$7:$EN$37,  MATCH(EW90, '2015'!$A$7:$A$37, 0), MATCH(EW61, '2015'!$E$4:$EN$4, 0) )</f>
        <v>93</v>
      </c>
      <c r="FE90" s="48">
        <f>INDEX('2016'!$E$7:$EN$37,  MATCH(EW90, '2016'!$A$7:$A$37, 0), MATCH(EW61, '2016'!$E$4:$EN$4, 0) )</f>
        <v>99</v>
      </c>
      <c r="FF90" s="48">
        <f>INDEX('2017'!$E$7:$EN$37,  MATCH(EW90, '2017'!$A$7:$A$37, 0), MATCH(EW61, '2017'!$E$4:$EN$4, 0) )</f>
        <v>78</v>
      </c>
      <c r="FG90" s="48">
        <f>INDEX('2018'!$E$7:$EN$37,  MATCH(EW90, '2018'!$A$7:$A$37, 0), MATCH(EW61, '2018'!$E$4:$EN$4, 0) )</f>
        <v>85</v>
      </c>
      <c r="FH90" s="48">
        <f>INDEX('2019'!$E$7:$EN$37,  MATCH(EW90, '2019'!$A$7:$A$37, 0), MATCH(EW61, '2019'!$E$4:$EN$4, 0) )</f>
        <v>100</v>
      </c>
      <c r="FJ90" s="9">
        <f t="shared" ref="FJ90:FK90" si="286">FJ44</f>
        <v>55</v>
      </c>
      <c r="FK90" s="21" t="str">
        <f t="shared" si="286"/>
        <v>Wayne</v>
      </c>
      <c r="FL90" s="48">
        <f>INDEX('2010'!$E$7:$EN$37,  MATCH(FJ90, '2010'!$A$7:$A$37, 0), MATCH(FJ61, '2010'!$E$4:$EN$4, 0) )</f>
        <v>42</v>
      </c>
      <c r="FM90" s="48">
        <f>INDEX('2011'!$E$7:$EN$37,  MATCH(FJ90, '2011'!$A$7:$A$37, 0), MATCH(FJ61, '2011'!$E$4:$EN$4, 0) )</f>
        <v>33</v>
      </c>
      <c r="FN90" s="48">
        <f>INDEX('2012'!$E$7:$EN$37,  MATCH(FJ90, '2012'!$A$7:$A$37, 0), MATCH(FJ61, '2012'!$E$4:$EN$4, 0) )</f>
        <v>48</v>
      </c>
      <c r="FO90" s="48">
        <f>INDEX('2013'!$E$7:$EN$37,  MATCH(FJ90, '2013'!$A$7:$A$37, 0), MATCH(FJ61, '2013'!$E$4:$EN$4, 0) )</f>
        <v>45</v>
      </c>
      <c r="FP90" s="48">
        <f>INDEX('2014'!$E$7:$EN$37,  MATCH(FJ90, '2014'!$A$7:$A$37, 0), MATCH(FJ61, '2014'!$E$4:$EN$4, 0) )</f>
        <v>55</v>
      </c>
      <c r="FQ90" s="48">
        <f>INDEX('2015'!$E$7:$EN$37,  MATCH(FJ90, '2015'!$A$7:$A$37, 0), MATCH(FJ61, '2015'!$E$4:$EN$4, 0) )</f>
        <v>45</v>
      </c>
      <c r="FR90" s="48">
        <f>INDEX('2016'!$E$7:$EN$37,  MATCH(FJ90, '2016'!$A$7:$A$37, 0), MATCH(FJ61, '2016'!$E$4:$EN$4, 0) )</f>
        <v>42</v>
      </c>
      <c r="FS90" s="48">
        <f>INDEX('2017'!$E$7:$EN$37,  MATCH(FJ90, '2017'!$A$7:$A$37, 0), MATCH(FJ61, '2017'!$E$4:$EN$4, 0) )</f>
        <v>28</v>
      </c>
      <c r="FT90" s="48">
        <f>INDEX('2018'!$E$7:$EN$37,  MATCH(FJ90, '2018'!$A$7:$A$37, 0), MATCH(FJ61, '2018'!$E$4:$EN$4, 0) )</f>
        <v>31</v>
      </c>
      <c r="FU90" s="48">
        <f>INDEX('2019'!$E$7:$EN$37,  MATCH(FJ90, '2019'!$A$7:$A$37, 0), MATCH(FJ61, '2019'!$E$4:$EN$4, 0) )</f>
        <v>50</v>
      </c>
      <c r="FW90" s="9">
        <f t="shared" ref="FW90:FX90" si="287">FW44</f>
        <v>55</v>
      </c>
      <c r="FX90" s="21" t="str">
        <f t="shared" si="287"/>
        <v>Wayne</v>
      </c>
      <c r="FY90" s="48">
        <f>INDEX('2010'!$E$7:$EN$37,  MATCH(FW90, '2010'!$A$7:$A$37, 0), MATCH(FW61, '2010'!$E$4:$EN$4, 0) )</f>
        <v>14</v>
      </c>
      <c r="FZ90" s="48">
        <f>INDEX('2011'!$E$7:$EN$37,  MATCH(FW90, '2011'!$A$7:$A$37, 0), MATCH(FW61, '2011'!$E$4:$EN$4, 0) )</f>
        <v>11</v>
      </c>
      <c r="GA90" s="48">
        <f>INDEX('2012'!$E$7:$EN$37,  MATCH(FW90, '2012'!$A$7:$A$37, 0), MATCH(FW61, '2012'!$E$4:$EN$4, 0) )</f>
        <v>12</v>
      </c>
      <c r="GB90" s="48">
        <f>INDEX('2013'!$E$7:$EN$37,  MATCH(FW90, '2013'!$A$7:$A$37, 0), MATCH(FW61, '2013'!$E$4:$EN$4, 0) )</f>
        <v>10</v>
      </c>
      <c r="GC90" s="48">
        <f>INDEX('2014'!$E$7:$EN$37,  MATCH(FW90, '2014'!$A$7:$A$37, 0), MATCH(FW61, '2014'!$E$4:$EN$4, 0) )</f>
        <v>9</v>
      </c>
      <c r="GD90" s="48">
        <f>INDEX('2015'!$E$7:$EN$37,  MATCH(FW90, '2015'!$A$7:$A$37, 0), MATCH(FW61, '2015'!$E$4:$EN$4, 0) )</f>
        <v>8</v>
      </c>
      <c r="GE90" s="48">
        <f>INDEX('2016'!$E$7:$EN$37,  MATCH(FW90, '2016'!$A$7:$A$37, 0), MATCH(FW61, '2016'!$E$4:$EN$4, 0) )</f>
        <v>15</v>
      </c>
      <c r="GF90" s="48">
        <f>INDEX('2017'!$E$7:$EN$37,  MATCH(FW90, '2017'!$A$7:$A$37, 0), MATCH(FW61, '2017'!$E$4:$EN$4, 0) )</f>
        <v>16</v>
      </c>
      <c r="GG90" s="48">
        <f>INDEX('2018'!$E$7:$EN$37,  MATCH(FW90, '2018'!$A$7:$A$37, 0), MATCH(FW61, '2018'!$E$4:$EN$4, 0) )</f>
        <v>14</v>
      </c>
      <c r="GH90" s="48">
        <f>INDEX('2019'!$E$7:$EN$37,  MATCH(FW90, '2019'!$A$7:$A$37, 0), MATCH(FW61, '2019'!$E$4:$EN$4, 0) )</f>
        <v>25</v>
      </c>
      <c r="GJ90" s="9">
        <f t="shared" ref="GJ90:GK90" si="288">GJ44</f>
        <v>55</v>
      </c>
      <c r="GK90" s="21" t="str">
        <f t="shared" si="288"/>
        <v>Wayne</v>
      </c>
      <c r="GL90" s="48">
        <f>INDEX('2010'!$E$7:$EN$37,  MATCH(GJ90, '2010'!$A$7:$A$37, 0), MATCH(GJ61, '2010'!$E$4:$EN$4, 0) )</f>
        <v>27</v>
      </c>
      <c r="GM90" s="48">
        <f>INDEX('2011'!$E$7:$EN$37,  MATCH(GJ90, '2011'!$A$7:$A$37, 0), MATCH(GJ61, '2011'!$E$4:$EN$4, 0) )</f>
        <v>20</v>
      </c>
      <c r="GN90" s="48">
        <f>INDEX('2012'!$E$7:$EN$37,  MATCH(GJ90, '2012'!$A$7:$A$37, 0), MATCH(GJ61, '2012'!$E$4:$EN$4, 0) )</f>
        <v>29</v>
      </c>
      <c r="GO90" s="48">
        <f>INDEX('2013'!$E$7:$EN$37,  MATCH(GJ90, '2013'!$A$7:$A$37, 0), MATCH(GJ61, '2013'!$E$4:$EN$4, 0) )</f>
        <v>32</v>
      </c>
      <c r="GP90" s="48">
        <f>INDEX('2014'!$E$7:$EN$37,  MATCH(GJ90, '2014'!$A$7:$A$37, 0), MATCH(GJ61, '2014'!$E$4:$EN$4, 0) )</f>
        <v>29</v>
      </c>
      <c r="GQ90" s="48">
        <f>INDEX('2015'!$E$7:$EN$37,  MATCH(GJ90, '2015'!$A$7:$A$37, 0), MATCH(GJ61, '2015'!$E$4:$EN$4, 0) )</f>
        <v>28</v>
      </c>
      <c r="GR90" s="48">
        <f>INDEX('2016'!$E$7:$EN$37,  MATCH(GJ90, '2016'!$A$7:$A$37, 0), MATCH(GJ61, '2016'!$E$4:$EN$4, 0) )</f>
        <v>25</v>
      </c>
      <c r="GS90" s="48">
        <f>INDEX('2017'!$E$7:$EN$37,  MATCH(GJ90, '2017'!$A$7:$A$37, 0), MATCH(GJ61, '2017'!$E$4:$EN$4, 0) )</f>
        <v>12</v>
      </c>
      <c r="GT90" s="48">
        <f>INDEX('2018'!$E$7:$EN$37,  MATCH(GJ90, '2018'!$A$7:$A$37, 0), MATCH(GJ61, '2018'!$E$4:$EN$4, 0) )</f>
        <v>19</v>
      </c>
      <c r="GU90" s="48">
        <f>INDEX('2019'!$E$7:$EN$37,  MATCH(GJ90, '2019'!$A$7:$A$37, 0), MATCH(GJ61, '2019'!$E$4:$EN$4, 0) )</f>
        <v>16</v>
      </c>
    </row>
    <row r="91" spans="153:203" x14ac:dyDescent="0.25">
      <c r="EW91" s="9">
        <f t="shared" ref="EW91:EX91" si="289">EW45</f>
        <v>57</v>
      </c>
      <c r="EX91" s="21" t="str">
        <f t="shared" si="289"/>
        <v>Weber</v>
      </c>
      <c r="EY91" s="48">
        <f>INDEX('2010'!$E$7:$EN$37,  MATCH(EW91, '2010'!$A$7:$A$37, 0), MATCH(EW61, '2010'!$E$4:$EN$4, 0) )</f>
        <v>1296</v>
      </c>
      <c r="EZ91" s="48">
        <f>INDEX('2011'!$E$7:$EN$37,  MATCH(EW91, '2011'!$A$7:$A$37, 0), MATCH(EW61, '2011'!$E$4:$EN$4, 0) )</f>
        <v>1250</v>
      </c>
      <c r="FA91" s="48">
        <f>INDEX('2012'!$E$7:$EN$37,  MATCH(EW91, '2012'!$A$7:$A$37, 0), MATCH(EW61, '2012'!$E$4:$EN$4, 0) )</f>
        <v>1237</v>
      </c>
      <c r="FB91" s="48">
        <f>INDEX('2013'!$E$7:$EN$37,  MATCH(EW91, '2013'!$A$7:$A$37, 0), MATCH(EW61, '2013'!$E$4:$EN$4, 0) )</f>
        <v>1086</v>
      </c>
      <c r="FC91" s="48">
        <f>INDEX('2014'!$E$7:$EN$37,  MATCH(EW91, '2014'!$A$7:$A$37, 0), MATCH(EW61, '2014'!$E$4:$EN$4, 0) )</f>
        <v>1462</v>
      </c>
      <c r="FD91" s="48">
        <f>INDEX('2015'!$E$7:$EN$37,  MATCH(EW91, '2015'!$A$7:$A$37, 0), MATCH(EW61, '2015'!$E$4:$EN$4, 0) )</f>
        <v>1440</v>
      </c>
      <c r="FE91" s="48">
        <f>INDEX('2016'!$E$7:$EN$37,  MATCH(EW91, '2016'!$A$7:$A$37, 0), MATCH(EW61, '2016'!$E$4:$EN$4, 0) )</f>
        <v>1402</v>
      </c>
      <c r="FF91" s="48">
        <f>INDEX('2017'!$E$7:$EN$37,  MATCH(EW91, '2017'!$A$7:$A$37, 0), MATCH(EW61, '2017'!$E$4:$EN$4, 0) )</f>
        <v>1317</v>
      </c>
      <c r="FG91" s="48">
        <f>INDEX('2018'!$E$7:$EN$37,  MATCH(EW91, '2018'!$A$7:$A$37, 0), MATCH(EW61, '2018'!$E$4:$EN$4, 0) )</f>
        <v>1309</v>
      </c>
      <c r="FH91" s="48">
        <f>INDEX('2019'!$E$7:$EN$37,  MATCH(EW91, '2019'!$A$7:$A$37, 0), MATCH(EW61, '2019'!$E$4:$EN$4, 0) )</f>
        <v>1376</v>
      </c>
      <c r="FJ91" s="9">
        <f t="shared" ref="FJ91:FK91" si="290">FJ45</f>
        <v>57</v>
      </c>
      <c r="FK91" s="21" t="str">
        <f t="shared" si="290"/>
        <v>Weber</v>
      </c>
      <c r="FL91" s="48">
        <f>INDEX('2010'!$E$7:$EN$37,  MATCH(FJ91, '2010'!$A$7:$A$37, 0), MATCH(FJ61, '2010'!$E$4:$EN$4, 0) )</f>
        <v>401</v>
      </c>
      <c r="FM91" s="48">
        <f>INDEX('2011'!$E$7:$EN$37,  MATCH(FJ91, '2011'!$A$7:$A$37, 0), MATCH(FJ61, '2011'!$E$4:$EN$4, 0) )</f>
        <v>376</v>
      </c>
      <c r="FN91" s="48">
        <f>INDEX('2012'!$E$7:$EN$37,  MATCH(FJ91, '2012'!$A$7:$A$37, 0), MATCH(FJ61, '2012'!$E$4:$EN$4, 0) )</f>
        <v>400</v>
      </c>
      <c r="FO91" s="48">
        <f>INDEX('2013'!$E$7:$EN$37,  MATCH(FJ91, '2013'!$A$7:$A$37, 0), MATCH(FJ61, '2013'!$E$4:$EN$4, 0) )</f>
        <v>349</v>
      </c>
      <c r="FP91" s="48">
        <f>INDEX('2014'!$E$7:$EN$37,  MATCH(FJ91, '2014'!$A$7:$A$37, 0), MATCH(FJ61, '2014'!$E$4:$EN$4, 0) )</f>
        <v>398</v>
      </c>
      <c r="FQ91" s="48">
        <f>INDEX('2015'!$E$7:$EN$37,  MATCH(FJ91, '2015'!$A$7:$A$37, 0), MATCH(FJ61, '2015'!$E$4:$EN$4, 0) )</f>
        <v>531</v>
      </c>
      <c r="FR91" s="48">
        <f>INDEX('2016'!$E$7:$EN$37,  MATCH(FJ91, '2016'!$A$7:$A$37, 0), MATCH(FJ61, '2016'!$E$4:$EN$4, 0) )</f>
        <v>432</v>
      </c>
      <c r="FS91" s="48">
        <f>INDEX('2017'!$E$7:$EN$37,  MATCH(FJ91, '2017'!$A$7:$A$37, 0), MATCH(FJ61, '2017'!$E$4:$EN$4, 0) )</f>
        <v>493</v>
      </c>
      <c r="FT91" s="48">
        <f>INDEX('2018'!$E$7:$EN$37,  MATCH(FJ91, '2018'!$A$7:$A$37, 0), MATCH(FJ61, '2018'!$E$4:$EN$4, 0) )</f>
        <v>621</v>
      </c>
      <c r="FU91" s="48">
        <f>INDEX('2019'!$E$7:$EN$37,  MATCH(FJ91, '2019'!$A$7:$A$37, 0), MATCH(FJ61, '2019'!$E$4:$EN$4, 0) )</f>
        <v>647</v>
      </c>
      <c r="FW91" s="9">
        <f t="shared" ref="FW91:FX91" si="291">FW45</f>
        <v>57</v>
      </c>
      <c r="FX91" s="21" t="str">
        <f t="shared" si="291"/>
        <v>Weber</v>
      </c>
      <c r="FY91" s="48">
        <f>INDEX('2010'!$E$7:$EN$37,  MATCH(FW91, '2010'!$A$7:$A$37, 0), MATCH(FW61, '2010'!$E$4:$EN$4, 0) )</f>
        <v>143</v>
      </c>
      <c r="FZ91" s="48">
        <f>INDEX('2011'!$E$7:$EN$37,  MATCH(FW91, '2011'!$A$7:$A$37, 0), MATCH(FW61, '2011'!$E$4:$EN$4, 0) )</f>
        <v>140</v>
      </c>
      <c r="GA91" s="48">
        <f>INDEX('2012'!$E$7:$EN$37,  MATCH(FW91, '2012'!$A$7:$A$37, 0), MATCH(FW61, '2012'!$E$4:$EN$4, 0) )</f>
        <v>166</v>
      </c>
      <c r="GB91" s="48">
        <f>INDEX('2013'!$E$7:$EN$37,  MATCH(FW91, '2013'!$A$7:$A$37, 0), MATCH(FW61, '2013'!$E$4:$EN$4, 0) )</f>
        <v>140</v>
      </c>
      <c r="GC91" s="48">
        <f>INDEX('2014'!$E$7:$EN$37,  MATCH(FW91, '2014'!$A$7:$A$37, 0), MATCH(FW61, '2014'!$E$4:$EN$4, 0) )</f>
        <v>160</v>
      </c>
      <c r="GD91" s="48">
        <f>INDEX('2015'!$E$7:$EN$37,  MATCH(FW91, '2015'!$A$7:$A$37, 0), MATCH(FW61, '2015'!$E$4:$EN$4, 0) )</f>
        <v>207</v>
      </c>
      <c r="GE91" s="48">
        <f>INDEX('2016'!$E$7:$EN$37,  MATCH(FW91, '2016'!$A$7:$A$37, 0), MATCH(FW61, '2016'!$E$4:$EN$4, 0) )</f>
        <v>212</v>
      </c>
      <c r="GF91" s="48">
        <f>INDEX('2017'!$E$7:$EN$37,  MATCH(FW91, '2017'!$A$7:$A$37, 0), MATCH(FW61, '2017'!$E$4:$EN$4, 0) )</f>
        <v>235</v>
      </c>
      <c r="GG91" s="48">
        <f>INDEX('2018'!$E$7:$EN$37,  MATCH(FW91, '2018'!$A$7:$A$37, 0), MATCH(FW61, '2018'!$E$4:$EN$4, 0) )</f>
        <v>273</v>
      </c>
      <c r="GH91" s="48">
        <f>INDEX('2019'!$E$7:$EN$37,  MATCH(FW91, '2019'!$A$7:$A$37, 0), MATCH(FW61, '2019'!$E$4:$EN$4, 0) )</f>
        <v>281</v>
      </c>
      <c r="GJ91" s="9">
        <f t="shared" ref="GJ91:GK91" si="292">GJ45</f>
        <v>57</v>
      </c>
      <c r="GK91" s="21" t="str">
        <f t="shared" si="292"/>
        <v>Weber</v>
      </c>
      <c r="GL91" s="48">
        <f>INDEX('2010'!$E$7:$EN$37,  MATCH(GJ91, '2010'!$A$7:$A$37, 0), MATCH(GJ61, '2010'!$E$4:$EN$4, 0) )</f>
        <v>238</v>
      </c>
      <c r="GM91" s="48">
        <f>INDEX('2011'!$E$7:$EN$37,  MATCH(GJ91, '2011'!$A$7:$A$37, 0), MATCH(GJ61, '2011'!$E$4:$EN$4, 0) )</f>
        <v>254</v>
      </c>
      <c r="GN91" s="48">
        <f>INDEX('2012'!$E$7:$EN$37,  MATCH(GJ91, '2012'!$A$7:$A$37, 0), MATCH(GJ61, '2012'!$E$4:$EN$4, 0) )</f>
        <v>207</v>
      </c>
      <c r="GO91" s="48">
        <f>INDEX('2013'!$E$7:$EN$37,  MATCH(GJ91, '2013'!$A$7:$A$37, 0), MATCH(GJ61, '2013'!$E$4:$EN$4, 0) )</f>
        <v>198</v>
      </c>
      <c r="GP91" s="48">
        <f>INDEX('2014'!$E$7:$EN$37,  MATCH(GJ91, '2014'!$A$7:$A$37, 0), MATCH(GJ61, '2014'!$E$4:$EN$4, 0) )</f>
        <v>224</v>
      </c>
      <c r="GQ91" s="48">
        <f>INDEX('2015'!$E$7:$EN$37,  MATCH(GJ91, '2015'!$A$7:$A$37, 0), MATCH(GJ61, '2015'!$E$4:$EN$4, 0) )</f>
        <v>274</v>
      </c>
      <c r="GR91" s="48">
        <f>INDEX('2016'!$E$7:$EN$37,  MATCH(GJ91, '2016'!$A$7:$A$37, 0), MATCH(GJ61, '2016'!$E$4:$EN$4, 0) )</f>
        <v>235</v>
      </c>
      <c r="GS91" s="48">
        <f>INDEX('2017'!$E$7:$EN$37,  MATCH(GJ91, '2017'!$A$7:$A$37, 0), MATCH(GJ61, '2017'!$E$4:$EN$4, 0) )</f>
        <v>259</v>
      </c>
      <c r="GT91" s="48">
        <f>INDEX('2018'!$E$7:$EN$37,  MATCH(GJ91, '2018'!$A$7:$A$37, 0), MATCH(GJ61, '2018'!$E$4:$EN$4, 0) )</f>
        <v>248</v>
      </c>
      <c r="GU91" s="48">
        <f>INDEX('2019'!$E$7:$EN$37,  MATCH(GJ91, '2019'!$A$7:$A$37, 0), MATCH(GJ61, '2019'!$E$4:$EN$4, 0) )</f>
        <v>270</v>
      </c>
    </row>
    <row r="92" spans="153:203" x14ac:dyDescent="0.25">
      <c r="EW92" s="9">
        <f t="shared" ref="EW92:EX92" si="293">EW46</f>
        <v>1049</v>
      </c>
      <c r="EX92" s="21" t="str">
        <f t="shared" si="293"/>
        <v>State of Utah</v>
      </c>
      <c r="EY92" s="47">
        <f>INDEX('2010'!$E$7:$EN$37,  MATCH(EW92, '2010'!$A$7:$A$37, 0), MATCH(EW61, '2010'!$E$4:$EN$4, 0) )</f>
        <v>3882</v>
      </c>
      <c r="EZ92" s="47">
        <f>INDEX('2011'!$E$7:$EN$37,  MATCH(EW92, '2011'!$A$7:$A$37, 0), MATCH(EW61, '2011'!$E$4:$EN$4, 0) )</f>
        <v>4037</v>
      </c>
      <c r="FA92" s="47">
        <f>INDEX('2012'!$E$7:$EN$37,  MATCH(EW92, '2012'!$A$7:$A$37, 0), MATCH(EW61, '2012'!$E$4:$EN$4, 0) )</f>
        <v>3848</v>
      </c>
      <c r="FB92" s="47">
        <f>INDEX('2013'!$E$7:$EN$37,  MATCH(EW92, '2013'!$A$7:$A$37, 0), MATCH(EW61, '2013'!$E$4:$EN$4, 0) )</f>
        <v>4062</v>
      </c>
      <c r="FC92" s="47">
        <f>INDEX('2014'!$E$7:$EN$37,  MATCH(EW92, '2014'!$A$7:$A$37, 0), MATCH(EW61, '2014'!$E$4:$EN$4, 0) )</f>
        <v>3939</v>
      </c>
      <c r="FD92" s="47">
        <f>INDEX('2015'!$E$7:$EN$37,  MATCH(EW92, '2015'!$A$7:$A$37, 0), MATCH(EW61, '2015'!$E$4:$EN$4, 0) )</f>
        <v>4183</v>
      </c>
      <c r="FE92" s="47">
        <f>INDEX('2016'!$E$7:$EN$37,  MATCH(EW92, '2016'!$A$7:$A$37, 0), MATCH(EW61, '2016'!$E$4:$EN$4, 0) )</f>
        <v>4671</v>
      </c>
      <c r="FF92" s="47">
        <f>INDEX('2017'!$E$7:$EN$37,  MATCH(EW92, '2017'!$A$7:$A$37, 0), MATCH(EW61, '2017'!$E$4:$EN$4, 0) )</f>
        <v>5063</v>
      </c>
      <c r="FG92" s="47">
        <f>INDEX('2018'!$E$7:$EN$37,  MATCH(EW92, '2018'!$A$7:$A$37, 0), MATCH(EW61, '2018'!$E$4:$EN$4, 0) )</f>
        <v>4345</v>
      </c>
      <c r="FH92" s="47">
        <f>INDEX('2019'!$E$7:$EN$37,  MATCH(EW92, '2019'!$A$7:$A$37, 0), MATCH(EW61, '2019'!$E$4:$EN$4, 0) )</f>
        <v>4249</v>
      </c>
      <c r="FJ92" s="9">
        <f t="shared" ref="FJ92:FK92" si="294">FJ46</f>
        <v>1049</v>
      </c>
      <c r="FK92" s="21" t="str">
        <f t="shared" si="294"/>
        <v>State of Utah</v>
      </c>
      <c r="FL92" s="47">
        <f>INDEX('2010'!$E$7:$EN$37,  MATCH(FJ92, '2010'!$A$7:$A$37, 0), MATCH(FJ61, '2010'!$E$4:$EN$4, 0) )</f>
        <v>1327</v>
      </c>
      <c r="FM92" s="47">
        <f>INDEX('2011'!$E$7:$EN$37,  MATCH(FJ92, '2011'!$A$7:$A$37, 0), MATCH(FJ61, '2011'!$E$4:$EN$4, 0) )</f>
        <v>1505</v>
      </c>
      <c r="FN92" s="47">
        <f>INDEX('2012'!$E$7:$EN$37,  MATCH(FJ92, '2012'!$A$7:$A$37, 0), MATCH(FJ61, '2012'!$E$4:$EN$4, 0) )</f>
        <v>1679</v>
      </c>
      <c r="FO92" s="47">
        <f>INDEX('2013'!$E$7:$EN$37,  MATCH(FJ92, '2013'!$A$7:$A$37, 0), MATCH(FJ61, '2013'!$E$4:$EN$4, 0) )</f>
        <v>1638</v>
      </c>
      <c r="FP92" s="47">
        <f>INDEX('2014'!$E$7:$EN$37,  MATCH(FJ92, '2014'!$A$7:$A$37, 0), MATCH(FJ61, '2014'!$E$4:$EN$4, 0) )</f>
        <v>1596</v>
      </c>
      <c r="FQ92" s="47">
        <f>INDEX('2015'!$E$7:$EN$37,  MATCH(FJ92, '2015'!$A$7:$A$37, 0), MATCH(FJ61, '2015'!$E$4:$EN$4, 0) )</f>
        <v>1833</v>
      </c>
      <c r="FR92" s="47">
        <f>INDEX('2016'!$E$7:$EN$37,  MATCH(FJ92, '2016'!$A$7:$A$37, 0), MATCH(FJ61, '2016'!$E$4:$EN$4, 0) )</f>
        <v>1999</v>
      </c>
      <c r="FS92" s="47">
        <f>INDEX('2017'!$E$7:$EN$37,  MATCH(FJ92, '2017'!$A$7:$A$37, 0), MATCH(FJ61, '2017'!$E$4:$EN$4, 0) )</f>
        <v>1939</v>
      </c>
      <c r="FT92" s="47">
        <f>INDEX('2018'!$E$7:$EN$37,  MATCH(FJ92, '2018'!$A$7:$A$37, 0), MATCH(FJ61, '2018'!$E$4:$EN$4, 0) )</f>
        <v>2205</v>
      </c>
      <c r="FU92" s="47">
        <f>INDEX('2019'!$E$7:$EN$37,  MATCH(FJ92, '2019'!$A$7:$A$37, 0), MATCH(FJ61, '2019'!$E$4:$EN$4, 0) )</f>
        <v>2411</v>
      </c>
      <c r="FW92" s="9">
        <f t="shared" ref="FW92:FX92" si="295">FW46</f>
        <v>1049</v>
      </c>
      <c r="FX92" s="21" t="str">
        <f t="shared" si="295"/>
        <v>State of Utah</v>
      </c>
      <c r="FY92" s="47">
        <f>INDEX('2010'!$E$7:$EN$37,  MATCH(FW92, '2010'!$A$7:$A$37, 0), MATCH(FW61, '2010'!$E$4:$EN$4, 0) )</f>
        <v>617</v>
      </c>
      <c r="FZ92" s="47">
        <f>INDEX('2011'!$E$7:$EN$37,  MATCH(FW92, '2011'!$A$7:$A$37, 0), MATCH(FW61, '2011'!$E$4:$EN$4, 0) )</f>
        <v>627</v>
      </c>
      <c r="GA92" s="47">
        <f>INDEX('2012'!$E$7:$EN$37,  MATCH(FW92, '2012'!$A$7:$A$37, 0), MATCH(FW61, '2012'!$E$4:$EN$4, 0) )</f>
        <v>651</v>
      </c>
      <c r="GB92" s="47">
        <f>INDEX('2013'!$E$7:$EN$37,  MATCH(FW92, '2013'!$A$7:$A$37, 0), MATCH(FW61, '2013'!$E$4:$EN$4, 0) )</f>
        <v>679</v>
      </c>
      <c r="GC92" s="47">
        <f>INDEX('2014'!$E$7:$EN$37,  MATCH(FW92, '2014'!$A$7:$A$37, 0), MATCH(FW61, '2014'!$E$4:$EN$4, 0) )</f>
        <v>645</v>
      </c>
      <c r="GD92" s="47">
        <f>INDEX('2015'!$E$7:$EN$37,  MATCH(FW92, '2015'!$A$7:$A$37, 0), MATCH(FW61, '2015'!$E$4:$EN$4, 0) )</f>
        <v>814</v>
      </c>
      <c r="GE92" s="47">
        <f>INDEX('2016'!$E$7:$EN$37,  MATCH(FW92, '2016'!$A$7:$A$37, 0), MATCH(FW61, '2016'!$E$4:$EN$4, 0) )</f>
        <v>632</v>
      </c>
      <c r="GF92" s="47">
        <f>INDEX('2017'!$E$7:$EN$37,  MATCH(FW92, '2017'!$A$7:$A$37, 0), MATCH(FW61, '2017'!$E$4:$EN$4, 0) )</f>
        <v>884</v>
      </c>
      <c r="GG92" s="47">
        <f>INDEX('2018'!$E$7:$EN$37,  MATCH(FW92, '2018'!$A$7:$A$37, 0), MATCH(FW61, '2018'!$E$4:$EN$4, 0) )</f>
        <v>938</v>
      </c>
      <c r="GH92" s="47">
        <f>INDEX('2019'!$E$7:$EN$37,  MATCH(FW92, '2019'!$A$7:$A$37, 0), MATCH(FW61, '2019'!$E$4:$EN$4, 0) )</f>
        <v>1127</v>
      </c>
      <c r="GJ92" s="9">
        <f t="shared" ref="GJ92:GK92" si="296">GJ46</f>
        <v>1049</v>
      </c>
      <c r="GK92" s="21" t="str">
        <f t="shared" si="296"/>
        <v>State of Utah</v>
      </c>
      <c r="GL92" s="47">
        <f>INDEX('2010'!$E$7:$EN$37,  MATCH(GJ92, '2010'!$A$7:$A$37, 0), MATCH(GJ61, '2010'!$E$4:$EN$4, 0) )</f>
        <v>970</v>
      </c>
      <c r="GM92" s="47">
        <f>INDEX('2011'!$E$7:$EN$37,  MATCH(GJ92, '2011'!$A$7:$A$37, 0), MATCH(GJ61, '2011'!$E$4:$EN$4, 0) )</f>
        <v>983</v>
      </c>
      <c r="GN92" s="47">
        <f>INDEX('2012'!$E$7:$EN$37,  MATCH(GJ92, '2012'!$A$7:$A$37, 0), MATCH(GJ61, '2012'!$E$4:$EN$4, 0) )</f>
        <v>898</v>
      </c>
      <c r="GO92" s="47">
        <f>INDEX('2013'!$E$7:$EN$37,  MATCH(GJ92, '2013'!$A$7:$A$37, 0), MATCH(GJ61, '2013'!$E$4:$EN$4, 0) )</f>
        <v>967</v>
      </c>
      <c r="GP92" s="47">
        <f>INDEX('2014'!$E$7:$EN$37,  MATCH(GJ92, '2014'!$A$7:$A$37, 0), MATCH(GJ61, '2014'!$E$4:$EN$4, 0) )</f>
        <v>738</v>
      </c>
      <c r="GQ92" s="47">
        <f>INDEX('2015'!$E$7:$EN$37,  MATCH(GJ92, '2015'!$A$7:$A$37, 0), MATCH(GJ61, '2015'!$E$4:$EN$4, 0) )</f>
        <v>829</v>
      </c>
      <c r="GR92" s="47">
        <f>INDEX('2016'!$E$7:$EN$37,  MATCH(GJ92, '2016'!$A$7:$A$37, 0), MATCH(GJ61, '2016'!$E$4:$EN$4, 0) )</f>
        <v>1012</v>
      </c>
      <c r="GS92" s="47">
        <f>INDEX('2017'!$E$7:$EN$37,  MATCH(GJ92, '2017'!$A$7:$A$37, 0), MATCH(GJ61, '2017'!$E$4:$EN$4, 0) )</f>
        <v>1022</v>
      </c>
      <c r="GT92" s="47">
        <f>INDEX('2018'!$E$7:$EN$37,  MATCH(GJ92, '2018'!$A$7:$A$37, 0), MATCH(GJ61, '2018'!$E$4:$EN$4, 0) )</f>
        <v>1172</v>
      </c>
      <c r="GU92" s="47">
        <f>INDEX('2019'!$E$7:$EN$37,  MATCH(GJ92, '2019'!$A$7:$A$37, 0), MATCH(GJ61, '2019'!$E$4:$EN$4, 0) )</f>
        <v>1188</v>
      </c>
    </row>
    <row r="93" spans="153:203" x14ac:dyDescent="0.25">
      <c r="EW93" s="9">
        <f t="shared" ref="EW93:EX93" si="297">EW47</f>
        <v>1000</v>
      </c>
      <c r="EX93" s="21" t="str">
        <f t="shared" si="297"/>
        <v>United States</v>
      </c>
      <c r="EY93" s="47">
        <f>INDEX('2010'!$E$7:$EN$37,  MATCH(EW93, '2010'!$A$7:$A$37, 0), MATCH(EW61, '2010'!$E$4:$EN$4, 0) )</f>
        <v>120716</v>
      </c>
      <c r="EZ93" s="47">
        <f>INDEX('2011'!$E$7:$EN$37,  MATCH(EW93, '2011'!$A$7:$A$37, 0), MATCH(EW61, '2011'!$E$4:$EN$4, 0) )</f>
        <v>132753</v>
      </c>
      <c r="FA93" s="47">
        <f>INDEX('2012'!$E$7:$EN$37,  MATCH(EW93, '2012'!$A$7:$A$37, 0), MATCH(EW61, '2012'!$E$4:$EN$4, 0) )</f>
        <v>138411</v>
      </c>
      <c r="FB93" s="47">
        <f>INDEX('2013'!$E$7:$EN$37,  MATCH(EW93, '2013'!$A$7:$A$37, 0), MATCH(EW61, '2013'!$E$4:$EN$4, 0) )</f>
        <v>142773</v>
      </c>
      <c r="FC93" s="47">
        <f>INDEX('2014'!$E$7:$EN$37,  MATCH(EW93, '2014'!$A$7:$A$37, 0), MATCH(EW61, '2014'!$E$4:$EN$4, 0) )</f>
        <v>142073</v>
      </c>
      <c r="FD93" s="47">
        <f>INDEX('2015'!$E$7:$EN$37,  MATCH(EW93, '2015'!$A$7:$A$37, 0), MATCH(EW61, '2015'!$E$4:$EN$4, 0) )</f>
        <v>143374</v>
      </c>
      <c r="FE93" s="47">
        <f>INDEX('2016'!$E$7:$EN$37,  MATCH(EW93, '2016'!$A$7:$A$37, 0), MATCH(EW61, '2016'!$E$4:$EN$4, 0) )</f>
        <v>149643</v>
      </c>
      <c r="FF93" s="47">
        <f>INDEX('2017'!$E$7:$EN$37,  MATCH(EW93, '2017'!$A$7:$A$37, 0), MATCH(EW61, '2017'!$E$4:$EN$4, 0) )</f>
        <v>153416</v>
      </c>
      <c r="FG93" s="47">
        <f>INDEX('2018'!$E$7:$EN$37,  MATCH(EW93, '2018'!$A$7:$A$37, 0), MATCH(EW61, '2018'!$E$4:$EN$4, 0) )</f>
        <v>169078</v>
      </c>
      <c r="FH93" s="47">
        <f>INDEX('2019'!$E$7:$EN$37,  MATCH(EW93, '2019'!$A$7:$A$37, 0), MATCH(EW61, '2019'!$E$4:$EN$4, 0) )</f>
        <v>170067</v>
      </c>
      <c r="FJ93" s="9">
        <f t="shared" ref="FJ93:FK93" si="298">FJ47</f>
        <v>1000</v>
      </c>
      <c r="FK93" s="21" t="str">
        <f t="shared" si="298"/>
        <v>United States</v>
      </c>
      <c r="FL93" s="47">
        <f>INDEX('2010'!$E$7:$EN$37,  MATCH(FJ93, '2010'!$A$7:$A$37, 0), MATCH(FJ61, '2010'!$E$4:$EN$4, 0) )</f>
        <v>19688</v>
      </c>
      <c r="FM93" s="47">
        <f>INDEX('2011'!$E$7:$EN$37,  MATCH(FJ93, '2011'!$A$7:$A$37, 0), MATCH(FJ61, '2011'!$E$4:$EN$4, 0) )</f>
        <v>19418</v>
      </c>
      <c r="FN93" s="47">
        <f>INDEX('2012'!$E$7:$EN$37,  MATCH(FJ93, '2012'!$A$7:$A$37, 0), MATCH(FJ61, '2012'!$E$4:$EN$4, 0) )</f>
        <v>16168</v>
      </c>
      <c r="FO93" s="47">
        <f>INDEX('2013'!$E$7:$EN$37,  MATCH(FJ93, '2013'!$A$7:$A$37, 0), MATCH(FJ61, '2013'!$E$4:$EN$4, 0) )</f>
        <v>21247</v>
      </c>
      <c r="FP93" s="47">
        <f>INDEX('2014'!$E$7:$EN$37,  MATCH(FJ93, '2014'!$A$7:$A$37, 0), MATCH(FJ61, '2014'!$E$4:$EN$4, 0) )</f>
        <v>19620</v>
      </c>
      <c r="FQ93" s="47">
        <f>INDEX('2015'!$E$7:$EN$37,  MATCH(FJ93, '2015'!$A$7:$A$37, 0), MATCH(FJ61, '2015'!$E$4:$EN$4, 0) )</f>
        <v>18023</v>
      </c>
      <c r="FR93" s="47">
        <f>INDEX('2016'!$E$7:$EN$37,  MATCH(FJ93, '2016'!$A$7:$A$37, 0), MATCH(FJ61, '2016'!$E$4:$EN$4, 0) )</f>
        <v>19354</v>
      </c>
      <c r="FS93" s="47">
        <f>INDEX('2017'!$E$7:$EN$37,  MATCH(FJ93, '2017'!$A$7:$A$37, 0), MATCH(FJ61, '2017'!$E$4:$EN$4, 0) )</f>
        <v>20203</v>
      </c>
      <c r="FT93" s="47">
        <f>INDEX('2018'!$E$7:$EN$37,  MATCH(FJ93, '2018'!$A$7:$A$37, 0), MATCH(FJ61, '2018'!$E$4:$EN$4, 0) )</f>
        <v>21167</v>
      </c>
      <c r="FU93" s="47">
        <f>INDEX('2019'!$E$7:$EN$37,  MATCH(FJ93, '2019'!$A$7:$A$37, 0), MATCH(FJ61, '2019'!$E$4:$EN$4, 0) )</f>
        <v>27244</v>
      </c>
      <c r="FW93" s="9">
        <f t="shared" ref="FW93:FX93" si="299">FW47</f>
        <v>1000</v>
      </c>
      <c r="FX93" s="21" t="str">
        <f t="shared" si="299"/>
        <v>United States</v>
      </c>
      <c r="FY93" s="47">
        <f>INDEX('2010'!$E$7:$EN$37,  MATCH(FW93, '2010'!$A$7:$A$37, 0), MATCH(FW61, '2010'!$E$4:$EN$4, 0) )</f>
        <v>6728</v>
      </c>
      <c r="FZ93" s="47">
        <f>INDEX('2011'!$E$7:$EN$37,  MATCH(FW93, '2011'!$A$7:$A$37, 0), MATCH(FW61, '2011'!$E$4:$EN$4, 0) )</f>
        <v>7220</v>
      </c>
      <c r="GA93" s="47">
        <f>INDEX('2012'!$E$7:$EN$37,  MATCH(FW93, '2012'!$A$7:$A$37, 0), MATCH(FW61, '2012'!$E$4:$EN$4, 0) )</f>
        <v>7490</v>
      </c>
      <c r="GB93" s="47">
        <f>INDEX('2013'!$E$7:$EN$37,  MATCH(FW93, '2013'!$A$7:$A$37, 0), MATCH(FW61, '2013'!$E$4:$EN$4, 0) )</f>
        <v>8472</v>
      </c>
      <c r="GC93" s="47">
        <f>INDEX('2014'!$E$7:$EN$37,  MATCH(FW93, '2014'!$A$7:$A$37, 0), MATCH(FW61, '2014'!$E$4:$EN$4, 0) )</f>
        <v>7672</v>
      </c>
      <c r="GD93" s="47">
        <f>INDEX('2015'!$E$7:$EN$37,  MATCH(FW93, '2015'!$A$7:$A$37, 0), MATCH(FW61, '2015'!$E$4:$EN$4, 0) )</f>
        <v>7053</v>
      </c>
      <c r="GE93" s="47">
        <f>INDEX('2016'!$E$7:$EN$37,  MATCH(FW93, '2016'!$A$7:$A$37, 0), MATCH(FW61, '2016'!$E$4:$EN$4, 0) )</f>
        <v>7823</v>
      </c>
      <c r="GF93" s="47">
        <f>INDEX('2017'!$E$7:$EN$37,  MATCH(FW93, '2017'!$A$7:$A$37, 0), MATCH(FW61, '2017'!$E$4:$EN$4, 0) )</f>
        <v>9309</v>
      </c>
      <c r="GG93" s="47">
        <f>INDEX('2018'!$E$7:$EN$37,  MATCH(FW93, '2018'!$A$7:$A$37, 0), MATCH(FW61, '2018'!$E$4:$EN$4, 0) )</f>
        <v>8929</v>
      </c>
      <c r="GH93" s="47">
        <f>INDEX('2019'!$E$7:$EN$37,  MATCH(FW93, '2019'!$A$7:$A$37, 0), MATCH(FW61, '2019'!$E$4:$EN$4, 0) )</f>
        <v>10033</v>
      </c>
      <c r="GJ93" s="9">
        <f t="shared" ref="GJ93:GK93" si="300">GJ47</f>
        <v>1000</v>
      </c>
      <c r="GK93" s="21" t="str">
        <f t="shared" si="300"/>
        <v>United States</v>
      </c>
      <c r="GL93" s="47">
        <f>INDEX('2010'!$E$7:$EN$37,  MATCH(GJ93, '2010'!$A$7:$A$37, 0), MATCH(GJ61, '2010'!$E$4:$EN$4, 0) )</f>
        <v>13350</v>
      </c>
      <c r="GM93" s="47">
        <f>INDEX('2011'!$E$7:$EN$37,  MATCH(GJ93, '2011'!$A$7:$A$37, 0), MATCH(GJ61, '2011'!$E$4:$EN$4, 0) )</f>
        <v>12013</v>
      </c>
      <c r="GN93" s="47">
        <f>INDEX('2012'!$E$7:$EN$37,  MATCH(GJ93, '2012'!$A$7:$A$37, 0), MATCH(GJ61, '2012'!$E$4:$EN$4, 0) )</f>
        <v>11536</v>
      </c>
      <c r="GO93" s="47">
        <f>INDEX('2013'!$E$7:$EN$37,  MATCH(GJ93, '2013'!$A$7:$A$37, 0), MATCH(GJ61, '2013'!$E$4:$EN$4, 0) )</f>
        <v>12497</v>
      </c>
      <c r="GP93" s="47">
        <f>INDEX('2014'!$E$7:$EN$37,  MATCH(GJ93, '2014'!$A$7:$A$37, 0), MATCH(GJ61, '2014'!$E$4:$EN$4, 0) )</f>
        <v>13500</v>
      </c>
      <c r="GQ93" s="47">
        <f>INDEX('2015'!$E$7:$EN$37,  MATCH(GJ93, '2015'!$A$7:$A$37, 0), MATCH(GJ61, '2015'!$E$4:$EN$4, 0) )</f>
        <v>13475</v>
      </c>
      <c r="GR93" s="47">
        <f>INDEX('2016'!$E$7:$EN$37,  MATCH(GJ93, '2016'!$A$7:$A$37, 0), MATCH(GJ61, '2016'!$E$4:$EN$4, 0) )</f>
        <v>11911</v>
      </c>
      <c r="GS93" s="47">
        <f>INDEX('2017'!$E$7:$EN$37,  MATCH(GJ93, '2017'!$A$7:$A$37, 0), MATCH(GJ61, '2017'!$E$4:$EN$4, 0) )</f>
        <v>14677</v>
      </c>
      <c r="GT93" s="47">
        <f>INDEX('2018'!$E$7:$EN$37,  MATCH(GJ93, '2018'!$A$7:$A$37, 0), MATCH(GJ61, '2018'!$E$4:$EN$4, 0) )</f>
        <v>15596</v>
      </c>
      <c r="GU93" s="47">
        <f>INDEX('2019'!$E$7:$EN$37,  MATCH(GJ93, '2019'!$A$7:$A$37, 0), MATCH(GJ61, '2019'!$E$4:$EN$4, 0) )</f>
        <v>18436</v>
      </c>
    </row>
    <row r="96" spans="153:203" x14ac:dyDescent="0.25">
      <c r="EW96" s="9">
        <f>EW4</f>
        <v>100</v>
      </c>
      <c r="EX96" s="21" t="str">
        <f t="shared" ref="EX96" si="301">EX4</f>
        <v>Total Workers</v>
      </c>
      <c r="EY96" s="10"/>
      <c r="EZ96" s="10"/>
      <c r="FA96" s="10"/>
      <c r="FB96" s="10"/>
      <c r="FC96" s="10"/>
      <c r="FD96" s="36" t="s">
        <v>622</v>
      </c>
      <c r="FE96" s="10"/>
      <c r="FF96" s="10"/>
      <c r="FG96" s="10"/>
      <c r="FH96" s="10"/>
      <c r="FJ96" s="9">
        <f>FJ4</f>
        <v>700</v>
      </c>
      <c r="FK96" s="21" t="str">
        <f t="shared" ref="FK96" si="302">FK4</f>
        <v>Worked at home</v>
      </c>
      <c r="FL96" s="10"/>
      <c r="FM96" s="10"/>
      <c r="FN96" s="10"/>
      <c r="FO96" s="10"/>
      <c r="FP96" s="10"/>
      <c r="FQ96" s="36" t="s">
        <v>622</v>
      </c>
      <c r="FR96" s="10"/>
      <c r="FS96" s="10"/>
      <c r="FT96" s="10"/>
      <c r="FU96" s="10"/>
      <c r="FW96" s="9">
        <f>FW4</f>
        <v>712</v>
      </c>
      <c r="FX96" s="21" t="str">
        <f t="shared" ref="FX96" si="303">FX4</f>
        <v>Self-employed in own incorporated business workers</v>
      </c>
      <c r="FY96" s="10"/>
      <c r="FZ96" s="10"/>
      <c r="GA96" s="10"/>
      <c r="GB96" s="10"/>
      <c r="GC96" s="10"/>
      <c r="GD96" s="36" t="s">
        <v>622</v>
      </c>
      <c r="GE96" s="10"/>
      <c r="GF96" s="10"/>
      <c r="GG96" s="10"/>
      <c r="GH96" s="10"/>
      <c r="GJ96" s="9">
        <f>GJ4</f>
        <v>760</v>
      </c>
      <c r="GK96" s="21" t="str">
        <f t="shared" ref="GK96" si="304">GK4</f>
        <v>Self-employed in own not incorporated business workers</v>
      </c>
      <c r="GL96" s="10"/>
      <c r="GM96" s="10"/>
      <c r="GN96" s="10"/>
      <c r="GO96" s="10"/>
      <c r="GP96" s="10"/>
      <c r="GQ96" s="36" t="s">
        <v>622</v>
      </c>
      <c r="GR96" s="10"/>
      <c r="GS96" s="10"/>
      <c r="GT96" s="10"/>
      <c r="GU96" s="10"/>
    </row>
    <row r="97" spans="153:203" x14ac:dyDescent="0.25">
      <c r="EW97" s="10"/>
      <c r="EX97" s="10"/>
      <c r="EY97" s="10"/>
      <c r="EZ97" s="10"/>
      <c r="FA97" s="10"/>
      <c r="FB97" s="10"/>
      <c r="FC97" s="10"/>
      <c r="FD97" s="10"/>
      <c r="FE97" s="10"/>
      <c r="FF97" s="10"/>
      <c r="FG97" s="10"/>
      <c r="FH97" s="10"/>
      <c r="FJ97" s="10"/>
      <c r="FK97" s="10"/>
      <c r="FL97" s="10"/>
      <c r="FM97" s="10"/>
      <c r="FN97" s="10"/>
      <c r="FO97" s="10"/>
      <c r="FP97" s="10"/>
      <c r="FQ97" s="10"/>
      <c r="FR97" s="10"/>
      <c r="FS97" s="10"/>
      <c r="FT97" s="10"/>
      <c r="FU97" s="10"/>
      <c r="FW97" s="10"/>
      <c r="FX97" s="10"/>
      <c r="FY97" s="10"/>
      <c r="FZ97" s="10"/>
      <c r="GA97" s="10"/>
      <c r="GB97" s="10"/>
      <c r="GC97" s="10"/>
      <c r="GD97" s="10"/>
      <c r="GE97" s="10"/>
      <c r="GF97" s="10"/>
      <c r="GG97" s="10"/>
      <c r="GH97" s="10"/>
      <c r="GJ97" s="10"/>
      <c r="GK97" s="10"/>
      <c r="GL97" s="10"/>
      <c r="GM97" s="10"/>
      <c r="GN97" s="10"/>
      <c r="GO97" s="10"/>
      <c r="GP97" s="10"/>
      <c r="GQ97" s="10"/>
      <c r="GR97" s="10"/>
      <c r="GS97" s="10"/>
      <c r="GT97" s="10"/>
      <c r="GU97" s="10"/>
    </row>
    <row r="98" spans="153:203" x14ac:dyDescent="0.25">
      <c r="EW98" s="10"/>
      <c r="EX98" s="38"/>
      <c r="EY98" s="2">
        <v>2010</v>
      </c>
      <c r="EZ98" s="2">
        <v>2011</v>
      </c>
      <c r="FA98" s="2">
        <v>2012</v>
      </c>
      <c r="FB98" s="2">
        <v>2013</v>
      </c>
      <c r="FC98" s="2">
        <v>2014</v>
      </c>
      <c r="FD98" s="2">
        <v>2015</v>
      </c>
      <c r="FE98" s="2">
        <v>2016</v>
      </c>
      <c r="FF98" s="2">
        <v>2017</v>
      </c>
      <c r="FG98" s="2">
        <v>2018</v>
      </c>
      <c r="FH98" s="2">
        <v>2019</v>
      </c>
      <c r="FJ98" s="10"/>
      <c r="FK98" s="38"/>
      <c r="FL98" s="2">
        <v>2010</v>
      </c>
      <c r="FM98" s="2">
        <v>2011</v>
      </c>
      <c r="FN98" s="2">
        <v>2012</v>
      </c>
      <c r="FO98" s="2">
        <v>2013</v>
      </c>
      <c r="FP98" s="2">
        <v>2014</v>
      </c>
      <c r="FQ98" s="2">
        <v>2015</v>
      </c>
      <c r="FR98" s="2">
        <v>2016</v>
      </c>
      <c r="FS98" s="2">
        <v>2017</v>
      </c>
      <c r="FT98" s="2">
        <v>2018</v>
      </c>
      <c r="FU98" s="2">
        <v>2019</v>
      </c>
      <c r="FW98" s="10"/>
      <c r="FX98" s="38"/>
      <c r="FY98" s="2">
        <v>2010</v>
      </c>
      <c r="FZ98" s="2">
        <v>2011</v>
      </c>
      <c r="GA98" s="2">
        <v>2012</v>
      </c>
      <c r="GB98" s="2">
        <v>2013</v>
      </c>
      <c r="GC98" s="2">
        <v>2014</v>
      </c>
      <c r="GD98" s="2">
        <v>2015</v>
      </c>
      <c r="GE98" s="2">
        <v>2016</v>
      </c>
      <c r="GF98" s="2">
        <v>2017</v>
      </c>
      <c r="GG98" s="2">
        <v>2018</v>
      </c>
      <c r="GH98" s="2">
        <v>2019</v>
      </c>
      <c r="GJ98" s="10"/>
      <c r="GK98" s="38"/>
      <c r="GL98" s="2">
        <v>2010</v>
      </c>
      <c r="GM98" s="2">
        <v>2011</v>
      </c>
      <c r="GN98" s="2">
        <v>2012</v>
      </c>
      <c r="GO98" s="2">
        <v>2013</v>
      </c>
      <c r="GP98" s="2">
        <v>2014</v>
      </c>
      <c r="GQ98" s="2">
        <v>2015</v>
      </c>
      <c r="GR98" s="2">
        <v>2016</v>
      </c>
      <c r="GS98" s="2">
        <v>2017</v>
      </c>
      <c r="GT98" s="2">
        <v>2018</v>
      </c>
      <c r="GU98" s="2">
        <v>2019</v>
      </c>
    </row>
    <row r="99" spans="153:203" x14ac:dyDescent="0.25">
      <c r="EW99" s="9">
        <f t="shared" ref="EW99:EX99" si="305">EW7</f>
        <v>101</v>
      </c>
      <c r="EX99" s="21" t="str">
        <f t="shared" si="305"/>
        <v>Wasatch Front</v>
      </c>
      <c r="EY99" s="41">
        <f t="shared" ref="EY99:FH99" si="306">IFERROR(EY53/EY7, 0)</f>
        <v>7.0761907308854602E-3</v>
      </c>
      <c r="EZ99" s="41">
        <f t="shared" si="306"/>
        <v>6.9404657589646809E-3</v>
      </c>
      <c r="FA99" s="41">
        <f t="shared" si="306"/>
        <v>7.131036557845645E-3</v>
      </c>
      <c r="FB99" s="41">
        <f t="shared" si="306"/>
        <v>7.3761811203932317E-3</v>
      </c>
      <c r="FC99" s="41">
        <f t="shared" si="306"/>
        <v>7.1417478626186678E-3</v>
      </c>
      <c r="FD99" s="41">
        <f t="shared" si="306"/>
        <v>6.8265065005491355E-3</v>
      </c>
      <c r="FE99" s="41">
        <f t="shared" si="306"/>
        <v>7.1129181705235798E-3</v>
      </c>
      <c r="FF99" s="41">
        <f t="shared" si="306"/>
        <v>7.1113193205500557E-3</v>
      </c>
      <c r="FG99" s="41">
        <f t="shared" si="306"/>
        <v>6.7959548316538472E-3</v>
      </c>
      <c r="FH99" s="41">
        <f t="shared" si="306"/>
        <v>6.3928926332849564E-3</v>
      </c>
      <c r="FJ99" s="9">
        <f t="shared" ref="FJ99:FK99" si="307">FJ7</f>
        <v>101</v>
      </c>
      <c r="FK99" s="21" t="str">
        <f t="shared" si="307"/>
        <v>Wasatch Front</v>
      </c>
      <c r="FL99" s="41">
        <f t="shared" ref="FL99:FU99" si="308">IFERROR(FL53/FL7, 0)</f>
        <v>5.6180297397769516E-2</v>
      </c>
      <c r="FM99" s="41">
        <f t="shared" si="308"/>
        <v>6.0317745265236512E-2</v>
      </c>
      <c r="FN99" s="41">
        <f t="shared" si="308"/>
        <v>6.049051239818596E-2</v>
      </c>
      <c r="FO99" s="41">
        <f t="shared" si="308"/>
        <v>5.7796573411407502E-2</v>
      </c>
      <c r="FP99" s="41">
        <f t="shared" si="308"/>
        <v>5.5966143682906686E-2</v>
      </c>
      <c r="FQ99" s="41">
        <f t="shared" si="308"/>
        <v>6.1544291804831834E-2</v>
      </c>
      <c r="FR99" s="41">
        <f t="shared" si="308"/>
        <v>5.3258145363408518E-2</v>
      </c>
      <c r="FS99" s="41">
        <f t="shared" si="308"/>
        <v>5.1783864283864285E-2</v>
      </c>
      <c r="FT99" s="41">
        <f t="shared" si="308"/>
        <v>5.2282120529386314E-2</v>
      </c>
      <c r="FU99" s="41">
        <f t="shared" si="308"/>
        <v>5.4222947284013771E-2</v>
      </c>
      <c r="FW99" s="9">
        <f t="shared" ref="FW99:FX99" si="309">FW7</f>
        <v>101</v>
      </c>
      <c r="FX99" s="21" t="str">
        <f t="shared" si="309"/>
        <v>Wasatch Front</v>
      </c>
      <c r="FY99" s="41">
        <f t="shared" ref="FY99:GH99" si="310">IFERROR(FY53/FY7, 0)</f>
        <v>0.14564388383690233</v>
      </c>
      <c r="FZ99" s="41">
        <f t="shared" si="310"/>
        <v>0.14348206474190725</v>
      </c>
      <c r="GA99" s="41">
        <f t="shared" si="310"/>
        <v>0.14811529933481152</v>
      </c>
      <c r="GB99" s="41">
        <f t="shared" si="310"/>
        <v>0.1633229305989003</v>
      </c>
      <c r="GC99" s="41">
        <f t="shared" si="310"/>
        <v>0.13708235941152208</v>
      </c>
      <c r="GD99" s="41">
        <f t="shared" si="310"/>
        <v>0.14882760296440287</v>
      </c>
      <c r="GE99" s="41">
        <f t="shared" si="310"/>
        <v>0.12529524237993478</v>
      </c>
      <c r="GF99" s="41">
        <f t="shared" si="310"/>
        <v>0.13367386276021589</v>
      </c>
      <c r="GG99" s="41">
        <f t="shared" si="310"/>
        <v>0.13733567046450482</v>
      </c>
      <c r="GH99" s="41">
        <f t="shared" si="310"/>
        <v>0.13505942275042446</v>
      </c>
      <c r="GJ99" s="9">
        <f t="shared" ref="GJ99:GK99" si="311">GJ7</f>
        <v>101</v>
      </c>
      <c r="GK99" s="21" t="str">
        <f t="shared" si="311"/>
        <v>Wasatch Front</v>
      </c>
      <c r="GL99" s="41">
        <f t="shared" ref="GL99:GU99" si="312">IFERROR(GL53/GL7, 0)</f>
        <v>0.10638162902816543</v>
      </c>
      <c r="GM99" s="41">
        <f t="shared" si="312"/>
        <v>0.101053578311705</v>
      </c>
      <c r="GN99" s="41">
        <f t="shared" si="312"/>
        <v>0.10297042832515582</v>
      </c>
      <c r="GO99" s="41">
        <f t="shared" si="312"/>
        <v>9.835290941001755E-2</v>
      </c>
      <c r="GP99" s="41">
        <f t="shared" si="312"/>
        <v>0.10365605958023019</v>
      </c>
      <c r="GQ99" s="41">
        <f t="shared" si="312"/>
        <v>0.10105671482075976</v>
      </c>
      <c r="GR99" s="41">
        <f t="shared" si="312"/>
        <v>0.10161956176563988</v>
      </c>
      <c r="GS99" s="41">
        <f t="shared" si="312"/>
        <v>9.5647501343363778E-2</v>
      </c>
      <c r="GT99" s="41">
        <f t="shared" si="312"/>
        <v>9.9776661083193746E-2</v>
      </c>
      <c r="GU99" s="41">
        <f t="shared" si="312"/>
        <v>9.3186906919714249E-2</v>
      </c>
    </row>
    <row r="100" spans="153:203" x14ac:dyDescent="0.25">
      <c r="EW100" s="9">
        <f t="shared" ref="EW100:EX100" si="313">EW8</f>
        <v>57</v>
      </c>
      <c r="EX100" s="21" t="str">
        <f t="shared" si="313"/>
        <v>Weber</v>
      </c>
      <c r="EY100" s="44">
        <f>IFERROR(EY54/EY8, 0)</f>
        <v>1.2603571011786673E-2</v>
      </c>
      <c r="EZ100" s="44">
        <f t="shared" ref="EZ100:FH100" si="314">IFERROR(EZ54/EZ8, 0)</f>
        <v>1.2092600296026856E-2</v>
      </c>
      <c r="FA100" s="44">
        <f t="shared" si="314"/>
        <v>1.1762021127898906E-2</v>
      </c>
      <c r="FB100" s="44">
        <f t="shared" si="314"/>
        <v>1.0332819546726038E-2</v>
      </c>
      <c r="FC100" s="44">
        <f t="shared" si="314"/>
        <v>1.3636278844180798E-2</v>
      </c>
      <c r="FD100" s="44">
        <f t="shared" si="314"/>
        <v>1.326492073288687E-2</v>
      </c>
      <c r="FE100" s="44">
        <f t="shared" si="314"/>
        <v>1.2589911906536516E-2</v>
      </c>
      <c r="FF100" s="44">
        <f t="shared" si="314"/>
        <v>1.1532399299474605E-2</v>
      </c>
      <c r="FG100" s="44">
        <f t="shared" si="314"/>
        <v>1.1117433732790909E-2</v>
      </c>
      <c r="FH100" s="44">
        <f t="shared" si="314"/>
        <v>1.1340877434456158E-2</v>
      </c>
      <c r="FJ100" s="9">
        <f t="shared" ref="FJ100:FK100" si="315">FJ8</f>
        <v>57</v>
      </c>
      <c r="FK100" s="21" t="str">
        <f t="shared" si="315"/>
        <v>Weber</v>
      </c>
      <c r="FL100" s="44">
        <f>IFERROR(FL54/FL8, 0)</f>
        <v>0.12384187770228536</v>
      </c>
      <c r="FM100" s="44">
        <f t="shared" ref="FM100:FU100" si="316">IFERROR(FM54/FM8, 0)</f>
        <v>0.10624470189319017</v>
      </c>
      <c r="FN100" s="44">
        <f t="shared" si="316"/>
        <v>0.1177509567265234</v>
      </c>
      <c r="FO100" s="44">
        <f t="shared" si="316"/>
        <v>0.10060536177572788</v>
      </c>
      <c r="FP100" s="44">
        <f t="shared" si="316"/>
        <v>0.10391644908616188</v>
      </c>
      <c r="FQ100" s="44">
        <f t="shared" si="316"/>
        <v>0.11892497200447928</v>
      </c>
      <c r="FR100" s="44">
        <f t="shared" si="316"/>
        <v>9.4056172436316129E-2</v>
      </c>
      <c r="FS100" s="44">
        <f t="shared" si="316"/>
        <v>9.3335857629685728E-2</v>
      </c>
      <c r="FT100" s="44">
        <f t="shared" si="316"/>
        <v>0.10771899392888118</v>
      </c>
      <c r="FU100" s="44">
        <f t="shared" si="316"/>
        <v>9.8149271844660199E-2</v>
      </c>
      <c r="FW100" s="9">
        <f t="shared" ref="FW100:FX100" si="317">FW8</f>
        <v>57</v>
      </c>
      <c r="FX100" s="21" t="str">
        <f t="shared" si="317"/>
        <v>Weber</v>
      </c>
      <c r="FY100" s="44">
        <f>IFERROR(FY54/FY8, 0)</f>
        <v>0.26629422718808193</v>
      </c>
      <c r="FZ100" s="44">
        <f t="shared" ref="FZ100:GH100" si="318">IFERROR(FZ54/FZ8, 0)</f>
        <v>0.24054982817869416</v>
      </c>
      <c r="GA100" s="44">
        <f t="shared" si="318"/>
        <v>0.28970331588132636</v>
      </c>
      <c r="GB100" s="44">
        <f t="shared" si="318"/>
        <v>0.26217228464419473</v>
      </c>
      <c r="GC100" s="44">
        <f t="shared" si="318"/>
        <v>0.24024024024024024</v>
      </c>
      <c r="GD100" s="44">
        <f t="shared" si="318"/>
        <v>0.24468085106382978</v>
      </c>
      <c r="GE100" s="44">
        <f t="shared" si="318"/>
        <v>0.22968580715059589</v>
      </c>
      <c r="GF100" s="44">
        <f t="shared" si="318"/>
        <v>0.21305530371713507</v>
      </c>
      <c r="GG100" s="44">
        <f t="shared" si="318"/>
        <v>0.22213181448331978</v>
      </c>
      <c r="GH100" s="44">
        <f t="shared" si="318"/>
        <v>0.2122356495468278</v>
      </c>
      <c r="GJ100" s="9">
        <f t="shared" ref="GJ100:GK100" si="319">GJ8</f>
        <v>57</v>
      </c>
      <c r="GK100" s="21" t="str">
        <f t="shared" si="319"/>
        <v>Weber</v>
      </c>
      <c r="GL100" s="44">
        <f>IFERROR(GL54/GL8, 0)</f>
        <v>0.1998320738874895</v>
      </c>
      <c r="GM100" s="44">
        <f t="shared" ref="GM100:GU100" si="320">IFERROR(GM54/GM8, 0)</f>
        <v>0.20385232744783308</v>
      </c>
      <c r="GN100" s="44">
        <f t="shared" si="320"/>
        <v>0.18253968253968253</v>
      </c>
      <c r="GO100" s="44">
        <f t="shared" si="320"/>
        <v>0.18248847926267281</v>
      </c>
      <c r="GP100" s="44">
        <f t="shared" si="320"/>
        <v>0.18887015177065766</v>
      </c>
      <c r="GQ100" s="44">
        <f t="shared" si="320"/>
        <v>0.2244062244062244</v>
      </c>
      <c r="GR100" s="44">
        <f t="shared" si="320"/>
        <v>0.19550748752079866</v>
      </c>
      <c r="GS100" s="44">
        <f t="shared" si="320"/>
        <v>0.18713872832369943</v>
      </c>
      <c r="GT100" s="44">
        <f t="shared" si="320"/>
        <v>0.18535127055306427</v>
      </c>
      <c r="GU100" s="44">
        <f t="shared" si="320"/>
        <v>0.18685121107266436</v>
      </c>
    </row>
    <row r="101" spans="153:203" x14ac:dyDescent="0.25">
      <c r="EW101" s="9">
        <f t="shared" ref="EW101:EX101" si="321">EW9</f>
        <v>11</v>
      </c>
      <c r="EX101" s="21" t="str">
        <f t="shared" si="321"/>
        <v>Davis</v>
      </c>
      <c r="EY101" s="44">
        <f t="shared" ref="EY101:FH101" si="322">IFERROR(EY55/EY9, 0)</f>
        <v>8.6123973782520191E-3</v>
      </c>
      <c r="EZ101" s="44">
        <f t="shared" si="322"/>
        <v>8.872331739181151E-3</v>
      </c>
      <c r="FA101" s="44">
        <f t="shared" si="322"/>
        <v>8.7875855642762426E-3</v>
      </c>
      <c r="FB101" s="44">
        <f t="shared" si="322"/>
        <v>1.0384407762025172E-2</v>
      </c>
      <c r="FC101" s="44">
        <f t="shared" si="322"/>
        <v>9.3258911793772537E-3</v>
      </c>
      <c r="FD101" s="44">
        <f t="shared" si="322"/>
        <v>9.1323276298471198E-3</v>
      </c>
      <c r="FE101" s="44">
        <f t="shared" si="322"/>
        <v>8.5435742045978525E-3</v>
      </c>
      <c r="FF101" s="44">
        <f t="shared" si="322"/>
        <v>1.0241428021060742E-2</v>
      </c>
      <c r="FG101" s="44">
        <f t="shared" si="322"/>
        <v>1.022692965683808E-2</v>
      </c>
      <c r="FH101" s="44">
        <f t="shared" si="322"/>
        <v>8.5282917868048716E-3</v>
      </c>
      <c r="FJ101" s="9">
        <f t="shared" ref="FJ101:FK101" si="323">FJ9</f>
        <v>11</v>
      </c>
      <c r="FK101" s="21" t="str">
        <f t="shared" si="323"/>
        <v>Davis</v>
      </c>
      <c r="FL101" s="44">
        <f t="shared" ref="FL101:FU101" si="324">IFERROR(FL55/FL9, 0)</f>
        <v>6.5908330545332891E-2</v>
      </c>
      <c r="FM101" s="44">
        <f t="shared" si="324"/>
        <v>8.7662337662337664E-2</v>
      </c>
      <c r="FN101" s="44">
        <f t="shared" si="324"/>
        <v>8.0406801207691087E-2</v>
      </c>
      <c r="FO101" s="44">
        <f t="shared" si="324"/>
        <v>7.2243917092219889E-2</v>
      </c>
      <c r="FP101" s="44">
        <f t="shared" si="324"/>
        <v>7.1348156487475375E-2</v>
      </c>
      <c r="FQ101" s="44">
        <f t="shared" si="324"/>
        <v>7.662438519285529E-2</v>
      </c>
      <c r="FR101" s="44">
        <f t="shared" si="324"/>
        <v>7.4360273625538389E-2</v>
      </c>
      <c r="FS101" s="44">
        <f t="shared" si="324"/>
        <v>7.6727230644601324E-2</v>
      </c>
      <c r="FT101" s="44">
        <f t="shared" si="324"/>
        <v>6.799784133837021E-2</v>
      </c>
      <c r="FU101" s="44">
        <f t="shared" si="324"/>
        <v>7.3480777180653156E-2</v>
      </c>
      <c r="FW101" s="9">
        <f t="shared" ref="FW101:FX101" si="325">FW9</f>
        <v>11</v>
      </c>
      <c r="FX101" s="21" t="str">
        <f t="shared" si="325"/>
        <v>Davis</v>
      </c>
      <c r="FY101" s="44">
        <f t="shared" ref="FY101:GH101" si="326">IFERROR(FY55/FY9, 0)</f>
        <v>0.20932878270762229</v>
      </c>
      <c r="FZ101" s="44">
        <f t="shared" si="326"/>
        <v>0.19751552795031055</v>
      </c>
      <c r="GA101" s="44">
        <f t="shared" si="326"/>
        <v>0.1997439180537772</v>
      </c>
      <c r="GB101" s="44">
        <f t="shared" si="326"/>
        <v>0.21177944862155387</v>
      </c>
      <c r="GC101" s="44">
        <f t="shared" si="326"/>
        <v>0.18629807692307693</v>
      </c>
      <c r="GD101" s="44">
        <f t="shared" si="326"/>
        <v>0.2361546499477534</v>
      </c>
      <c r="GE101" s="44">
        <f t="shared" si="326"/>
        <v>0.17758784425451093</v>
      </c>
      <c r="GF101" s="44">
        <f t="shared" si="326"/>
        <v>0.17898193760262726</v>
      </c>
      <c r="GG101" s="44">
        <f t="shared" si="326"/>
        <v>0.18552354181307099</v>
      </c>
      <c r="GH101" s="44">
        <f t="shared" si="326"/>
        <v>0.16236162361623616</v>
      </c>
      <c r="GJ101" s="9">
        <f t="shared" ref="GJ101:GK101" si="327">GJ9</f>
        <v>11</v>
      </c>
      <c r="GK101" s="21" t="str">
        <f t="shared" si="327"/>
        <v>Davis</v>
      </c>
      <c r="GL101" s="44">
        <f t="shared" ref="GL101:GU101" si="328">IFERROR(GL55/GL9, 0)</f>
        <v>0.12221269296740996</v>
      </c>
      <c r="GM101" s="44">
        <f t="shared" si="328"/>
        <v>0.13468634686346864</v>
      </c>
      <c r="GN101" s="44">
        <f t="shared" si="328"/>
        <v>0.12308385933273219</v>
      </c>
      <c r="GO101" s="44">
        <f t="shared" si="328"/>
        <v>0.12111661413777577</v>
      </c>
      <c r="GP101" s="44">
        <f t="shared" si="328"/>
        <v>0.15283446712018139</v>
      </c>
      <c r="GQ101" s="44">
        <f t="shared" si="328"/>
        <v>0.12775735294117646</v>
      </c>
      <c r="GR101" s="44">
        <f t="shared" si="328"/>
        <v>0.14565316340464268</v>
      </c>
      <c r="GS101" s="44">
        <f t="shared" si="328"/>
        <v>0.12524850894632206</v>
      </c>
      <c r="GT101" s="44">
        <f t="shared" si="328"/>
        <v>0.141753748296229</v>
      </c>
      <c r="GU101" s="44">
        <f t="shared" si="328"/>
        <v>0.15840621963070942</v>
      </c>
    </row>
    <row r="102" spans="153:203" x14ac:dyDescent="0.25">
      <c r="EW102" s="9">
        <f t="shared" ref="EW102:EX102" si="329">EW10</f>
        <v>35</v>
      </c>
      <c r="EX102" s="21" t="str">
        <f t="shared" si="329"/>
        <v>Salt Lake</v>
      </c>
      <c r="EY102" s="44">
        <f t="shared" ref="EY102:FH102" si="330">IFERROR(EY56/EY10, 0)</f>
        <v>4.401701120822412E-3</v>
      </c>
      <c r="EZ102" s="44">
        <f t="shared" si="330"/>
        <v>4.8184679618406469E-3</v>
      </c>
      <c r="FA102" s="44">
        <f t="shared" si="330"/>
        <v>5.4479285667126164E-3</v>
      </c>
      <c r="FB102" s="44">
        <f t="shared" si="330"/>
        <v>5.3336242462710248E-3</v>
      </c>
      <c r="FC102" s="44">
        <f t="shared" si="330"/>
        <v>4.8646164392098208E-3</v>
      </c>
      <c r="FD102" s="44">
        <f t="shared" si="330"/>
        <v>4.6356714063617074E-3</v>
      </c>
      <c r="FE102" s="44">
        <f t="shared" si="330"/>
        <v>5.5586098494212624E-3</v>
      </c>
      <c r="FF102" s="44">
        <f t="shared" si="330"/>
        <v>5.3631096340265695E-3</v>
      </c>
      <c r="FG102" s="44">
        <f t="shared" si="330"/>
        <v>5.1448334735618093E-3</v>
      </c>
      <c r="FH102" s="44">
        <f t="shared" si="330"/>
        <v>4.9504101327313707E-3</v>
      </c>
      <c r="FJ102" s="9">
        <f t="shared" ref="FJ102:FK102" si="331">FJ10</f>
        <v>35</v>
      </c>
      <c r="FK102" s="21" t="str">
        <f t="shared" si="331"/>
        <v>Salt Lake</v>
      </c>
      <c r="FL102" s="44">
        <f t="shared" ref="FL102:FU102" si="332">IFERROR(FL56/FL10, 0)</f>
        <v>4.1286583048270618E-2</v>
      </c>
      <c r="FM102" s="44">
        <f t="shared" si="332"/>
        <v>4.2960758787427937E-2</v>
      </c>
      <c r="FN102" s="44">
        <f t="shared" si="332"/>
        <v>4.9953959484346222E-2</v>
      </c>
      <c r="FO102" s="44">
        <f t="shared" si="332"/>
        <v>4.8127158416718323E-2</v>
      </c>
      <c r="FP102" s="44">
        <f t="shared" si="332"/>
        <v>4.6210176339379655E-2</v>
      </c>
      <c r="FQ102" s="44">
        <f t="shared" si="332"/>
        <v>4.9852699238627236E-2</v>
      </c>
      <c r="FR102" s="44">
        <f t="shared" si="332"/>
        <v>4.5008448071323294E-2</v>
      </c>
      <c r="FS102" s="44">
        <f t="shared" si="332"/>
        <v>4.2487982708004003E-2</v>
      </c>
      <c r="FT102" s="44">
        <f t="shared" si="332"/>
        <v>4.2319563152896485E-2</v>
      </c>
      <c r="FU102" s="44">
        <f t="shared" si="332"/>
        <v>4.5882970784156554E-2</v>
      </c>
      <c r="FW102" s="9">
        <f t="shared" ref="FW102:FX102" si="333">FW10</f>
        <v>35</v>
      </c>
      <c r="FX102" s="21" t="str">
        <f t="shared" si="333"/>
        <v>Salt Lake</v>
      </c>
      <c r="FY102" s="44">
        <f t="shared" ref="FY102:GH102" si="334">IFERROR(FY56/FY10, 0)</f>
        <v>0.11716220194289079</v>
      </c>
      <c r="FZ102" s="44">
        <f t="shared" si="334"/>
        <v>0.13182618907809748</v>
      </c>
      <c r="GA102" s="44">
        <f t="shared" si="334"/>
        <v>0.11782569085939873</v>
      </c>
      <c r="GB102" s="44">
        <f t="shared" si="334"/>
        <v>0.13901064495929868</v>
      </c>
      <c r="GC102" s="44">
        <f t="shared" si="334"/>
        <v>0.11432584269662921</v>
      </c>
      <c r="GD102" s="44">
        <f t="shared" si="334"/>
        <v>0.12867915349063488</v>
      </c>
      <c r="GE102" s="44">
        <f t="shared" si="334"/>
        <v>0.1043808672329012</v>
      </c>
      <c r="GF102" s="44">
        <f t="shared" si="334"/>
        <v>0.11215135556855861</v>
      </c>
      <c r="GG102" s="44">
        <f t="shared" si="334"/>
        <v>0.11411992263056092</v>
      </c>
      <c r="GH102" s="44">
        <f t="shared" si="334"/>
        <v>0.11159029649595688</v>
      </c>
      <c r="GJ102" s="9">
        <f t="shared" ref="GJ102:GK102" si="335">GJ10</f>
        <v>35</v>
      </c>
      <c r="GK102" s="21" t="str">
        <f t="shared" si="335"/>
        <v>Salt Lake</v>
      </c>
      <c r="GL102" s="44">
        <f t="shared" ref="GL102:GU102" si="336">IFERROR(GL56/GL10, 0)</f>
        <v>8.832238959701301E-2</v>
      </c>
      <c r="GM102" s="44">
        <f t="shared" si="336"/>
        <v>7.2500635970490973E-2</v>
      </c>
      <c r="GN102" s="44">
        <f t="shared" si="336"/>
        <v>8.5649986761980407E-2</v>
      </c>
      <c r="GO102" s="44">
        <f t="shared" si="336"/>
        <v>7.8129187885285445E-2</v>
      </c>
      <c r="GP102" s="44">
        <f t="shared" si="336"/>
        <v>7.9416531604538085E-2</v>
      </c>
      <c r="GQ102" s="44">
        <f t="shared" si="336"/>
        <v>7.7105888566147349E-2</v>
      </c>
      <c r="GR102" s="44">
        <f t="shared" si="336"/>
        <v>8.9685534591194965E-2</v>
      </c>
      <c r="GS102" s="44">
        <f t="shared" si="336"/>
        <v>7.7465589807757931E-2</v>
      </c>
      <c r="GT102" s="44">
        <f t="shared" si="336"/>
        <v>8.0540427314620869E-2</v>
      </c>
      <c r="GU102" s="44">
        <f t="shared" si="336"/>
        <v>7.1511967308814942E-2</v>
      </c>
    </row>
    <row r="103" spans="153:203" x14ac:dyDescent="0.25">
      <c r="EW103" s="9">
        <f t="shared" ref="EW103:EX103" si="337">EW11</f>
        <v>49</v>
      </c>
      <c r="EX103" s="21" t="str">
        <f t="shared" si="337"/>
        <v>Utah</v>
      </c>
      <c r="EY103" s="44">
        <f t="shared" ref="EY103:FH103" si="338">IFERROR(EY57/EY11, 0)</f>
        <v>9.6617426778343434E-3</v>
      </c>
      <c r="EZ103" s="44">
        <f t="shared" si="338"/>
        <v>8.1120497253272077E-3</v>
      </c>
      <c r="FA103" s="44">
        <f t="shared" si="338"/>
        <v>7.6923778430335417E-3</v>
      </c>
      <c r="FB103" s="44">
        <f t="shared" si="338"/>
        <v>8.7097400165169168E-3</v>
      </c>
      <c r="FC103" s="44">
        <f t="shared" si="338"/>
        <v>7.8422743475773452E-3</v>
      </c>
      <c r="FD103" s="44">
        <f t="shared" si="338"/>
        <v>7.3252938586091257E-3</v>
      </c>
      <c r="FE103" s="44">
        <f t="shared" si="338"/>
        <v>7.1755259680861879E-3</v>
      </c>
      <c r="FF103" s="44">
        <f t="shared" si="338"/>
        <v>7.0374699860988243E-3</v>
      </c>
      <c r="FG103" s="44">
        <f t="shared" si="338"/>
        <v>6.3644016292264197E-3</v>
      </c>
      <c r="FH103" s="44">
        <f t="shared" si="338"/>
        <v>5.9933953289856802E-3</v>
      </c>
      <c r="FJ103" s="9">
        <f t="shared" ref="FJ103:FK103" si="339">FJ11</f>
        <v>49</v>
      </c>
      <c r="FK103" s="21" t="str">
        <f t="shared" si="339"/>
        <v>Utah</v>
      </c>
      <c r="FL103" s="44">
        <f t="shared" ref="FL103:FU103" si="340">IFERROR(FL57/FL11, 0)</f>
        <v>5.901690670006262E-2</v>
      </c>
      <c r="FM103" s="44">
        <f t="shared" si="340"/>
        <v>6.291669859759369E-2</v>
      </c>
      <c r="FN103" s="44">
        <f t="shared" si="340"/>
        <v>5.3442800712570675E-2</v>
      </c>
      <c r="FO103" s="44">
        <f t="shared" si="340"/>
        <v>5.5833395536314098E-2</v>
      </c>
      <c r="FP103" s="44">
        <f t="shared" si="340"/>
        <v>5.1517135996507313E-2</v>
      </c>
      <c r="FQ103" s="44">
        <f t="shared" si="340"/>
        <v>5.6897625804665328E-2</v>
      </c>
      <c r="FR103" s="44">
        <f t="shared" si="340"/>
        <v>4.5255849832861919E-2</v>
      </c>
      <c r="FS103" s="44">
        <f t="shared" si="340"/>
        <v>4.3070716658756523E-2</v>
      </c>
      <c r="FT103" s="44">
        <f t="shared" si="340"/>
        <v>4.5203607543044547E-2</v>
      </c>
      <c r="FU103" s="44">
        <f t="shared" si="340"/>
        <v>4.5463689398511364E-2</v>
      </c>
      <c r="FW103" s="9">
        <f t="shared" ref="FW103:FX103" si="341">FW11</f>
        <v>49</v>
      </c>
      <c r="FX103" s="21" t="str">
        <f t="shared" si="341"/>
        <v>Utah</v>
      </c>
      <c r="FY103" s="44">
        <f t="shared" ref="FY103:GH103" si="342">IFERROR(FY57/FY11, 0)</f>
        <v>0.13366583541147131</v>
      </c>
      <c r="FZ103" s="44">
        <f t="shared" si="342"/>
        <v>0.11428571428571428</v>
      </c>
      <c r="GA103" s="44">
        <f t="shared" si="342"/>
        <v>0.13786591123701605</v>
      </c>
      <c r="GB103" s="44">
        <f t="shared" si="342"/>
        <v>0.15705855651384476</v>
      </c>
      <c r="GC103" s="44">
        <f t="shared" si="342"/>
        <v>0.12415349887133183</v>
      </c>
      <c r="GD103" s="44">
        <f t="shared" si="342"/>
        <v>0.11350884764782046</v>
      </c>
      <c r="GE103" s="44">
        <f t="shared" si="342"/>
        <v>0.10159770585825481</v>
      </c>
      <c r="GF103" s="44">
        <f t="shared" si="342"/>
        <v>0.12260928961748634</v>
      </c>
      <c r="GG103" s="44">
        <f t="shared" si="342"/>
        <v>0.12406382285900358</v>
      </c>
      <c r="GH103" s="44">
        <f t="shared" si="342"/>
        <v>0.13016845329249618</v>
      </c>
      <c r="GJ103" s="9">
        <f t="shared" ref="GJ103:GK103" si="343">GJ11</f>
        <v>49</v>
      </c>
      <c r="GK103" s="21" t="str">
        <f t="shared" si="343"/>
        <v>Utah</v>
      </c>
      <c r="GL103" s="44">
        <f t="shared" ref="GL103:GU103" si="344">IFERROR(GL57/GL11, 0)</f>
        <v>0.10460438086723291</v>
      </c>
      <c r="GM103" s="44">
        <f t="shared" si="344"/>
        <v>0.10652680652680653</v>
      </c>
      <c r="GN103" s="44">
        <f t="shared" si="344"/>
        <v>0.10201149425287356</v>
      </c>
      <c r="GO103" s="44">
        <f t="shared" si="344"/>
        <v>0.10059317844784973</v>
      </c>
      <c r="GP103" s="44">
        <f t="shared" si="344"/>
        <v>9.6100628930817611E-2</v>
      </c>
      <c r="GQ103" s="44">
        <f t="shared" si="344"/>
        <v>9.4197437829691033E-2</v>
      </c>
      <c r="GR103" s="44">
        <f t="shared" si="344"/>
        <v>7.5523202911737947E-2</v>
      </c>
      <c r="GS103" s="44">
        <f t="shared" si="344"/>
        <v>8.9872862779482685E-2</v>
      </c>
      <c r="GT103" s="44">
        <f t="shared" si="344"/>
        <v>9.4961642131453458E-2</v>
      </c>
      <c r="GU103" s="44">
        <f t="shared" si="344"/>
        <v>8.3785412899336956E-2</v>
      </c>
    </row>
    <row r="104" spans="153:203" x14ac:dyDescent="0.25">
      <c r="EW104" s="9">
        <f t="shared" ref="EW104:EX104" si="345">EW12</f>
        <v>1049</v>
      </c>
      <c r="EX104" s="21" t="str">
        <f t="shared" si="345"/>
        <v>State of Utah</v>
      </c>
      <c r="EY104" s="41">
        <f t="shared" ref="EY104:FH104" si="346">IFERROR(EY58/EY12, 0)</f>
        <v>3.189472931792768E-3</v>
      </c>
      <c r="EZ104" s="41">
        <f t="shared" si="346"/>
        <v>3.2712256926943975E-3</v>
      </c>
      <c r="FA104" s="41">
        <f t="shared" si="346"/>
        <v>3.0786093454354896E-3</v>
      </c>
      <c r="FB104" s="41">
        <f t="shared" si="346"/>
        <v>3.2256450694561904E-3</v>
      </c>
      <c r="FC104" s="41">
        <f t="shared" si="346"/>
        <v>3.0717450147504585E-3</v>
      </c>
      <c r="FD104" s="41">
        <f t="shared" si="346"/>
        <v>3.1690738394962209E-3</v>
      </c>
      <c r="FE104" s="41">
        <f t="shared" si="346"/>
        <v>3.4462659918251706E-3</v>
      </c>
      <c r="FF104" s="41">
        <f t="shared" si="346"/>
        <v>3.6338294231807169E-3</v>
      </c>
      <c r="FG104" s="41">
        <f t="shared" si="346"/>
        <v>3.0311613149868427E-3</v>
      </c>
      <c r="FH104" s="41">
        <f t="shared" si="346"/>
        <v>2.8719763644929363E-3</v>
      </c>
      <c r="FJ104" s="9">
        <f t="shared" ref="FJ104:FK104" si="347">FJ12</f>
        <v>1049</v>
      </c>
      <c r="FK104" s="21" t="str">
        <f t="shared" si="347"/>
        <v>State of Utah</v>
      </c>
      <c r="FL104" s="41">
        <f t="shared" ref="FL104:FU104" si="348">IFERROR(FL58/FL12, 0)</f>
        <v>2.2597234520809209E-2</v>
      </c>
      <c r="FM104" s="41">
        <f t="shared" si="348"/>
        <v>2.5329451167174378E-2</v>
      </c>
      <c r="FN104" s="41">
        <f t="shared" si="348"/>
        <v>2.8477416509777982E-2</v>
      </c>
      <c r="FO104" s="41">
        <f t="shared" si="348"/>
        <v>2.6962519135487483E-2</v>
      </c>
      <c r="FP104" s="41">
        <f t="shared" si="348"/>
        <v>2.5494800402549481E-2</v>
      </c>
      <c r="FQ104" s="41">
        <f t="shared" si="348"/>
        <v>2.7069334711659159E-2</v>
      </c>
      <c r="FR104" s="41">
        <f t="shared" si="348"/>
        <v>2.7488242897610076E-2</v>
      </c>
      <c r="FS104" s="41">
        <f t="shared" si="348"/>
        <v>2.4113916179579656E-2</v>
      </c>
      <c r="FT104" s="41">
        <f t="shared" si="348"/>
        <v>2.4981306505336143E-2</v>
      </c>
      <c r="FU104" s="41">
        <f t="shared" si="348"/>
        <v>2.4826492575735732E-2</v>
      </c>
      <c r="FW104" s="9">
        <f t="shared" ref="FW104:FX104" si="349">FW12</f>
        <v>1049</v>
      </c>
      <c r="FX104" s="21" t="str">
        <f t="shared" si="349"/>
        <v>State of Utah</v>
      </c>
      <c r="FY104" s="41">
        <f t="shared" ref="FY104:GH104" si="350">IFERROR(FY58/FY12, 0)</f>
        <v>6.398423727055895E-2</v>
      </c>
      <c r="FZ104" s="41">
        <f t="shared" si="350"/>
        <v>6.6202090592334492E-2</v>
      </c>
      <c r="GA104" s="41">
        <f t="shared" si="350"/>
        <v>6.8497474747474751E-2</v>
      </c>
      <c r="GB104" s="41">
        <f t="shared" si="350"/>
        <v>7.0144628099173559E-2</v>
      </c>
      <c r="GC104" s="41">
        <f t="shared" si="350"/>
        <v>6.2902282036278526E-2</v>
      </c>
      <c r="GD104" s="41">
        <f t="shared" si="350"/>
        <v>7.1160066439374073E-2</v>
      </c>
      <c r="GE104" s="41">
        <f t="shared" si="350"/>
        <v>5.1824518245182451E-2</v>
      </c>
      <c r="GF104" s="41">
        <f t="shared" si="350"/>
        <v>6.3287514318442151E-2</v>
      </c>
      <c r="GG104" s="41">
        <f t="shared" si="350"/>
        <v>5.8326078845914689E-2</v>
      </c>
      <c r="GH104" s="41">
        <f t="shared" si="350"/>
        <v>6.6317523831940686E-2</v>
      </c>
      <c r="GJ104" s="9">
        <f t="shared" ref="GJ104:GK104" si="351">GJ12</f>
        <v>1049</v>
      </c>
      <c r="GK104" s="21" t="str">
        <f t="shared" si="351"/>
        <v>State of Utah</v>
      </c>
      <c r="GL104" s="41">
        <f t="shared" ref="GL104:GU104" si="352">IFERROR(GL58/GL12, 0)</f>
        <v>4.4179267626161416E-2</v>
      </c>
      <c r="GM104" s="41">
        <f t="shared" si="352"/>
        <v>4.6033530017795261E-2</v>
      </c>
      <c r="GN104" s="41">
        <f t="shared" si="352"/>
        <v>4.4006664706458885E-2</v>
      </c>
      <c r="GO104" s="41">
        <f t="shared" si="352"/>
        <v>4.8816194658993388E-2</v>
      </c>
      <c r="GP104" s="41">
        <f t="shared" si="352"/>
        <v>3.8371548900327561E-2</v>
      </c>
      <c r="GQ104" s="41">
        <f t="shared" si="352"/>
        <v>4.2556468172484596E-2</v>
      </c>
      <c r="GR104" s="41">
        <f t="shared" si="352"/>
        <v>4.8273230299561154E-2</v>
      </c>
      <c r="GS104" s="41">
        <f t="shared" si="352"/>
        <v>4.5263297754550687E-2</v>
      </c>
      <c r="GT104" s="41">
        <f t="shared" si="352"/>
        <v>4.8849616538846286E-2</v>
      </c>
      <c r="GU104" s="41">
        <f t="shared" si="352"/>
        <v>4.624547471680486E-2</v>
      </c>
    </row>
    <row r="105" spans="153:203" x14ac:dyDescent="0.25">
      <c r="EW105" s="9">
        <f t="shared" ref="EW105:EX105" si="353">EW13</f>
        <v>1000</v>
      </c>
      <c r="EX105" s="21" t="str">
        <f t="shared" si="353"/>
        <v>United States</v>
      </c>
      <c r="EY105" s="41">
        <f t="shared" ref="EY105:FH105" si="354">IFERROR(EY59/EY13, 0)</f>
        <v>8.6686991245953874E-4</v>
      </c>
      <c r="EZ105" s="41">
        <f t="shared" si="354"/>
        <v>9.5171487114831775E-4</v>
      </c>
      <c r="FA105" s="41">
        <f t="shared" si="354"/>
        <v>9.8940166964989738E-4</v>
      </c>
      <c r="FB105" s="41">
        <f t="shared" si="354"/>
        <v>1.021363708444267E-3</v>
      </c>
      <c r="FC105" s="41">
        <f t="shared" si="354"/>
        <v>1.0052063594774108E-3</v>
      </c>
      <c r="FD105" s="41">
        <f t="shared" si="354"/>
        <v>9.982790072084846E-4</v>
      </c>
      <c r="FE105" s="41">
        <f t="shared" si="354"/>
        <v>1.0259272407982928E-3</v>
      </c>
      <c r="FF105" s="41">
        <f t="shared" si="354"/>
        <v>1.0335773727346551E-3</v>
      </c>
      <c r="FG105" s="41">
        <f t="shared" si="354"/>
        <v>1.1229117864122666E-3</v>
      </c>
      <c r="FH105" s="41">
        <f t="shared" si="354"/>
        <v>1.1134718982449829E-3</v>
      </c>
      <c r="FJ105" s="9">
        <f t="shared" ref="FJ105:FK105" si="355">FJ13</f>
        <v>1000</v>
      </c>
      <c r="FK105" s="21" t="str">
        <f t="shared" si="355"/>
        <v>United States</v>
      </c>
      <c r="FL105" s="41">
        <f t="shared" ref="FL105:FU105" si="356">IFERROR(FL59/FL13, 0)</f>
        <v>3.4182193452325146E-3</v>
      </c>
      <c r="FM105" s="41">
        <f t="shared" si="356"/>
        <v>3.2969040546249021E-3</v>
      </c>
      <c r="FN105" s="41">
        <f t="shared" si="356"/>
        <v>2.7047513320080587E-3</v>
      </c>
      <c r="FO105" s="41">
        <f t="shared" si="356"/>
        <v>3.5140005143569257E-3</v>
      </c>
      <c r="FP105" s="41">
        <f t="shared" si="356"/>
        <v>3.1790829949683965E-3</v>
      </c>
      <c r="FQ105" s="41">
        <f t="shared" si="356"/>
        <v>2.837044883173977E-3</v>
      </c>
      <c r="FR105" s="41">
        <f t="shared" si="356"/>
        <v>2.9051806904104721E-3</v>
      </c>
      <c r="FS105" s="41">
        <f t="shared" si="356"/>
        <v>2.8748856264256676E-3</v>
      </c>
      <c r="FT105" s="41">
        <f t="shared" si="356"/>
        <v>2.8515682412868335E-3</v>
      </c>
      <c r="FU105" s="41">
        <f t="shared" si="356"/>
        <v>3.4492293294386229E-3</v>
      </c>
      <c r="FW105" s="9">
        <f t="shared" ref="FW105:FX105" si="357">FW13</f>
        <v>1000</v>
      </c>
      <c r="FX105" s="21" t="str">
        <f t="shared" si="357"/>
        <v>United States</v>
      </c>
      <c r="FY105" s="41">
        <f t="shared" ref="FY105:GH105" si="358">IFERROR(FY59/FY13, 0)</f>
        <v>8.2461389121420963E-3</v>
      </c>
      <c r="FZ105" s="41">
        <f t="shared" si="358"/>
        <v>8.7481643394772424E-3</v>
      </c>
      <c r="GA105" s="41">
        <f t="shared" si="358"/>
        <v>8.9784254071458205E-3</v>
      </c>
      <c r="GB105" s="41">
        <f t="shared" si="358"/>
        <v>1.0187590187590188E-2</v>
      </c>
      <c r="GC105" s="41">
        <f t="shared" si="358"/>
        <v>9.1838005037204445E-3</v>
      </c>
      <c r="GD105" s="41">
        <f t="shared" si="358"/>
        <v>8.3098380801010421E-3</v>
      </c>
      <c r="GE105" s="41">
        <f t="shared" si="358"/>
        <v>8.7403719601985164E-3</v>
      </c>
      <c r="GF105" s="41">
        <f t="shared" si="358"/>
        <v>9.90349702278049E-3</v>
      </c>
      <c r="GG105" s="41">
        <f t="shared" si="358"/>
        <v>9.0479626124282068E-3</v>
      </c>
      <c r="GH105" s="41">
        <f t="shared" si="358"/>
        <v>9.860141853172041E-3</v>
      </c>
      <c r="GJ105" s="9">
        <f t="shared" ref="GJ105:GK105" si="359">GJ13</f>
        <v>1000</v>
      </c>
      <c r="GK105" s="21" t="str">
        <f t="shared" si="359"/>
        <v>United States</v>
      </c>
      <c r="GL105" s="41">
        <f t="shared" ref="GL105:GU105" si="360">IFERROR(GL59/GL13, 0)</f>
        <v>6.3116389458853783E-3</v>
      </c>
      <c r="GM105" s="41">
        <f t="shared" si="360"/>
        <v>5.780246693788388E-3</v>
      </c>
      <c r="GN105" s="41">
        <f t="shared" si="360"/>
        <v>5.6834501537871849E-3</v>
      </c>
      <c r="GO105" s="41">
        <f t="shared" si="360"/>
        <v>6.2765467491485705E-3</v>
      </c>
      <c r="GP105" s="41">
        <f t="shared" si="360"/>
        <v>6.8850572836766004E-3</v>
      </c>
      <c r="GQ105" s="41">
        <f t="shared" si="360"/>
        <v>6.9102564102564105E-3</v>
      </c>
      <c r="GR105" s="41">
        <f t="shared" si="360"/>
        <v>6.0216721553147537E-3</v>
      </c>
      <c r="GS105" s="41">
        <f t="shared" si="360"/>
        <v>7.285993487929238E-3</v>
      </c>
      <c r="GT105" s="41">
        <f t="shared" si="360"/>
        <v>7.5642495600939759E-3</v>
      </c>
      <c r="GU105" s="41">
        <f t="shared" si="360"/>
        <v>8.7959106362960615E-3</v>
      </c>
    </row>
    <row r="107" spans="153:203" x14ac:dyDescent="0.25">
      <c r="EW107" s="49">
        <f>EW96 + 0.2</f>
        <v>100.2</v>
      </c>
      <c r="EX107" s="21" t="str">
        <f>EX96</f>
        <v>Total Workers</v>
      </c>
      <c r="EY107" s="10"/>
      <c r="EZ107" s="10"/>
      <c r="FA107" s="10"/>
      <c r="FB107" s="10"/>
      <c r="FC107" s="10"/>
      <c r="FD107" s="36" t="s">
        <v>622</v>
      </c>
      <c r="FE107" s="10"/>
      <c r="FF107" s="10"/>
      <c r="FG107" s="10"/>
      <c r="FH107" s="10"/>
      <c r="FJ107" s="49">
        <f>FJ96 + 0.2</f>
        <v>700.2</v>
      </c>
      <c r="FK107" s="21" t="str">
        <f>FK96</f>
        <v>Worked at home</v>
      </c>
      <c r="FL107" s="10"/>
      <c r="FM107" s="10"/>
      <c r="FN107" s="10"/>
      <c r="FO107" s="10"/>
      <c r="FP107" s="10"/>
      <c r="FQ107" s="36" t="s">
        <v>622</v>
      </c>
      <c r="FR107" s="10"/>
      <c r="FS107" s="10"/>
      <c r="FT107" s="10"/>
      <c r="FU107" s="10"/>
      <c r="FW107" s="49">
        <f>FW96 + 0.2</f>
        <v>712.2</v>
      </c>
      <c r="FX107" s="21" t="str">
        <f>FX96</f>
        <v>Self-employed in own incorporated business workers</v>
      </c>
      <c r="FY107" s="10"/>
      <c r="FZ107" s="10"/>
      <c r="GA107" s="10"/>
      <c r="GB107" s="10"/>
      <c r="GC107" s="10"/>
      <c r="GD107" s="36" t="s">
        <v>622</v>
      </c>
      <c r="GE107" s="10"/>
      <c r="GF107" s="10"/>
      <c r="GG107" s="10"/>
      <c r="GH107" s="10"/>
      <c r="GJ107" s="49">
        <f>GJ96 + 0.2</f>
        <v>760.2</v>
      </c>
      <c r="GK107" s="21" t="str">
        <f>GK96</f>
        <v>Self-employed in own not incorporated business workers</v>
      </c>
      <c r="GL107" s="10"/>
      <c r="GM107" s="10"/>
      <c r="GN107" s="10"/>
      <c r="GO107" s="10"/>
      <c r="GP107" s="10"/>
      <c r="GQ107" s="36" t="s">
        <v>622</v>
      </c>
      <c r="GR107" s="10"/>
      <c r="GS107" s="10"/>
      <c r="GT107" s="10"/>
      <c r="GU107" s="10"/>
    </row>
    <row r="108" spans="153:203" x14ac:dyDescent="0.25">
      <c r="EW108" s="10"/>
      <c r="EX108" s="38" t="s">
        <v>620</v>
      </c>
      <c r="EY108" s="2">
        <v>2010</v>
      </c>
      <c r="EZ108" s="2">
        <v>2011</v>
      </c>
      <c r="FA108" s="2">
        <v>2012</v>
      </c>
      <c r="FB108" s="2">
        <v>2013</v>
      </c>
      <c r="FC108" s="2">
        <v>2014</v>
      </c>
      <c r="FD108" s="2">
        <v>2015</v>
      </c>
      <c r="FE108" s="2">
        <v>2016</v>
      </c>
      <c r="FF108" s="2">
        <v>2017</v>
      </c>
      <c r="FG108" s="2">
        <v>2018</v>
      </c>
      <c r="FH108" s="2">
        <v>2019</v>
      </c>
      <c r="FJ108" s="10"/>
      <c r="FK108" s="38" t="s">
        <v>620</v>
      </c>
      <c r="FL108" s="2">
        <v>2010</v>
      </c>
      <c r="FM108" s="2">
        <v>2011</v>
      </c>
      <c r="FN108" s="2">
        <v>2012</v>
      </c>
      <c r="FO108" s="2">
        <v>2013</v>
      </c>
      <c r="FP108" s="2">
        <v>2014</v>
      </c>
      <c r="FQ108" s="2">
        <v>2015</v>
      </c>
      <c r="FR108" s="2">
        <v>2016</v>
      </c>
      <c r="FS108" s="2">
        <v>2017</v>
      </c>
      <c r="FT108" s="2">
        <v>2018</v>
      </c>
      <c r="FU108" s="2">
        <v>2019</v>
      </c>
      <c r="FW108" s="10"/>
      <c r="FX108" s="38" t="s">
        <v>620</v>
      </c>
      <c r="FY108" s="2">
        <v>2010</v>
      </c>
      <c r="FZ108" s="2">
        <v>2011</v>
      </c>
      <c r="GA108" s="2">
        <v>2012</v>
      </c>
      <c r="GB108" s="2">
        <v>2013</v>
      </c>
      <c r="GC108" s="2">
        <v>2014</v>
      </c>
      <c r="GD108" s="2">
        <v>2015</v>
      </c>
      <c r="GE108" s="2">
        <v>2016</v>
      </c>
      <c r="GF108" s="2">
        <v>2017</v>
      </c>
      <c r="GG108" s="2">
        <v>2018</v>
      </c>
      <c r="GH108" s="2">
        <v>2019</v>
      </c>
      <c r="GJ108" s="10"/>
      <c r="GK108" s="38" t="s">
        <v>620</v>
      </c>
      <c r="GL108" s="2">
        <v>2010</v>
      </c>
      <c r="GM108" s="2">
        <v>2011</v>
      </c>
      <c r="GN108" s="2">
        <v>2012</v>
      </c>
      <c r="GO108" s="2">
        <v>2013</v>
      </c>
      <c r="GP108" s="2">
        <v>2014</v>
      </c>
      <c r="GQ108" s="2">
        <v>2015</v>
      </c>
      <c r="GR108" s="2">
        <v>2016</v>
      </c>
      <c r="GS108" s="2">
        <v>2017</v>
      </c>
      <c r="GT108" s="2">
        <v>2018</v>
      </c>
      <c r="GU108" s="2">
        <v>2019</v>
      </c>
    </row>
    <row r="109" spans="153:203" x14ac:dyDescent="0.25">
      <c r="EW109" s="9">
        <f t="shared" ref="EW109:EX109" si="361">EW17</f>
        <v>1</v>
      </c>
      <c r="EX109" s="21" t="str">
        <f t="shared" si="361"/>
        <v>Beaver</v>
      </c>
      <c r="EY109" s="44">
        <f t="shared" ref="EY109:FH109" si="362">IFERROR(EY63/EY17, 0)</f>
        <v>0.12458745874587458</v>
      </c>
      <c r="EZ109" s="44">
        <f t="shared" si="362"/>
        <v>9.2679127725856694E-2</v>
      </c>
      <c r="FA109" s="44">
        <f t="shared" si="362"/>
        <v>8.0199539524174981E-2</v>
      </c>
      <c r="FB109" s="44">
        <f t="shared" si="362"/>
        <v>7.5018754688672168E-2</v>
      </c>
      <c r="FC109" s="44">
        <f t="shared" si="362"/>
        <v>6.6617320503330871E-2</v>
      </c>
      <c r="FD109" s="44">
        <f t="shared" si="362"/>
        <v>4.5565217391304348E-2</v>
      </c>
      <c r="FE109" s="44">
        <f t="shared" si="362"/>
        <v>5.1254089422028352E-2</v>
      </c>
      <c r="FF109" s="44">
        <f t="shared" si="362"/>
        <v>6.3479923518164436E-2</v>
      </c>
      <c r="FG109" s="44">
        <f t="shared" si="362"/>
        <v>4.8662704309063894E-2</v>
      </c>
      <c r="FH109" s="44">
        <f t="shared" si="362"/>
        <v>6.4309890936442266E-2</v>
      </c>
      <c r="FJ109" s="9">
        <f t="shared" ref="FJ109:FK109" si="363">FJ17</f>
        <v>1</v>
      </c>
      <c r="FK109" s="21" t="str">
        <f t="shared" si="363"/>
        <v>Beaver</v>
      </c>
      <c r="FL109" s="44">
        <f t="shared" ref="FL109:FU109" si="364">IFERROR(FL63/FL17, 0)</f>
        <v>0.39644970414201186</v>
      </c>
      <c r="FM109" s="44">
        <f t="shared" si="364"/>
        <v>0.39855072463768115</v>
      </c>
      <c r="FN109" s="44">
        <f t="shared" si="364"/>
        <v>0.51111111111111107</v>
      </c>
      <c r="FO109" s="44">
        <f t="shared" si="364"/>
        <v>0.4943820224719101</v>
      </c>
      <c r="FP109" s="44">
        <f t="shared" si="364"/>
        <v>0.48571428571428571</v>
      </c>
      <c r="FQ109" s="44">
        <f t="shared" si="364"/>
        <v>0.6097560975609756</v>
      </c>
      <c r="FR109" s="44">
        <f t="shared" si="364"/>
        <v>0.5714285714285714</v>
      </c>
      <c r="FS109" s="44">
        <f t="shared" si="364"/>
        <v>0.7191011235955056</v>
      </c>
      <c r="FT109" s="44">
        <f t="shared" si="364"/>
        <v>0.53703703703703709</v>
      </c>
      <c r="FU109" s="44">
        <f t="shared" si="364"/>
        <v>0.48427672955974843</v>
      </c>
      <c r="FW109" s="9">
        <f t="shared" ref="FW109:FX109" si="365">FW17</f>
        <v>1</v>
      </c>
      <c r="FX109" s="21" t="str">
        <f t="shared" si="365"/>
        <v>Beaver</v>
      </c>
      <c r="FY109" s="44">
        <f t="shared" ref="FY109:GH109" si="366">IFERROR(FY63/FY17, 0)</f>
        <v>1.1794871794871795</v>
      </c>
      <c r="FZ109" s="44">
        <f t="shared" si="366"/>
        <v>1.3846153846153846</v>
      </c>
      <c r="GA109" s="44">
        <f t="shared" si="366"/>
        <v>1.4166666666666667</v>
      </c>
      <c r="GB109" s="44">
        <f t="shared" si="366"/>
        <v>0</v>
      </c>
      <c r="GC109" s="44">
        <f t="shared" si="366"/>
        <v>1.1666666666666667</v>
      </c>
      <c r="GD109" s="44">
        <f t="shared" si="366"/>
        <v>1</v>
      </c>
      <c r="GE109" s="44">
        <f t="shared" si="366"/>
        <v>0.9285714285714286</v>
      </c>
      <c r="GF109" s="44">
        <f t="shared" si="366"/>
        <v>0.8666666666666667</v>
      </c>
      <c r="GG109" s="44">
        <f t="shared" si="366"/>
        <v>0.8</v>
      </c>
      <c r="GH109" s="44">
        <f t="shared" si="366"/>
        <v>1.0909090909090908</v>
      </c>
      <c r="GJ109" s="9">
        <f t="shared" ref="GJ109:GK109" si="367">GJ17</f>
        <v>1</v>
      </c>
      <c r="GK109" s="21" t="str">
        <f t="shared" si="367"/>
        <v>Beaver</v>
      </c>
      <c r="GL109" s="44">
        <f t="shared" ref="GL109:GU109" si="368">IFERROR(GL63/GL17, 0)</f>
        <v>0.61016949152542377</v>
      </c>
      <c r="GM109" s="44">
        <f t="shared" si="368"/>
        <v>0.6428571428571429</v>
      </c>
      <c r="GN109" s="44">
        <f t="shared" si="368"/>
        <v>0.7142857142857143</v>
      </c>
      <c r="GO109" s="44">
        <f t="shared" si="368"/>
        <v>0.55000000000000004</v>
      </c>
      <c r="GP109" s="44">
        <f t="shared" si="368"/>
        <v>0.67567567567567566</v>
      </c>
      <c r="GQ109" s="44">
        <f t="shared" si="368"/>
        <v>0.875</v>
      </c>
      <c r="GR109" s="44">
        <f t="shared" si="368"/>
        <v>0.76923076923076927</v>
      </c>
      <c r="GS109" s="44">
        <f t="shared" si="368"/>
        <v>0.97142857142857142</v>
      </c>
      <c r="GT109" s="44">
        <f t="shared" si="368"/>
        <v>1</v>
      </c>
      <c r="GU109" s="44">
        <f t="shared" si="368"/>
        <v>0.68571428571428572</v>
      </c>
    </row>
    <row r="110" spans="153:203" x14ac:dyDescent="0.25">
      <c r="EW110" s="9">
        <f t="shared" ref="EW110:EX110" si="369">EW18</f>
        <v>3</v>
      </c>
      <c r="EX110" s="21" t="str">
        <f t="shared" si="369"/>
        <v>Box Elder</v>
      </c>
      <c r="EY110" s="44">
        <f t="shared" ref="EY110:FH110" si="370">IFERROR(EY64/EY18, 0)</f>
        <v>2.2981306610136826E-2</v>
      </c>
      <c r="EZ110" s="44">
        <f t="shared" si="370"/>
        <v>2.2040003791828609E-2</v>
      </c>
      <c r="FA110" s="44">
        <f t="shared" si="370"/>
        <v>2.6186735228300718E-2</v>
      </c>
      <c r="FB110" s="44">
        <f t="shared" si="370"/>
        <v>2.0961313012895662E-2</v>
      </c>
      <c r="FC110" s="44">
        <f t="shared" si="370"/>
        <v>2.3220762093165655E-2</v>
      </c>
      <c r="FD110" s="44">
        <f t="shared" si="370"/>
        <v>2.3448146233729619E-2</v>
      </c>
      <c r="FE110" s="44">
        <f t="shared" si="370"/>
        <v>2.2787641549000419E-2</v>
      </c>
      <c r="FF110" s="44">
        <f t="shared" si="370"/>
        <v>1.9663812242308912E-2</v>
      </c>
      <c r="FG110" s="44">
        <f t="shared" si="370"/>
        <v>2.0250723240115717E-2</v>
      </c>
      <c r="FH110" s="44">
        <f t="shared" si="370"/>
        <v>1.8763703828638893E-2</v>
      </c>
      <c r="FJ110" s="9">
        <f t="shared" ref="FJ110:FK110" si="371">FJ18</f>
        <v>3</v>
      </c>
      <c r="FK110" s="21" t="str">
        <f t="shared" si="371"/>
        <v>Box Elder</v>
      </c>
      <c r="FL110" s="44">
        <f t="shared" ref="FL110:FU110" si="372">IFERROR(FL64/FL18, 0)</f>
        <v>0.16270218839200762</v>
      </c>
      <c r="FM110" s="44">
        <f t="shared" si="372"/>
        <v>0.16361886429258904</v>
      </c>
      <c r="FN110" s="44">
        <f t="shared" si="372"/>
        <v>0.19477693144722524</v>
      </c>
      <c r="FO110" s="44">
        <f t="shared" si="372"/>
        <v>0.19714964370546317</v>
      </c>
      <c r="FP110" s="44">
        <f t="shared" si="372"/>
        <v>0.18826739427012279</v>
      </c>
      <c r="FQ110" s="44">
        <f t="shared" si="372"/>
        <v>0.20391061452513967</v>
      </c>
      <c r="FR110" s="44">
        <f t="shared" si="372"/>
        <v>0.20633059788980071</v>
      </c>
      <c r="FS110" s="44">
        <f t="shared" si="372"/>
        <v>0.17667044167610418</v>
      </c>
      <c r="FT110" s="44">
        <f t="shared" si="372"/>
        <v>0.15586690017513136</v>
      </c>
      <c r="FU110" s="44">
        <f t="shared" si="372"/>
        <v>0.16733067729083664</v>
      </c>
      <c r="FW110" s="9">
        <f t="shared" ref="FW110:FX110" si="373">FW18</f>
        <v>3</v>
      </c>
      <c r="FX110" s="21" t="str">
        <f t="shared" si="373"/>
        <v>Box Elder</v>
      </c>
      <c r="FY110" s="44">
        <f t="shared" ref="FY110:GH110" si="374">IFERROR(FY64/FY18, 0)</f>
        <v>0.41212121212121211</v>
      </c>
      <c r="FZ110" s="44">
        <f t="shared" si="374"/>
        <v>0.44117647058823528</v>
      </c>
      <c r="GA110" s="44">
        <f t="shared" si="374"/>
        <v>0.44370860927152317</v>
      </c>
      <c r="GB110" s="44">
        <f t="shared" si="374"/>
        <v>0.47019867549668876</v>
      </c>
      <c r="GC110" s="44">
        <f t="shared" si="374"/>
        <v>0.47878787878787876</v>
      </c>
      <c r="GD110" s="44">
        <f t="shared" si="374"/>
        <v>0.56164383561643838</v>
      </c>
      <c r="GE110" s="44">
        <f t="shared" si="374"/>
        <v>0.55855855855855852</v>
      </c>
      <c r="GF110" s="44">
        <f t="shared" si="374"/>
        <v>0.38931297709923662</v>
      </c>
      <c r="GG110" s="44">
        <f t="shared" si="374"/>
        <v>0.45180722891566266</v>
      </c>
      <c r="GH110" s="44">
        <f t="shared" si="374"/>
        <v>0.45</v>
      </c>
      <c r="GJ110" s="9">
        <f t="shared" ref="GJ110:GK110" si="375">GJ18</f>
        <v>3</v>
      </c>
      <c r="GK110" s="21" t="str">
        <f t="shared" si="375"/>
        <v>Box Elder</v>
      </c>
      <c r="GL110" s="44">
        <f t="shared" ref="GL110:GU110" si="376">IFERROR(GL64/GL18, 0)</f>
        <v>0.24740484429065743</v>
      </c>
      <c r="GM110" s="44">
        <f t="shared" si="376"/>
        <v>0.26727272727272727</v>
      </c>
      <c r="GN110" s="44">
        <f t="shared" si="376"/>
        <v>0.3094262295081967</v>
      </c>
      <c r="GO110" s="44">
        <f t="shared" si="376"/>
        <v>0.30580357142857145</v>
      </c>
      <c r="GP110" s="44">
        <f t="shared" si="376"/>
        <v>0.2857142857142857</v>
      </c>
      <c r="GQ110" s="44">
        <f t="shared" si="376"/>
        <v>0.37786259541984735</v>
      </c>
      <c r="GR110" s="44">
        <f t="shared" si="376"/>
        <v>0.34217506631299732</v>
      </c>
      <c r="GS110" s="44">
        <f t="shared" si="376"/>
        <v>0.27401129943502822</v>
      </c>
      <c r="GT110" s="44">
        <f t="shared" si="376"/>
        <v>0.22706422018348624</v>
      </c>
      <c r="GU110" s="44">
        <f t="shared" si="376"/>
        <v>0.2412280701754386</v>
      </c>
    </row>
    <row r="111" spans="153:203" x14ac:dyDescent="0.25">
      <c r="EW111" s="9">
        <f t="shared" ref="EW111:EX111" si="377">EW19</f>
        <v>5</v>
      </c>
      <c r="EX111" s="21" t="str">
        <f t="shared" si="377"/>
        <v>Cache</v>
      </c>
      <c r="EY111" s="44">
        <f t="shared" ref="EY111:FH111" si="378">IFERROR(EY65/EY19, 0)</f>
        <v>1.5391562125763198E-2</v>
      </c>
      <c r="EZ111" s="44">
        <f t="shared" si="378"/>
        <v>1.2776650236783609E-2</v>
      </c>
      <c r="FA111" s="44">
        <f t="shared" si="378"/>
        <v>1.5682515337423313E-2</v>
      </c>
      <c r="FB111" s="44">
        <f t="shared" si="378"/>
        <v>1.655067213271046E-2</v>
      </c>
      <c r="FC111" s="44">
        <f t="shared" si="378"/>
        <v>1.3631293365851813E-2</v>
      </c>
      <c r="FD111" s="44">
        <f t="shared" si="378"/>
        <v>1.4562208570794167E-2</v>
      </c>
      <c r="FE111" s="44">
        <f t="shared" si="378"/>
        <v>1.3604577240940878E-2</v>
      </c>
      <c r="FF111" s="44">
        <f t="shared" si="378"/>
        <v>1.6566131069947865E-2</v>
      </c>
      <c r="FG111" s="44">
        <f t="shared" si="378"/>
        <v>1.3884836522783833E-2</v>
      </c>
      <c r="FH111" s="44">
        <f t="shared" si="378"/>
        <v>1.5181276425741585E-2</v>
      </c>
      <c r="FJ111" s="9">
        <f t="shared" ref="FJ111:FK111" si="379">FJ19</f>
        <v>5</v>
      </c>
      <c r="FK111" s="21" t="str">
        <f t="shared" si="379"/>
        <v>Cache</v>
      </c>
      <c r="FL111" s="44">
        <f t="shared" ref="FL111:FU111" si="380">IFERROR(FL65/FL19, 0)</f>
        <v>0.11005830903790087</v>
      </c>
      <c r="FM111" s="44">
        <f t="shared" si="380"/>
        <v>0.1290186125211506</v>
      </c>
      <c r="FN111" s="44">
        <f t="shared" si="380"/>
        <v>0.10707964601769912</v>
      </c>
      <c r="FO111" s="44">
        <f t="shared" si="380"/>
        <v>0.13135228251507322</v>
      </c>
      <c r="FP111" s="44">
        <f t="shared" si="380"/>
        <v>0.12107419208010924</v>
      </c>
      <c r="FQ111" s="44">
        <f t="shared" si="380"/>
        <v>0.11698265429608713</v>
      </c>
      <c r="FR111" s="44">
        <f t="shared" si="380"/>
        <v>0.11372549019607843</v>
      </c>
      <c r="FS111" s="44">
        <f t="shared" si="380"/>
        <v>0.10835913312693499</v>
      </c>
      <c r="FT111" s="44">
        <f t="shared" si="380"/>
        <v>0.11850247524752475</v>
      </c>
      <c r="FU111" s="44">
        <f t="shared" si="380"/>
        <v>0.10259122157588578</v>
      </c>
      <c r="FW111" s="9">
        <f t="shared" ref="FW111:FX111" si="381">FW19</f>
        <v>5</v>
      </c>
      <c r="FX111" s="21" t="str">
        <f t="shared" si="381"/>
        <v>Cache</v>
      </c>
      <c r="FY111" s="44">
        <f t="shared" ref="FY111:GH111" si="382">IFERROR(FY65/FY19, 0)</f>
        <v>0.29599999999999999</v>
      </c>
      <c r="FZ111" s="44">
        <f t="shared" si="382"/>
        <v>0.30239520958083832</v>
      </c>
      <c r="GA111" s="44">
        <f t="shared" si="382"/>
        <v>0.30886850152905199</v>
      </c>
      <c r="GB111" s="44">
        <f t="shared" si="382"/>
        <v>0.33232628398791542</v>
      </c>
      <c r="GC111" s="44">
        <f t="shared" si="382"/>
        <v>0.26923076923076922</v>
      </c>
      <c r="GD111" s="44">
        <f t="shared" si="382"/>
        <v>0.27631578947368424</v>
      </c>
      <c r="GE111" s="44">
        <f t="shared" si="382"/>
        <v>0.23716814159292035</v>
      </c>
      <c r="GF111" s="44">
        <f t="shared" si="382"/>
        <v>0.23111782477341389</v>
      </c>
      <c r="GG111" s="44">
        <f t="shared" si="382"/>
        <v>0.24812030075187969</v>
      </c>
      <c r="GH111" s="44">
        <f t="shared" si="382"/>
        <v>0.21276595744680851</v>
      </c>
      <c r="GJ111" s="9">
        <f t="shared" ref="GJ111:GK111" si="383">GJ19</f>
        <v>5</v>
      </c>
      <c r="GK111" s="21" t="str">
        <f t="shared" si="383"/>
        <v>Cache</v>
      </c>
      <c r="GL111" s="44">
        <f t="shared" ref="GL111:GU111" si="384">IFERROR(GL65/GL19, 0)</f>
        <v>0.18052738336713997</v>
      </c>
      <c r="GM111" s="44">
        <f t="shared" si="384"/>
        <v>0.19354838709677419</v>
      </c>
      <c r="GN111" s="44">
        <f t="shared" si="384"/>
        <v>0.15613382899628253</v>
      </c>
      <c r="GO111" s="44">
        <f t="shared" si="384"/>
        <v>0.18478260869565216</v>
      </c>
      <c r="GP111" s="44">
        <f t="shared" si="384"/>
        <v>0.19078947368421054</v>
      </c>
      <c r="GQ111" s="44">
        <f t="shared" si="384"/>
        <v>0.17095115681233933</v>
      </c>
      <c r="GR111" s="44">
        <f t="shared" si="384"/>
        <v>0.1795774647887324</v>
      </c>
      <c r="GS111" s="44">
        <f t="shared" si="384"/>
        <v>0.15870967741935485</v>
      </c>
      <c r="GT111" s="44">
        <f t="shared" si="384"/>
        <v>0.21646746347941567</v>
      </c>
      <c r="GU111" s="44">
        <f t="shared" si="384"/>
        <v>0.20172201722017219</v>
      </c>
    </row>
    <row r="112" spans="153:203" x14ac:dyDescent="0.25">
      <c r="EW112" s="9">
        <f t="shared" ref="EW112:EX112" si="385">EW20</f>
        <v>7</v>
      </c>
      <c r="EX112" s="21" t="str">
        <f t="shared" si="385"/>
        <v>Carbon</v>
      </c>
      <c r="EY112" s="44">
        <f t="shared" ref="EY112:FH112" si="386">IFERROR(EY66/EY20, 0)</f>
        <v>4.0232558139534885E-2</v>
      </c>
      <c r="EZ112" s="44">
        <f t="shared" si="386"/>
        <v>4.0804531268061495E-2</v>
      </c>
      <c r="FA112" s="44">
        <f t="shared" si="386"/>
        <v>4.0159726183685109E-2</v>
      </c>
      <c r="FB112" s="44">
        <f t="shared" si="386"/>
        <v>3.3408577878103835E-2</v>
      </c>
      <c r="FC112" s="44">
        <f t="shared" si="386"/>
        <v>3.6838580040187544E-2</v>
      </c>
      <c r="FD112" s="44">
        <f t="shared" si="386"/>
        <v>4.0691872713161104E-2</v>
      </c>
      <c r="FE112" s="44">
        <f t="shared" si="386"/>
        <v>3.3155444532758031E-2</v>
      </c>
      <c r="FF112" s="44">
        <f t="shared" si="386"/>
        <v>4.8960739030023091E-2</v>
      </c>
      <c r="FG112" s="44">
        <f t="shared" si="386"/>
        <v>4.4400419531523135E-2</v>
      </c>
      <c r="FH112" s="44">
        <f t="shared" si="386"/>
        <v>4.2391045487020718E-2</v>
      </c>
      <c r="FJ112" s="9">
        <f t="shared" ref="FJ112:FK112" si="387">FJ20</f>
        <v>7</v>
      </c>
      <c r="FK112" s="21" t="str">
        <f t="shared" si="387"/>
        <v>Carbon</v>
      </c>
      <c r="FL112" s="44">
        <f t="shared" ref="FL112:FU112" si="388">IFERROR(FL66/FL20, 0)</f>
        <v>0.42666666666666669</v>
      </c>
      <c r="FM112" s="44">
        <f t="shared" si="388"/>
        <v>0.41125541125541126</v>
      </c>
      <c r="FN112" s="44">
        <f t="shared" si="388"/>
        <v>0.36398467432950193</v>
      </c>
      <c r="FO112" s="44">
        <f t="shared" si="388"/>
        <v>0.33333333333333331</v>
      </c>
      <c r="FP112" s="44">
        <f t="shared" si="388"/>
        <v>0.29962546816479402</v>
      </c>
      <c r="FQ112" s="44">
        <f t="shared" si="388"/>
        <v>0.40343347639484978</v>
      </c>
      <c r="FR112" s="44">
        <f t="shared" si="388"/>
        <v>0.29241877256317689</v>
      </c>
      <c r="FS112" s="44">
        <f t="shared" si="388"/>
        <v>0.31818181818181818</v>
      </c>
      <c r="FT112" s="44">
        <f t="shared" si="388"/>
        <v>0.32978723404255317</v>
      </c>
      <c r="FU112" s="44">
        <f t="shared" si="388"/>
        <v>0.31123919308357351</v>
      </c>
      <c r="FW112" s="9">
        <f t="shared" ref="FW112:FX112" si="389">FW20</f>
        <v>7</v>
      </c>
      <c r="FX112" s="21" t="str">
        <f t="shared" si="389"/>
        <v>Carbon</v>
      </c>
      <c r="FY112" s="44">
        <f t="shared" ref="FY112:GH112" si="390">IFERROR(FY66/FY20, 0)</f>
        <v>1.4666666666666666</v>
      </c>
      <c r="FZ112" s="44">
        <f t="shared" si="390"/>
        <v>2</v>
      </c>
      <c r="GA112" s="44">
        <f t="shared" si="390"/>
        <v>1.3</v>
      </c>
      <c r="GB112" s="44">
        <f t="shared" si="390"/>
        <v>1.3333333333333333</v>
      </c>
      <c r="GC112" s="44">
        <f t="shared" si="390"/>
        <v>0.90476190476190477</v>
      </c>
      <c r="GD112" s="44">
        <f t="shared" si="390"/>
        <v>0.8571428571428571</v>
      </c>
      <c r="GE112" s="44">
        <f t="shared" si="390"/>
        <v>0.8</v>
      </c>
      <c r="GF112" s="44">
        <f t="shared" si="390"/>
        <v>0.90243902439024393</v>
      </c>
      <c r="GG112" s="44">
        <f t="shared" si="390"/>
        <v>0.66055045871559637</v>
      </c>
      <c r="GH112" s="44">
        <f t="shared" si="390"/>
        <v>0.69565217391304346</v>
      </c>
      <c r="GJ112" s="9">
        <f t="shared" ref="GJ112:GK112" si="391">GJ20</f>
        <v>7</v>
      </c>
      <c r="GK112" s="21" t="str">
        <f t="shared" si="391"/>
        <v>Carbon</v>
      </c>
      <c r="GL112" s="44">
        <f t="shared" ref="GL112:GU112" si="392">IFERROR(GL66/GL20, 0)</f>
        <v>0.52212389380530977</v>
      </c>
      <c r="GM112" s="44">
        <f t="shared" si="392"/>
        <v>0.55660377358490565</v>
      </c>
      <c r="GN112" s="44">
        <f t="shared" si="392"/>
        <v>0.49193548387096775</v>
      </c>
      <c r="GO112" s="44">
        <f t="shared" si="392"/>
        <v>0.49549549549549549</v>
      </c>
      <c r="GP112" s="44">
        <f t="shared" si="392"/>
        <v>0.47413793103448276</v>
      </c>
      <c r="GQ112" s="44">
        <f t="shared" si="392"/>
        <v>0.65116279069767447</v>
      </c>
      <c r="GR112" s="44">
        <f t="shared" si="392"/>
        <v>0.61842105263157898</v>
      </c>
      <c r="GS112" s="44">
        <f t="shared" si="392"/>
        <v>0.61038961038961037</v>
      </c>
      <c r="GT112" s="44">
        <f t="shared" si="392"/>
        <v>0.54716981132075471</v>
      </c>
      <c r="GU112" s="44">
        <f t="shared" si="392"/>
        <v>0.5161290322580645</v>
      </c>
    </row>
    <row r="113" spans="153:203" x14ac:dyDescent="0.25">
      <c r="EW113" s="9">
        <f t="shared" ref="EW113:EX113" si="393">EW21</f>
        <v>9</v>
      </c>
      <c r="EX113" s="21" t="str">
        <f t="shared" si="393"/>
        <v>Daggett</v>
      </c>
      <c r="EY113" s="44">
        <f t="shared" ref="EY113:FH113" si="394">IFERROR(EY67/EY21, 0)</f>
        <v>0.27976190476190477</v>
      </c>
      <c r="EZ113" s="44">
        <f t="shared" si="394"/>
        <v>0.24127906976744187</v>
      </c>
      <c r="FA113" s="44">
        <f t="shared" si="394"/>
        <v>0.26022304832713755</v>
      </c>
      <c r="FB113" s="44">
        <f t="shared" si="394"/>
        <v>0.25</v>
      </c>
      <c r="FC113" s="44">
        <f t="shared" si="394"/>
        <v>0.28499999999999998</v>
      </c>
      <c r="FD113" s="44">
        <f t="shared" si="394"/>
        <v>0.2558139534883721</v>
      </c>
      <c r="FE113" s="44">
        <f t="shared" si="394"/>
        <v>0.28673835125448027</v>
      </c>
      <c r="FF113" s="44">
        <f t="shared" si="394"/>
        <v>0.43109540636042404</v>
      </c>
      <c r="FG113" s="44">
        <f t="shared" si="394"/>
        <v>0.41599999999999998</v>
      </c>
      <c r="FH113" s="44">
        <f t="shared" si="394"/>
        <v>0.36633663366336633</v>
      </c>
      <c r="FJ113" s="9">
        <f t="shared" ref="FJ113:FK113" si="395">FJ21</f>
        <v>9</v>
      </c>
      <c r="FK113" s="21" t="str">
        <f t="shared" si="395"/>
        <v>Daggett</v>
      </c>
      <c r="FL113" s="44">
        <f t="shared" ref="FL113:FU113" si="396">IFERROR(FL67/FL21, 0)</f>
        <v>1.3225806451612903</v>
      </c>
      <c r="FM113" s="44">
        <f t="shared" si="396"/>
        <v>1.1621621621621621</v>
      </c>
      <c r="FN113" s="44">
        <f t="shared" si="396"/>
        <v>1.3333333333333333</v>
      </c>
      <c r="FO113" s="44">
        <f t="shared" si="396"/>
        <v>1.1071428571428572</v>
      </c>
      <c r="FP113" s="44">
        <f t="shared" si="396"/>
        <v>1.064516129032258</v>
      </c>
      <c r="FQ113" s="44">
        <f t="shared" si="396"/>
        <v>0.83333333333333337</v>
      </c>
      <c r="FR113" s="44">
        <f t="shared" si="396"/>
        <v>0.81818181818181823</v>
      </c>
      <c r="FS113" s="44">
        <f t="shared" si="396"/>
        <v>0.91304347826086951</v>
      </c>
      <c r="FT113" s="44">
        <f t="shared" si="396"/>
        <v>1.25</v>
      </c>
      <c r="FU113" s="44">
        <f t="shared" si="396"/>
        <v>1.3846153846153846</v>
      </c>
      <c r="FW113" s="9">
        <f t="shared" ref="FW113:FX113" si="397">FW21</f>
        <v>9</v>
      </c>
      <c r="FX113" s="21" t="str">
        <f t="shared" si="397"/>
        <v>Daggett</v>
      </c>
      <c r="FY113" s="44">
        <f t="shared" ref="FY113:GH113" si="398">IFERROR(FY67/FY21, 0)</f>
        <v>1.3225806451612903</v>
      </c>
      <c r="FZ113" s="44">
        <f t="shared" si="398"/>
        <v>1.28125</v>
      </c>
      <c r="GA113" s="44">
        <f t="shared" si="398"/>
        <v>1.5</v>
      </c>
      <c r="GB113" s="44">
        <f t="shared" si="398"/>
        <v>1.45</v>
      </c>
      <c r="GC113" s="44">
        <f t="shared" si="398"/>
        <v>1.4090909090909092</v>
      </c>
      <c r="GD113" s="44">
        <f t="shared" si="398"/>
        <v>0</v>
      </c>
      <c r="GE113" s="44">
        <f t="shared" si="398"/>
        <v>1.4</v>
      </c>
      <c r="GF113" s="44">
        <f t="shared" si="398"/>
        <v>1.6363636363636365</v>
      </c>
      <c r="GG113" s="44">
        <f t="shared" si="398"/>
        <v>1.4444444444444444</v>
      </c>
      <c r="GH113" s="44">
        <f t="shared" si="398"/>
        <v>1.3846153846153846</v>
      </c>
      <c r="GJ113" s="9">
        <f t="shared" ref="GJ113:GK113" si="399">GJ21</f>
        <v>9</v>
      </c>
      <c r="GK113" s="21" t="str">
        <f t="shared" si="399"/>
        <v>Daggett</v>
      </c>
      <c r="GL113" s="44">
        <f t="shared" ref="GL113:GU113" si="400">IFERROR(GL67/GL21, 0)</f>
        <v>0</v>
      </c>
      <c r="GM113" s="44">
        <f t="shared" si="400"/>
        <v>0</v>
      </c>
      <c r="GN113" s="44">
        <f t="shared" si="400"/>
        <v>0</v>
      </c>
      <c r="GO113" s="44">
        <f t="shared" si="400"/>
        <v>1.1666666666666667</v>
      </c>
      <c r="GP113" s="44">
        <f t="shared" si="400"/>
        <v>1.1666666666666667</v>
      </c>
      <c r="GQ113" s="44">
        <f t="shared" si="400"/>
        <v>1.125</v>
      </c>
      <c r="GR113" s="44">
        <f t="shared" si="400"/>
        <v>1.1111111111111112</v>
      </c>
      <c r="GS113" s="44">
        <f t="shared" si="400"/>
        <v>0.88888888888888884</v>
      </c>
      <c r="GT113" s="44">
        <f t="shared" si="400"/>
        <v>0</v>
      </c>
      <c r="GU113" s="44">
        <f t="shared" si="400"/>
        <v>0</v>
      </c>
    </row>
    <row r="114" spans="153:203" x14ac:dyDescent="0.25">
      <c r="EW114" s="9">
        <f t="shared" ref="EW114:EX114" si="401">EW22</f>
        <v>11</v>
      </c>
      <c r="EX114" s="21" t="str">
        <f t="shared" si="401"/>
        <v>Davis</v>
      </c>
      <c r="EY114" s="44">
        <f t="shared" ref="EY114:FH114" si="402">IFERROR(EY68/EY22, 0)</f>
        <v>8.6123973782520191E-3</v>
      </c>
      <c r="EZ114" s="44">
        <f t="shared" si="402"/>
        <v>8.872331739181151E-3</v>
      </c>
      <c r="FA114" s="44">
        <f t="shared" si="402"/>
        <v>8.7875855642762426E-3</v>
      </c>
      <c r="FB114" s="44">
        <f t="shared" si="402"/>
        <v>1.0384407762025172E-2</v>
      </c>
      <c r="FC114" s="44">
        <f t="shared" si="402"/>
        <v>9.3258911793772537E-3</v>
      </c>
      <c r="FD114" s="44">
        <f t="shared" si="402"/>
        <v>9.1323276298471198E-3</v>
      </c>
      <c r="FE114" s="44">
        <f t="shared" si="402"/>
        <v>8.5435742045978525E-3</v>
      </c>
      <c r="FF114" s="44">
        <f t="shared" si="402"/>
        <v>1.0241428021060742E-2</v>
      </c>
      <c r="FG114" s="44">
        <f t="shared" si="402"/>
        <v>1.022692965683808E-2</v>
      </c>
      <c r="FH114" s="44">
        <f t="shared" si="402"/>
        <v>8.5282917868048716E-3</v>
      </c>
      <c r="FJ114" s="9">
        <f t="shared" ref="FJ114:FK114" si="403">FJ22</f>
        <v>11</v>
      </c>
      <c r="FK114" s="21" t="str">
        <f t="shared" si="403"/>
        <v>Davis</v>
      </c>
      <c r="FL114" s="44">
        <f t="shared" ref="FL114:FU114" si="404">IFERROR(FL68/FL22, 0)</f>
        <v>6.5908330545332891E-2</v>
      </c>
      <c r="FM114" s="44">
        <f t="shared" si="404"/>
        <v>8.7662337662337664E-2</v>
      </c>
      <c r="FN114" s="44">
        <f t="shared" si="404"/>
        <v>8.0406801207691087E-2</v>
      </c>
      <c r="FO114" s="44">
        <f t="shared" si="404"/>
        <v>7.2243917092219889E-2</v>
      </c>
      <c r="FP114" s="44">
        <f t="shared" si="404"/>
        <v>7.1348156487475375E-2</v>
      </c>
      <c r="FQ114" s="44">
        <f t="shared" si="404"/>
        <v>7.662438519285529E-2</v>
      </c>
      <c r="FR114" s="44">
        <f t="shared" si="404"/>
        <v>7.4360273625538389E-2</v>
      </c>
      <c r="FS114" s="44">
        <f t="shared" si="404"/>
        <v>7.6727230644601324E-2</v>
      </c>
      <c r="FT114" s="44">
        <f t="shared" si="404"/>
        <v>6.799784133837021E-2</v>
      </c>
      <c r="FU114" s="44">
        <f t="shared" si="404"/>
        <v>7.3480777180653156E-2</v>
      </c>
      <c r="FW114" s="9">
        <f t="shared" ref="FW114:FX114" si="405">FW22</f>
        <v>11</v>
      </c>
      <c r="FX114" s="21" t="str">
        <f t="shared" si="405"/>
        <v>Davis</v>
      </c>
      <c r="FY114" s="44">
        <f t="shared" ref="FY114:GH114" si="406">IFERROR(FY68/FY22, 0)</f>
        <v>0.20932878270762229</v>
      </c>
      <c r="FZ114" s="44">
        <f t="shared" si="406"/>
        <v>0.19751552795031055</v>
      </c>
      <c r="GA114" s="44">
        <f t="shared" si="406"/>
        <v>0.1997439180537772</v>
      </c>
      <c r="GB114" s="44">
        <f t="shared" si="406"/>
        <v>0.21177944862155387</v>
      </c>
      <c r="GC114" s="44">
        <f t="shared" si="406"/>
        <v>0.18629807692307693</v>
      </c>
      <c r="GD114" s="44">
        <f t="shared" si="406"/>
        <v>0.2361546499477534</v>
      </c>
      <c r="GE114" s="44">
        <f t="shared" si="406"/>
        <v>0.17758784425451093</v>
      </c>
      <c r="GF114" s="44">
        <f t="shared" si="406"/>
        <v>0.17898193760262726</v>
      </c>
      <c r="GG114" s="44">
        <f t="shared" si="406"/>
        <v>0.18552354181307099</v>
      </c>
      <c r="GH114" s="44">
        <f t="shared" si="406"/>
        <v>0.16236162361623616</v>
      </c>
      <c r="GJ114" s="9">
        <f t="shared" ref="GJ114:GK114" si="407">GJ22</f>
        <v>11</v>
      </c>
      <c r="GK114" s="21" t="str">
        <f t="shared" si="407"/>
        <v>Davis</v>
      </c>
      <c r="GL114" s="44">
        <f t="shared" ref="GL114:GU114" si="408">IFERROR(GL68/GL22, 0)</f>
        <v>0.12221269296740996</v>
      </c>
      <c r="GM114" s="44">
        <f t="shared" si="408"/>
        <v>0.13468634686346864</v>
      </c>
      <c r="GN114" s="44">
        <f t="shared" si="408"/>
        <v>0.12308385933273219</v>
      </c>
      <c r="GO114" s="44">
        <f t="shared" si="408"/>
        <v>0.12111661413777577</v>
      </c>
      <c r="GP114" s="44">
        <f t="shared" si="408"/>
        <v>0.15283446712018139</v>
      </c>
      <c r="GQ114" s="44">
        <f t="shared" si="408"/>
        <v>0.12775735294117646</v>
      </c>
      <c r="GR114" s="44">
        <f t="shared" si="408"/>
        <v>0.14565316340464268</v>
      </c>
      <c r="GS114" s="44">
        <f t="shared" si="408"/>
        <v>0.12524850894632206</v>
      </c>
      <c r="GT114" s="44">
        <f t="shared" si="408"/>
        <v>0.141753748296229</v>
      </c>
      <c r="GU114" s="44">
        <f t="shared" si="408"/>
        <v>0.15840621963070942</v>
      </c>
    </row>
    <row r="115" spans="153:203" x14ac:dyDescent="0.25">
      <c r="EW115" s="9">
        <f t="shared" ref="EW115:EX115" si="409">EW23</f>
        <v>13</v>
      </c>
      <c r="EX115" s="21" t="str">
        <f t="shared" si="409"/>
        <v>Duchesne</v>
      </c>
      <c r="EY115" s="44">
        <f t="shared" ref="EY115:FH115" si="410">IFERROR(EY69/EY23, 0)</f>
        <v>4.0319133779740703E-2</v>
      </c>
      <c r="EZ115" s="44">
        <f t="shared" si="410"/>
        <v>4.549841444919344E-2</v>
      </c>
      <c r="FA115" s="44">
        <f t="shared" si="410"/>
        <v>2.893235533822331E-2</v>
      </c>
      <c r="FB115" s="44">
        <f t="shared" si="410"/>
        <v>3.579507651363939E-2</v>
      </c>
      <c r="FC115" s="44">
        <f t="shared" si="410"/>
        <v>3.719655442443226E-2</v>
      </c>
      <c r="FD115" s="44">
        <f t="shared" si="410"/>
        <v>2.9904614591389534E-2</v>
      </c>
      <c r="FE115" s="44">
        <f t="shared" si="410"/>
        <v>2.7194226060059286E-2</v>
      </c>
      <c r="FF115" s="44">
        <f t="shared" si="410"/>
        <v>2.5470369896326634E-2</v>
      </c>
      <c r="FG115" s="44">
        <f t="shared" si="410"/>
        <v>2.3082744702320888E-2</v>
      </c>
      <c r="FH115" s="44">
        <f t="shared" si="410"/>
        <v>2.9378388601689572E-2</v>
      </c>
      <c r="FJ115" s="9">
        <f t="shared" ref="FJ115:FK115" si="411">FJ23</f>
        <v>13</v>
      </c>
      <c r="FK115" s="21" t="str">
        <f t="shared" si="411"/>
        <v>Duchesne</v>
      </c>
      <c r="FL115" s="44">
        <f t="shared" ref="FL115:FU115" si="412">IFERROR(FL69/FL23, 0)</f>
        <v>0.36647727272727271</v>
      </c>
      <c r="FM115" s="44">
        <f t="shared" si="412"/>
        <v>0.3875739644970414</v>
      </c>
      <c r="FN115" s="44">
        <f t="shared" si="412"/>
        <v>0.38372093023255816</v>
      </c>
      <c r="FO115" s="44">
        <f t="shared" si="412"/>
        <v>0.35272727272727272</v>
      </c>
      <c r="FP115" s="44">
        <f t="shared" si="412"/>
        <v>0.31004366812227074</v>
      </c>
      <c r="FQ115" s="44">
        <f t="shared" si="412"/>
        <v>0.24267782426778242</v>
      </c>
      <c r="FR115" s="44">
        <f t="shared" si="412"/>
        <v>0.2032967032967033</v>
      </c>
      <c r="FS115" s="44">
        <f t="shared" si="412"/>
        <v>0.15355086372360843</v>
      </c>
      <c r="FT115" s="44">
        <f t="shared" si="412"/>
        <v>0.14074074074074075</v>
      </c>
      <c r="FU115" s="44">
        <f t="shared" si="412"/>
        <v>0.13647959183673469</v>
      </c>
      <c r="FW115" s="9">
        <f t="shared" ref="FW115:FX115" si="413">FW23</f>
        <v>13</v>
      </c>
      <c r="FX115" s="21" t="str">
        <f t="shared" si="413"/>
        <v>Duchesne</v>
      </c>
      <c r="FY115" s="44">
        <f t="shared" ref="FY115:GH115" si="414">IFERROR(FY69/FY23, 0)</f>
        <v>0.83783783783783783</v>
      </c>
      <c r="FZ115" s="44">
        <f t="shared" si="414"/>
        <v>1.1578947368421053</v>
      </c>
      <c r="GA115" s="44">
        <f t="shared" si="414"/>
        <v>1.1785714285714286</v>
      </c>
      <c r="GB115" s="44">
        <f t="shared" si="414"/>
        <v>0.62857142857142856</v>
      </c>
      <c r="GC115" s="44">
        <f t="shared" si="414"/>
        <v>0.55555555555555558</v>
      </c>
      <c r="GD115" s="44">
        <f t="shared" si="414"/>
        <v>0.42253521126760563</v>
      </c>
      <c r="GE115" s="44">
        <f t="shared" si="414"/>
        <v>0.42424242424242425</v>
      </c>
      <c r="GF115" s="44">
        <f t="shared" si="414"/>
        <v>0.31578947368421051</v>
      </c>
      <c r="GG115" s="44">
        <f t="shared" si="414"/>
        <v>0.33333333333333331</v>
      </c>
      <c r="GH115" s="44">
        <f t="shared" si="414"/>
        <v>0.2857142857142857</v>
      </c>
      <c r="GJ115" s="9">
        <f t="shared" ref="GJ115:GK115" si="415">GJ23</f>
        <v>13</v>
      </c>
      <c r="GK115" s="21" t="str">
        <f t="shared" si="415"/>
        <v>Duchesne</v>
      </c>
      <c r="GL115" s="44">
        <f t="shared" ref="GL115:GU115" si="416">IFERROR(GL69/GL23, 0)</f>
        <v>0.61688311688311692</v>
      </c>
      <c r="GM115" s="44">
        <f t="shared" si="416"/>
        <v>0.57309941520467833</v>
      </c>
      <c r="GN115" s="44">
        <f t="shared" si="416"/>
        <v>0.59793814432989689</v>
      </c>
      <c r="GO115" s="44">
        <f t="shared" si="416"/>
        <v>0.55102040816326525</v>
      </c>
      <c r="GP115" s="44">
        <f t="shared" si="416"/>
        <v>0.49295774647887325</v>
      </c>
      <c r="GQ115" s="44">
        <f t="shared" si="416"/>
        <v>0.35483870967741937</v>
      </c>
      <c r="GR115" s="44">
        <f t="shared" si="416"/>
        <v>0.3619047619047619</v>
      </c>
      <c r="GS115" s="44">
        <f t="shared" si="416"/>
        <v>0.29411764705882354</v>
      </c>
      <c r="GT115" s="44">
        <f t="shared" si="416"/>
        <v>0.26382978723404255</v>
      </c>
      <c r="GU115" s="44">
        <f t="shared" si="416"/>
        <v>0.21951219512195122</v>
      </c>
    </row>
    <row r="116" spans="153:203" x14ac:dyDescent="0.25">
      <c r="EW116" s="9">
        <f t="shared" ref="EW116:EX116" si="417">EW24</f>
        <v>15</v>
      </c>
      <c r="EX116" s="21" t="str">
        <f t="shared" si="417"/>
        <v>Emery</v>
      </c>
      <c r="EY116" s="44">
        <f t="shared" ref="EY116:FH116" si="418">IFERROR(EY70/EY24, 0)</f>
        <v>3.5304310158111328E-2</v>
      </c>
      <c r="EZ116" s="44">
        <f t="shared" si="418"/>
        <v>3.4459610651152384E-2</v>
      </c>
      <c r="FA116" s="44">
        <f t="shared" si="418"/>
        <v>4.395857307249712E-2</v>
      </c>
      <c r="FB116" s="44">
        <f t="shared" si="418"/>
        <v>3.6794000468713381E-2</v>
      </c>
      <c r="FC116" s="44">
        <f t="shared" si="418"/>
        <v>4.0183974824497704E-2</v>
      </c>
      <c r="FD116" s="44">
        <f t="shared" si="418"/>
        <v>4.6731295053442708E-2</v>
      </c>
      <c r="FE116" s="44">
        <f t="shared" si="418"/>
        <v>4.6630796822956698E-2</v>
      </c>
      <c r="FF116" s="44">
        <f t="shared" si="418"/>
        <v>4.3579164517792673E-2</v>
      </c>
      <c r="FG116" s="44">
        <f t="shared" si="418"/>
        <v>4.5066045066045064E-2</v>
      </c>
      <c r="FH116" s="44">
        <f t="shared" si="418"/>
        <v>4.657745753988677E-2</v>
      </c>
      <c r="FJ116" s="9">
        <f t="shared" ref="FJ116:FK116" si="419">FJ24</f>
        <v>15</v>
      </c>
      <c r="FK116" s="21" t="str">
        <f t="shared" si="419"/>
        <v>Emery</v>
      </c>
      <c r="FL116" s="44">
        <f t="shared" ref="FL116:FU116" si="420">IFERROR(FL70/FL24, 0)</f>
        <v>0.36781609195402298</v>
      </c>
      <c r="FM116" s="44">
        <f t="shared" si="420"/>
        <v>0.36531365313653136</v>
      </c>
      <c r="FN116" s="44">
        <f t="shared" si="420"/>
        <v>0.37121212121212122</v>
      </c>
      <c r="FO116" s="44">
        <f t="shared" si="420"/>
        <v>0.37065637065637064</v>
      </c>
      <c r="FP116" s="44">
        <f t="shared" si="420"/>
        <v>0.35978835978835977</v>
      </c>
      <c r="FQ116" s="44">
        <f t="shared" si="420"/>
        <v>0.28755364806866951</v>
      </c>
      <c r="FR116" s="44">
        <f t="shared" si="420"/>
        <v>0.31517509727626458</v>
      </c>
      <c r="FS116" s="44">
        <f t="shared" si="420"/>
        <v>0.29545454545454547</v>
      </c>
      <c r="FT116" s="44">
        <f t="shared" si="420"/>
        <v>0.24915824915824916</v>
      </c>
      <c r="FU116" s="44">
        <f t="shared" si="420"/>
        <v>0.26198083067092653</v>
      </c>
      <c r="FW116" s="9">
        <f t="shared" ref="FW116:FX116" si="421">FW24</f>
        <v>15</v>
      </c>
      <c r="FX116" s="21" t="str">
        <f t="shared" si="421"/>
        <v>Emery</v>
      </c>
      <c r="FY116" s="44">
        <f t="shared" ref="FY116:GH116" si="422">IFERROR(FY70/FY24, 0)</f>
        <v>0.87341772151898733</v>
      </c>
      <c r="FZ116" s="44">
        <f t="shared" si="422"/>
        <v>0.8571428571428571</v>
      </c>
      <c r="GA116" s="44">
        <f t="shared" si="422"/>
        <v>0.797752808988764</v>
      </c>
      <c r="GB116" s="44">
        <f t="shared" si="422"/>
        <v>0.85057471264367812</v>
      </c>
      <c r="GC116" s="44">
        <f t="shared" si="422"/>
        <v>0.93548387096774188</v>
      </c>
      <c r="GD116" s="44">
        <f t="shared" si="422"/>
        <v>0.9285714285714286</v>
      </c>
      <c r="GE116" s="44">
        <f t="shared" si="422"/>
        <v>1.0344827586206897</v>
      </c>
      <c r="GF116" s="44">
        <f t="shared" si="422"/>
        <v>1.4615384615384615</v>
      </c>
      <c r="GG116" s="44">
        <f t="shared" si="422"/>
        <v>0.6428571428571429</v>
      </c>
      <c r="GH116" s="44">
        <f t="shared" si="422"/>
        <v>0.82926829268292679</v>
      </c>
      <c r="GJ116" s="9">
        <f t="shared" ref="GJ116:GK116" si="423">GJ24</f>
        <v>15</v>
      </c>
      <c r="GK116" s="21" t="str">
        <f t="shared" si="423"/>
        <v>Emery</v>
      </c>
      <c r="GL116" s="44">
        <f t="shared" ref="GL116:GU116" si="424">IFERROR(GL70/GL24, 0)</f>
        <v>0.5056179775280899</v>
      </c>
      <c r="GM116" s="44">
        <f t="shared" si="424"/>
        <v>0.54216867469879515</v>
      </c>
      <c r="GN116" s="44">
        <f t="shared" si="424"/>
        <v>0.49206349206349204</v>
      </c>
      <c r="GO116" s="44">
        <f t="shared" si="424"/>
        <v>0.44615384615384618</v>
      </c>
      <c r="GP116" s="44">
        <f t="shared" si="424"/>
        <v>0.625</v>
      </c>
      <c r="GQ116" s="44">
        <f t="shared" si="424"/>
        <v>0.41605839416058393</v>
      </c>
      <c r="GR116" s="44">
        <f t="shared" si="424"/>
        <v>0.35502958579881655</v>
      </c>
      <c r="GS116" s="44">
        <f t="shared" si="424"/>
        <v>0.32620320855614976</v>
      </c>
      <c r="GT116" s="44">
        <f t="shared" si="424"/>
        <v>0.32795698924731181</v>
      </c>
      <c r="GU116" s="44">
        <f t="shared" si="424"/>
        <v>0.34682080924855491</v>
      </c>
    </row>
    <row r="117" spans="153:203" x14ac:dyDescent="0.25">
      <c r="EW117" s="9">
        <f t="shared" ref="EW117:EX117" si="425">EW25</f>
        <v>17</v>
      </c>
      <c r="EX117" s="21" t="str">
        <f t="shared" si="425"/>
        <v>Garfield</v>
      </c>
      <c r="EY117" s="44">
        <f t="shared" ref="EY117:FH117" si="426">IFERROR(EY71/EY25, 0)</f>
        <v>6.8938807126258717E-2</v>
      </c>
      <c r="EZ117" s="44">
        <f t="shared" si="426"/>
        <v>6.9187449718423166E-2</v>
      </c>
      <c r="FA117" s="44">
        <f t="shared" si="426"/>
        <v>6.4653339004678859E-2</v>
      </c>
      <c r="FB117" s="44">
        <f t="shared" si="426"/>
        <v>5.9628975265017668E-2</v>
      </c>
      <c r="FC117" s="44">
        <f t="shared" si="426"/>
        <v>7.3217726396917149E-2</v>
      </c>
      <c r="FD117" s="44">
        <f t="shared" si="426"/>
        <v>7.4035989717223652E-2</v>
      </c>
      <c r="FE117" s="44">
        <f t="shared" si="426"/>
        <v>6.3045586808923373E-2</v>
      </c>
      <c r="FF117" s="44">
        <f t="shared" si="426"/>
        <v>7.3069852941176475E-2</v>
      </c>
      <c r="FG117" s="44">
        <f t="shared" si="426"/>
        <v>5.3235429095915561E-2</v>
      </c>
      <c r="FH117" s="44">
        <f t="shared" si="426"/>
        <v>7.8729281767955794E-2</v>
      </c>
      <c r="FJ117" s="9">
        <f t="shared" ref="FJ117:FK117" si="427">FJ25</f>
        <v>17</v>
      </c>
      <c r="FK117" s="21" t="str">
        <f t="shared" si="427"/>
        <v>Garfield</v>
      </c>
      <c r="FL117" s="44">
        <f t="shared" ref="FL117:FU117" si="428">IFERROR(FL71/FL25, 0)</f>
        <v>0.46122448979591835</v>
      </c>
      <c r="FM117" s="44">
        <f t="shared" si="428"/>
        <v>0.41921397379912662</v>
      </c>
      <c r="FN117" s="44">
        <f t="shared" si="428"/>
        <v>0.35971223021582732</v>
      </c>
      <c r="FO117" s="44">
        <f t="shared" si="428"/>
        <v>0.38532110091743121</v>
      </c>
      <c r="FP117" s="44">
        <f t="shared" si="428"/>
        <v>0.39285714285714285</v>
      </c>
      <c r="FQ117" s="44">
        <f t="shared" si="428"/>
        <v>0.36781609195402298</v>
      </c>
      <c r="FR117" s="44">
        <f t="shared" si="428"/>
        <v>0.33582089552238809</v>
      </c>
      <c r="FS117" s="44">
        <f t="shared" si="428"/>
        <v>0.32911392405063289</v>
      </c>
      <c r="FT117" s="44">
        <f t="shared" si="428"/>
        <v>0.39053254437869822</v>
      </c>
      <c r="FU117" s="44">
        <f t="shared" si="428"/>
        <v>0.3615819209039548</v>
      </c>
      <c r="FW117" s="9">
        <f t="shared" ref="FW117:FX117" si="429">FW25</f>
        <v>17</v>
      </c>
      <c r="FX117" s="21" t="str">
        <f t="shared" si="429"/>
        <v>Garfield</v>
      </c>
      <c r="FY117" s="44">
        <f t="shared" ref="FY117:GH117" si="430">IFERROR(FY71/FY25, 0)</f>
        <v>0.97142857142857142</v>
      </c>
      <c r="FZ117" s="44">
        <f t="shared" si="430"/>
        <v>0.81081081081081086</v>
      </c>
      <c r="GA117" s="44">
        <f t="shared" si="430"/>
        <v>1.2</v>
      </c>
      <c r="GB117" s="44">
        <f t="shared" si="430"/>
        <v>0.83333333333333337</v>
      </c>
      <c r="GC117" s="44">
        <f t="shared" si="430"/>
        <v>0.75</v>
      </c>
      <c r="GD117" s="44">
        <f t="shared" si="430"/>
        <v>0.8125</v>
      </c>
      <c r="GE117" s="44">
        <f t="shared" si="430"/>
        <v>0.75</v>
      </c>
      <c r="GF117" s="44">
        <f t="shared" si="430"/>
        <v>0.66666666666666663</v>
      </c>
      <c r="GG117" s="44">
        <f t="shared" si="430"/>
        <v>0.69230769230769229</v>
      </c>
      <c r="GH117" s="44">
        <f t="shared" si="430"/>
        <v>0.74193548387096775</v>
      </c>
      <c r="GJ117" s="9">
        <f t="shared" ref="GJ117:GK117" si="431">GJ25</f>
        <v>17</v>
      </c>
      <c r="GK117" s="21" t="str">
        <f t="shared" si="431"/>
        <v>Garfield</v>
      </c>
      <c r="GL117" s="44">
        <f t="shared" ref="GL117:GU117" si="432">IFERROR(GL71/GL25, 0)</f>
        <v>0.47169811320754718</v>
      </c>
      <c r="GM117" s="44">
        <f t="shared" si="432"/>
        <v>0.50505050505050508</v>
      </c>
      <c r="GN117" s="44">
        <f t="shared" si="432"/>
        <v>0.45977011494252873</v>
      </c>
      <c r="GO117" s="44">
        <f t="shared" si="432"/>
        <v>0.54716981132075471</v>
      </c>
      <c r="GP117" s="44">
        <f t="shared" si="432"/>
        <v>0.5957446808510638</v>
      </c>
      <c r="GQ117" s="44">
        <f t="shared" si="432"/>
        <v>0.46875</v>
      </c>
      <c r="GR117" s="44">
        <f t="shared" si="432"/>
        <v>0.56666666666666665</v>
      </c>
      <c r="GS117" s="44">
        <f t="shared" si="432"/>
        <v>0.63157894736842102</v>
      </c>
      <c r="GT117" s="44">
        <f t="shared" si="432"/>
        <v>0.68292682926829273</v>
      </c>
      <c r="GU117" s="44">
        <f t="shared" si="432"/>
        <v>0.65853658536585369</v>
      </c>
    </row>
    <row r="118" spans="153:203" x14ac:dyDescent="0.25">
      <c r="EW118" s="9">
        <f t="shared" ref="EW118:EX118" si="433">EW26</f>
        <v>19</v>
      </c>
      <c r="EX118" s="21" t="str">
        <f t="shared" si="433"/>
        <v>Grand</v>
      </c>
      <c r="EY118" s="44">
        <f t="shared" ref="EY118:FH118" si="434">IFERROR(EY72/EY26, 0)</f>
        <v>8.4315084315084318E-2</v>
      </c>
      <c r="EZ118" s="44">
        <f t="shared" si="434"/>
        <v>8.6803930744033697E-2</v>
      </c>
      <c r="FA118" s="44">
        <f t="shared" si="434"/>
        <v>5.6818181818181816E-2</v>
      </c>
      <c r="FB118" s="44">
        <f t="shared" si="434"/>
        <v>6.1124171831587949E-2</v>
      </c>
      <c r="FC118" s="44">
        <f t="shared" si="434"/>
        <v>5.9987099548484198E-2</v>
      </c>
      <c r="FD118" s="44">
        <f t="shared" si="434"/>
        <v>6.2217438105489777E-2</v>
      </c>
      <c r="FE118" s="44">
        <f t="shared" si="434"/>
        <v>6.5350877192982451E-2</v>
      </c>
      <c r="FF118" s="44">
        <f t="shared" si="434"/>
        <v>7.0557491289198609E-2</v>
      </c>
      <c r="FG118" s="44">
        <f t="shared" si="434"/>
        <v>6.2259306803594351E-2</v>
      </c>
      <c r="FH118" s="44">
        <f t="shared" si="434"/>
        <v>6.5952184666117061E-2</v>
      </c>
      <c r="FJ118" s="9">
        <f t="shared" ref="FJ118:FK118" si="435">FJ26</f>
        <v>19</v>
      </c>
      <c r="FK118" s="21" t="str">
        <f t="shared" si="435"/>
        <v>Grand</v>
      </c>
      <c r="FL118" s="44">
        <f t="shared" ref="FL118:FU118" si="436">IFERROR(FL72/FL26, 0)</f>
        <v>0.52500000000000002</v>
      </c>
      <c r="FM118" s="44">
        <f t="shared" si="436"/>
        <v>0.60897435897435892</v>
      </c>
      <c r="FN118" s="44">
        <f t="shared" si="436"/>
        <v>0.47470817120622566</v>
      </c>
      <c r="FO118" s="44">
        <f t="shared" si="436"/>
        <v>0.48062015503875971</v>
      </c>
      <c r="FP118" s="44">
        <f t="shared" si="436"/>
        <v>0.40662650602409639</v>
      </c>
      <c r="FQ118" s="44">
        <f t="shared" si="436"/>
        <v>0.41975308641975306</v>
      </c>
      <c r="FR118" s="44">
        <f t="shared" si="436"/>
        <v>0.43324250681198911</v>
      </c>
      <c r="FS118" s="44">
        <f t="shared" si="436"/>
        <v>0.37526205450733752</v>
      </c>
      <c r="FT118" s="44">
        <f t="shared" si="436"/>
        <v>0.31695331695331697</v>
      </c>
      <c r="FU118" s="44">
        <f t="shared" si="436"/>
        <v>0.36430317848410759</v>
      </c>
      <c r="FW118" s="9">
        <f t="shared" ref="FW118:FX118" si="437">FW26</f>
        <v>19</v>
      </c>
      <c r="FX118" s="21" t="str">
        <f t="shared" si="437"/>
        <v>Grand</v>
      </c>
      <c r="FY118" s="44">
        <f t="shared" ref="FY118:GH118" si="438">IFERROR(FY72/FY26, 0)</f>
        <v>0.94594594594594594</v>
      </c>
      <c r="FZ118" s="44">
        <f t="shared" si="438"/>
        <v>1.1052631578947369</v>
      </c>
      <c r="GA118" s="44">
        <f t="shared" si="438"/>
        <v>1.0333333333333334</v>
      </c>
      <c r="GB118" s="44">
        <f t="shared" si="438"/>
        <v>1.037037037037037</v>
      </c>
      <c r="GC118" s="44">
        <f t="shared" si="438"/>
        <v>1</v>
      </c>
      <c r="GD118" s="44">
        <f t="shared" si="438"/>
        <v>0.90476190476190477</v>
      </c>
      <c r="GE118" s="44">
        <f t="shared" si="438"/>
        <v>0.78846153846153844</v>
      </c>
      <c r="GF118" s="44">
        <f t="shared" si="438"/>
        <v>1.032258064516129</v>
      </c>
      <c r="GG118" s="44">
        <f t="shared" si="438"/>
        <v>0.88461538461538458</v>
      </c>
      <c r="GH118" s="44">
        <f t="shared" si="438"/>
        <v>0.98550724637681164</v>
      </c>
      <c r="GJ118" s="9">
        <f t="shared" ref="GJ118:GK118" si="439">GJ26</f>
        <v>19</v>
      </c>
      <c r="GK118" s="21" t="str">
        <f t="shared" si="439"/>
        <v>Grand</v>
      </c>
      <c r="GL118" s="44">
        <f t="shared" ref="GL118:GU118" si="440">IFERROR(GL72/GL26, 0)</f>
        <v>0.8035714285714286</v>
      </c>
      <c r="GM118" s="44">
        <f t="shared" si="440"/>
        <v>1.096774193548387</v>
      </c>
      <c r="GN118" s="44">
        <f t="shared" si="440"/>
        <v>0.8666666666666667</v>
      </c>
      <c r="GO118" s="44">
        <f t="shared" si="440"/>
        <v>0.84057971014492749</v>
      </c>
      <c r="GP118" s="44">
        <f t="shared" si="440"/>
        <v>0.7142857142857143</v>
      </c>
      <c r="GQ118" s="44">
        <f t="shared" si="440"/>
        <v>0.78048780487804881</v>
      </c>
      <c r="GR118" s="44">
        <f t="shared" si="440"/>
        <v>0.61413043478260865</v>
      </c>
      <c r="GS118" s="44">
        <f t="shared" si="440"/>
        <v>0.51712328767123283</v>
      </c>
      <c r="GT118" s="44">
        <f t="shared" si="440"/>
        <v>0.4732142857142857</v>
      </c>
      <c r="GU118" s="44">
        <f t="shared" si="440"/>
        <v>0.54482758620689653</v>
      </c>
    </row>
    <row r="119" spans="153:203" x14ac:dyDescent="0.25">
      <c r="EW119" s="9">
        <f t="shared" ref="EW119:EX119" si="441">EW27</f>
        <v>21</v>
      </c>
      <c r="EX119" s="21" t="str">
        <f t="shared" si="441"/>
        <v>Iron</v>
      </c>
      <c r="EY119" s="44">
        <f t="shared" ref="EY119:FH119" si="442">IFERROR(EY73/EY27, 0)</f>
        <v>2.9870756690084196E-2</v>
      </c>
      <c r="EZ119" s="44">
        <f t="shared" si="442"/>
        <v>4.0428641013151488E-2</v>
      </c>
      <c r="FA119" s="44">
        <f t="shared" si="442"/>
        <v>3.7295281336143994E-2</v>
      </c>
      <c r="FB119" s="44">
        <f t="shared" si="442"/>
        <v>3.7340569877883312E-2</v>
      </c>
      <c r="FC119" s="44">
        <f t="shared" si="442"/>
        <v>3.5891891891891889E-2</v>
      </c>
      <c r="FD119" s="44">
        <f t="shared" si="442"/>
        <v>3.5272821308507889E-2</v>
      </c>
      <c r="FE119" s="44">
        <f t="shared" si="442"/>
        <v>4.3729122380807776E-2</v>
      </c>
      <c r="FF119" s="44">
        <f t="shared" si="442"/>
        <v>3.499275012083132E-2</v>
      </c>
      <c r="FG119" s="44">
        <f t="shared" si="442"/>
        <v>3.5280782128182121E-2</v>
      </c>
      <c r="FH119" s="44">
        <f t="shared" si="442"/>
        <v>2.8125558934001073E-2</v>
      </c>
      <c r="FJ119" s="9">
        <f t="shared" ref="FJ119:FK119" si="443">FJ27</f>
        <v>21</v>
      </c>
      <c r="FK119" s="21" t="str">
        <f t="shared" si="443"/>
        <v>Iron</v>
      </c>
      <c r="FL119" s="44">
        <f t="shared" ref="FL119:FU119" si="444">IFERROR(FL73/FL27, 0)</f>
        <v>0.25761772853185594</v>
      </c>
      <c r="FM119" s="44">
        <f t="shared" si="444"/>
        <v>0.2933709449929478</v>
      </c>
      <c r="FN119" s="44">
        <f t="shared" si="444"/>
        <v>0.24955116696588869</v>
      </c>
      <c r="FO119" s="44">
        <f t="shared" si="444"/>
        <v>0.29583333333333334</v>
      </c>
      <c r="FP119" s="44">
        <f t="shared" si="444"/>
        <v>0.33333333333333331</v>
      </c>
      <c r="FQ119" s="44">
        <f t="shared" si="444"/>
        <v>0.26579925650557623</v>
      </c>
      <c r="FR119" s="44">
        <f t="shared" si="444"/>
        <v>0.29159802306425042</v>
      </c>
      <c r="FS119" s="44">
        <f t="shared" si="444"/>
        <v>0.25757575757575757</v>
      </c>
      <c r="FT119" s="44">
        <f t="shared" si="444"/>
        <v>0.21832358674463936</v>
      </c>
      <c r="FU119" s="44">
        <f t="shared" si="444"/>
        <v>0.19107391910739191</v>
      </c>
      <c r="FW119" s="9">
        <f t="shared" ref="FW119:FX119" si="445">FW27</f>
        <v>21</v>
      </c>
      <c r="FX119" s="21" t="str">
        <f t="shared" si="445"/>
        <v>Iron</v>
      </c>
      <c r="FY119" s="44">
        <f t="shared" ref="FY119:GH119" si="446">IFERROR(FY73/FY27, 0)</f>
        <v>0.6216216216216216</v>
      </c>
      <c r="FZ119" s="44">
        <f t="shared" si="446"/>
        <v>0.6629213483146067</v>
      </c>
      <c r="GA119" s="44">
        <f t="shared" si="446"/>
        <v>0.68181818181818177</v>
      </c>
      <c r="GB119" s="44">
        <f t="shared" si="446"/>
        <v>0.81632653061224492</v>
      </c>
      <c r="GC119" s="44">
        <f t="shared" si="446"/>
        <v>1</v>
      </c>
      <c r="GD119" s="44">
        <f t="shared" si="446"/>
        <v>0.76991150442477874</v>
      </c>
      <c r="GE119" s="44">
        <f t="shared" si="446"/>
        <v>0.90217391304347827</v>
      </c>
      <c r="GF119" s="44">
        <f t="shared" si="446"/>
        <v>0.66666666666666663</v>
      </c>
      <c r="GG119" s="44">
        <f t="shared" si="446"/>
        <v>0.38275862068965516</v>
      </c>
      <c r="GH119" s="44">
        <f t="shared" si="446"/>
        <v>0.42666666666666669</v>
      </c>
      <c r="GJ119" s="9">
        <f t="shared" ref="GJ119:GK119" si="447">GJ27</f>
        <v>21</v>
      </c>
      <c r="GK119" s="21" t="str">
        <f t="shared" si="447"/>
        <v>Iron</v>
      </c>
      <c r="GL119" s="44">
        <f t="shared" ref="GL119:GU119" si="448">IFERROR(GL73/GL27, 0)</f>
        <v>0.3549107142857143</v>
      </c>
      <c r="GM119" s="44">
        <f t="shared" si="448"/>
        <v>0.32935560859188545</v>
      </c>
      <c r="GN119" s="44">
        <f t="shared" si="448"/>
        <v>0.33443708609271522</v>
      </c>
      <c r="GO119" s="44">
        <f t="shared" si="448"/>
        <v>0.36585365853658536</v>
      </c>
      <c r="GP119" s="44">
        <f t="shared" si="448"/>
        <v>0.37021276595744679</v>
      </c>
      <c r="GQ119" s="44">
        <f t="shared" si="448"/>
        <v>0.37448559670781895</v>
      </c>
      <c r="GR119" s="44">
        <f t="shared" si="448"/>
        <v>0.36170212765957449</v>
      </c>
      <c r="GS119" s="44">
        <f t="shared" si="448"/>
        <v>0.51948051948051943</v>
      </c>
      <c r="GT119" s="44">
        <f t="shared" si="448"/>
        <v>0.43062200956937802</v>
      </c>
      <c r="GU119" s="44">
        <f t="shared" si="448"/>
        <v>0.44108761329305135</v>
      </c>
    </row>
    <row r="120" spans="153:203" x14ac:dyDescent="0.25">
      <c r="EW120" s="9">
        <f t="shared" ref="EW120:EX120" si="449">EW28</f>
        <v>23</v>
      </c>
      <c r="EX120" s="21" t="str">
        <f t="shared" si="449"/>
        <v>Juab</v>
      </c>
      <c r="EY120" s="44">
        <f t="shared" ref="EY120:FH120" si="450">IFERROR(EY74/EY28, 0)</f>
        <v>4.7963364666184623E-2</v>
      </c>
      <c r="EZ120" s="44">
        <f t="shared" si="450"/>
        <v>4.9076887123159614E-2</v>
      </c>
      <c r="FA120" s="44">
        <f t="shared" si="450"/>
        <v>5.4762461970512523E-2</v>
      </c>
      <c r="FB120" s="44">
        <f t="shared" si="450"/>
        <v>4.8398410100537761E-2</v>
      </c>
      <c r="FC120" s="44">
        <f t="shared" si="450"/>
        <v>5.5017709563164111E-2</v>
      </c>
      <c r="FD120" s="44">
        <f t="shared" si="450"/>
        <v>5.410491649023759E-2</v>
      </c>
      <c r="FE120" s="44">
        <f t="shared" si="450"/>
        <v>5.9985717686265178E-2</v>
      </c>
      <c r="FF120" s="44">
        <f t="shared" si="450"/>
        <v>4.425971691754662E-2</v>
      </c>
      <c r="FG120" s="44">
        <f t="shared" si="450"/>
        <v>4.2553191489361701E-2</v>
      </c>
      <c r="FH120" s="44">
        <f t="shared" si="450"/>
        <v>3.7565287263961432E-2</v>
      </c>
      <c r="FJ120" s="9">
        <f t="shared" ref="FJ120:FK120" si="451">FJ28</f>
        <v>23</v>
      </c>
      <c r="FK120" s="21" t="str">
        <f t="shared" si="451"/>
        <v>Juab</v>
      </c>
      <c r="FL120" s="44">
        <f t="shared" ref="FL120:FU120" si="452">IFERROR(FL74/FL28, 0)</f>
        <v>0.30136986301369861</v>
      </c>
      <c r="FM120" s="44">
        <f t="shared" si="452"/>
        <v>0.38020833333333331</v>
      </c>
      <c r="FN120" s="44">
        <f t="shared" si="452"/>
        <v>0.31428571428571428</v>
      </c>
      <c r="FO120" s="44">
        <f t="shared" si="452"/>
        <v>0.38461538461538464</v>
      </c>
      <c r="FP120" s="44">
        <f t="shared" si="452"/>
        <v>0.31016042780748665</v>
      </c>
      <c r="FQ120" s="44">
        <f t="shared" si="452"/>
        <v>0.31730769230769229</v>
      </c>
      <c r="FR120" s="44">
        <f t="shared" si="452"/>
        <v>0.35682819383259912</v>
      </c>
      <c r="FS120" s="44">
        <f t="shared" si="452"/>
        <v>0.30065359477124182</v>
      </c>
      <c r="FT120" s="44">
        <f t="shared" si="452"/>
        <v>0.35531135531135533</v>
      </c>
      <c r="FU120" s="44">
        <f t="shared" si="452"/>
        <v>0.36451612903225805</v>
      </c>
      <c r="FW120" s="9">
        <f t="shared" ref="FW120:FX120" si="453">FW28</f>
        <v>23</v>
      </c>
      <c r="FX120" s="21" t="str">
        <f t="shared" si="453"/>
        <v>Juab</v>
      </c>
      <c r="FY120" s="44">
        <f t="shared" ref="FY120:GH120" si="454">IFERROR(FY74/FY28, 0)</f>
        <v>0.83870967741935487</v>
      </c>
      <c r="FZ120" s="44">
        <f t="shared" si="454"/>
        <v>0.87096774193548387</v>
      </c>
      <c r="GA120" s="44">
        <f t="shared" si="454"/>
        <v>0.94285714285714284</v>
      </c>
      <c r="GB120" s="44">
        <f t="shared" si="454"/>
        <v>0.92592592592592593</v>
      </c>
      <c r="GC120" s="44">
        <f t="shared" si="454"/>
        <v>0.80769230769230771</v>
      </c>
      <c r="GD120" s="44">
        <f t="shared" si="454"/>
        <v>0.90909090909090906</v>
      </c>
      <c r="GE120" s="44">
        <f t="shared" si="454"/>
        <v>0.90909090909090906</v>
      </c>
      <c r="GF120" s="44">
        <f t="shared" si="454"/>
        <v>0.93333333333333335</v>
      </c>
      <c r="GG120" s="44">
        <f t="shared" si="454"/>
        <v>0.9285714285714286</v>
      </c>
      <c r="GH120" s="44">
        <f t="shared" si="454"/>
        <v>0.875</v>
      </c>
      <c r="GJ120" s="9">
        <f t="shared" ref="GJ120:GK120" si="455">GJ28</f>
        <v>23</v>
      </c>
      <c r="GK120" s="21" t="str">
        <f t="shared" si="455"/>
        <v>Juab</v>
      </c>
      <c r="GL120" s="44">
        <f t="shared" ref="GL120:GU120" si="456">IFERROR(GL74/GL28, 0)</f>
        <v>0.48780487804878048</v>
      </c>
      <c r="GM120" s="44">
        <f t="shared" si="456"/>
        <v>0.78260869565217395</v>
      </c>
      <c r="GN120" s="44">
        <f t="shared" si="456"/>
        <v>0.65517241379310343</v>
      </c>
      <c r="GO120" s="44">
        <f t="shared" si="456"/>
        <v>0.5714285714285714</v>
      </c>
      <c r="GP120" s="44">
        <f t="shared" si="456"/>
        <v>0.6</v>
      </c>
      <c r="GQ120" s="44">
        <f t="shared" si="456"/>
        <v>0.48571428571428571</v>
      </c>
      <c r="GR120" s="44">
        <f t="shared" si="456"/>
        <v>0.43023255813953487</v>
      </c>
      <c r="GS120" s="44">
        <f t="shared" si="456"/>
        <v>0.36170212765957449</v>
      </c>
      <c r="GT120" s="44">
        <f t="shared" si="456"/>
        <v>0.43421052631578949</v>
      </c>
      <c r="GU120" s="44">
        <f t="shared" si="456"/>
        <v>0.5461538461538461</v>
      </c>
    </row>
    <row r="121" spans="153:203" x14ac:dyDescent="0.25">
      <c r="EW121" s="9">
        <f t="shared" ref="EW121:EX121" si="457">EW29</f>
        <v>25</v>
      </c>
      <c r="EX121" s="21" t="str">
        <f t="shared" si="457"/>
        <v>Kane</v>
      </c>
      <c r="EY121" s="44">
        <f t="shared" ref="EY121:FH121" si="458">IFERROR(EY75/EY29, 0)</f>
        <v>9.6604938271604934E-2</v>
      </c>
      <c r="EZ121" s="44">
        <f t="shared" si="458"/>
        <v>6.7435669920141966E-2</v>
      </c>
      <c r="FA121" s="44">
        <f t="shared" si="458"/>
        <v>6.6236811254396247E-2</v>
      </c>
      <c r="FB121" s="44">
        <f t="shared" si="458"/>
        <v>6.0877923742390261E-2</v>
      </c>
      <c r="FC121" s="44">
        <f t="shared" si="458"/>
        <v>5.5083412023921939E-2</v>
      </c>
      <c r="FD121" s="44">
        <f t="shared" si="458"/>
        <v>6.3547265254505214E-2</v>
      </c>
      <c r="FE121" s="44">
        <f t="shared" si="458"/>
        <v>6.9918699186991867E-2</v>
      </c>
      <c r="FF121" s="44">
        <f t="shared" si="458"/>
        <v>6.1425843411839591E-2</v>
      </c>
      <c r="FG121" s="44">
        <f t="shared" si="458"/>
        <v>6.426575597640484E-2</v>
      </c>
      <c r="FH121" s="44">
        <f t="shared" si="458"/>
        <v>7.3073380411421557E-2</v>
      </c>
      <c r="FJ121" s="9">
        <f t="shared" ref="FJ121:FK121" si="459">FJ29</f>
        <v>25</v>
      </c>
      <c r="FK121" s="21" t="str">
        <f t="shared" si="459"/>
        <v>Kane</v>
      </c>
      <c r="FL121" s="44">
        <f t="shared" ref="FL121:FU121" si="460">IFERROR(FL75/FL29, 0)</f>
        <v>0.5368421052631579</v>
      </c>
      <c r="FM121" s="44">
        <f t="shared" si="460"/>
        <v>0.39330543933054396</v>
      </c>
      <c r="FN121" s="44">
        <f t="shared" si="460"/>
        <v>0.56372549019607843</v>
      </c>
      <c r="FO121" s="44">
        <f t="shared" si="460"/>
        <v>0.5044642857142857</v>
      </c>
      <c r="FP121" s="44">
        <f t="shared" si="460"/>
        <v>0.44255319148936167</v>
      </c>
      <c r="FQ121" s="44">
        <f t="shared" si="460"/>
        <v>0.49302325581395351</v>
      </c>
      <c r="FR121" s="44">
        <f t="shared" si="460"/>
        <v>0.4218009478672986</v>
      </c>
      <c r="FS121" s="44">
        <f t="shared" si="460"/>
        <v>0.37278106508875741</v>
      </c>
      <c r="FT121" s="44">
        <f t="shared" si="460"/>
        <v>0.5234375</v>
      </c>
      <c r="FU121" s="44">
        <f t="shared" si="460"/>
        <v>0.55232558139534882</v>
      </c>
      <c r="FW121" s="9">
        <f t="shared" ref="FW121:FX121" si="461">FW29</f>
        <v>25</v>
      </c>
      <c r="FX121" s="21" t="str">
        <f t="shared" si="461"/>
        <v>Kane</v>
      </c>
      <c r="FY121" s="44">
        <f t="shared" ref="FY121:GH121" si="462">IFERROR(FY75/FY29, 0)</f>
        <v>1.1379310344827587</v>
      </c>
      <c r="FZ121" s="44">
        <f t="shared" si="462"/>
        <v>1.0384615384615385</v>
      </c>
      <c r="GA121" s="44">
        <f t="shared" si="462"/>
        <v>1.2580645161290323</v>
      </c>
      <c r="GB121" s="44">
        <f t="shared" si="462"/>
        <v>1.1627906976744187</v>
      </c>
      <c r="GC121" s="44">
        <f t="shared" si="462"/>
        <v>1.1754385964912282</v>
      </c>
      <c r="GD121" s="44">
        <f t="shared" si="462"/>
        <v>1.103448275862069</v>
      </c>
      <c r="GE121" s="44">
        <f t="shared" si="462"/>
        <v>1.1176470588235294</v>
      </c>
      <c r="GF121" s="44">
        <f t="shared" si="462"/>
        <v>0.9375</v>
      </c>
      <c r="GG121" s="44">
        <f t="shared" si="462"/>
        <v>0.84375</v>
      </c>
      <c r="GH121" s="44">
        <f t="shared" si="462"/>
        <v>0.82051282051282048</v>
      </c>
      <c r="GJ121" s="9">
        <f t="shared" ref="GJ121:GK121" si="463">GJ29</f>
        <v>25</v>
      </c>
      <c r="GK121" s="21" t="str">
        <f t="shared" si="463"/>
        <v>Kane</v>
      </c>
      <c r="GL121" s="44">
        <f t="shared" ref="GL121:GU121" si="464">IFERROR(GL75/GL29, 0)</f>
        <v>0.66129032258064513</v>
      </c>
      <c r="GM121" s="44">
        <f t="shared" si="464"/>
        <v>0.58518518518518514</v>
      </c>
      <c r="GN121" s="44">
        <f t="shared" si="464"/>
        <v>0.82474226804123707</v>
      </c>
      <c r="GO121" s="44">
        <f t="shared" si="464"/>
        <v>0.84090909090909094</v>
      </c>
      <c r="GP121" s="44">
        <f t="shared" si="464"/>
        <v>0.64444444444444449</v>
      </c>
      <c r="GQ121" s="44">
        <f t="shared" si="464"/>
        <v>0.73076923076923073</v>
      </c>
      <c r="GR121" s="44">
        <f t="shared" si="464"/>
        <v>0.8</v>
      </c>
      <c r="GS121" s="44">
        <f t="shared" si="464"/>
        <v>0.92592592592592593</v>
      </c>
      <c r="GT121" s="44">
        <f t="shared" si="464"/>
        <v>0.84615384615384615</v>
      </c>
      <c r="GU121" s="44">
        <f t="shared" si="464"/>
        <v>0.75</v>
      </c>
    </row>
    <row r="122" spans="153:203" x14ac:dyDescent="0.25">
      <c r="EW122" s="9">
        <f t="shared" ref="EW122:EX122" si="465">EW30</f>
        <v>27</v>
      </c>
      <c r="EX122" s="21" t="str">
        <f t="shared" si="465"/>
        <v>Millard</v>
      </c>
      <c r="EY122" s="44">
        <f t="shared" ref="EY122:FH122" si="466">IFERROR(EY76/EY30, 0)</f>
        <v>5.797697368421053E-2</v>
      </c>
      <c r="EZ122" s="44">
        <f t="shared" si="466"/>
        <v>4.5252525252525252E-2</v>
      </c>
      <c r="FA122" s="44">
        <f t="shared" si="466"/>
        <v>4.2155498110956452E-2</v>
      </c>
      <c r="FB122" s="44">
        <f t="shared" si="466"/>
        <v>4.7460937500000001E-2</v>
      </c>
      <c r="FC122" s="44">
        <f t="shared" si="466"/>
        <v>4.7737730061349695E-2</v>
      </c>
      <c r="FD122" s="44">
        <f t="shared" si="466"/>
        <v>4.4012089157536835E-2</v>
      </c>
      <c r="FE122" s="44">
        <f t="shared" si="466"/>
        <v>4.0293729994351345E-2</v>
      </c>
      <c r="FF122" s="44">
        <f t="shared" si="466"/>
        <v>3.2685842360851702E-2</v>
      </c>
      <c r="FG122" s="44">
        <f t="shared" si="466"/>
        <v>3.9226622048707936E-2</v>
      </c>
      <c r="FH122" s="44">
        <f t="shared" si="466"/>
        <v>3.9289055191768008E-2</v>
      </c>
      <c r="FJ122" s="9">
        <f t="shared" ref="FJ122:FK122" si="467">FJ30</f>
        <v>27</v>
      </c>
      <c r="FK122" s="21" t="str">
        <f t="shared" si="467"/>
        <v>Millard</v>
      </c>
      <c r="FL122" s="44">
        <f t="shared" ref="FL122:FU122" si="468">IFERROR(FL76/FL30, 0)</f>
        <v>0.33678756476683935</v>
      </c>
      <c r="FM122" s="44">
        <f t="shared" si="468"/>
        <v>0.34444444444444444</v>
      </c>
      <c r="FN122" s="44">
        <f t="shared" si="468"/>
        <v>0.35057471264367818</v>
      </c>
      <c r="FO122" s="44">
        <f t="shared" si="468"/>
        <v>0.36224489795918369</v>
      </c>
      <c r="FP122" s="44">
        <f t="shared" si="468"/>
        <v>0.33027522935779818</v>
      </c>
      <c r="FQ122" s="44">
        <f t="shared" si="468"/>
        <v>0.2930232558139535</v>
      </c>
      <c r="FR122" s="44">
        <f t="shared" si="468"/>
        <v>0.30084745762711862</v>
      </c>
      <c r="FS122" s="44">
        <f t="shared" si="468"/>
        <v>0.45423728813559322</v>
      </c>
      <c r="FT122" s="44">
        <f t="shared" si="468"/>
        <v>0.36585365853658536</v>
      </c>
      <c r="FU122" s="44">
        <f t="shared" si="468"/>
        <v>0.39792387543252594</v>
      </c>
      <c r="FW122" s="9">
        <f t="shared" ref="FW122:FX122" si="469">FW30</f>
        <v>27</v>
      </c>
      <c r="FX122" s="21" t="str">
        <f t="shared" si="469"/>
        <v>Millard</v>
      </c>
      <c r="FY122" s="44">
        <f t="shared" ref="FY122:GH122" si="470">IFERROR(FY76/FY30, 0)</f>
        <v>0.65</v>
      </c>
      <c r="FZ122" s="44">
        <f t="shared" si="470"/>
        <v>0.63636363636363635</v>
      </c>
      <c r="GA122" s="44">
        <f t="shared" si="470"/>
        <v>1.1578947368421053</v>
      </c>
      <c r="GB122" s="44">
        <f t="shared" si="470"/>
        <v>0.95238095238095233</v>
      </c>
      <c r="GC122" s="44">
        <f t="shared" si="470"/>
        <v>0.90909090909090906</v>
      </c>
      <c r="GD122" s="44">
        <f t="shared" si="470"/>
        <v>0.8571428571428571</v>
      </c>
      <c r="GE122" s="44">
        <f t="shared" si="470"/>
        <v>1</v>
      </c>
      <c r="GF122" s="44">
        <f t="shared" si="470"/>
        <v>1.2222222222222223</v>
      </c>
      <c r="GG122" s="44">
        <f t="shared" si="470"/>
        <v>0.87804878048780488</v>
      </c>
      <c r="GH122" s="44">
        <f t="shared" si="470"/>
        <v>0.95945945945945943</v>
      </c>
      <c r="GJ122" s="9">
        <f t="shared" ref="GJ122:GK122" si="471">GJ30</f>
        <v>27</v>
      </c>
      <c r="GK122" s="21" t="str">
        <f t="shared" si="471"/>
        <v>Millard</v>
      </c>
      <c r="GL122" s="44">
        <f t="shared" ref="GL122:GU122" si="472">IFERROR(GL76/GL30, 0)</f>
        <v>0.62068965517241381</v>
      </c>
      <c r="GM122" s="44">
        <f t="shared" si="472"/>
        <v>0.53921568627450978</v>
      </c>
      <c r="GN122" s="44">
        <f t="shared" si="472"/>
        <v>0.4358974358974359</v>
      </c>
      <c r="GO122" s="44">
        <f t="shared" si="472"/>
        <v>0.45038167938931295</v>
      </c>
      <c r="GP122" s="44">
        <f t="shared" si="472"/>
        <v>0.39102564102564102</v>
      </c>
      <c r="GQ122" s="44">
        <f t="shared" si="472"/>
        <v>0.3904109589041096</v>
      </c>
      <c r="GR122" s="44">
        <f t="shared" si="472"/>
        <v>0.37341772151898733</v>
      </c>
      <c r="GS122" s="44">
        <f t="shared" si="472"/>
        <v>0.55421686746987953</v>
      </c>
      <c r="GT122" s="44">
        <f t="shared" si="472"/>
        <v>0.51851851851851849</v>
      </c>
      <c r="GU122" s="44">
        <f t="shared" si="472"/>
        <v>0.59285714285714286</v>
      </c>
    </row>
    <row r="123" spans="153:203" x14ac:dyDescent="0.25">
      <c r="EW123" s="9">
        <f t="shared" ref="EW123:EX123" si="473">EW31</f>
        <v>29</v>
      </c>
      <c r="EX123" s="21" t="str">
        <f t="shared" si="473"/>
        <v>Morgan</v>
      </c>
      <c r="EY123" s="44">
        <f t="shared" ref="EY123:FH123" si="474">IFERROR(EY77/EY31, 0)</f>
        <v>4.0358744394618833E-2</v>
      </c>
      <c r="EZ123" s="44">
        <f t="shared" si="474"/>
        <v>4.8643363480811538E-2</v>
      </c>
      <c r="FA123" s="44">
        <f t="shared" si="474"/>
        <v>4.8623170429173905E-2</v>
      </c>
      <c r="FB123" s="44">
        <f t="shared" si="474"/>
        <v>5.0897467420703224E-2</v>
      </c>
      <c r="FC123" s="44">
        <f t="shared" si="474"/>
        <v>4.5252225519287835E-2</v>
      </c>
      <c r="FD123" s="44">
        <f t="shared" si="474"/>
        <v>4.7506499645473883E-2</v>
      </c>
      <c r="FE123" s="44">
        <f t="shared" si="474"/>
        <v>4.6122074346030287E-2</v>
      </c>
      <c r="FF123" s="44">
        <f t="shared" si="474"/>
        <v>4.1128337639965547E-2</v>
      </c>
      <c r="FG123" s="44">
        <f t="shared" si="474"/>
        <v>4.5616985495059909E-2</v>
      </c>
      <c r="FH123" s="44">
        <f t="shared" si="474"/>
        <v>4.6462955211385513E-2</v>
      </c>
      <c r="FJ123" s="9">
        <f t="shared" ref="FJ123:FK123" si="475">FJ31</f>
        <v>29</v>
      </c>
      <c r="FK123" s="21" t="str">
        <f t="shared" si="475"/>
        <v>Morgan</v>
      </c>
      <c r="FL123" s="44">
        <f t="shared" ref="FL123:FU123" si="476">IFERROR(FL77/FL31, 0)</f>
        <v>0.38528138528138528</v>
      </c>
      <c r="FM123" s="44">
        <f t="shared" si="476"/>
        <v>0.40112994350282488</v>
      </c>
      <c r="FN123" s="44">
        <f t="shared" si="476"/>
        <v>0.42372881355932202</v>
      </c>
      <c r="FO123" s="44">
        <f t="shared" si="476"/>
        <v>0.35148514851485146</v>
      </c>
      <c r="FP123" s="44">
        <f t="shared" si="476"/>
        <v>0.41904761904761906</v>
      </c>
      <c r="FQ123" s="44">
        <f t="shared" si="476"/>
        <v>0.43243243243243246</v>
      </c>
      <c r="FR123" s="44">
        <f t="shared" si="476"/>
        <v>0.37575757575757573</v>
      </c>
      <c r="FS123" s="44">
        <f t="shared" si="476"/>
        <v>0.34636871508379891</v>
      </c>
      <c r="FT123" s="44">
        <f t="shared" si="476"/>
        <v>0.34536082474226804</v>
      </c>
      <c r="FU123" s="44">
        <f t="shared" si="476"/>
        <v>0.39572192513368987</v>
      </c>
      <c r="FW123" s="9">
        <f t="shared" ref="FW123:FX123" si="477">FW31</f>
        <v>29</v>
      </c>
      <c r="FX123" s="21" t="str">
        <f t="shared" si="477"/>
        <v>Morgan</v>
      </c>
      <c r="FY123" s="44">
        <f t="shared" ref="FY123:GH123" si="478">IFERROR(FY77/FY31, 0)</f>
        <v>1.0454545454545454</v>
      </c>
      <c r="FZ123" s="44">
        <f t="shared" si="478"/>
        <v>1.25</v>
      </c>
      <c r="GA123" s="44">
        <f t="shared" si="478"/>
        <v>1.2758620689655173</v>
      </c>
      <c r="GB123" s="44">
        <f t="shared" si="478"/>
        <v>1</v>
      </c>
      <c r="GC123" s="44">
        <f t="shared" si="478"/>
        <v>1</v>
      </c>
      <c r="GD123" s="44">
        <f t="shared" si="478"/>
        <v>0.66666666666666663</v>
      </c>
      <c r="GE123" s="44">
        <f t="shared" si="478"/>
        <v>0.63888888888888884</v>
      </c>
      <c r="GF123" s="44">
        <f t="shared" si="478"/>
        <v>0.69444444444444442</v>
      </c>
      <c r="GG123" s="44">
        <f t="shared" si="478"/>
        <v>0.76</v>
      </c>
      <c r="GH123" s="44">
        <f t="shared" si="478"/>
        <v>0.8571428571428571</v>
      </c>
      <c r="GJ123" s="9">
        <f t="shared" ref="GJ123:GK123" si="479">GJ31</f>
        <v>29</v>
      </c>
      <c r="GK123" s="21" t="str">
        <f t="shared" si="479"/>
        <v>Morgan</v>
      </c>
      <c r="GL123" s="44">
        <f t="shared" ref="GL123:GU123" si="480">IFERROR(GL77/GL31, 0)</f>
        <v>0.47282608695652173</v>
      </c>
      <c r="GM123" s="44">
        <f t="shared" si="480"/>
        <v>0.5</v>
      </c>
      <c r="GN123" s="44">
        <f t="shared" si="480"/>
        <v>0.5641025641025641</v>
      </c>
      <c r="GO123" s="44">
        <f t="shared" si="480"/>
        <v>0.56944444444444442</v>
      </c>
      <c r="GP123" s="44">
        <f t="shared" si="480"/>
        <v>0.62820512820512819</v>
      </c>
      <c r="GQ123" s="44">
        <f t="shared" si="480"/>
        <v>0.72727272727272729</v>
      </c>
      <c r="GR123" s="44">
        <f t="shared" si="480"/>
        <v>0.69090909090909092</v>
      </c>
      <c r="GS123" s="44">
        <f t="shared" si="480"/>
        <v>0.65671641791044777</v>
      </c>
      <c r="GT123" s="44">
        <f t="shared" si="480"/>
        <v>0.60563380281690138</v>
      </c>
      <c r="GU123" s="44">
        <f t="shared" si="480"/>
        <v>0.84615384615384615</v>
      </c>
    </row>
    <row r="124" spans="153:203" x14ac:dyDescent="0.25">
      <c r="EW124" s="9">
        <f t="shared" ref="EW124:EX124" si="481">EW32</f>
        <v>31</v>
      </c>
      <c r="EX124" s="21" t="str">
        <f t="shared" si="481"/>
        <v>Piute</v>
      </c>
      <c r="EY124" s="44">
        <f t="shared" ref="EY124:FH124" si="482">IFERROR(EY78/EY32, 0)</f>
        <v>0.1864406779661017</v>
      </c>
      <c r="EZ124" s="44">
        <f t="shared" si="482"/>
        <v>0.15042735042735042</v>
      </c>
      <c r="FA124" s="44">
        <f t="shared" si="482"/>
        <v>9.7069597069597072E-2</v>
      </c>
      <c r="FB124" s="44">
        <f t="shared" si="482"/>
        <v>0.12478920741989882</v>
      </c>
      <c r="FC124" s="44">
        <f t="shared" si="482"/>
        <v>0.14391691394658754</v>
      </c>
      <c r="FD124" s="44">
        <f t="shared" si="482"/>
        <v>0.12982998454404945</v>
      </c>
      <c r="FE124" s="44">
        <f t="shared" si="482"/>
        <v>0.12395309882747069</v>
      </c>
      <c r="FF124" s="44">
        <f t="shared" si="482"/>
        <v>0.12479999999999999</v>
      </c>
      <c r="FG124" s="44">
        <f t="shared" si="482"/>
        <v>0.18377483443708609</v>
      </c>
      <c r="FH124" s="44">
        <f t="shared" si="482"/>
        <v>0.16134453781512606</v>
      </c>
      <c r="FJ124" s="9">
        <f t="shared" ref="FJ124:FK124" si="483">FJ32</f>
        <v>31</v>
      </c>
      <c r="FK124" s="21" t="str">
        <f t="shared" si="483"/>
        <v>Piute</v>
      </c>
      <c r="FL124" s="44">
        <f t="shared" ref="FL124:FU124" si="484">IFERROR(FL78/FL32, 0)</f>
        <v>0.49230769230769234</v>
      </c>
      <c r="FM124" s="44">
        <f t="shared" si="484"/>
        <v>0.65789473684210531</v>
      </c>
      <c r="FN124" s="44">
        <f t="shared" si="484"/>
        <v>0.61904761904761907</v>
      </c>
      <c r="FO124" s="44">
        <f t="shared" si="484"/>
        <v>0.48888888888888887</v>
      </c>
      <c r="FP124" s="44">
        <f t="shared" si="484"/>
        <v>0.56818181818181823</v>
      </c>
      <c r="FQ124" s="44">
        <f t="shared" si="484"/>
        <v>0.5714285714285714</v>
      </c>
      <c r="FR124" s="44">
        <f t="shared" si="484"/>
        <v>0.61111111111111116</v>
      </c>
      <c r="FS124" s="44">
        <f t="shared" si="484"/>
        <v>0.72727272727272729</v>
      </c>
      <c r="FT124" s="44">
        <f t="shared" si="484"/>
        <v>0.75</v>
      </c>
      <c r="FU124" s="44">
        <f t="shared" si="484"/>
        <v>1</v>
      </c>
      <c r="FW124" s="9">
        <f t="shared" ref="FW124:FX124" si="485">FW32</f>
        <v>31</v>
      </c>
      <c r="FX124" s="21" t="str">
        <f t="shared" si="485"/>
        <v>Piute</v>
      </c>
      <c r="FY124" s="44">
        <f t="shared" ref="FY124:GH124" si="486">IFERROR(FY78/FY32, 0)</f>
        <v>1.6</v>
      </c>
      <c r="FZ124" s="44">
        <f t="shared" si="486"/>
        <v>0</v>
      </c>
      <c r="GA124" s="44">
        <f t="shared" si="486"/>
        <v>1.6</v>
      </c>
      <c r="GB124" s="44">
        <f t="shared" si="486"/>
        <v>1.6</v>
      </c>
      <c r="GC124" s="44">
        <f t="shared" si="486"/>
        <v>1.6</v>
      </c>
      <c r="GD124" s="44">
        <f t="shared" si="486"/>
        <v>1.4</v>
      </c>
      <c r="GE124" s="44">
        <f t="shared" si="486"/>
        <v>2</v>
      </c>
      <c r="GF124" s="44">
        <f t="shared" si="486"/>
        <v>0</v>
      </c>
      <c r="GG124" s="44">
        <f t="shared" si="486"/>
        <v>0.9</v>
      </c>
      <c r="GH124" s="44">
        <f t="shared" si="486"/>
        <v>1.3333333333333333</v>
      </c>
      <c r="GJ124" s="9">
        <f t="shared" ref="GJ124:GK124" si="487">GJ32</f>
        <v>31</v>
      </c>
      <c r="GK124" s="21" t="str">
        <f t="shared" si="487"/>
        <v>Piute</v>
      </c>
      <c r="GL124" s="44">
        <f t="shared" ref="GL124:GU124" si="488">IFERROR(GL78/GL32, 0)</f>
        <v>0.73913043478260865</v>
      </c>
      <c r="GM124" s="44">
        <f t="shared" si="488"/>
        <v>0.70588235294117652</v>
      </c>
      <c r="GN124" s="44">
        <f t="shared" si="488"/>
        <v>0.83333333333333337</v>
      </c>
      <c r="GO124" s="44">
        <f t="shared" si="488"/>
        <v>0.5625</v>
      </c>
      <c r="GP124" s="44">
        <f t="shared" si="488"/>
        <v>0.8571428571428571</v>
      </c>
      <c r="GQ124" s="44">
        <f t="shared" si="488"/>
        <v>0.7142857142857143</v>
      </c>
      <c r="GR124" s="44">
        <f t="shared" si="488"/>
        <v>1.25</v>
      </c>
      <c r="GS124" s="44">
        <f t="shared" si="488"/>
        <v>1</v>
      </c>
      <c r="GT124" s="44">
        <f t="shared" si="488"/>
        <v>0</v>
      </c>
      <c r="GU124" s="44">
        <f t="shared" si="488"/>
        <v>0</v>
      </c>
    </row>
    <row r="125" spans="153:203" x14ac:dyDescent="0.25">
      <c r="EW125" s="9">
        <f t="shared" ref="EW125:EX125" si="489">EW33</f>
        <v>33</v>
      </c>
      <c r="EX125" s="21" t="str">
        <f t="shared" si="489"/>
        <v>Rich</v>
      </c>
      <c r="EY125" s="44">
        <f t="shared" ref="EY125:FH125" si="490">IFERROR(EY79/EY33, 0)</f>
        <v>0.10205992509363296</v>
      </c>
      <c r="EZ125" s="44">
        <f t="shared" si="490"/>
        <v>0.10542797494780794</v>
      </c>
      <c r="FA125" s="44">
        <f t="shared" si="490"/>
        <v>0.11851015801354402</v>
      </c>
      <c r="FB125" s="44">
        <f t="shared" si="490"/>
        <v>0.11097992916174734</v>
      </c>
      <c r="FC125" s="44">
        <f t="shared" si="490"/>
        <v>0.10635538261997406</v>
      </c>
      <c r="FD125" s="44">
        <f t="shared" si="490"/>
        <v>0.10714285714285714</v>
      </c>
      <c r="FE125" s="44">
        <f t="shared" si="490"/>
        <v>0.12253521126760564</v>
      </c>
      <c r="FF125" s="44">
        <f t="shared" si="490"/>
        <v>0.11659192825112108</v>
      </c>
      <c r="FG125" s="44">
        <f t="shared" si="490"/>
        <v>0.13350785340314136</v>
      </c>
      <c r="FH125" s="44">
        <f t="shared" si="490"/>
        <v>0.11671087533156499</v>
      </c>
      <c r="FJ125" s="9">
        <f t="shared" ref="FJ125:FK125" si="491">FJ33</f>
        <v>33</v>
      </c>
      <c r="FK125" s="21" t="str">
        <f t="shared" si="491"/>
        <v>Rich</v>
      </c>
      <c r="FL125" s="44">
        <f t="shared" ref="FL125:FU125" si="492">IFERROR(FL79/FL33, 0)</f>
        <v>0.3888888888888889</v>
      </c>
      <c r="FM125" s="44">
        <f t="shared" si="492"/>
        <v>0.44827586206896552</v>
      </c>
      <c r="FN125" s="44">
        <f t="shared" si="492"/>
        <v>0.4576271186440678</v>
      </c>
      <c r="FO125" s="44">
        <f t="shared" si="492"/>
        <v>0.52272727272727271</v>
      </c>
      <c r="FP125" s="44">
        <f t="shared" si="492"/>
        <v>0.70588235294117652</v>
      </c>
      <c r="FQ125" s="44">
        <f t="shared" si="492"/>
        <v>0.625</v>
      </c>
      <c r="FR125" s="44">
        <f t="shared" si="492"/>
        <v>0.67241379310344829</v>
      </c>
      <c r="FS125" s="44">
        <f t="shared" si="492"/>
        <v>0.65079365079365081</v>
      </c>
      <c r="FT125" s="44">
        <f t="shared" si="492"/>
        <v>0.45454545454545453</v>
      </c>
      <c r="FU125" s="44">
        <f t="shared" si="492"/>
        <v>0.46875</v>
      </c>
      <c r="FW125" s="9">
        <f t="shared" ref="FW125:FX125" si="493">FW33</f>
        <v>33</v>
      </c>
      <c r="FX125" s="21" t="str">
        <f t="shared" si="493"/>
        <v>Rich</v>
      </c>
      <c r="FY125" s="44">
        <f t="shared" ref="FY125:GH125" si="494">IFERROR(FY79/FY33, 0)</f>
        <v>0.65</v>
      </c>
      <c r="FZ125" s="44">
        <f t="shared" si="494"/>
        <v>0.89130434782608692</v>
      </c>
      <c r="GA125" s="44">
        <f t="shared" si="494"/>
        <v>0.6785714285714286</v>
      </c>
      <c r="GB125" s="44">
        <f t="shared" si="494"/>
        <v>0.8</v>
      </c>
      <c r="GC125" s="44">
        <f t="shared" si="494"/>
        <v>3</v>
      </c>
      <c r="GD125" s="44">
        <f t="shared" si="494"/>
        <v>1.1363636363636365</v>
      </c>
      <c r="GE125" s="44">
        <f t="shared" si="494"/>
        <v>1.0454545454545454</v>
      </c>
      <c r="GF125" s="44">
        <f t="shared" si="494"/>
        <v>0.85185185185185186</v>
      </c>
      <c r="GG125" s="44">
        <f t="shared" si="494"/>
        <v>0.58823529411764708</v>
      </c>
      <c r="GH125" s="44">
        <f t="shared" si="494"/>
        <v>0.48275862068965519</v>
      </c>
      <c r="GJ125" s="9">
        <f t="shared" ref="GJ125:GK125" si="495">GJ33</f>
        <v>33</v>
      </c>
      <c r="GK125" s="21" t="str">
        <f t="shared" si="495"/>
        <v>Rich</v>
      </c>
      <c r="GL125" s="44">
        <f t="shared" ref="GL125:GU125" si="496">IFERROR(GL79/GL33, 0)</f>
        <v>0.85185185185185186</v>
      </c>
      <c r="GM125" s="44">
        <f t="shared" si="496"/>
        <v>0.75</v>
      </c>
      <c r="GN125" s="44">
        <f t="shared" si="496"/>
        <v>0.75</v>
      </c>
      <c r="GO125" s="44">
        <f t="shared" si="496"/>
        <v>0.55555555555555558</v>
      </c>
      <c r="GP125" s="44">
        <f t="shared" si="496"/>
        <v>1</v>
      </c>
      <c r="GQ125" s="44">
        <f t="shared" si="496"/>
        <v>0.5</v>
      </c>
      <c r="GR125" s="44">
        <f t="shared" si="496"/>
        <v>0.72727272727272729</v>
      </c>
      <c r="GS125" s="44">
        <f t="shared" si="496"/>
        <v>0.8125</v>
      </c>
      <c r="GT125" s="44">
        <f t="shared" si="496"/>
        <v>0.92307692307692313</v>
      </c>
      <c r="GU125" s="44">
        <f t="shared" si="496"/>
        <v>0.8666666666666667</v>
      </c>
    </row>
    <row r="126" spans="153:203" x14ac:dyDescent="0.25">
      <c r="EW126" s="9">
        <f t="shared" ref="EW126:EX126" si="497">EW34</f>
        <v>35</v>
      </c>
      <c r="EX126" s="21" t="str">
        <f t="shared" si="497"/>
        <v>Salt Lake</v>
      </c>
      <c r="EY126" s="44">
        <f t="shared" ref="EY126:FH126" si="498">IFERROR(EY80/EY34, 0)</f>
        <v>4.401701120822412E-3</v>
      </c>
      <c r="EZ126" s="44">
        <f t="shared" si="498"/>
        <v>4.8184679618406469E-3</v>
      </c>
      <c r="FA126" s="44">
        <f t="shared" si="498"/>
        <v>5.4479285667126164E-3</v>
      </c>
      <c r="FB126" s="44">
        <f t="shared" si="498"/>
        <v>5.3336242462710248E-3</v>
      </c>
      <c r="FC126" s="44">
        <f t="shared" si="498"/>
        <v>4.8646164392098208E-3</v>
      </c>
      <c r="FD126" s="44">
        <f t="shared" si="498"/>
        <v>4.6356714063617074E-3</v>
      </c>
      <c r="FE126" s="44">
        <f t="shared" si="498"/>
        <v>5.5586098494212624E-3</v>
      </c>
      <c r="FF126" s="44">
        <f t="shared" si="498"/>
        <v>5.3631096340265695E-3</v>
      </c>
      <c r="FG126" s="44">
        <f t="shared" si="498"/>
        <v>5.1448334735618093E-3</v>
      </c>
      <c r="FH126" s="44">
        <f t="shared" si="498"/>
        <v>4.9504101327313707E-3</v>
      </c>
      <c r="FJ126" s="9">
        <f t="shared" ref="FJ126:FK126" si="499">FJ34</f>
        <v>35</v>
      </c>
      <c r="FK126" s="21" t="str">
        <f t="shared" si="499"/>
        <v>Salt Lake</v>
      </c>
      <c r="FL126" s="44">
        <f t="shared" ref="FL126:FU126" si="500">IFERROR(FL80/FL34, 0)</f>
        <v>4.1286583048270618E-2</v>
      </c>
      <c r="FM126" s="44">
        <f t="shared" si="500"/>
        <v>4.2960758787427937E-2</v>
      </c>
      <c r="FN126" s="44">
        <f t="shared" si="500"/>
        <v>4.9953959484346222E-2</v>
      </c>
      <c r="FO126" s="44">
        <f t="shared" si="500"/>
        <v>4.8127158416718323E-2</v>
      </c>
      <c r="FP126" s="44">
        <f t="shared" si="500"/>
        <v>4.6210176339379655E-2</v>
      </c>
      <c r="FQ126" s="44">
        <f t="shared" si="500"/>
        <v>4.9852699238627236E-2</v>
      </c>
      <c r="FR126" s="44">
        <f t="shared" si="500"/>
        <v>4.5008448071323294E-2</v>
      </c>
      <c r="FS126" s="44">
        <f t="shared" si="500"/>
        <v>4.2487982708004003E-2</v>
      </c>
      <c r="FT126" s="44">
        <f t="shared" si="500"/>
        <v>4.2319563152896485E-2</v>
      </c>
      <c r="FU126" s="44">
        <f t="shared" si="500"/>
        <v>4.5882970784156554E-2</v>
      </c>
      <c r="FW126" s="9">
        <f t="shared" ref="FW126:FX126" si="501">FW34</f>
        <v>35</v>
      </c>
      <c r="FX126" s="21" t="str">
        <f t="shared" si="501"/>
        <v>Salt Lake</v>
      </c>
      <c r="FY126" s="44">
        <f t="shared" ref="FY126:GH126" si="502">IFERROR(FY80/FY34, 0)</f>
        <v>0.11716220194289079</v>
      </c>
      <c r="FZ126" s="44">
        <f t="shared" si="502"/>
        <v>0.13182618907809748</v>
      </c>
      <c r="GA126" s="44">
        <f t="shared" si="502"/>
        <v>0.11782569085939873</v>
      </c>
      <c r="GB126" s="44">
        <f t="shared" si="502"/>
        <v>0.13901064495929868</v>
      </c>
      <c r="GC126" s="44">
        <f t="shared" si="502"/>
        <v>0.11432584269662921</v>
      </c>
      <c r="GD126" s="44">
        <f t="shared" si="502"/>
        <v>0.12867915349063488</v>
      </c>
      <c r="GE126" s="44">
        <f t="shared" si="502"/>
        <v>0.1043808672329012</v>
      </c>
      <c r="GF126" s="44">
        <f t="shared" si="502"/>
        <v>0.11215135556855861</v>
      </c>
      <c r="GG126" s="44">
        <f t="shared" si="502"/>
        <v>0.11411992263056092</v>
      </c>
      <c r="GH126" s="44">
        <f t="shared" si="502"/>
        <v>0.11159029649595688</v>
      </c>
      <c r="GJ126" s="9">
        <f t="shared" ref="GJ126:GK126" si="503">GJ34</f>
        <v>35</v>
      </c>
      <c r="GK126" s="21" t="str">
        <f t="shared" si="503"/>
        <v>Salt Lake</v>
      </c>
      <c r="GL126" s="44">
        <f t="shared" ref="GL126:GU126" si="504">IFERROR(GL80/GL34, 0)</f>
        <v>8.832238959701301E-2</v>
      </c>
      <c r="GM126" s="44">
        <f t="shared" si="504"/>
        <v>7.2500635970490973E-2</v>
      </c>
      <c r="GN126" s="44">
        <f t="shared" si="504"/>
        <v>8.5649986761980407E-2</v>
      </c>
      <c r="GO126" s="44">
        <f t="shared" si="504"/>
        <v>7.8129187885285445E-2</v>
      </c>
      <c r="GP126" s="44">
        <f t="shared" si="504"/>
        <v>7.9416531604538085E-2</v>
      </c>
      <c r="GQ126" s="44">
        <f t="shared" si="504"/>
        <v>7.7105888566147349E-2</v>
      </c>
      <c r="GR126" s="44">
        <f t="shared" si="504"/>
        <v>8.9685534591194965E-2</v>
      </c>
      <c r="GS126" s="44">
        <f t="shared" si="504"/>
        <v>7.7465589807757931E-2</v>
      </c>
      <c r="GT126" s="44">
        <f t="shared" si="504"/>
        <v>8.0540427314620869E-2</v>
      </c>
      <c r="GU126" s="44">
        <f t="shared" si="504"/>
        <v>7.1511967308814942E-2</v>
      </c>
    </row>
    <row r="127" spans="153:203" x14ac:dyDescent="0.25">
      <c r="EW127" s="9">
        <f t="shared" ref="EW127:EX127" si="505">EW35</f>
        <v>37</v>
      </c>
      <c r="EX127" s="21" t="str">
        <f t="shared" si="505"/>
        <v>San Juan</v>
      </c>
      <c r="EY127" s="44">
        <f t="shared" ref="EY127:FH127" si="506">IFERROR(EY81/EY35, 0)</f>
        <v>5.1585708550782816E-2</v>
      </c>
      <c r="EZ127" s="44">
        <f t="shared" si="506"/>
        <v>5.2465233881163087E-2</v>
      </c>
      <c r="FA127" s="44">
        <f t="shared" si="506"/>
        <v>5.0058433969614333E-2</v>
      </c>
      <c r="FB127" s="44">
        <f t="shared" si="506"/>
        <v>5.5885363357215966E-2</v>
      </c>
      <c r="FC127" s="44">
        <f t="shared" si="506"/>
        <v>5.3682628301481641E-2</v>
      </c>
      <c r="FD127" s="44">
        <f t="shared" si="506"/>
        <v>4.4757817290006129E-2</v>
      </c>
      <c r="FE127" s="44">
        <f t="shared" si="506"/>
        <v>4.9568965517241381E-2</v>
      </c>
      <c r="FF127" s="44">
        <f t="shared" si="506"/>
        <v>4.8296007789678679E-2</v>
      </c>
      <c r="FG127" s="44">
        <f t="shared" si="506"/>
        <v>4.5641601197156753E-2</v>
      </c>
      <c r="FH127" s="44">
        <f t="shared" si="506"/>
        <v>4.5503211991434686E-2</v>
      </c>
      <c r="FJ127" s="9">
        <f t="shared" ref="FJ127:FK127" si="507">FJ35</f>
        <v>37</v>
      </c>
      <c r="FK127" s="21" t="str">
        <f t="shared" si="507"/>
        <v>San Juan</v>
      </c>
      <c r="FL127" s="44">
        <f t="shared" ref="FL127:FU127" si="508">IFERROR(FL81/FL35, 0)</f>
        <v>0.27215189873417722</v>
      </c>
      <c r="FM127" s="44">
        <f t="shared" si="508"/>
        <v>0.22551928783382788</v>
      </c>
      <c r="FN127" s="44">
        <f t="shared" si="508"/>
        <v>0.26536312849162014</v>
      </c>
      <c r="FO127" s="44">
        <f t="shared" si="508"/>
        <v>0.27551020408163263</v>
      </c>
      <c r="FP127" s="44">
        <f t="shared" si="508"/>
        <v>0.32817337461300311</v>
      </c>
      <c r="FQ127" s="44">
        <f t="shared" si="508"/>
        <v>0.34195402298850575</v>
      </c>
      <c r="FR127" s="44">
        <f t="shared" si="508"/>
        <v>0.25708502024291496</v>
      </c>
      <c r="FS127" s="44">
        <f t="shared" si="508"/>
        <v>0.29386892177589852</v>
      </c>
      <c r="FT127" s="44">
        <f t="shared" si="508"/>
        <v>0.31477927063339733</v>
      </c>
      <c r="FU127" s="44">
        <f t="shared" si="508"/>
        <v>0.33333333333333331</v>
      </c>
      <c r="FW127" s="9">
        <f t="shared" ref="FW127:FX127" si="509">FW35</f>
        <v>37</v>
      </c>
      <c r="FX127" s="21" t="str">
        <f t="shared" si="509"/>
        <v>San Juan</v>
      </c>
      <c r="FY127" s="44">
        <f t="shared" ref="FY127:GH127" si="510">IFERROR(FY81/FY35, 0)</f>
        <v>0.76363636363636367</v>
      </c>
      <c r="FZ127" s="44">
        <f t="shared" si="510"/>
        <v>0.69230769230769229</v>
      </c>
      <c r="GA127" s="44">
        <f t="shared" si="510"/>
        <v>0.77083333333333337</v>
      </c>
      <c r="GB127" s="44">
        <f t="shared" si="510"/>
        <v>0.97058823529411764</v>
      </c>
      <c r="GC127" s="44">
        <f t="shared" si="510"/>
        <v>0.80392156862745101</v>
      </c>
      <c r="GD127" s="44">
        <f t="shared" si="510"/>
        <v>0.92</v>
      </c>
      <c r="GE127" s="44">
        <f t="shared" si="510"/>
        <v>0.59793814432989689</v>
      </c>
      <c r="GF127" s="44">
        <f t="shared" si="510"/>
        <v>0.68656716417910446</v>
      </c>
      <c r="GG127" s="44">
        <f t="shared" si="510"/>
        <v>0.59375</v>
      </c>
      <c r="GH127" s="44">
        <f t="shared" si="510"/>
        <v>0.66666666666666663</v>
      </c>
      <c r="GJ127" s="9">
        <f t="shared" ref="GJ127:GK127" si="511">GJ35</f>
        <v>37</v>
      </c>
      <c r="GK127" s="21" t="str">
        <f t="shared" si="511"/>
        <v>San Juan</v>
      </c>
      <c r="GL127" s="44">
        <f t="shared" ref="GL127:GU127" si="512">IFERROR(GL81/GL35, 0)</f>
        <v>0.47663551401869159</v>
      </c>
      <c r="GM127" s="44">
        <f t="shared" si="512"/>
        <v>0.43795620437956206</v>
      </c>
      <c r="GN127" s="44">
        <f t="shared" si="512"/>
        <v>0.48031496062992124</v>
      </c>
      <c r="GO127" s="44">
        <f t="shared" si="512"/>
        <v>0.49342105263157893</v>
      </c>
      <c r="GP127" s="44">
        <f t="shared" si="512"/>
        <v>0.61111111111111116</v>
      </c>
      <c r="GQ127" s="44">
        <f t="shared" si="512"/>
        <v>0.50666666666666671</v>
      </c>
      <c r="GR127" s="44">
        <f t="shared" si="512"/>
        <v>0.46153846153846156</v>
      </c>
      <c r="GS127" s="44">
        <f t="shared" si="512"/>
        <v>0.53086419753086422</v>
      </c>
      <c r="GT127" s="44">
        <f t="shared" si="512"/>
        <v>0.5220588235294118</v>
      </c>
      <c r="GU127" s="44">
        <f t="shared" si="512"/>
        <v>0.5357142857142857</v>
      </c>
    </row>
    <row r="128" spans="153:203" x14ac:dyDescent="0.25">
      <c r="EW128" s="9">
        <f t="shared" ref="EW128:EX128" si="513">EW36</f>
        <v>39</v>
      </c>
      <c r="EX128" s="21" t="str">
        <f t="shared" si="513"/>
        <v>Sanpete</v>
      </c>
      <c r="EY128" s="44">
        <f t="shared" ref="EY128:FH128" si="514">IFERROR(EY82/EY36, 0)</f>
        <v>5.0452399685287176E-2</v>
      </c>
      <c r="EZ128" s="44">
        <f t="shared" si="514"/>
        <v>5.0451882014102695E-2</v>
      </c>
      <c r="FA128" s="44">
        <f t="shared" si="514"/>
        <v>4.4455445544554453E-2</v>
      </c>
      <c r="FB128" s="44">
        <f t="shared" si="514"/>
        <v>4.5055821371610842E-2</v>
      </c>
      <c r="FC128" s="44">
        <f t="shared" si="514"/>
        <v>6.9708874785937347E-2</v>
      </c>
      <c r="FD128" s="44">
        <f t="shared" si="514"/>
        <v>3.448624595469256E-2</v>
      </c>
      <c r="FE128" s="44">
        <f t="shared" si="514"/>
        <v>4.3625132709197954E-2</v>
      </c>
      <c r="FF128" s="44">
        <f t="shared" si="514"/>
        <v>4.9967002922598286E-2</v>
      </c>
      <c r="FG128" s="44">
        <f t="shared" si="514"/>
        <v>4.230179489492198E-2</v>
      </c>
      <c r="FH128" s="44">
        <f t="shared" si="514"/>
        <v>4.7647664835164832E-2</v>
      </c>
      <c r="FJ128" s="9">
        <f t="shared" ref="FJ128:FK128" si="515">FJ36</f>
        <v>39</v>
      </c>
      <c r="FK128" s="21" t="str">
        <f t="shared" si="515"/>
        <v>Sanpete</v>
      </c>
      <c r="FL128" s="44">
        <f t="shared" ref="FL128:FU128" si="516">IFERROR(FL82/FL36, 0)</f>
        <v>0.23741007194244604</v>
      </c>
      <c r="FM128" s="44">
        <f t="shared" si="516"/>
        <v>0.23801652892561984</v>
      </c>
      <c r="FN128" s="44">
        <f t="shared" si="516"/>
        <v>0.27768595041322314</v>
      </c>
      <c r="FO128" s="44">
        <f t="shared" si="516"/>
        <v>0.2978395061728395</v>
      </c>
      <c r="FP128" s="44">
        <f t="shared" si="516"/>
        <v>0.23909774436090225</v>
      </c>
      <c r="FQ128" s="44">
        <f t="shared" si="516"/>
        <v>0.28646748681898065</v>
      </c>
      <c r="FR128" s="44">
        <f t="shared" si="516"/>
        <v>0.2470978441127695</v>
      </c>
      <c r="FS128" s="44">
        <f t="shared" si="516"/>
        <v>0.24803149606299213</v>
      </c>
      <c r="FT128" s="44">
        <f t="shared" si="516"/>
        <v>0.24415584415584415</v>
      </c>
      <c r="FU128" s="44">
        <f t="shared" si="516"/>
        <v>0.25757575757575757</v>
      </c>
      <c r="FW128" s="9">
        <f t="shared" ref="FW128:FX128" si="517">FW36</f>
        <v>39</v>
      </c>
      <c r="FX128" s="21" t="str">
        <f t="shared" si="517"/>
        <v>Sanpete</v>
      </c>
      <c r="FY128" s="44">
        <f t="shared" ref="FY128:GH128" si="518">IFERROR(FY82/FY36, 0)</f>
        <v>0.53205128205128205</v>
      </c>
      <c r="FZ128" s="44">
        <f t="shared" si="518"/>
        <v>0.51754385964912286</v>
      </c>
      <c r="GA128" s="44">
        <f t="shared" si="518"/>
        <v>0.66878980891719741</v>
      </c>
      <c r="GB128" s="44">
        <f t="shared" si="518"/>
        <v>0.64824120603015079</v>
      </c>
      <c r="GC128" s="44">
        <f t="shared" si="518"/>
        <v>0.59499999999999997</v>
      </c>
      <c r="GD128" s="44">
        <f t="shared" si="518"/>
        <v>0.66666666666666663</v>
      </c>
      <c r="GE128" s="44">
        <f t="shared" si="518"/>
        <v>0.65625</v>
      </c>
      <c r="GF128" s="44">
        <f t="shared" si="518"/>
        <v>0.5625</v>
      </c>
      <c r="GG128" s="44">
        <f t="shared" si="518"/>
        <v>0.59428571428571431</v>
      </c>
      <c r="GH128" s="44">
        <f t="shared" si="518"/>
        <v>0.56084656084656082</v>
      </c>
      <c r="GJ128" s="9">
        <f t="shared" ref="GJ128:GK128" si="519">GJ36</f>
        <v>39</v>
      </c>
      <c r="GK128" s="21" t="str">
        <f t="shared" si="519"/>
        <v>Sanpete</v>
      </c>
      <c r="GL128" s="44">
        <f t="shared" ref="GL128:GU128" si="520">IFERROR(GL82/GL36, 0)</f>
        <v>0.32083333333333336</v>
      </c>
      <c r="GM128" s="44">
        <f t="shared" si="520"/>
        <v>0.37962962962962965</v>
      </c>
      <c r="GN128" s="44">
        <f t="shared" si="520"/>
        <v>0.3251231527093596</v>
      </c>
      <c r="GO128" s="44">
        <f t="shared" si="520"/>
        <v>0.36764705882352944</v>
      </c>
      <c r="GP128" s="44">
        <f t="shared" si="520"/>
        <v>0.32420091324200911</v>
      </c>
      <c r="GQ128" s="44">
        <f t="shared" si="520"/>
        <v>0.36956521739130432</v>
      </c>
      <c r="GR128" s="44">
        <f t="shared" si="520"/>
        <v>0.35071090047393366</v>
      </c>
      <c r="GS128" s="44">
        <f t="shared" si="520"/>
        <v>0.45047923322683708</v>
      </c>
      <c r="GT128" s="44">
        <f t="shared" si="520"/>
        <v>0.42281879194630873</v>
      </c>
      <c r="GU128" s="44">
        <f t="shared" si="520"/>
        <v>0.39548022598870058</v>
      </c>
    </row>
    <row r="129" spans="153:203" x14ac:dyDescent="0.25">
      <c r="EW129" s="9">
        <f t="shared" ref="EW129:EX129" si="521">EW37</f>
        <v>41</v>
      </c>
      <c r="EX129" s="21" t="str">
        <f t="shared" si="521"/>
        <v>Sevier</v>
      </c>
      <c r="EY129" s="44">
        <f t="shared" ref="EY129:FH129" si="522">IFERROR(EY83/EY37, 0)</f>
        <v>4.7509948149041359E-2</v>
      </c>
      <c r="EZ129" s="44">
        <f t="shared" si="522"/>
        <v>3.512623490669594E-2</v>
      </c>
      <c r="FA129" s="44">
        <f t="shared" si="522"/>
        <v>3.5406814599248208E-2</v>
      </c>
      <c r="FB129" s="44">
        <f t="shared" si="522"/>
        <v>4.0966515393106834E-2</v>
      </c>
      <c r="FC129" s="44">
        <f t="shared" si="522"/>
        <v>3.6230110159118728E-2</v>
      </c>
      <c r="FD129" s="44">
        <f t="shared" si="522"/>
        <v>3.3877943296492075E-2</v>
      </c>
      <c r="FE129" s="44">
        <f t="shared" si="522"/>
        <v>3.4217381008761545E-2</v>
      </c>
      <c r="FF129" s="44">
        <f t="shared" si="522"/>
        <v>3.3156966490299825E-2</v>
      </c>
      <c r="FG129" s="44">
        <f t="shared" si="522"/>
        <v>3.7429459864102267E-2</v>
      </c>
      <c r="FH129" s="44">
        <f t="shared" si="522"/>
        <v>3.626595030221625E-2</v>
      </c>
      <c r="FJ129" s="9">
        <f t="shared" ref="FJ129:FK129" si="523">FJ37</f>
        <v>41</v>
      </c>
      <c r="FK129" s="21" t="str">
        <f t="shared" si="523"/>
        <v>Sevier</v>
      </c>
      <c r="FL129" s="44">
        <f t="shared" ref="FL129:FU129" si="524">IFERROR(FL83/FL37, 0)</f>
        <v>0.27927927927927926</v>
      </c>
      <c r="FM129" s="44">
        <f t="shared" si="524"/>
        <v>0.25777777777777777</v>
      </c>
      <c r="FN129" s="44">
        <f t="shared" si="524"/>
        <v>0.23927765237020315</v>
      </c>
      <c r="FO129" s="44">
        <f t="shared" si="524"/>
        <v>0.25835189309576839</v>
      </c>
      <c r="FP129" s="44">
        <f t="shared" si="524"/>
        <v>0.2566585956416465</v>
      </c>
      <c r="FQ129" s="44">
        <f t="shared" si="524"/>
        <v>0.2650273224043716</v>
      </c>
      <c r="FR129" s="44">
        <f t="shared" si="524"/>
        <v>0.2441860465116279</v>
      </c>
      <c r="FS129" s="44">
        <f t="shared" si="524"/>
        <v>0.23673469387755103</v>
      </c>
      <c r="FT129" s="44">
        <f t="shared" si="524"/>
        <v>0.26344086021505375</v>
      </c>
      <c r="FU129" s="44">
        <f t="shared" si="524"/>
        <v>0.23448275862068965</v>
      </c>
      <c r="FW129" s="9">
        <f t="shared" ref="FW129:FX129" si="525">FW37</f>
        <v>41</v>
      </c>
      <c r="FX129" s="21" t="str">
        <f t="shared" si="525"/>
        <v>Sevier</v>
      </c>
      <c r="FY129" s="44">
        <f t="shared" ref="FY129:GH129" si="526">IFERROR(FY83/FY37, 0)</f>
        <v>0.66666666666666663</v>
      </c>
      <c r="FZ129" s="44">
        <f t="shared" si="526"/>
        <v>0.82499999999999996</v>
      </c>
      <c r="GA129" s="44">
        <f t="shared" si="526"/>
        <v>0.92592592592592593</v>
      </c>
      <c r="GB129" s="44">
        <f t="shared" si="526"/>
        <v>0.57894736842105265</v>
      </c>
      <c r="GC129" s="44">
        <f t="shared" si="526"/>
        <v>0.68181818181818177</v>
      </c>
      <c r="GD129" s="44">
        <f t="shared" si="526"/>
        <v>0.52577319587628868</v>
      </c>
      <c r="GE129" s="44">
        <f t="shared" si="526"/>
        <v>0.56578947368421051</v>
      </c>
      <c r="GF129" s="44">
        <f t="shared" si="526"/>
        <v>0.53409090909090906</v>
      </c>
      <c r="GG129" s="44">
        <f t="shared" si="526"/>
        <v>0.68421052631578949</v>
      </c>
      <c r="GH129" s="44">
        <f t="shared" si="526"/>
        <v>0.71666666666666667</v>
      </c>
      <c r="GJ129" s="9">
        <f t="shared" ref="GJ129:GK129" si="527">GJ37</f>
        <v>41</v>
      </c>
      <c r="GK129" s="21" t="str">
        <f t="shared" si="527"/>
        <v>Sevier</v>
      </c>
      <c r="GL129" s="44">
        <f t="shared" ref="GL129:GU129" si="528">IFERROR(GL83/GL37, 0)</f>
        <v>0.44444444444444442</v>
      </c>
      <c r="GM129" s="44">
        <f t="shared" si="528"/>
        <v>0.40476190476190477</v>
      </c>
      <c r="GN129" s="44">
        <f t="shared" si="528"/>
        <v>0.3867924528301887</v>
      </c>
      <c r="GO129" s="44">
        <f t="shared" si="528"/>
        <v>0.40853658536585363</v>
      </c>
      <c r="GP129" s="44">
        <f t="shared" si="528"/>
        <v>0.41176470588235292</v>
      </c>
      <c r="GQ129" s="44">
        <f t="shared" si="528"/>
        <v>0.39215686274509803</v>
      </c>
      <c r="GR129" s="44">
        <f t="shared" si="528"/>
        <v>0.32941176470588235</v>
      </c>
      <c r="GS129" s="44">
        <f t="shared" si="528"/>
        <v>0.42523364485981308</v>
      </c>
      <c r="GT129" s="44">
        <f t="shared" si="528"/>
        <v>0.36799999999999999</v>
      </c>
      <c r="GU129" s="44">
        <f t="shared" si="528"/>
        <v>0.35740072202166068</v>
      </c>
    </row>
    <row r="130" spans="153:203" x14ac:dyDescent="0.25">
      <c r="EW130" s="9">
        <f t="shared" ref="EW130:EX130" si="529">EW38</f>
        <v>43</v>
      </c>
      <c r="EX130" s="21" t="str">
        <f t="shared" si="529"/>
        <v>Summit</v>
      </c>
      <c r="EY130" s="44">
        <f t="shared" ref="EY130:FH130" si="530">IFERROR(EY84/EY38, 0)</f>
        <v>2.9823720509133515E-2</v>
      </c>
      <c r="EZ130" s="44">
        <f t="shared" si="530"/>
        <v>2.9971304070570731E-2</v>
      </c>
      <c r="FA130" s="44">
        <f t="shared" si="530"/>
        <v>2.9634300126103404E-2</v>
      </c>
      <c r="FB130" s="44">
        <f t="shared" si="530"/>
        <v>2.6426457608639219E-2</v>
      </c>
      <c r="FC130" s="44">
        <f t="shared" si="530"/>
        <v>2.2733013387218996E-2</v>
      </c>
      <c r="FD130" s="44">
        <f t="shared" si="530"/>
        <v>2.0837380998639986E-2</v>
      </c>
      <c r="FE130" s="44">
        <f t="shared" si="530"/>
        <v>1.9622022948606693E-2</v>
      </c>
      <c r="FF130" s="44">
        <f t="shared" si="530"/>
        <v>2.4111615712346084E-2</v>
      </c>
      <c r="FG130" s="44">
        <f t="shared" si="530"/>
        <v>1.9507515190278223E-2</v>
      </c>
      <c r="FH130" s="44">
        <f t="shared" si="530"/>
        <v>1.8564798286326314E-2</v>
      </c>
      <c r="FJ130" s="9">
        <f t="shared" ref="FJ130:FK130" si="531">FJ38</f>
        <v>43</v>
      </c>
      <c r="FK130" s="21" t="str">
        <f t="shared" si="531"/>
        <v>Summit</v>
      </c>
      <c r="FL130" s="44">
        <f t="shared" ref="FL130:FU130" si="532">IFERROR(FL84/FL38, 0)</f>
        <v>0.18253968253968253</v>
      </c>
      <c r="FM130" s="44">
        <f t="shared" si="532"/>
        <v>0.16028708133971292</v>
      </c>
      <c r="FN130" s="44">
        <f t="shared" si="532"/>
        <v>0.16582684379294549</v>
      </c>
      <c r="FO130" s="44">
        <f t="shared" si="532"/>
        <v>0.15008880994671403</v>
      </c>
      <c r="FP130" s="44">
        <f t="shared" si="532"/>
        <v>0.1375952582557155</v>
      </c>
      <c r="FQ130" s="44">
        <f t="shared" si="532"/>
        <v>0.10088070456365092</v>
      </c>
      <c r="FR130" s="44">
        <f t="shared" si="532"/>
        <v>0.10397111913357401</v>
      </c>
      <c r="FS130" s="44">
        <f t="shared" si="532"/>
        <v>0.11159811193526635</v>
      </c>
      <c r="FT130" s="44">
        <f t="shared" si="532"/>
        <v>0.11475409836065574</v>
      </c>
      <c r="FU130" s="44">
        <f t="shared" si="532"/>
        <v>0.10792305184219107</v>
      </c>
      <c r="FW130" s="9">
        <f t="shared" ref="FW130:FX130" si="533">FW38</f>
        <v>43</v>
      </c>
      <c r="FX130" s="21" t="str">
        <f t="shared" si="533"/>
        <v>Summit</v>
      </c>
      <c r="FY130" s="44">
        <f t="shared" ref="FY130:GH130" si="534">IFERROR(FY84/FY38, 0)</f>
        <v>0.36772486772486773</v>
      </c>
      <c r="FZ130" s="44">
        <f t="shared" si="534"/>
        <v>0.3931203931203931</v>
      </c>
      <c r="GA130" s="44">
        <f t="shared" si="534"/>
        <v>0.3493975903614458</v>
      </c>
      <c r="GB130" s="44">
        <f t="shared" si="534"/>
        <v>0.2834890965732087</v>
      </c>
      <c r="GC130" s="44">
        <f t="shared" si="534"/>
        <v>0.26905829596412556</v>
      </c>
      <c r="GD130" s="44">
        <f t="shared" si="534"/>
        <v>0.25</v>
      </c>
      <c r="GE130" s="44">
        <f t="shared" si="534"/>
        <v>0.21635220125786164</v>
      </c>
      <c r="GF130" s="44">
        <f t="shared" si="534"/>
        <v>0.19259259259259259</v>
      </c>
      <c r="GG130" s="44">
        <f t="shared" si="534"/>
        <v>0.19640387275242047</v>
      </c>
      <c r="GH130" s="44">
        <f t="shared" si="534"/>
        <v>0.21130952380952381</v>
      </c>
      <c r="GJ130" s="9">
        <f t="shared" ref="GJ130:GK130" si="535">GJ38</f>
        <v>43</v>
      </c>
      <c r="GK130" s="21" t="str">
        <f t="shared" si="535"/>
        <v>Summit</v>
      </c>
      <c r="GL130" s="44">
        <f t="shared" ref="GL130:GU130" si="536">IFERROR(GL84/GL38, 0)</f>
        <v>0.23510466988727857</v>
      </c>
      <c r="GM130" s="44">
        <f t="shared" si="536"/>
        <v>0.24846625766871167</v>
      </c>
      <c r="GN130" s="44">
        <f t="shared" si="536"/>
        <v>0.3065068493150685</v>
      </c>
      <c r="GO130" s="44">
        <f t="shared" si="536"/>
        <v>0.30141843971631205</v>
      </c>
      <c r="GP130" s="44">
        <f t="shared" si="536"/>
        <v>0.26923076923076922</v>
      </c>
      <c r="GQ130" s="44">
        <f t="shared" si="536"/>
        <v>0.24190064794816415</v>
      </c>
      <c r="GR130" s="44">
        <f t="shared" si="536"/>
        <v>0.2456445993031359</v>
      </c>
      <c r="GS130" s="44">
        <f t="shared" si="536"/>
        <v>0.2391653290529695</v>
      </c>
      <c r="GT130" s="44">
        <f t="shared" si="536"/>
        <v>0.25483870967741934</v>
      </c>
      <c r="GU130" s="44">
        <f t="shared" si="536"/>
        <v>0.26240000000000002</v>
      </c>
    </row>
    <row r="131" spans="153:203" x14ac:dyDescent="0.25">
      <c r="EW131" s="9">
        <f t="shared" ref="EW131:EX131" si="537">EW39</f>
        <v>45</v>
      </c>
      <c r="EX131" s="21" t="str">
        <f t="shared" si="537"/>
        <v>Tooele</v>
      </c>
      <c r="EY131" s="44">
        <f t="shared" ref="EY131:FH131" si="538">IFERROR(EY85/EY39, 0)</f>
        <v>2.1974874166223349E-2</v>
      </c>
      <c r="EZ131" s="44">
        <f t="shared" si="538"/>
        <v>2.4420612925252039E-2</v>
      </c>
      <c r="FA131" s="44">
        <f t="shared" si="538"/>
        <v>2.5904047257922887E-2</v>
      </c>
      <c r="FB131" s="44">
        <f t="shared" si="538"/>
        <v>2.4746817984789376E-2</v>
      </c>
      <c r="FC131" s="44">
        <f t="shared" si="538"/>
        <v>2.6843530473686275E-2</v>
      </c>
      <c r="FD131" s="44">
        <f t="shared" si="538"/>
        <v>2.7360784162389535E-2</v>
      </c>
      <c r="FE131" s="44">
        <f t="shared" si="538"/>
        <v>2.3033855634464358E-2</v>
      </c>
      <c r="FF131" s="44">
        <f t="shared" si="538"/>
        <v>2.3555683619075063E-2</v>
      </c>
      <c r="FG131" s="44">
        <f t="shared" si="538"/>
        <v>2.3505920269039447E-2</v>
      </c>
      <c r="FH131" s="44">
        <f t="shared" si="538"/>
        <v>2.6111804506339091E-2</v>
      </c>
      <c r="FJ131" s="9">
        <f t="shared" ref="FJ131:FK131" si="539">FJ39</f>
        <v>45</v>
      </c>
      <c r="FK131" s="21" t="str">
        <f t="shared" si="539"/>
        <v>Tooele</v>
      </c>
      <c r="FL131" s="44">
        <f t="shared" ref="FL131:FU131" si="540">IFERROR(FL85/FL39, 0)</f>
        <v>0.32437619961612285</v>
      </c>
      <c r="FM131" s="44">
        <f t="shared" si="540"/>
        <v>0.19214876033057851</v>
      </c>
      <c r="FN131" s="44">
        <f t="shared" si="540"/>
        <v>0.2526427061310782</v>
      </c>
      <c r="FO131" s="44">
        <f t="shared" si="540"/>
        <v>0.21584158415841584</v>
      </c>
      <c r="FP131" s="44">
        <f t="shared" si="540"/>
        <v>0.22259507829977629</v>
      </c>
      <c r="FQ131" s="44">
        <f t="shared" si="540"/>
        <v>0.23576423576423577</v>
      </c>
      <c r="FR131" s="44">
        <f t="shared" si="540"/>
        <v>0.19384057971014493</v>
      </c>
      <c r="FS131" s="44">
        <f t="shared" si="540"/>
        <v>0.18124507486209615</v>
      </c>
      <c r="FT131" s="44">
        <f t="shared" si="540"/>
        <v>0.17467248908296942</v>
      </c>
      <c r="FU131" s="44">
        <f t="shared" si="540"/>
        <v>0.18952618453865336</v>
      </c>
      <c r="FW131" s="9">
        <f t="shared" ref="FW131:FX131" si="541">FW39</f>
        <v>45</v>
      </c>
      <c r="FX131" s="21" t="str">
        <f t="shared" si="541"/>
        <v>Tooele</v>
      </c>
      <c r="FY131" s="44">
        <f t="shared" ref="FY131:GH131" si="542">IFERROR(FY85/FY39, 0)</f>
        <v>0.74</v>
      </c>
      <c r="FZ131" s="44">
        <f t="shared" si="542"/>
        <v>0.62773722627737227</v>
      </c>
      <c r="GA131" s="44">
        <f t="shared" si="542"/>
        <v>0.59863945578231292</v>
      </c>
      <c r="GB131" s="44">
        <f t="shared" si="542"/>
        <v>0.49729729729729732</v>
      </c>
      <c r="GC131" s="44">
        <f t="shared" si="542"/>
        <v>0.50955414012738853</v>
      </c>
      <c r="GD131" s="44">
        <f t="shared" si="542"/>
        <v>0.61212121212121207</v>
      </c>
      <c r="GE131" s="44">
        <f t="shared" si="542"/>
        <v>0.66666666666666663</v>
      </c>
      <c r="GF131" s="44">
        <f t="shared" si="542"/>
        <v>0.86</v>
      </c>
      <c r="GG131" s="44">
        <f t="shared" si="542"/>
        <v>0.81538461538461537</v>
      </c>
      <c r="GH131" s="44">
        <f t="shared" si="542"/>
        <v>0.71052631578947367</v>
      </c>
      <c r="GJ131" s="9">
        <f t="shared" ref="GJ131:GK131" si="543">GJ39</f>
        <v>45</v>
      </c>
      <c r="GK131" s="21" t="str">
        <f t="shared" si="543"/>
        <v>Tooele</v>
      </c>
      <c r="GL131" s="44">
        <f t="shared" ref="GL131:GU131" si="544">IFERROR(GL85/GL39, 0)</f>
        <v>0.34278350515463918</v>
      </c>
      <c r="GM131" s="44">
        <f t="shared" si="544"/>
        <v>0.33121019108280253</v>
      </c>
      <c r="GN131" s="44">
        <f t="shared" si="544"/>
        <v>0.32288401253918497</v>
      </c>
      <c r="GO131" s="44">
        <f t="shared" si="544"/>
        <v>0.35584415584415585</v>
      </c>
      <c r="GP131" s="44">
        <f t="shared" si="544"/>
        <v>0.33691756272401435</v>
      </c>
      <c r="GQ131" s="44">
        <f t="shared" si="544"/>
        <v>0.40266666666666667</v>
      </c>
      <c r="GR131" s="44">
        <f t="shared" si="544"/>
        <v>0.33870967741935482</v>
      </c>
      <c r="GS131" s="44">
        <f t="shared" si="544"/>
        <v>0.3037190082644628</v>
      </c>
      <c r="GT131" s="44">
        <f t="shared" si="544"/>
        <v>0.30672268907563027</v>
      </c>
      <c r="GU131" s="44">
        <f t="shared" si="544"/>
        <v>0.27824620573355818</v>
      </c>
    </row>
    <row r="132" spans="153:203" x14ac:dyDescent="0.25">
      <c r="EW132" s="9">
        <f t="shared" ref="EW132:EX132" si="545">EW40</f>
        <v>47</v>
      </c>
      <c r="EX132" s="21" t="str">
        <f t="shared" si="545"/>
        <v>Uintah</v>
      </c>
      <c r="EY132" s="44">
        <f t="shared" ref="EY132:FH132" si="546">IFERROR(EY86/EY40, 0)</f>
        <v>3.2241593114012694E-2</v>
      </c>
      <c r="EZ132" s="44">
        <f t="shared" si="546"/>
        <v>3.6137527432333574E-2</v>
      </c>
      <c r="FA132" s="44">
        <f t="shared" si="546"/>
        <v>3.6210706393898354E-2</v>
      </c>
      <c r="FB132" s="44">
        <f t="shared" si="546"/>
        <v>3.3864961708705121E-2</v>
      </c>
      <c r="FC132" s="44">
        <f t="shared" si="546"/>
        <v>3.1794454613246557E-2</v>
      </c>
      <c r="FD132" s="44">
        <f t="shared" si="546"/>
        <v>3.6137440758293837E-2</v>
      </c>
      <c r="FE132" s="44">
        <f t="shared" si="546"/>
        <v>3.8980607966457026E-2</v>
      </c>
      <c r="FF132" s="44">
        <f t="shared" si="546"/>
        <v>3.7905773237448752E-2</v>
      </c>
      <c r="FG132" s="44">
        <f t="shared" si="546"/>
        <v>4.0223689529712975E-2</v>
      </c>
      <c r="FH132" s="44">
        <f t="shared" si="546"/>
        <v>3.8684587569079623E-2</v>
      </c>
      <c r="FJ132" s="9">
        <f t="shared" ref="FJ132:FK132" si="547">FJ40</f>
        <v>47</v>
      </c>
      <c r="FK132" s="21" t="str">
        <f t="shared" si="547"/>
        <v>Uintah</v>
      </c>
      <c r="FL132" s="44">
        <f t="shared" ref="FL132:FU132" si="548">IFERROR(FL86/FL40, 0)</f>
        <v>0.27327935222672067</v>
      </c>
      <c r="FM132" s="44">
        <f t="shared" si="548"/>
        <v>0.26349892008639308</v>
      </c>
      <c r="FN132" s="44">
        <f t="shared" si="548"/>
        <v>0.32</v>
      </c>
      <c r="FO132" s="44">
        <f t="shared" si="548"/>
        <v>0.25703564727954969</v>
      </c>
      <c r="FP132" s="44">
        <f t="shared" si="548"/>
        <v>0.29878048780487804</v>
      </c>
      <c r="FQ132" s="44">
        <f t="shared" si="548"/>
        <v>0.27289719626168224</v>
      </c>
      <c r="FR132" s="44">
        <f t="shared" si="548"/>
        <v>0.26071428571428573</v>
      </c>
      <c r="FS132" s="44">
        <f t="shared" si="548"/>
        <v>0.28952042628774421</v>
      </c>
      <c r="FT132" s="44">
        <f t="shared" si="548"/>
        <v>0.28120300751879701</v>
      </c>
      <c r="FU132" s="44">
        <f t="shared" si="548"/>
        <v>0.28520499108734404</v>
      </c>
      <c r="FW132" s="9">
        <f t="shared" ref="FW132:FX132" si="549">FW40</f>
        <v>47</v>
      </c>
      <c r="FX132" s="21" t="str">
        <f t="shared" si="549"/>
        <v>Uintah</v>
      </c>
      <c r="FY132" s="44">
        <f t="shared" ref="FY132:GH132" si="550">IFERROR(FY86/FY40, 0)</f>
        <v>0.61688311688311692</v>
      </c>
      <c r="FZ132" s="44">
        <f t="shared" si="550"/>
        <v>0.58823529411764708</v>
      </c>
      <c r="GA132" s="44">
        <f t="shared" si="550"/>
        <v>0.62658227848101267</v>
      </c>
      <c r="GB132" s="44">
        <f t="shared" si="550"/>
        <v>0.61349693251533743</v>
      </c>
      <c r="GC132" s="44">
        <f t="shared" si="550"/>
        <v>0.5641025641025641</v>
      </c>
      <c r="GD132" s="44">
        <f t="shared" si="550"/>
        <v>0.67826086956521736</v>
      </c>
      <c r="GE132" s="44">
        <f t="shared" si="550"/>
        <v>0.56842105263157894</v>
      </c>
      <c r="GF132" s="44">
        <f t="shared" si="550"/>
        <v>0.59541984732824427</v>
      </c>
      <c r="GG132" s="44">
        <f t="shared" si="550"/>
        <v>0.45789473684210524</v>
      </c>
      <c r="GH132" s="44">
        <f t="shared" si="550"/>
        <v>0.55217391304347829</v>
      </c>
      <c r="GJ132" s="9">
        <f t="shared" ref="GJ132:GK132" si="551">GJ40</f>
        <v>47</v>
      </c>
      <c r="GK132" s="21" t="str">
        <f t="shared" si="551"/>
        <v>Uintah</v>
      </c>
      <c r="GL132" s="44">
        <f t="shared" ref="GL132:GU132" si="552">IFERROR(GL86/GL40, 0)</f>
        <v>0.42424242424242425</v>
      </c>
      <c r="GM132" s="44">
        <f t="shared" si="552"/>
        <v>0.53237410071942448</v>
      </c>
      <c r="GN132" s="44">
        <f t="shared" si="552"/>
        <v>0.49019607843137253</v>
      </c>
      <c r="GO132" s="44">
        <f t="shared" si="552"/>
        <v>0.3364485981308411</v>
      </c>
      <c r="GP132" s="44">
        <f t="shared" si="552"/>
        <v>0.39047619047619048</v>
      </c>
      <c r="GQ132" s="44">
        <f t="shared" si="552"/>
        <v>0.36324786324786323</v>
      </c>
      <c r="GR132" s="44">
        <f t="shared" si="552"/>
        <v>0.33566433566433568</v>
      </c>
      <c r="GS132" s="44">
        <f t="shared" si="552"/>
        <v>0.40079365079365081</v>
      </c>
      <c r="GT132" s="44">
        <f t="shared" si="552"/>
        <v>0.44855967078189302</v>
      </c>
      <c r="GU132" s="44">
        <f t="shared" si="552"/>
        <v>0.48148148148148145</v>
      </c>
    </row>
    <row r="133" spans="153:203" x14ac:dyDescent="0.25">
      <c r="EW133" s="9">
        <f t="shared" ref="EW133:EX133" si="553">EW41</f>
        <v>49</v>
      </c>
      <c r="EX133" s="21" t="str">
        <f t="shared" si="553"/>
        <v>Utah</v>
      </c>
      <c r="EY133" s="44">
        <f t="shared" ref="EY133:FH133" si="554">IFERROR(EY87/EY41, 0)</f>
        <v>9.6617426778343434E-3</v>
      </c>
      <c r="EZ133" s="44">
        <f t="shared" si="554"/>
        <v>8.1120497253272077E-3</v>
      </c>
      <c r="FA133" s="44">
        <f t="shared" si="554"/>
        <v>7.6923778430335417E-3</v>
      </c>
      <c r="FB133" s="44">
        <f t="shared" si="554"/>
        <v>8.7097400165169168E-3</v>
      </c>
      <c r="FC133" s="44">
        <f t="shared" si="554"/>
        <v>7.8422743475773452E-3</v>
      </c>
      <c r="FD133" s="44">
        <f t="shared" si="554"/>
        <v>7.3252938586091257E-3</v>
      </c>
      <c r="FE133" s="44">
        <f t="shared" si="554"/>
        <v>7.1755259680861879E-3</v>
      </c>
      <c r="FF133" s="44">
        <f t="shared" si="554"/>
        <v>7.0374699860988243E-3</v>
      </c>
      <c r="FG133" s="44">
        <f t="shared" si="554"/>
        <v>6.3644016292264197E-3</v>
      </c>
      <c r="FH133" s="44">
        <f t="shared" si="554"/>
        <v>5.9933953289856802E-3</v>
      </c>
      <c r="FJ133" s="9">
        <f t="shared" ref="FJ133:FK133" si="555">FJ41</f>
        <v>49</v>
      </c>
      <c r="FK133" s="21" t="str">
        <f t="shared" si="555"/>
        <v>Utah</v>
      </c>
      <c r="FL133" s="44">
        <f t="shared" ref="FL133:FU133" si="556">IFERROR(FL87/FL41, 0)</f>
        <v>5.901690670006262E-2</v>
      </c>
      <c r="FM133" s="44">
        <f t="shared" si="556"/>
        <v>6.291669859759369E-2</v>
      </c>
      <c r="FN133" s="44">
        <f t="shared" si="556"/>
        <v>5.3442800712570675E-2</v>
      </c>
      <c r="FO133" s="44">
        <f t="shared" si="556"/>
        <v>5.5833395536314098E-2</v>
      </c>
      <c r="FP133" s="44">
        <f t="shared" si="556"/>
        <v>5.1517135996507313E-2</v>
      </c>
      <c r="FQ133" s="44">
        <f t="shared" si="556"/>
        <v>5.6897625804665328E-2</v>
      </c>
      <c r="FR133" s="44">
        <f t="shared" si="556"/>
        <v>4.5255849832861919E-2</v>
      </c>
      <c r="FS133" s="44">
        <f t="shared" si="556"/>
        <v>4.3070716658756523E-2</v>
      </c>
      <c r="FT133" s="44">
        <f t="shared" si="556"/>
        <v>4.5203607543044547E-2</v>
      </c>
      <c r="FU133" s="44">
        <f t="shared" si="556"/>
        <v>4.5463689398511364E-2</v>
      </c>
      <c r="FW133" s="9">
        <f t="shared" ref="FW133:FX133" si="557">FW41</f>
        <v>49</v>
      </c>
      <c r="FX133" s="21" t="str">
        <f t="shared" si="557"/>
        <v>Utah</v>
      </c>
      <c r="FY133" s="44">
        <f t="shared" ref="FY133:GH133" si="558">IFERROR(FY87/FY41, 0)</f>
        <v>0.13366583541147131</v>
      </c>
      <c r="FZ133" s="44">
        <f t="shared" si="558"/>
        <v>0.11428571428571428</v>
      </c>
      <c r="GA133" s="44">
        <f t="shared" si="558"/>
        <v>0.13786591123701605</v>
      </c>
      <c r="GB133" s="44">
        <f t="shared" si="558"/>
        <v>0.15705855651384476</v>
      </c>
      <c r="GC133" s="44">
        <f t="shared" si="558"/>
        <v>0.12415349887133183</v>
      </c>
      <c r="GD133" s="44">
        <f t="shared" si="558"/>
        <v>0.11350884764782046</v>
      </c>
      <c r="GE133" s="44">
        <f t="shared" si="558"/>
        <v>0.10159770585825481</v>
      </c>
      <c r="GF133" s="44">
        <f t="shared" si="558"/>
        <v>0.12260928961748634</v>
      </c>
      <c r="GG133" s="44">
        <f t="shared" si="558"/>
        <v>0.12406382285900358</v>
      </c>
      <c r="GH133" s="44">
        <f t="shared" si="558"/>
        <v>0.13016845329249618</v>
      </c>
      <c r="GJ133" s="9">
        <f t="shared" ref="GJ133:GK133" si="559">GJ41</f>
        <v>49</v>
      </c>
      <c r="GK133" s="21" t="str">
        <f t="shared" si="559"/>
        <v>Utah</v>
      </c>
      <c r="GL133" s="44">
        <f t="shared" ref="GL133:GU133" si="560">IFERROR(GL87/GL41, 0)</f>
        <v>0.10460438086723291</v>
      </c>
      <c r="GM133" s="44">
        <f t="shared" si="560"/>
        <v>0.10652680652680653</v>
      </c>
      <c r="GN133" s="44">
        <f t="shared" si="560"/>
        <v>0.10201149425287356</v>
      </c>
      <c r="GO133" s="44">
        <f t="shared" si="560"/>
        <v>0.10059317844784973</v>
      </c>
      <c r="GP133" s="44">
        <f t="shared" si="560"/>
        <v>9.6100628930817611E-2</v>
      </c>
      <c r="GQ133" s="44">
        <f t="shared" si="560"/>
        <v>9.4197437829691033E-2</v>
      </c>
      <c r="GR133" s="44">
        <f t="shared" si="560"/>
        <v>7.5523202911737947E-2</v>
      </c>
      <c r="GS133" s="44">
        <f t="shared" si="560"/>
        <v>8.9872862779482685E-2</v>
      </c>
      <c r="GT133" s="44">
        <f t="shared" si="560"/>
        <v>9.4961642131453458E-2</v>
      </c>
      <c r="GU133" s="44">
        <f t="shared" si="560"/>
        <v>8.3785412899336956E-2</v>
      </c>
    </row>
    <row r="134" spans="153:203" x14ac:dyDescent="0.25">
      <c r="EW134" s="9">
        <f t="shared" ref="EW134:EX134" si="561">EW42</f>
        <v>51</v>
      </c>
      <c r="EX134" s="21" t="str">
        <f t="shared" si="561"/>
        <v>Wasatch</v>
      </c>
      <c r="EY134" s="44">
        <f t="shared" ref="EY134:FH134" si="562">IFERROR(EY88/EY42, 0)</f>
        <v>3.1697826705893516E-2</v>
      </c>
      <c r="EZ134" s="44">
        <f t="shared" si="562"/>
        <v>3.2589243665818966E-2</v>
      </c>
      <c r="FA134" s="44">
        <f t="shared" si="562"/>
        <v>3.625487174839119E-2</v>
      </c>
      <c r="FB134" s="44">
        <f t="shared" si="562"/>
        <v>3.8339813726376709E-2</v>
      </c>
      <c r="FC134" s="44">
        <f t="shared" si="562"/>
        <v>3.4655642536722667E-2</v>
      </c>
      <c r="FD134" s="44">
        <f t="shared" si="562"/>
        <v>3.728231542801079E-2</v>
      </c>
      <c r="FE134" s="44">
        <f t="shared" si="562"/>
        <v>3.4712021646695013E-2</v>
      </c>
      <c r="FF134" s="44">
        <f t="shared" si="562"/>
        <v>3.4211644708882279E-2</v>
      </c>
      <c r="FG134" s="44">
        <f t="shared" si="562"/>
        <v>2.7822689302074911E-2</v>
      </c>
      <c r="FH134" s="44">
        <f t="shared" si="562"/>
        <v>3.5263668715626008E-2</v>
      </c>
      <c r="FJ134" s="9">
        <f t="shared" ref="FJ134:FK134" si="563">FJ42</f>
        <v>51</v>
      </c>
      <c r="FK134" s="21" t="str">
        <f t="shared" si="563"/>
        <v>Wasatch</v>
      </c>
      <c r="FL134" s="44">
        <f t="shared" ref="FL134:FU134" si="564">IFERROR(FL88/FL42, 0)</f>
        <v>0.23250807319698599</v>
      </c>
      <c r="FM134" s="44">
        <f t="shared" si="564"/>
        <v>0.24004975124378108</v>
      </c>
      <c r="FN134" s="44">
        <f t="shared" si="564"/>
        <v>0.26027397260273971</v>
      </c>
      <c r="FO134" s="44">
        <f t="shared" si="564"/>
        <v>0.22319474835886213</v>
      </c>
      <c r="FP134" s="44">
        <f t="shared" si="564"/>
        <v>0.24013921113689096</v>
      </c>
      <c r="FQ134" s="44">
        <f t="shared" si="564"/>
        <v>0.22857142857142856</v>
      </c>
      <c r="FR134" s="44">
        <f t="shared" si="564"/>
        <v>0.25536992840095463</v>
      </c>
      <c r="FS134" s="44">
        <f t="shared" si="564"/>
        <v>0.25714285714285712</v>
      </c>
      <c r="FT134" s="44">
        <f t="shared" si="564"/>
        <v>0.21313506815365552</v>
      </c>
      <c r="FU134" s="44">
        <f t="shared" si="564"/>
        <v>0.19896193771626297</v>
      </c>
      <c r="FW134" s="9">
        <f t="shared" ref="FW134:FX134" si="565">FW42</f>
        <v>51</v>
      </c>
      <c r="FX134" s="21" t="str">
        <f t="shared" si="565"/>
        <v>Wasatch</v>
      </c>
      <c r="FY134" s="44">
        <f t="shared" ref="FY134:GH134" si="566">IFERROR(FY88/FY42, 0)</f>
        <v>0.43062200956937802</v>
      </c>
      <c r="FZ134" s="44">
        <f t="shared" si="566"/>
        <v>0.49367088607594939</v>
      </c>
      <c r="GA134" s="44">
        <f t="shared" si="566"/>
        <v>0.61904761904761907</v>
      </c>
      <c r="GB134" s="44">
        <f t="shared" si="566"/>
        <v>0.50196078431372548</v>
      </c>
      <c r="GC134" s="44">
        <f t="shared" si="566"/>
        <v>0.49382716049382713</v>
      </c>
      <c r="GD134" s="44">
        <f t="shared" si="566"/>
        <v>0.5044642857142857</v>
      </c>
      <c r="GE134" s="44">
        <f t="shared" si="566"/>
        <v>0.4719626168224299</v>
      </c>
      <c r="GF134" s="44">
        <f t="shared" si="566"/>
        <v>0.49090909090909091</v>
      </c>
      <c r="GG134" s="44">
        <f t="shared" si="566"/>
        <v>0.47706422018348627</v>
      </c>
      <c r="GH134" s="44">
        <f t="shared" si="566"/>
        <v>0.44354838709677419</v>
      </c>
      <c r="GJ134" s="9">
        <f t="shared" ref="GJ134:GK134" si="567">GJ42</f>
        <v>51</v>
      </c>
      <c r="GK134" s="21" t="str">
        <f t="shared" si="567"/>
        <v>Wasatch</v>
      </c>
      <c r="GL134" s="44">
        <f t="shared" ref="GL134:GU134" si="568">IFERROR(GL88/GL42, 0)</f>
        <v>0.39459459459459462</v>
      </c>
      <c r="GM134" s="44">
        <f t="shared" si="568"/>
        <v>0.40408163265306124</v>
      </c>
      <c r="GN134" s="44">
        <f t="shared" si="568"/>
        <v>0.41350210970464135</v>
      </c>
      <c r="GO134" s="44">
        <f t="shared" si="568"/>
        <v>0.48484848484848486</v>
      </c>
      <c r="GP134" s="44">
        <f t="shared" si="568"/>
        <v>0.4845360824742268</v>
      </c>
      <c r="GQ134" s="44">
        <f t="shared" si="568"/>
        <v>0.49367088607594939</v>
      </c>
      <c r="GR134" s="44">
        <f t="shared" si="568"/>
        <v>0.48969072164948452</v>
      </c>
      <c r="GS134" s="44">
        <f t="shared" si="568"/>
        <v>0.42857142857142855</v>
      </c>
      <c r="GT134" s="44">
        <f t="shared" si="568"/>
        <v>0.43103448275862066</v>
      </c>
      <c r="GU134" s="44">
        <f t="shared" si="568"/>
        <v>0.40714285714285714</v>
      </c>
    </row>
    <row r="135" spans="153:203" x14ac:dyDescent="0.25">
      <c r="EW135" s="9">
        <f t="shared" ref="EW135:EX135" si="569">EW43</f>
        <v>53</v>
      </c>
      <c r="EX135" s="21" t="str">
        <f t="shared" si="569"/>
        <v>Washington</v>
      </c>
      <c r="EY135" s="44">
        <f t="shared" ref="EY135:FH135" si="570">IFERROR(EY89/EY43, 0)</f>
        <v>1.6633016056148447E-2</v>
      </c>
      <c r="EZ135" s="44">
        <f t="shared" si="570"/>
        <v>1.9843302411169921E-2</v>
      </c>
      <c r="FA135" s="44">
        <f t="shared" si="570"/>
        <v>2.0453978548266402E-2</v>
      </c>
      <c r="FB135" s="44">
        <f t="shared" si="570"/>
        <v>2.0570430954323777E-2</v>
      </c>
      <c r="FC135" s="44">
        <f t="shared" si="570"/>
        <v>1.8294596540456717E-2</v>
      </c>
      <c r="FD135" s="44">
        <f t="shared" si="570"/>
        <v>2.33482276893732E-2</v>
      </c>
      <c r="FE135" s="44">
        <f t="shared" si="570"/>
        <v>2.3088292757513465E-2</v>
      </c>
      <c r="FF135" s="44">
        <f t="shared" si="570"/>
        <v>1.79080310880829E-2</v>
      </c>
      <c r="FG135" s="44">
        <f t="shared" si="570"/>
        <v>1.7979665668662676E-2</v>
      </c>
      <c r="FH135" s="44">
        <f t="shared" si="570"/>
        <v>2.163093415007657E-2</v>
      </c>
      <c r="FJ135" s="9">
        <f t="shared" ref="FJ135:FK135" si="571">FJ43</f>
        <v>53</v>
      </c>
      <c r="FK135" s="21" t="str">
        <f t="shared" si="571"/>
        <v>Washington</v>
      </c>
      <c r="FL135" s="44">
        <f t="shared" ref="FL135:FU135" si="572">IFERROR(FL89/FL43, 0)</f>
        <v>0.15346153846153845</v>
      </c>
      <c r="FM135" s="44">
        <f t="shared" si="572"/>
        <v>0.13417431192660551</v>
      </c>
      <c r="FN135" s="44">
        <f t="shared" si="572"/>
        <v>0.13213885778275475</v>
      </c>
      <c r="FO135" s="44">
        <f t="shared" si="572"/>
        <v>0.1425734710087371</v>
      </c>
      <c r="FP135" s="44">
        <f t="shared" si="572"/>
        <v>0.14872192099147946</v>
      </c>
      <c r="FQ135" s="44">
        <f t="shared" si="572"/>
        <v>0.1591753970936127</v>
      </c>
      <c r="FR135" s="44">
        <f t="shared" si="572"/>
        <v>0.14103730664240219</v>
      </c>
      <c r="FS135" s="44">
        <f t="shared" si="572"/>
        <v>0.11708099438652766</v>
      </c>
      <c r="FT135" s="44">
        <f t="shared" si="572"/>
        <v>0.11035554692053623</v>
      </c>
      <c r="FU135" s="44">
        <f t="shared" si="572"/>
        <v>0.12482705611068409</v>
      </c>
      <c r="FW135" s="9">
        <f t="shared" ref="FW135:FX135" si="573">FW43</f>
        <v>53</v>
      </c>
      <c r="FX135" s="21" t="str">
        <f t="shared" si="573"/>
        <v>Washington</v>
      </c>
      <c r="FY135" s="44">
        <f t="shared" ref="FY135:GH135" si="574">IFERROR(FY89/FY43, 0)</f>
        <v>0.29496402877697842</v>
      </c>
      <c r="FZ135" s="44">
        <f t="shared" si="574"/>
        <v>0.27272727272727271</v>
      </c>
      <c r="GA135" s="44">
        <f t="shared" si="574"/>
        <v>0.32734530938123751</v>
      </c>
      <c r="GB135" s="44">
        <f t="shared" si="574"/>
        <v>0.38188976377952755</v>
      </c>
      <c r="GC135" s="44">
        <f t="shared" si="574"/>
        <v>0.39238410596026491</v>
      </c>
      <c r="GD135" s="44">
        <f t="shared" si="574"/>
        <v>0.29118136439267889</v>
      </c>
      <c r="GE135" s="44">
        <f t="shared" si="574"/>
        <v>0.32187500000000002</v>
      </c>
      <c r="GF135" s="44">
        <f t="shared" si="574"/>
        <v>0.32808398950131235</v>
      </c>
      <c r="GG135" s="44">
        <f t="shared" si="574"/>
        <v>0.23688046647230321</v>
      </c>
      <c r="GH135" s="44">
        <f t="shared" si="574"/>
        <v>0.24820574162679426</v>
      </c>
      <c r="GJ135" s="9">
        <f t="shared" ref="GJ135:GK135" si="575">GJ43</f>
        <v>53</v>
      </c>
      <c r="GK135" s="21" t="str">
        <f t="shared" si="575"/>
        <v>Washington</v>
      </c>
      <c r="GL135" s="44">
        <f t="shared" ref="GL135:GU135" si="576">IFERROR(GL89/GL43, 0)</f>
        <v>0.1955420466058764</v>
      </c>
      <c r="GM135" s="44">
        <f t="shared" si="576"/>
        <v>0.20863970588235295</v>
      </c>
      <c r="GN135" s="44">
        <f t="shared" si="576"/>
        <v>0.24424424424424424</v>
      </c>
      <c r="GO135" s="44">
        <f t="shared" si="576"/>
        <v>0.28048780487804881</v>
      </c>
      <c r="GP135" s="44">
        <f t="shared" si="576"/>
        <v>0.30165912518853694</v>
      </c>
      <c r="GQ135" s="44">
        <f t="shared" si="576"/>
        <v>0.3364485981308411</v>
      </c>
      <c r="GR135" s="44">
        <f t="shared" si="576"/>
        <v>0.21907600596125187</v>
      </c>
      <c r="GS135" s="44">
        <f t="shared" si="576"/>
        <v>0.26586826347305387</v>
      </c>
      <c r="GT135" s="44">
        <f t="shared" si="576"/>
        <v>0.26799242424242425</v>
      </c>
      <c r="GU135" s="44">
        <f t="shared" si="576"/>
        <v>0.23720259552992068</v>
      </c>
    </row>
    <row r="136" spans="153:203" x14ac:dyDescent="0.25">
      <c r="EW136" s="9">
        <f t="shared" ref="EW136:EX136" si="577">EW44</f>
        <v>55</v>
      </c>
      <c r="EX136" s="21" t="str">
        <f t="shared" si="577"/>
        <v>Wayne</v>
      </c>
      <c r="EY136" s="44">
        <f t="shared" ref="EY136:FH136" si="578">IFERROR(EY90/EY44, 0)</f>
        <v>8.573655494933749E-2</v>
      </c>
      <c r="EZ136" s="44">
        <f t="shared" si="578"/>
        <v>7.3692551505546752E-2</v>
      </c>
      <c r="FA136" s="44">
        <f t="shared" si="578"/>
        <v>6.5561416729464958E-2</v>
      </c>
      <c r="FB136" s="44">
        <f t="shared" si="578"/>
        <v>8.4006462035541199E-2</v>
      </c>
      <c r="FC136" s="44">
        <f t="shared" si="578"/>
        <v>6.3542494042891182E-2</v>
      </c>
      <c r="FD136" s="44">
        <f t="shared" si="578"/>
        <v>7.5364667747163702E-2</v>
      </c>
      <c r="FE136" s="44">
        <f t="shared" si="578"/>
        <v>8.0948487326246932E-2</v>
      </c>
      <c r="FF136" s="44">
        <f t="shared" si="578"/>
        <v>6.5108514190317199E-2</v>
      </c>
      <c r="FG136" s="44">
        <f t="shared" si="578"/>
        <v>6.8825910931174086E-2</v>
      </c>
      <c r="FH136" s="44">
        <f t="shared" si="578"/>
        <v>8.5836909871244635E-2</v>
      </c>
      <c r="FJ136" s="9">
        <f t="shared" ref="FJ136:FK136" si="579">FJ44</f>
        <v>55</v>
      </c>
      <c r="FK136" s="21" t="str">
        <f t="shared" si="579"/>
        <v>Wayne</v>
      </c>
      <c r="FL136" s="44">
        <f t="shared" ref="FL136:FU136" si="580">IFERROR(FL90/FL44, 0)</f>
        <v>0.47191011235955055</v>
      </c>
      <c r="FM136" s="44">
        <f t="shared" si="580"/>
        <v>0.5</v>
      </c>
      <c r="FN136" s="44">
        <f t="shared" si="580"/>
        <v>0.40677966101694918</v>
      </c>
      <c r="FO136" s="44">
        <f t="shared" si="580"/>
        <v>0.45</v>
      </c>
      <c r="FP136" s="44">
        <f t="shared" si="580"/>
        <v>0.56122448979591832</v>
      </c>
      <c r="FQ136" s="44">
        <f t="shared" si="580"/>
        <v>0.51724137931034486</v>
      </c>
      <c r="FR136" s="44">
        <f t="shared" si="580"/>
        <v>0.46153846153846156</v>
      </c>
      <c r="FS136" s="44">
        <f t="shared" si="580"/>
        <v>0.41176470588235292</v>
      </c>
      <c r="FT136" s="44">
        <f t="shared" si="580"/>
        <v>0.38750000000000001</v>
      </c>
      <c r="FU136" s="44">
        <f t="shared" si="580"/>
        <v>0.46728971962616822</v>
      </c>
      <c r="FW136" s="9">
        <f t="shared" ref="FW136:FX136" si="581">FW44</f>
        <v>55</v>
      </c>
      <c r="FX136" s="21" t="str">
        <f t="shared" si="581"/>
        <v>Wayne</v>
      </c>
      <c r="FY136" s="44">
        <f t="shared" ref="FY136:GH136" si="582">IFERROR(FY90/FY44, 0)</f>
        <v>0.77777777777777779</v>
      </c>
      <c r="FZ136" s="44">
        <f t="shared" si="582"/>
        <v>1</v>
      </c>
      <c r="GA136" s="44">
        <f t="shared" si="582"/>
        <v>0.8</v>
      </c>
      <c r="GB136" s="44">
        <f t="shared" si="582"/>
        <v>0.90909090909090906</v>
      </c>
      <c r="GC136" s="44">
        <f t="shared" si="582"/>
        <v>1.2857142857142858</v>
      </c>
      <c r="GD136" s="44">
        <f t="shared" si="582"/>
        <v>1.1428571428571428</v>
      </c>
      <c r="GE136" s="44">
        <f t="shared" si="582"/>
        <v>0.88235294117647056</v>
      </c>
      <c r="GF136" s="44">
        <f t="shared" si="582"/>
        <v>1.0666666666666667</v>
      </c>
      <c r="GG136" s="44">
        <f t="shared" si="582"/>
        <v>1</v>
      </c>
      <c r="GH136" s="44">
        <f t="shared" si="582"/>
        <v>0.86206896551724133</v>
      </c>
      <c r="GJ136" s="9">
        <f t="shared" ref="GJ136:GK136" si="583">GJ44</f>
        <v>55</v>
      </c>
      <c r="GK136" s="21" t="str">
        <f t="shared" si="583"/>
        <v>Wayne</v>
      </c>
      <c r="GL136" s="44">
        <f t="shared" ref="GL136:GU136" si="584">IFERROR(GL90/GL44, 0)</f>
        <v>0.65853658536585369</v>
      </c>
      <c r="GM136" s="44">
        <f t="shared" si="584"/>
        <v>0.55555555555555558</v>
      </c>
      <c r="GN136" s="44">
        <f t="shared" si="584"/>
        <v>0.53703703703703709</v>
      </c>
      <c r="GO136" s="44">
        <f t="shared" si="584"/>
        <v>0.69565217391304346</v>
      </c>
      <c r="GP136" s="44">
        <f t="shared" si="584"/>
        <v>0.69047619047619047</v>
      </c>
      <c r="GQ136" s="44">
        <f t="shared" si="584"/>
        <v>0.66666666666666663</v>
      </c>
      <c r="GR136" s="44">
        <f t="shared" si="584"/>
        <v>0.65789473684210531</v>
      </c>
      <c r="GS136" s="44">
        <f t="shared" si="584"/>
        <v>0.52173913043478259</v>
      </c>
      <c r="GT136" s="44">
        <f t="shared" si="584"/>
        <v>0.59375</v>
      </c>
      <c r="GU136" s="44">
        <f t="shared" si="584"/>
        <v>0.64</v>
      </c>
    </row>
    <row r="137" spans="153:203" x14ac:dyDescent="0.25">
      <c r="EW137" s="9">
        <f t="shared" ref="EW137:EX137" si="585">EW45</f>
        <v>57</v>
      </c>
      <c r="EX137" s="21" t="str">
        <f t="shared" si="585"/>
        <v>Weber</v>
      </c>
      <c r="EY137" s="44">
        <f t="shared" ref="EY137:FH137" si="586">IFERROR(EY91/EY45, 0)</f>
        <v>1.2603571011786673E-2</v>
      </c>
      <c r="EZ137" s="44">
        <f t="shared" si="586"/>
        <v>1.2092600296026856E-2</v>
      </c>
      <c r="FA137" s="44">
        <f t="shared" si="586"/>
        <v>1.1762021127898906E-2</v>
      </c>
      <c r="FB137" s="44">
        <f t="shared" si="586"/>
        <v>1.0332819546726038E-2</v>
      </c>
      <c r="FC137" s="44">
        <f t="shared" si="586"/>
        <v>1.3636278844180798E-2</v>
      </c>
      <c r="FD137" s="44">
        <f t="shared" si="586"/>
        <v>1.326492073288687E-2</v>
      </c>
      <c r="FE137" s="44">
        <f t="shared" si="586"/>
        <v>1.2589911906536516E-2</v>
      </c>
      <c r="FF137" s="44">
        <f t="shared" si="586"/>
        <v>1.1532399299474605E-2</v>
      </c>
      <c r="FG137" s="44">
        <f t="shared" si="586"/>
        <v>1.1117433732790909E-2</v>
      </c>
      <c r="FH137" s="44">
        <f t="shared" si="586"/>
        <v>1.1340877434456158E-2</v>
      </c>
      <c r="FJ137" s="9">
        <f t="shared" ref="FJ137:FK137" si="587">FJ45</f>
        <v>57</v>
      </c>
      <c r="FK137" s="21" t="str">
        <f t="shared" si="587"/>
        <v>Weber</v>
      </c>
      <c r="FL137" s="44">
        <f t="shared" ref="FL137:FU137" si="588">IFERROR(FL91/FL45, 0)</f>
        <v>0.12384187770228536</v>
      </c>
      <c r="FM137" s="44">
        <f t="shared" si="588"/>
        <v>0.10624470189319017</v>
      </c>
      <c r="FN137" s="44">
        <f t="shared" si="588"/>
        <v>0.1177509567265234</v>
      </c>
      <c r="FO137" s="44">
        <f t="shared" si="588"/>
        <v>0.10060536177572788</v>
      </c>
      <c r="FP137" s="44">
        <f t="shared" si="588"/>
        <v>0.10391644908616188</v>
      </c>
      <c r="FQ137" s="44">
        <f t="shared" si="588"/>
        <v>0.11892497200447928</v>
      </c>
      <c r="FR137" s="44">
        <f t="shared" si="588"/>
        <v>9.4056172436316129E-2</v>
      </c>
      <c r="FS137" s="44">
        <f t="shared" si="588"/>
        <v>9.3335857629685728E-2</v>
      </c>
      <c r="FT137" s="44">
        <f t="shared" si="588"/>
        <v>0.10771899392888118</v>
      </c>
      <c r="FU137" s="44">
        <f t="shared" si="588"/>
        <v>9.8149271844660199E-2</v>
      </c>
      <c r="FW137" s="9">
        <f t="shared" ref="FW137:FX137" si="589">FW45</f>
        <v>57</v>
      </c>
      <c r="FX137" s="21" t="str">
        <f t="shared" si="589"/>
        <v>Weber</v>
      </c>
      <c r="FY137" s="44">
        <f t="shared" ref="FY137:GH137" si="590">IFERROR(FY91/FY45, 0)</f>
        <v>0.26629422718808193</v>
      </c>
      <c r="FZ137" s="44">
        <f t="shared" si="590"/>
        <v>0.24054982817869416</v>
      </c>
      <c r="GA137" s="44">
        <f t="shared" si="590"/>
        <v>0.28970331588132636</v>
      </c>
      <c r="GB137" s="44">
        <f t="shared" si="590"/>
        <v>0.26217228464419473</v>
      </c>
      <c r="GC137" s="44">
        <f t="shared" si="590"/>
        <v>0.24024024024024024</v>
      </c>
      <c r="GD137" s="44">
        <f t="shared" si="590"/>
        <v>0.24468085106382978</v>
      </c>
      <c r="GE137" s="44">
        <f t="shared" si="590"/>
        <v>0.22968580715059589</v>
      </c>
      <c r="GF137" s="44">
        <f t="shared" si="590"/>
        <v>0.21305530371713507</v>
      </c>
      <c r="GG137" s="44">
        <f t="shared" si="590"/>
        <v>0.22213181448331978</v>
      </c>
      <c r="GH137" s="44">
        <f t="shared" si="590"/>
        <v>0.2122356495468278</v>
      </c>
      <c r="GJ137" s="9">
        <f t="shared" ref="GJ137:GK137" si="591">GJ45</f>
        <v>57</v>
      </c>
      <c r="GK137" s="21" t="str">
        <f t="shared" si="591"/>
        <v>Weber</v>
      </c>
      <c r="GL137" s="44">
        <f t="shared" ref="GL137:GU137" si="592">IFERROR(GL91/GL45, 0)</f>
        <v>0.1998320738874895</v>
      </c>
      <c r="GM137" s="44">
        <f t="shared" si="592"/>
        <v>0.20385232744783308</v>
      </c>
      <c r="GN137" s="44">
        <f t="shared" si="592"/>
        <v>0.18253968253968253</v>
      </c>
      <c r="GO137" s="44">
        <f t="shared" si="592"/>
        <v>0.18248847926267281</v>
      </c>
      <c r="GP137" s="44">
        <f t="shared" si="592"/>
        <v>0.18887015177065766</v>
      </c>
      <c r="GQ137" s="44">
        <f t="shared" si="592"/>
        <v>0.2244062244062244</v>
      </c>
      <c r="GR137" s="44">
        <f t="shared" si="592"/>
        <v>0.19550748752079866</v>
      </c>
      <c r="GS137" s="44">
        <f t="shared" si="592"/>
        <v>0.18713872832369943</v>
      </c>
      <c r="GT137" s="44">
        <f t="shared" si="592"/>
        <v>0.18535127055306427</v>
      </c>
      <c r="GU137" s="44">
        <f t="shared" si="592"/>
        <v>0.18685121107266436</v>
      </c>
    </row>
    <row r="138" spans="153:203" x14ac:dyDescent="0.25">
      <c r="EW138" s="9">
        <f t="shared" ref="EW138:EX138" si="593">EW46</f>
        <v>1049</v>
      </c>
      <c r="EX138" s="21" t="str">
        <f t="shared" si="593"/>
        <v>State of Utah</v>
      </c>
      <c r="EY138" s="41">
        <f t="shared" ref="EY138:FH138" si="594">IFERROR(EY92/EY46, 0)</f>
        <v>3.189472931792768E-3</v>
      </c>
      <c r="EZ138" s="41">
        <f t="shared" si="594"/>
        <v>3.2712256926943975E-3</v>
      </c>
      <c r="FA138" s="41">
        <f t="shared" si="594"/>
        <v>3.0786093454354896E-3</v>
      </c>
      <c r="FB138" s="41">
        <f t="shared" si="594"/>
        <v>3.2256450694561904E-3</v>
      </c>
      <c r="FC138" s="41">
        <f t="shared" si="594"/>
        <v>3.0717450147504585E-3</v>
      </c>
      <c r="FD138" s="41">
        <f t="shared" si="594"/>
        <v>3.1690738394962209E-3</v>
      </c>
      <c r="FE138" s="41">
        <f t="shared" si="594"/>
        <v>3.4462659918251706E-3</v>
      </c>
      <c r="FF138" s="41">
        <f t="shared" si="594"/>
        <v>3.6338294231807169E-3</v>
      </c>
      <c r="FG138" s="41">
        <f t="shared" si="594"/>
        <v>3.0311613149868427E-3</v>
      </c>
      <c r="FH138" s="41">
        <f t="shared" si="594"/>
        <v>2.8719763644929363E-3</v>
      </c>
      <c r="FJ138" s="9">
        <f t="shared" ref="FJ138:FK138" si="595">FJ46</f>
        <v>1049</v>
      </c>
      <c r="FK138" s="21" t="str">
        <f t="shared" si="595"/>
        <v>State of Utah</v>
      </c>
      <c r="FL138" s="41">
        <f t="shared" ref="FL138:FU138" si="596">IFERROR(FL92/FL46, 0)</f>
        <v>2.2597234520809209E-2</v>
      </c>
      <c r="FM138" s="41">
        <f t="shared" si="596"/>
        <v>2.5329451167174378E-2</v>
      </c>
      <c r="FN138" s="41">
        <f t="shared" si="596"/>
        <v>2.8477416509777982E-2</v>
      </c>
      <c r="FO138" s="41">
        <f t="shared" si="596"/>
        <v>2.6962519135487483E-2</v>
      </c>
      <c r="FP138" s="41">
        <f t="shared" si="596"/>
        <v>2.5494800402549481E-2</v>
      </c>
      <c r="FQ138" s="41">
        <f t="shared" si="596"/>
        <v>2.7069334711659159E-2</v>
      </c>
      <c r="FR138" s="41">
        <f t="shared" si="596"/>
        <v>2.7488242897610076E-2</v>
      </c>
      <c r="FS138" s="41">
        <f t="shared" si="596"/>
        <v>2.4113916179579656E-2</v>
      </c>
      <c r="FT138" s="41">
        <f t="shared" si="596"/>
        <v>2.4981306505336143E-2</v>
      </c>
      <c r="FU138" s="41">
        <f t="shared" si="596"/>
        <v>2.4826492575735732E-2</v>
      </c>
      <c r="FW138" s="9">
        <f t="shared" ref="FW138:FX138" si="597">FW46</f>
        <v>1049</v>
      </c>
      <c r="FX138" s="21" t="str">
        <f t="shared" si="597"/>
        <v>State of Utah</v>
      </c>
      <c r="FY138" s="41">
        <f t="shared" ref="FY138:GH138" si="598">IFERROR(FY92/FY46, 0)</f>
        <v>6.398423727055895E-2</v>
      </c>
      <c r="FZ138" s="41">
        <f t="shared" si="598"/>
        <v>6.6202090592334492E-2</v>
      </c>
      <c r="GA138" s="41">
        <f t="shared" si="598"/>
        <v>6.8497474747474751E-2</v>
      </c>
      <c r="GB138" s="41">
        <f t="shared" si="598"/>
        <v>7.0144628099173559E-2</v>
      </c>
      <c r="GC138" s="41">
        <f t="shared" si="598"/>
        <v>6.2902282036278526E-2</v>
      </c>
      <c r="GD138" s="41">
        <f t="shared" si="598"/>
        <v>7.1160066439374073E-2</v>
      </c>
      <c r="GE138" s="41">
        <f t="shared" si="598"/>
        <v>5.1824518245182451E-2</v>
      </c>
      <c r="GF138" s="41">
        <f t="shared" si="598"/>
        <v>6.3287514318442151E-2</v>
      </c>
      <c r="GG138" s="41">
        <f t="shared" si="598"/>
        <v>5.8326078845914689E-2</v>
      </c>
      <c r="GH138" s="41">
        <f t="shared" si="598"/>
        <v>6.6317523831940686E-2</v>
      </c>
      <c r="GJ138" s="9">
        <f t="shared" ref="GJ138:GK138" si="599">GJ46</f>
        <v>1049</v>
      </c>
      <c r="GK138" s="21" t="str">
        <f t="shared" si="599"/>
        <v>State of Utah</v>
      </c>
      <c r="GL138" s="41">
        <f t="shared" ref="GL138:GU138" si="600">IFERROR(GL92/GL46, 0)</f>
        <v>4.4179267626161416E-2</v>
      </c>
      <c r="GM138" s="41">
        <f t="shared" si="600"/>
        <v>4.6033530017795261E-2</v>
      </c>
      <c r="GN138" s="41">
        <f t="shared" si="600"/>
        <v>4.4006664706458885E-2</v>
      </c>
      <c r="GO138" s="41">
        <f t="shared" si="600"/>
        <v>4.8816194658993388E-2</v>
      </c>
      <c r="GP138" s="41">
        <f t="shared" si="600"/>
        <v>3.8371548900327561E-2</v>
      </c>
      <c r="GQ138" s="41">
        <f t="shared" si="600"/>
        <v>4.2556468172484596E-2</v>
      </c>
      <c r="GR138" s="41">
        <f t="shared" si="600"/>
        <v>4.8273230299561154E-2</v>
      </c>
      <c r="GS138" s="41">
        <f t="shared" si="600"/>
        <v>4.5263297754550687E-2</v>
      </c>
      <c r="GT138" s="41">
        <f t="shared" si="600"/>
        <v>4.8849616538846286E-2</v>
      </c>
      <c r="GU138" s="41">
        <f t="shared" si="600"/>
        <v>4.624547471680486E-2</v>
      </c>
    </row>
    <row r="139" spans="153:203" x14ac:dyDescent="0.25">
      <c r="EW139" s="9">
        <f t="shared" ref="EW139:EX139" si="601">EW47</f>
        <v>1000</v>
      </c>
      <c r="EX139" s="21" t="str">
        <f t="shared" si="601"/>
        <v>United States</v>
      </c>
      <c r="EY139" s="41">
        <f t="shared" ref="EY139:FH139" si="602">IFERROR(EY93/EY47, 0)</f>
        <v>8.6686991245953874E-4</v>
      </c>
      <c r="EZ139" s="41">
        <f t="shared" si="602"/>
        <v>9.5171487114831775E-4</v>
      </c>
      <c r="FA139" s="41">
        <f t="shared" si="602"/>
        <v>9.8940166964989738E-4</v>
      </c>
      <c r="FB139" s="41">
        <f t="shared" si="602"/>
        <v>1.021363708444267E-3</v>
      </c>
      <c r="FC139" s="41">
        <f t="shared" si="602"/>
        <v>1.0052063594774108E-3</v>
      </c>
      <c r="FD139" s="41">
        <f t="shared" si="602"/>
        <v>9.982790072084846E-4</v>
      </c>
      <c r="FE139" s="41">
        <f t="shared" si="602"/>
        <v>1.0259272407982928E-3</v>
      </c>
      <c r="FF139" s="41">
        <f t="shared" si="602"/>
        <v>1.0335773727346551E-3</v>
      </c>
      <c r="FG139" s="41">
        <f t="shared" si="602"/>
        <v>1.1229117864122666E-3</v>
      </c>
      <c r="FH139" s="41">
        <f t="shared" si="602"/>
        <v>1.1134718982449829E-3</v>
      </c>
      <c r="FJ139" s="9">
        <f t="shared" ref="FJ139:FK139" si="603">FJ47</f>
        <v>1000</v>
      </c>
      <c r="FK139" s="21" t="str">
        <f t="shared" si="603"/>
        <v>United States</v>
      </c>
      <c r="FL139" s="41">
        <f t="shared" ref="FL139:FU139" si="604">IFERROR(FL93/FL47, 0)</f>
        <v>3.4182193452325146E-3</v>
      </c>
      <c r="FM139" s="41">
        <f t="shared" si="604"/>
        <v>3.2969040546249021E-3</v>
      </c>
      <c r="FN139" s="41">
        <f t="shared" si="604"/>
        <v>2.7047513320080587E-3</v>
      </c>
      <c r="FO139" s="41">
        <f t="shared" si="604"/>
        <v>3.5140005143569257E-3</v>
      </c>
      <c r="FP139" s="41">
        <f t="shared" si="604"/>
        <v>3.1790829949683965E-3</v>
      </c>
      <c r="FQ139" s="41">
        <f t="shared" si="604"/>
        <v>2.837044883173977E-3</v>
      </c>
      <c r="FR139" s="41">
        <f t="shared" si="604"/>
        <v>2.9051806904104721E-3</v>
      </c>
      <c r="FS139" s="41">
        <f t="shared" si="604"/>
        <v>2.8748856264256676E-3</v>
      </c>
      <c r="FT139" s="41">
        <f t="shared" si="604"/>
        <v>2.8515682412868335E-3</v>
      </c>
      <c r="FU139" s="41">
        <f t="shared" si="604"/>
        <v>3.4492293294386229E-3</v>
      </c>
      <c r="FW139" s="9">
        <f t="shared" ref="FW139:FX139" si="605">FW47</f>
        <v>1000</v>
      </c>
      <c r="FX139" s="21" t="str">
        <f t="shared" si="605"/>
        <v>United States</v>
      </c>
      <c r="FY139" s="41">
        <f t="shared" ref="FY139:GH139" si="606">IFERROR(FY93/FY47, 0)</f>
        <v>8.2461389121420963E-3</v>
      </c>
      <c r="FZ139" s="41">
        <f t="shared" si="606"/>
        <v>8.7481643394772424E-3</v>
      </c>
      <c r="GA139" s="41">
        <f t="shared" si="606"/>
        <v>8.9784254071458205E-3</v>
      </c>
      <c r="GB139" s="41">
        <f t="shared" si="606"/>
        <v>1.0187590187590188E-2</v>
      </c>
      <c r="GC139" s="41">
        <f t="shared" si="606"/>
        <v>9.1838005037204445E-3</v>
      </c>
      <c r="GD139" s="41">
        <f t="shared" si="606"/>
        <v>8.3098380801010421E-3</v>
      </c>
      <c r="GE139" s="41">
        <f t="shared" si="606"/>
        <v>8.7403719601985164E-3</v>
      </c>
      <c r="GF139" s="41">
        <f t="shared" si="606"/>
        <v>9.90349702278049E-3</v>
      </c>
      <c r="GG139" s="41">
        <f t="shared" si="606"/>
        <v>9.0479626124282068E-3</v>
      </c>
      <c r="GH139" s="41">
        <f t="shared" si="606"/>
        <v>9.860141853172041E-3</v>
      </c>
      <c r="GJ139" s="9">
        <f t="shared" ref="GJ139:GK139" si="607">GJ47</f>
        <v>1000</v>
      </c>
      <c r="GK139" s="21" t="str">
        <f t="shared" si="607"/>
        <v>United States</v>
      </c>
      <c r="GL139" s="41">
        <f t="shared" ref="GL139:GU139" si="608">IFERROR(GL93/GL47, 0)</f>
        <v>6.3116389458853783E-3</v>
      </c>
      <c r="GM139" s="41">
        <f t="shared" si="608"/>
        <v>5.780246693788388E-3</v>
      </c>
      <c r="GN139" s="41">
        <f t="shared" si="608"/>
        <v>5.6834501537871849E-3</v>
      </c>
      <c r="GO139" s="41">
        <f t="shared" si="608"/>
        <v>6.2765467491485705E-3</v>
      </c>
      <c r="GP139" s="41">
        <f t="shared" si="608"/>
        <v>6.8850572836766004E-3</v>
      </c>
      <c r="GQ139" s="41">
        <f t="shared" si="608"/>
        <v>6.9102564102564105E-3</v>
      </c>
      <c r="GR139" s="41">
        <f t="shared" si="608"/>
        <v>6.0216721553147537E-3</v>
      </c>
      <c r="GS139" s="41">
        <f t="shared" si="608"/>
        <v>7.285993487929238E-3</v>
      </c>
      <c r="GT139" s="41">
        <f t="shared" si="608"/>
        <v>7.5642495600939759E-3</v>
      </c>
      <c r="GU139" s="41">
        <f t="shared" si="608"/>
        <v>8.7959106362960615E-3</v>
      </c>
    </row>
  </sheetData>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J3" si="0">RIGHT(G5, 1)</f>
        <v>E</v>
      </c>
      <c r="H3" s="9" t="str">
        <f t="shared" si="0"/>
        <v>M</v>
      </c>
      <c r="I3" s="9" t="str">
        <f t="shared" si="0"/>
        <v>E</v>
      </c>
      <c r="J3" s="9" t="str">
        <f t="shared" si="0"/>
        <v>M</v>
      </c>
      <c r="K3" s="9" t="str">
        <f t="shared" ref="K3:BV3" si="1">RIGHT(K5, 1)</f>
        <v>E</v>
      </c>
      <c r="L3" s="9" t="str">
        <f t="shared" si="1"/>
        <v>M</v>
      </c>
      <c r="M3" s="9" t="str">
        <f t="shared" si="1"/>
        <v>E</v>
      </c>
      <c r="N3" s="9" t="str">
        <f t="shared" si="1"/>
        <v>M</v>
      </c>
      <c r="O3" s="9" t="str">
        <f t="shared" si="1"/>
        <v>E</v>
      </c>
      <c r="P3" s="9" t="str">
        <f t="shared" si="1"/>
        <v>M</v>
      </c>
      <c r="Q3" s="9" t="str">
        <f t="shared" si="1"/>
        <v>E</v>
      </c>
      <c r="R3" s="9" t="str">
        <f t="shared" si="1"/>
        <v>M</v>
      </c>
      <c r="S3" s="9" t="str">
        <f t="shared" si="1"/>
        <v>E</v>
      </c>
      <c r="T3" s="9" t="str">
        <f t="shared" si="1"/>
        <v>M</v>
      </c>
      <c r="U3" s="9" t="str">
        <f t="shared" si="1"/>
        <v>E</v>
      </c>
      <c r="V3" s="9" t="str">
        <f t="shared" si="1"/>
        <v>M</v>
      </c>
      <c r="W3" s="9" t="str">
        <f t="shared" si="1"/>
        <v>E</v>
      </c>
      <c r="X3" s="9" t="str">
        <f t="shared" si="1"/>
        <v>M</v>
      </c>
      <c r="Y3" s="9" t="str">
        <f t="shared" si="1"/>
        <v>E</v>
      </c>
      <c r="Z3" s="9" t="str">
        <f t="shared" si="1"/>
        <v>M</v>
      </c>
      <c r="AA3" s="9" t="str">
        <f t="shared" si="1"/>
        <v>E</v>
      </c>
      <c r="AB3" s="9" t="str">
        <f t="shared" si="1"/>
        <v>M</v>
      </c>
      <c r="AC3" s="9" t="str">
        <f t="shared" si="1"/>
        <v>E</v>
      </c>
      <c r="AD3" s="9" t="str">
        <f t="shared" si="1"/>
        <v>M</v>
      </c>
      <c r="AE3" s="9" t="str">
        <f t="shared" si="1"/>
        <v>E</v>
      </c>
      <c r="AF3" s="9" t="str">
        <f t="shared" si="1"/>
        <v>M</v>
      </c>
      <c r="AG3" s="9" t="str">
        <f t="shared" si="1"/>
        <v>E</v>
      </c>
      <c r="AH3" s="9" t="str">
        <f t="shared" si="1"/>
        <v>M</v>
      </c>
      <c r="AI3" s="9" t="str">
        <f t="shared" si="1"/>
        <v>E</v>
      </c>
      <c r="AJ3" s="9" t="str">
        <f t="shared" si="1"/>
        <v>M</v>
      </c>
      <c r="AK3" s="9" t="str">
        <f t="shared" si="1"/>
        <v>E</v>
      </c>
      <c r="AL3" s="9" t="str">
        <f t="shared" si="1"/>
        <v>M</v>
      </c>
      <c r="AM3" s="9" t="str">
        <f t="shared" si="1"/>
        <v>E</v>
      </c>
      <c r="AN3" s="9" t="str">
        <f t="shared" si="1"/>
        <v>M</v>
      </c>
      <c r="AO3" s="9" t="str">
        <f t="shared" si="1"/>
        <v>E</v>
      </c>
      <c r="AP3" s="9" t="str">
        <f t="shared" si="1"/>
        <v>M</v>
      </c>
      <c r="AQ3" s="9" t="str">
        <f t="shared" si="1"/>
        <v>E</v>
      </c>
      <c r="AR3" s="9" t="str">
        <f t="shared" si="1"/>
        <v>M</v>
      </c>
      <c r="AS3" s="9" t="str">
        <f t="shared" si="1"/>
        <v>E</v>
      </c>
      <c r="AT3" s="9" t="str">
        <f t="shared" si="1"/>
        <v>M</v>
      </c>
      <c r="AU3" s="9" t="str">
        <f t="shared" si="1"/>
        <v>E</v>
      </c>
      <c r="AV3" s="9" t="str">
        <f t="shared" si="1"/>
        <v>M</v>
      </c>
      <c r="AW3" s="9" t="str">
        <f t="shared" si="1"/>
        <v>E</v>
      </c>
      <c r="AX3" s="9" t="str">
        <f t="shared" si="1"/>
        <v>M</v>
      </c>
      <c r="AY3" s="9" t="str">
        <f t="shared" si="1"/>
        <v>E</v>
      </c>
      <c r="AZ3" s="9" t="str">
        <f t="shared" si="1"/>
        <v>M</v>
      </c>
      <c r="BA3" s="9" t="str">
        <f t="shared" si="1"/>
        <v>E</v>
      </c>
      <c r="BB3" s="9" t="str">
        <f t="shared" si="1"/>
        <v>M</v>
      </c>
      <c r="BC3" s="9" t="str">
        <f t="shared" si="1"/>
        <v>E</v>
      </c>
      <c r="BD3" s="9" t="str">
        <f t="shared" si="1"/>
        <v>M</v>
      </c>
      <c r="BE3" s="9" t="str">
        <f t="shared" si="1"/>
        <v>E</v>
      </c>
      <c r="BF3" s="9" t="str">
        <f t="shared" si="1"/>
        <v>M</v>
      </c>
      <c r="BG3" s="9" t="str">
        <f t="shared" si="1"/>
        <v>E</v>
      </c>
      <c r="BH3" s="9" t="str">
        <f t="shared" si="1"/>
        <v>M</v>
      </c>
      <c r="BI3" s="9" t="str">
        <f t="shared" si="1"/>
        <v>E</v>
      </c>
      <c r="BJ3" s="9" t="str">
        <f t="shared" si="1"/>
        <v>M</v>
      </c>
      <c r="BK3" s="9" t="str">
        <f t="shared" si="1"/>
        <v>E</v>
      </c>
      <c r="BL3" s="9" t="str">
        <f t="shared" si="1"/>
        <v>M</v>
      </c>
      <c r="BM3" s="9" t="str">
        <f t="shared" si="1"/>
        <v>E</v>
      </c>
      <c r="BN3" s="9" t="str">
        <f t="shared" si="1"/>
        <v>M</v>
      </c>
      <c r="BO3" s="9" t="str">
        <f t="shared" si="1"/>
        <v>E</v>
      </c>
      <c r="BP3" s="9" t="str">
        <f t="shared" si="1"/>
        <v>M</v>
      </c>
      <c r="BQ3" s="9" t="str">
        <f t="shared" si="1"/>
        <v>E</v>
      </c>
      <c r="BR3" s="9" t="str">
        <f t="shared" si="1"/>
        <v>M</v>
      </c>
      <c r="BS3" s="9" t="str">
        <f t="shared" si="1"/>
        <v>E</v>
      </c>
      <c r="BT3" s="9" t="str">
        <f t="shared" si="1"/>
        <v>M</v>
      </c>
      <c r="BU3" s="9" t="str">
        <f t="shared" si="1"/>
        <v>E</v>
      </c>
      <c r="BV3" s="9" t="str">
        <f t="shared" si="1"/>
        <v>M</v>
      </c>
      <c r="BW3" s="9" t="str">
        <f t="shared" ref="BW3:EH3" si="2">RIGHT(BW5, 1)</f>
        <v>E</v>
      </c>
      <c r="BX3" s="9" t="str">
        <f t="shared" si="2"/>
        <v>M</v>
      </c>
      <c r="BY3" s="9" t="str">
        <f t="shared" si="2"/>
        <v>E</v>
      </c>
      <c r="BZ3" s="9" t="str">
        <f t="shared" si="2"/>
        <v>M</v>
      </c>
      <c r="CA3" s="9" t="str">
        <f t="shared" si="2"/>
        <v>E</v>
      </c>
      <c r="CB3" s="9" t="str">
        <f t="shared" si="2"/>
        <v>M</v>
      </c>
      <c r="CC3" s="9" t="str">
        <f t="shared" si="2"/>
        <v>E</v>
      </c>
      <c r="CD3" s="9" t="str">
        <f t="shared" si="2"/>
        <v>M</v>
      </c>
      <c r="CE3" s="9" t="str">
        <f t="shared" si="2"/>
        <v>E</v>
      </c>
      <c r="CF3" s="9" t="str">
        <f t="shared" si="2"/>
        <v>M</v>
      </c>
      <c r="CG3" s="9" t="str">
        <f t="shared" si="2"/>
        <v>E</v>
      </c>
      <c r="CH3" s="9" t="str">
        <f t="shared" si="2"/>
        <v>M</v>
      </c>
      <c r="CI3" s="9" t="str">
        <f t="shared" si="2"/>
        <v>E</v>
      </c>
      <c r="CJ3" s="9" t="str">
        <f t="shared" si="2"/>
        <v>M</v>
      </c>
      <c r="CK3" s="9" t="str">
        <f t="shared" si="2"/>
        <v>E</v>
      </c>
      <c r="CL3" s="9" t="str">
        <f t="shared" si="2"/>
        <v>M</v>
      </c>
      <c r="CM3" s="9" t="str">
        <f t="shared" si="2"/>
        <v>E</v>
      </c>
      <c r="CN3" s="9" t="str">
        <f t="shared" si="2"/>
        <v>M</v>
      </c>
      <c r="CO3" s="9" t="str">
        <f t="shared" si="2"/>
        <v>E</v>
      </c>
      <c r="CP3" s="9" t="str">
        <f t="shared" si="2"/>
        <v>M</v>
      </c>
      <c r="CQ3" s="9" t="str">
        <f t="shared" si="2"/>
        <v>E</v>
      </c>
      <c r="CR3" s="9" t="str">
        <f t="shared" si="2"/>
        <v>M</v>
      </c>
      <c r="CS3" s="9" t="str">
        <f t="shared" si="2"/>
        <v>E</v>
      </c>
      <c r="CT3" s="9" t="str">
        <f t="shared" si="2"/>
        <v>M</v>
      </c>
      <c r="CU3" s="9" t="str">
        <f t="shared" si="2"/>
        <v>E</v>
      </c>
      <c r="CV3" s="9" t="str">
        <f t="shared" si="2"/>
        <v>M</v>
      </c>
      <c r="CW3" s="9" t="str">
        <f t="shared" si="2"/>
        <v>E</v>
      </c>
      <c r="CX3" s="9" t="str">
        <f t="shared" si="2"/>
        <v>M</v>
      </c>
      <c r="CY3" s="9" t="str">
        <f t="shared" si="2"/>
        <v>E</v>
      </c>
      <c r="CZ3" s="9" t="str">
        <f t="shared" si="2"/>
        <v>M</v>
      </c>
      <c r="DA3" s="9" t="str">
        <f t="shared" si="2"/>
        <v>E</v>
      </c>
      <c r="DB3" s="9" t="str">
        <f t="shared" si="2"/>
        <v>M</v>
      </c>
      <c r="DC3" s="9" t="str">
        <f t="shared" si="2"/>
        <v>E</v>
      </c>
      <c r="DD3" s="9" t="str">
        <f t="shared" si="2"/>
        <v>M</v>
      </c>
      <c r="DE3" s="9" t="str">
        <f t="shared" si="2"/>
        <v>E</v>
      </c>
      <c r="DF3" s="9" t="str">
        <f t="shared" si="2"/>
        <v>M</v>
      </c>
      <c r="DG3" s="9" t="str">
        <f t="shared" si="2"/>
        <v>E</v>
      </c>
      <c r="DH3" s="9" t="str">
        <f t="shared" si="2"/>
        <v>M</v>
      </c>
      <c r="DI3" s="9" t="str">
        <f t="shared" si="2"/>
        <v>E</v>
      </c>
      <c r="DJ3" s="9" t="str">
        <f t="shared" si="2"/>
        <v>M</v>
      </c>
      <c r="DK3" s="9" t="str">
        <f t="shared" si="2"/>
        <v>E</v>
      </c>
      <c r="DL3" s="9" t="str">
        <f t="shared" si="2"/>
        <v>M</v>
      </c>
      <c r="DM3" s="9" t="str">
        <f t="shared" si="2"/>
        <v>E</v>
      </c>
      <c r="DN3" s="9" t="str">
        <f t="shared" si="2"/>
        <v>M</v>
      </c>
      <c r="DO3" s="9" t="str">
        <f t="shared" si="2"/>
        <v>E</v>
      </c>
      <c r="DP3" s="9" t="str">
        <f t="shared" si="2"/>
        <v>M</v>
      </c>
      <c r="DQ3" s="9" t="str">
        <f t="shared" si="2"/>
        <v>E</v>
      </c>
      <c r="DR3" s="9" t="str">
        <f t="shared" si="2"/>
        <v>M</v>
      </c>
      <c r="DS3" s="9" t="str">
        <f t="shared" si="2"/>
        <v>E</v>
      </c>
      <c r="DT3" s="9" t="str">
        <f t="shared" si="2"/>
        <v>M</v>
      </c>
      <c r="DU3" s="9" t="str">
        <f t="shared" si="2"/>
        <v>E</v>
      </c>
      <c r="DV3" s="9" t="str">
        <f t="shared" si="2"/>
        <v>M</v>
      </c>
      <c r="DW3" s="9" t="str">
        <f t="shared" si="2"/>
        <v>E</v>
      </c>
      <c r="DX3" s="9" t="str">
        <f t="shared" si="2"/>
        <v>M</v>
      </c>
      <c r="DY3" s="9" t="str">
        <f t="shared" si="2"/>
        <v>E</v>
      </c>
      <c r="DZ3" s="9" t="str">
        <f t="shared" si="2"/>
        <v>M</v>
      </c>
      <c r="EA3" s="9" t="str">
        <f t="shared" si="2"/>
        <v>E</v>
      </c>
      <c r="EB3" s="9" t="str">
        <f t="shared" si="2"/>
        <v>M</v>
      </c>
      <c r="EC3" s="9" t="str">
        <f t="shared" si="2"/>
        <v>E</v>
      </c>
      <c r="ED3" s="9" t="str">
        <f t="shared" si="2"/>
        <v>M</v>
      </c>
      <c r="EE3" s="9" t="str">
        <f t="shared" si="2"/>
        <v>E</v>
      </c>
      <c r="EF3" s="9" t="str">
        <f t="shared" si="2"/>
        <v>M</v>
      </c>
      <c r="EG3" s="9" t="str">
        <f t="shared" si="2"/>
        <v>E</v>
      </c>
      <c r="EH3" s="9" t="str">
        <f t="shared" si="2"/>
        <v>M</v>
      </c>
      <c r="EI3" s="9" t="str">
        <f t="shared" ref="EI3:EN3" si="3">RIGHT(EI5, 1)</f>
        <v>E</v>
      </c>
      <c r="EJ3" s="9" t="str">
        <f t="shared" si="3"/>
        <v>M</v>
      </c>
      <c r="EK3" s="9" t="str">
        <f t="shared" si="3"/>
        <v>E</v>
      </c>
      <c r="EL3" s="9" t="str">
        <f t="shared" si="3"/>
        <v>M</v>
      </c>
      <c r="EM3" s="9" t="str">
        <f t="shared" si="3"/>
        <v>E</v>
      </c>
      <c r="EN3" s="9" t="str">
        <f t="shared" si="3"/>
        <v>M</v>
      </c>
    </row>
    <row r="4" spans="1:144" x14ac:dyDescent="0.25">
      <c r="A4" s="10"/>
      <c r="B4" s="10"/>
      <c r="C4" s="10"/>
      <c r="D4" s="13" t="s">
        <v>355</v>
      </c>
      <c r="E4" s="19">
        <f t="shared" ref="E4:AJ4" si="4">IF(E3="E", VLOOKUP(E$5, lu_WrkTypeID_Est, 2, FALSE),  VLOOKUP(E$5, lu_WrkTypeID_MOE, 2, FALSE) )</f>
        <v>100.1</v>
      </c>
      <c r="F4" s="19">
        <f t="shared" si="4"/>
        <v>100.2</v>
      </c>
      <c r="G4" s="19">
        <f t="shared" si="4"/>
        <v>110.1</v>
      </c>
      <c r="H4" s="19">
        <f t="shared" si="4"/>
        <v>110.2</v>
      </c>
      <c r="I4" s="19">
        <f t="shared" si="4"/>
        <v>111.1</v>
      </c>
      <c r="J4" s="19">
        <f t="shared" si="4"/>
        <v>111.2</v>
      </c>
      <c r="K4" s="19">
        <f t="shared" si="4"/>
        <v>112.1</v>
      </c>
      <c r="L4" s="19">
        <f t="shared" si="4"/>
        <v>112.2</v>
      </c>
      <c r="M4" s="19">
        <f t="shared" si="4"/>
        <v>120.1</v>
      </c>
      <c r="N4" s="19">
        <f t="shared" si="4"/>
        <v>120.2</v>
      </c>
      <c r="O4" s="19">
        <f t="shared" si="4"/>
        <v>130.1</v>
      </c>
      <c r="P4" s="19">
        <f t="shared" si="4"/>
        <v>130.19999999999999</v>
      </c>
      <c r="Q4" s="19">
        <f t="shared" si="4"/>
        <v>140.1</v>
      </c>
      <c r="R4" s="19">
        <f t="shared" si="4"/>
        <v>140.19999999999999</v>
      </c>
      <c r="S4" s="19">
        <f t="shared" si="4"/>
        <v>150.1</v>
      </c>
      <c r="T4" s="19">
        <f t="shared" si="4"/>
        <v>150.19999999999999</v>
      </c>
      <c r="U4" s="19">
        <f t="shared" si="4"/>
        <v>160.1</v>
      </c>
      <c r="V4" s="19">
        <f t="shared" si="4"/>
        <v>160.19999999999999</v>
      </c>
      <c r="W4" s="19">
        <f t="shared" si="4"/>
        <v>170.1</v>
      </c>
      <c r="X4" s="19">
        <f t="shared" si="4"/>
        <v>170.2</v>
      </c>
      <c r="Y4" s="19">
        <f t="shared" si="4"/>
        <v>200.1</v>
      </c>
      <c r="Z4" s="19">
        <f t="shared" si="4"/>
        <v>200.2</v>
      </c>
      <c r="AA4" s="19">
        <f t="shared" si="4"/>
        <v>210.1</v>
      </c>
      <c r="AB4" s="19">
        <f t="shared" si="4"/>
        <v>210.2</v>
      </c>
      <c r="AC4" s="19">
        <f t="shared" si="4"/>
        <v>211.1</v>
      </c>
      <c r="AD4" s="19">
        <f t="shared" si="4"/>
        <v>211.2</v>
      </c>
      <c r="AE4" s="19">
        <f t="shared" si="4"/>
        <v>212.1</v>
      </c>
      <c r="AF4" s="19">
        <f t="shared" si="4"/>
        <v>212.2</v>
      </c>
      <c r="AG4" s="19">
        <f t="shared" si="4"/>
        <v>220.1</v>
      </c>
      <c r="AH4" s="19">
        <f t="shared" si="4"/>
        <v>220.2</v>
      </c>
      <c r="AI4" s="19">
        <f t="shared" si="4"/>
        <v>230.1</v>
      </c>
      <c r="AJ4" s="19">
        <f t="shared" si="4"/>
        <v>230.2</v>
      </c>
      <c r="AK4" s="19">
        <f t="shared" ref="AK4:BP4" si="5">IF(AK3="E", VLOOKUP(AK$5, lu_WrkTypeID_Est, 2, FALSE),  VLOOKUP(AK$5, lu_WrkTypeID_MOE, 2, FALSE) )</f>
        <v>240.1</v>
      </c>
      <c r="AL4" s="19">
        <f t="shared" si="5"/>
        <v>240.2</v>
      </c>
      <c r="AM4" s="19">
        <f t="shared" si="5"/>
        <v>250.1</v>
      </c>
      <c r="AN4" s="19">
        <f t="shared" si="5"/>
        <v>250.2</v>
      </c>
      <c r="AO4" s="19">
        <f t="shared" si="5"/>
        <v>260.10000000000002</v>
      </c>
      <c r="AP4" s="19">
        <f t="shared" si="5"/>
        <v>260.2</v>
      </c>
      <c r="AQ4" s="19">
        <f t="shared" si="5"/>
        <v>270.10000000000002</v>
      </c>
      <c r="AR4" s="19">
        <f t="shared" si="5"/>
        <v>270.2</v>
      </c>
      <c r="AS4" s="19">
        <f t="shared" si="5"/>
        <v>300.10000000000002</v>
      </c>
      <c r="AT4" s="19">
        <f t="shared" si="5"/>
        <v>300.2</v>
      </c>
      <c r="AU4" s="19">
        <f t="shared" si="5"/>
        <v>310.10000000000002</v>
      </c>
      <c r="AV4" s="19">
        <f t="shared" si="5"/>
        <v>310.2</v>
      </c>
      <c r="AW4" s="19">
        <f t="shared" si="5"/>
        <v>311.10000000000002</v>
      </c>
      <c r="AX4" s="19">
        <f t="shared" si="5"/>
        <v>311.2</v>
      </c>
      <c r="AY4" s="19">
        <f t="shared" si="5"/>
        <v>312.10000000000002</v>
      </c>
      <c r="AZ4" s="19">
        <f t="shared" si="5"/>
        <v>312.2</v>
      </c>
      <c r="BA4" s="19">
        <f t="shared" si="5"/>
        <v>320.10000000000002</v>
      </c>
      <c r="BB4" s="19">
        <f t="shared" si="5"/>
        <v>320.2</v>
      </c>
      <c r="BC4" s="19">
        <f t="shared" si="5"/>
        <v>330.1</v>
      </c>
      <c r="BD4" s="19">
        <f t="shared" si="5"/>
        <v>330.2</v>
      </c>
      <c r="BE4" s="19">
        <f t="shared" si="5"/>
        <v>340.1</v>
      </c>
      <c r="BF4" s="19">
        <f t="shared" si="5"/>
        <v>340.2</v>
      </c>
      <c r="BG4" s="19">
        <f t="shared" si="5"/>
        <v>350.1</v>
      </c>
      <c r="BH4" s="19">
        <f t="shared" si="5"/>
        <v>350.2</v>
      </c>
      <c r="BI4" s="19">
        <f t="shared" si="5"/>
        <v>360.1</v>
      </c>
      <c r="BJ4" s="19">
        <f t="shared" si="5"/>
        <v>360.2</v>
      </c>
      <c r="BK4" s="19">
        <f t="shared" si="5"/>
        <v>370.1</v>
      </c>
      <c r="BL4" s="19">
        <f t="shared" si="5"/>
        <v>370.2</v>
      </c>
      <c r="BM4" s="19">
        <f t="shared" si="5"/>
        <v>400.1</v>
      </c>
      <c r="BN4" s="19">
        <f t="shared" si="5"/>
        <v>400.2</v>
      </c>
      <c r="BO4" s="19">
        <f t="shared" si="5"/>
        <v>410.1</v>
      </c>
      <c r="BP4" s="19">
        <f t="shared" si="5"/>
        <v>410.2</v>
      </c>
      <c r="BQ4" s="19">
        <f t="shared" ref="BQ4:CV4" si="6">IF(BQ3="E", VLOOKUP(BQ$5, lu_WrkTypeID_Est, 2, FALSE),  VLOOKUP(BQ$5, lu_WrkTypeID_MOE, 2, FALSE) )</f>
        <v>411.1</v>
      </c>
      <c r="BR4" s="19">
        <f t="shared" si="6"/>
        <v>411.2</v>
      </c>
      <c r="BS4" s="19">
        <f t="shared" si="6"/>
        <v>412.1</v>
      </c>
      <c r="BT4" s="19">
        <f t="shared" si="6"/>
        <v>412.2</v>
      </c>
      <c r="BU4" s="19">
        <f t="shared" si="6"/>
        <v>420.1</v>
      </c>
      <c r="BV4" s="19">
        <f t="shared" si="6"/>
        <v>420.2</v>
      </c>
      <c r="BW4" s="19">
        <f t="shared" si="6"/>
        <v>430.1</v>
      </c>
      <c r="BX4" s="19">
        <f t="shared" si="6"/>
        <v>430.2</v>
      </c>
      <c r="BY4" s="19">
        <f t="shared" si="6"/>
        <v>440.1</v>
      </c>
      <c r="BZ4" s="19">
        <f t="shared" si="6"/>
        <v>440.2</v>
      </c>
      <c r="CA4" s="19">
        <f t="shared" si="6"/>
        <v>450.1</v>
      </c>
      <c r="CB4" s="19">
        <f t="shared" si="6"/>
        <v>450.2</v>
      </c>
      <c r="CC4" s="19">
        <f t="shared" si="6"/>
        <v>460.1</v>
      </c>
      <c r="CD4" s="19">
        <f t="shared" si="6"/>
        <v>460.2</v>
      </c>
      <c r="CE4" s="19">
        <f t="shared" si="6"/>
        <v>470.1</v>
      </c>
      <c r="CF4" s="19">
        <f t="shared" si="6"/>
        <v>470.2</v>
      </c>
      <c r="CG4" s="19">
        <f t="shared" si="6"/>
        <v>500.1</v>
      </c>
      <c r="CH4" s="19">
        <f t="shared" si="6"/>
        <v>500.2</v>
      </c>
      <c r="CI4" s="19">
        <f t="shared" si="6"/>
        <v>510.1</v>
      </c>
      <c r="CJ4" s="19">
        <f t="shared" si="6"/>
        <v>510.2</v>
      </c>
      <c r="CK4" s="19">
        <f t="shared" si="6"/>
        <v>511.1</v>
      </c>
      <c r="CL4" s="19">
        <f t="shared" si="6"/>
        <v>511.2</v>
      </c>
      <c r="CM4" s="19">
        <f t="shared" si="6"/>
        <v>512.1</v>
      </c>
      <c r="CN4" s="19">
        <f t="shared" si="6"/>
        <v>512.20000000000005</v>
      </c>
      <c r="CO4" s="19">
        <f t="shared" si="6"/>
        <v>520.1</v>
      </c>
      <c r="CP4" s="19">
        <f t="shared" si="6"/>
        <v>520.20000000000005</v>
      </c>
      <c r="CQ4" s="19">
        <f t="shared" si="6"/>
        <v>530.1</v>
      </c>
      <c r="CR4" s="19">
        <f t="shared" si="6"/>
        <v>530.20000000000005</v>
      </c>
      <c r="CS4" s="19">
        <f t="shared" si="6"/>
        <v>540.1</v>
      </c>
      <c r="CT4" s="19">
        <f t="shared" si="6"/>
        <v>540.20000000000005</v>
      </c>
      <c r="CU4" s="19">
        <f t="shared" si="6"/>
        <v>550.1</v>
      </c>
      <c r="CV4" s="19">
        <f t="shared" si="6"/>
        <v>550.20000000000005</v>
      </c>
      <c r="CW4" s="19">
        <f t="shared" ref="CW4:EB4" si="7">IF(CW3="E", VLOOKUP(CW$5, lu_WrkTypeID_Est, 2, FALSE),  VLOOKUP(CW$5, lu_WrkTypeID_MOE, 2, FALSE) )</f>
        <v>560.1</v>
      </c>
      <c r="CX4" s="19">
        <f t="shared" si="7"/>
        <v>560.20000000000005</v>
      </c>
      <c r="CY4" s="19">
        <f t="shared" si="7"/>
        <v>570.1</v>
      </c>
      <c r="CZ4" s="19">
        <f t="shared" si="7"/>
        <v>570.20000000000005</v>
      </c>
      <c r="DA4" s="19">
        <f t="shared" si="7"/>
        <v>600.1</v>
      </c>
      <c r="DB4" s="19">
        <f t="shared" si="7"/>
        <v>600.20000000000005</v>
      </c>
      <c r="DC4" s="19">
        <f t="shared" si="7"/>
        <v>610.1</v>
      </c>
      <c r="DD4" s="19">
        <f t="shared" si="7"/>
        <v>610.20000000000005</v>
      </c>
      <c r="DE4" s="19">
        <f t="shared" si="7"/>
        <v>611.1</v>
      </c>
      <c r="DF4" s="19">
        <f t="shared" si="7"/>
        <v>611.20000000000005</v>
      </c>
      <c r="DG4" s="19">
        <f t="shared" si="7"/>
        <v>612.1</v>
      </c>
      <c r="DH4" s="19">
        <f t="shared" si="7"/>
        <v>612.20000000000005</v>
      </c>
      <c r="DI4" s="19">
        <f t="shared" si="7"/>
        <v>620.1</v>
      </c>
      <c r="DJ4" s="19">
        <f t="shared" si="7"/>
        <v>620.20000000000005</v>
      </c>
      <c r="DK4" s="19">
        <f t="shared" si="7"/>
        <v>630.1</v>
      </c>
      <c r="DL4" s="19">
        <f t="shared" si="7"/>
        <v>630.20000000000005</v>
      </c>
      <c r="DM4" s="19">
        <f t="shared" si="7"/>
        <v>640.1</v>
      </c>
      <c r="DN4" s="19">
        <f t="shared" si="7"/>
        <v>640.20000000000005</v>
      </c>
      <c r="DO4" s="19">
        <f t="shared" si="7"/>
        <v>650.1</v>
      </c>
      <c r="DP4" s="19">
        <f t="shared" si="7"/>
        <v>650.20000000000005</v>
      </c>
      <c r="DQ4" s="19">
        <f t="shared" si="7"/>
        <v>660.1</v>
      </c>
      <c r="DR4" s="19">
        <f t="shared" si="7"/>
        <v>660.2</v>
      </c>
      <c r="DS4" s="19">
        <f t="shared" si="7"/>
        <v>670.1</v>
      </c>
      <c r="DT4" s="19">
        <f t="shared" si="7"/>
        <v>670.2</v>
      </c>
      <c r="DU4" s="19">
        <f t="shared" si="7"/>
        <v>700.1</v>
      </c>
      <c r="DV4" s="19">
        <f t="shared" si="7"/>
        <v>700.2</v>
      </c>
      <c r="DW4" s="19">
        <f t="shared" si="7"/>
        <v>710.1</v>
      </c>
      <c r="DX4" s="19">
        <f t="shared" si="7"/>
        <v>710.2</v>
      </c>
      <c r="DY4" s="19">
        <f t="shared" si="7"/>
        <v>711.1</v>
      </c>
      <c r="DZ4" s="19">
        <f t="shared" si="7"/>
        <v>711.2</v>
      </c>
      <c r="EA4" s="19">
        <f t="shared" si="7"/>
        <v>712.1</v>
      </c>
      <c r="EB4" s="19">
        <f t="shared" si="7"/>
        <v>712.2</v>
      </c>
      <c r="EC4" s="19">
        <f t="shared" ref="EC4:EN4" si="8">IF(EC3="E", VLOOKUP(EC$5, lu_WrkTypeID_Est, 2, FALSE),  VLOOKUP(EC$5, lu_WrkTypeID_MOE, 2, FALSE) )</f>
        <v>720.1</v>
      </c>
      <c r="ED4" s="19">
        <f t="shared" si="8"/>
        <v>720.2</v>
      </c>
      <c r="EE4" s="19">
        <f t="shared" si="8"/>
        <v>730.1</v>
      </c>
      <c r="EF4" s="19">
        <f t="shared" si="8"/>
        <v>730.2</v>
      </c>
      <c r="EG4" s="19">
        <f t="shared" si="8"/>
        <v>740.1</v>
      </c>
      <c r="EH4" s="19">
        <f t="shared" si="8"/>
        <v>740.2</v>
      </c>
      <c r="EI4" s="19">
        <f t="shared" si="8"/>
        <v>750.1</v>
      </c>
      <c r="EJ4" s="19">
        <f t="shared" si="8"/>
        <v>750.2</v>
      </c>
      <c r="EK4" s="19">
        <f t="shared" si="8"/>
        <v>760.1</v>
      </c>
      <c r="EL4" s="19">
        <f t="shared" si="8"/>
        <v>760.2</v>
      </c>
      <c r="EM4" s="19">
        <f t="shared" si="8"/>
        <v>770.1</v>
      </c>
      <c r="EN4" s="19">
        <f t="shared" si="8"/>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9">VLOOKUP($C7, lu_GEOID, 2, FALSE)</f>
        <v>1000</v>
      </c>
      <c r="B7" s="20" t="str">
        <f t="shared" ref="B7:B37" si="10">VLOOKUP($C7, lu_GEOID, 3, FALSE)</f>
        <v>United States</v>
      </c>
      <c r="C7" s="24" t="s">
        <v>284</v>
      </c>
      <c r="D7" s="24" t="s">
        <v>285</v>
      </c>
      <c r="E7" s="25">
        <v>139255035</v>
      </c>
      <c r="F7" s="25">
        <v>120716</v>
      </c>
      <c r="G7" s="25">
        <v>98068835</v>
      </c>
      <c r="H7" s="25">
        <v>69386</v>
      </c>
      <c r="I7" s="25">
        <v>93056746</v>
      </c>
      <c r="J7" s="25">
        <v>77877</v>
      </c>
      <c r="K7" s="25">
        <v>5012089</v>
      </c>
      <c r="L7" s="25">
        <v>20797</v>
      </c>
      <c r="M7" s="25">
        <v>10637483</v>
      </c>
      <c r="N7" s="25">
        <v>55931</v>
      </c>
      <c r="O7" s="25">
        <v>10485396</v>
      </c>
      <c r="P7" s="25">
        <v>60084</v>
      </c>
      <c r="Q7" s="25">
        <v>6168909</v>
      </c>
      <c r="R7" s="25">
        <v>35305</v>
      </c>
      <c r="S7" s="25">
        <v>4713093</v>
      </c>
      <c r="T7" s="25">
        <v>29815</v>
      </c>
      <c r="U7" s="25">
        <v>8939229</v>
      </c>
      <c r="V7" s="25">
        <v>23783</v>
      </c>
      <c r="W7" s="25">
        <v>242090</v>
      </c>
      <c r="X7" s="25">
        <v>3366</v>
      </c>
      <c r="Y7" s="25">
        <v>105840717</v>
      </c>
      <c r="Z7" s="25">
        <v>113013</v>
      </c>
      <c r="AA7" s="25">
        <v>75641602</v>
      </c>
      <c r="AB7" s="25">
        <v>58834</v>
      </c>
      <c r="AC7" s="25">
        <v>72220165</v>
      </c>
      <c r="AD7" s="25">
        <v>64723</v>
      </c>
      <c r="AE7" s="25">
        <v>3421437</v>
      </c>
      <c r="AF7" s="25">
        <v>17255</v>
      </c>
      <c r="AG7" s="25">
        <v>7996589</v>
      </c>
      <c r="AH7" s="25">
        <v>42067</v>
      </c>
      <c r="AI7" s="25">
        <v>8623867</v>
      </c>
      <c r="AJ7" s="25">
        <v>46345</v>
      </c>
      <c r="AK7" s="25">
        <v>4753757</v>
      </c>
      <c r="AL7" s="25">
        <v>25975</v>
      </c>
      <c r="AM7" s="25">
        <v>3542898</v>
      </c>
      <c r="AN7" s="25">
        <v>23450</v>
      </c>
      <c r="AO7" s="25">
        <v>5164414</v>
      </c>
      <c r="AP7" s="25">
        <v>16940</v>
      </c>
      <c r="AQ7" s="25">
        <v>117590</v>
      </c>
      <c r="AR7" s="25">
        <v>2382</v>
      </c>
      <c r="AS7" s="25">
        <v>14418306</v>
      </c>
      <c r="AT7" s="25">
        <v>48726</v>
      </c>
      <c r="AU7" s="25">
        <v>10336960</v>
      </c>
      <c r="AV7" s="25">
        <v>27573</v>
      </c>
      <c r="AW7" s="25">
        <v>9859986</v>
      </c>
      <c r="AX7" s="25">
        <v>26548</v>
      </c>
      <c r="AY7" s="25">
        <v>476974</v>
      </c>
      <c r="AZ7" s="25">
        <v>5837</v>
      </c>
      <c r="BA7" s="25">
        <v>1048065</v>
      </c>
      <c r="BB7" s="25">
        <v>12711</v>
      </c>
      <c r="BC7" s="25">
        <v>975885</v>
      </c>
      <c r="BD7" s="25">
        <v>13965</v>
      </c>
      <c r="BE7" s="25">
        <v>644646</v>
      </c>
      <c r="BF7" s="25">
        <v>9262</v>
      </c>
      <c r="BG7" s="25">
        <v>454031</v>
      </c>
      <c r="BH7" s="25">
        <v>6899</v>
      </c>
      <c r="BI7" s="25">
        <v>920847</v>
      </c>
      <c r="BJ7" s="25">
        <v>7588</v>
      </c>
      <c r="BK7" s="25">
        <v>37872</v>
      </c>
      <c r="BL7" s="25">
        <v>1545</v>
      </c>
      <c r="BM7" s="25">
        <v>6872730</v>
      </c>
      <c r="BN7" s="25">
        <v>18857</v>
      </c>
      <c r="BO7" s="25">
        <v>4954148</v>
      </c>
      <c r="BP7" s="25">
        <v>19307</v>
      </c>
      <c r="BQ7" s="25">
        <v>4874877</v>
      </c>
      <c r="BR7" s="25">
        <v>19197</v>
      </c>
      <c r="BS7" s="25">
        <v>79271</v>
      </c>
      <c r="BT7" s="25">
        <v>2195</v>
      </c>
      <c r="BU7" s="25">
        <v>674539</v>
      </c>
      <c r="BV7" s="25">
        <v>6407</v>
      </c>
      <c r="BW7" s="25">
        <v>437446</v>
      </c>
      <c r="BX7" s="25">
        <v>5363</v>
      </c>
      <c r="BY7" s="25">
        <v>275044</v>
      </c>
      <c r="BZ7" s="25">
        <v>3970</v>
      </c>
      <c r="CA7" s="25">
        <v>293607</v>
      </c>
      <c r="CB7" s="25">
        <v>4199</v>
      </c>
      <c r="CC7" s="25">
        <v>233599</v>
      </c>
      <c r="CD7" s="25">
        <v>3931</v>
      </c>
      <c r="CE7" s="25">
        <v>4347</v>
      </c>
      <c r="CF7" s="25">
        <v>559</v>
      </c>
      <c r="CG7" s="25">
        <v>3962070</v>
      </c>
      <c r="CH7" s="25">
        <v>17751</v>
      </c>
      <c r="CI7" s="25">
        <v>2498921</v>
      </c>
      <c r="CJ7" s="25">
        <v>17414</v>
      </c>
      <c r="CK7" s="25">
        <v>2350721</v>
      </c>
      <c r="CL7" s="25">
        <v>17402</v>
      </c>
      <c r="CM7" s="25">
        <v>148200</v>
      </c>
      <c r="CN7" s="25">
        <v>2701</v>
      </c>
      <c r="CO7" s="25">
        <v>475747</v>
      </c>
      <c r="CP7" s="25">
        <v>5162</v>
      </c>
      <c r="CQ7" s="25">
        <v>214895</v>
      </c>
      <c r="CR7" s="25">
        <v>3723</v>
      </c>
      <c r="CS7" s="25">
        <v>247633</v>
      </c>
      <c r="CT7" s="25">
        <v>3269</v>
      </c>
      <c r="CU7" s="25">
        <v>182031</v>
      </c>
      <c r="CV7" s="25">
        <v>4714</v>
      </c>
      <c r="CW7" s="25">
        <v>327610</v>
      </c>
      <c r="CX7" s="25">
        <v>4264</v>
      </c>
      <c r="CY7" s="25">
        <v>15233</v>
      </c>
      <c r="CZ7" s="25">
        <v>852</v>
      </c>
      <c r="DA7" s="25">
        <v>2401488</v>
      </c>
      <c r="DB7" s="25">
        <v>15527</v>
      </c>
      <c r="DC7" s="25">
        <v>1726572</v>
      </c>
      <c r="DD7" s="25">
        <v>13661</v>
      </c>
      <c r="DE7" s="25">
        <v>1656262</v>
      </c>
      <c r="DF7" s="25">
        <v>13490</v>
      </c>
      <c r="DG7" s="25">
        <v>70310</v>
      </c>
      <c r="DH7" s="25">
        <v>2214</v>
      </c>
      <c r="DI7" s="25">
        <v>165333</v>
      </c>
      <c r="DJ7" s="25">
        <v>3392</v>
      </c>
      <c r="DK7" s="25">
        <v>124838</v>
      </c>
      <c r="DL7" s="25">
        <v>2629</v>
      </c>
      <c r="DM7" s="25">
        <v>115787</v>
      </c>
      <c r="DN7" s="25">
        <v>2954</v>
      </c>
      <c r="DO7" s="25">
        <v>85821</v>
      </c>
      <c r="DP7" s="25">
        <v>2136</v>
      </c>
      <c r="DQ7" s="25">
        <v>177619</v>
      </c>
      <c r="DR7" s="25">
        <v>3191</v>
      </c>
      <c r="DS7" s="25">
        <v>5518</v>
      </c>
      <c r="DT7" s="25">
        <v>686</v>
      </c>
      <c r="DU7" s="25">
        <v>5759724</v>
      </c>
      <c r="DV7" s="25">
        <v>19688</v>
      </c>
      <c r="DW7" s="25">
        <v>2910632</v>
      </c>
      <c r="DX7" s="25">
        <v>12725</v>
      </c>
      <c r="DY7" s="25">
        <v>2094735</v>
      </c>
      <c r="DZ7" s="25">
        <v>10177</v>
      </c>
      <c r="EA7" s="25">
        <v>815897</v>
      </c>
      <c r="EB7" s="25">
        <v>6728</v>
      </c>
      <c r="EC7" s="25">
        <v>277210</v>
      </c>
      <c r="ED7" s="25">
        <v>3667</v>
      </c>
      <c r="EE7" s="25">
        <v>108465</v>
      </c>
      <c r="EF7" s="25">
        <v>2528</v>
      </c>
      <c r="EG7" s="25">
        <v>132042</v>
      </c>
      <c r="EH7" s="25">
        <v>2875</v>
      </c>
      <c r="EI7" s="25">
        <v>154705</v>
      </c>
      <c r="EJ7" s="25">
        <v>6099</v>
      </c>
      <c r="EK7" s="25">
        <v>2115140</v>
      </c>
      <c r="EL7" s="25">
        <v>13350</v>
      </c>
      <c r="EM7" s="25">
        <v>61530</v>
      </c>
      <c r="EN7" s="25">
        <v>1964</v>
      </c>
    </row>
    <row r="8" spans="1:144" x14ac:dyDescent="0.25">
      <c r="A8" s="19">
        <f t="shared" si="9"/>
        <v>1049</v>
      </c>
      <c r="B8" s="20" t="str">
        <f t="shared" si="10"/>
        <v>State of Utah</v>
      </c>
      <c r="C8" s="24" t="s">
        <v>286</v>
      </c>
      <c r="D8" s="24" t="s">
        <v>287</v>
      </c>
      <c r="E8" s="25">
        <v>1217129</v>
      </c>
      <c r="F8" s="25">
        <v>3882</v>
      </c>
      <c r="G8" s="25">
        <v>872387</v>
      </c>
      <c r="H8" s="25">
        <v>4063</v>
      </c>
      <c r="I8" s="25">
        <v>817336</v>
      </c>
      <c r="J8" s="25">
        <v>3971</v>
      </c>
      <c r="K8" s="25">
        <v>55051</v>
      </c>
      <c r="L8" s="25">
        <v>1511</v>
      </c>
      <c r="M8" s="25">
        <v>81058</v>
      </c>
      <c r="N8" s="25">
        <v>2017</v>
      </c>
      <c r="O8" s="25">
        <v>84326</v>
      </c>
      <c r="P8" s="25">
        <v>1745</v>
      </c>
      <c r="Q8" s="25">
        <v>66158</v>
      </c>
      <c r="R8" s="25">
        <v>1829</v>
      </c>
      <c r="S8" s="25">
        <v>47881</v>
      </c>
      <c r="T8" s="25">
        <v>1419</v>
      </c>
      <c r="U8" s="25">
        <v>63393</v>
      </c>
      <c r="V8" s="25">
        <v>1704</v>
      </c>
      <c r="W8" s="25">
        <v>1926</v>
      </c>
      <c r="X8" s="25">
        <v>264</v>
      </c>
      <c r="Y8" s="25">
        <v>921250</v>
      </c>
      <c r="Z8" s="25">
        <v>4576</v>
      </c>
      <c r="AA8" s="25">
        <v>674203</v>
      </c>
      <c r="AB8" s="25">
        <v>4119</v>
      </c>
      <c r="AC8" s="25">
        <v>637015</v>
      </c>
      <c r="AD8" s="25">
        <v>4069</v>
      </c>
      <c r="AE8" s="25">
        <v>37188</v>
      </c>
      <c r="AF8" s="25">
        <v>1225</v>
      </c>
      <c r="AG8" s="25">
        <v>57749</v>
      </c>
      <c r="AH8" s="25">
        <v>1617</v>
      </c>
      <c r="AI8" s="25">
        <v>69476</v>
      </c>
      <c r="AJ8" s="25">
        <v>1587</v>
      </c>
      <c r="AK8" s="25">
        <v>48820</v>
      </c>
      <c r="AL8" s="25">
        <v>1348</v>
      </c>
      <c r="AM8" s="25">
        <v>38832</v>
      </c>
      <c r="AN8" s="25">
        <v>1430</v>
      </c>
      <c r="AO8" s="25">
        <v>31374</v>
      </c>
      <c r="AP8" s="25">
        <v>1100</v>
      </c>
      <c r="AQ8" s="25">
        <v>796</v>
      </c>
      <c r="AR8" s="25">
        <v>153</v>
      </c>
      <c r="AS8" s="25">
        <v>150715</v>
      </c>
      <c r="AT8" s="25">
        <v>3077</v>
      </c>
      <c r="AU8" s="25">
        <v>111750</v>
      </c>
      <c r="AV8" s="25">
        <v>2736</v>
      </c>
      <c r="AW8" s="25">
        <v>106206</v>
      </c>
      <c r="AX8" s="25">
        <v>2590</v>
      </c>
      <c r="AY8" s="25">
        <v>5544</v>
      </c>
      <c r="AZ8" s="25">
        <v>497</v>
      </c>
      <c r="BA8" s="25">
        <v>9265</v>
      </c>
      <c r="BB8" s="25">
        <v>653</v>
      </c>
      <c r="BC8" s="25">
        <v>8918</v>
      </c>
      <c r="BD8" s="25">
        <v>542</v>
      </c>
      <c r="BE8" s="25">
        <v>7962</v>
      </c>
      <c r="BF8" s="25">
        <v>628</v>
      </c>
      <c r="BG8" s="25">
        <v>6009</v>
      </c>
      <c r="BH8" s="25">
        <v>412</v>
      </c>
      <c r="BI8" s="25">
        <v>6317</v>
      </c>
      <c r="BJ8" s="25">
        <v>494</v>
      </c>
      <c r="BK8" s="25">
        <v>494</v>
      </c>
      <c r="BL8" s="25">
        <v>155</v>
      </c>
      <c r="BM8" s="25">
        <v>29218</v>
      </c>
      <c r="BN8" s="25">
        <v>1198</v>
      </c>
      <c r="BO8" s="25">
        <v>18546</v>
      </c>
      <c r="BP8" s="25">
        <v>1075</v>
      </c>
      <c r="BQ8" s="25">
        <v>18397</v>
      </c>
      <c r="BR8" s="25">
        <v>1090</v>
      </c>
      <c r="BS8" s="25">
        <v>149</v>
      </c>
      <c r="BT8" s="25">
        <v>75</v>
      </c>
      <c r="BU8" s="25">
        <v>4538</v>
      </c>
      <c r="BV8" s="25">
        <v>447</v>
      </c>
      <c r="BW8" s="25">
        <v>1218</v>
      </c>
      <c r="BX8" s="25">
        <v>201</v>
      </c>
      <c r="BY8" s="25">
        <v>3670</v>
      </c>
      <c r="BZ8" s="25">
        <v>419</v>
      </c>
      <c r="CA8" s="25">
        <v>918</v>
      </c>
      <c r="CB8" s="25">
        <v>177</v>
      </c>
      <c r="CC8" s="25">
        <v>324</v>
      </c>
      <c r="CD8" s="25">
        <v>96</v>
      </c>
      <c r="CE8" s="25">
        <v>4</v>
      </c>
      <c r="CF8" s="25">
        <v>11</v>
      </c>
      <c r="CG8" s="25">
        <v>34590</v>
      </c>
      <c r="CH8" s="25">
        <v>1522</v>
      </c>
      <c r="CI8" s="25">
        <v>20936</v>
      </c>
      <c r="CJ8" s="25">
        <v>1299</v>
      </c>
      <c r="CK8" s="25">
        <v>19380</v>
      </c>
      <c r="CL8" s="25">
        <v>1293</v>
      </c>
      <c r="CM8" s="25">
        <v>1556</v>
      </c>
      <c r="CN8" s="25">
        <v>244</v>
      </c>
      <c r="CO8" s="25">
        <v>5470</v>
      </c>
      <c r="CP8" s="25">
        <v>610</v>
      </c>
      <c r="CQ8" s="25">
        <v>2358</v>
      </c>
      <c r="CR8" s="25">
        <v>285</v>
      </c>
      <c r="CS8" s="25">
        <v>2842</v>
      </c>
      <c r="CT8" s="25">
        <v>419</v>
      </c>
      <c r="CU8" s="25">
        <v>658</v>
      </c>
      <c r="CV8" s="25">
        <v>202</v>
      </c>
      <c r="CW8" s="25">
        <v>2248</v>
      </c>
      <c r="CX8" s="25">
        <v>339</v>
      </c>
      <c r="CY8" s="25">
        <v>78</v>
      </c>
      <c r="CZ8" s="25">
        <v>47</v>
      </c>
      <c r="DA8" s="25">
        <v>22632</v>
      </c>
      <c r="DB8" s="25">
        <v>1091</v>
      </c>
      <c r="DC8" s="25">
        <v>15670</v>
      </c>
      <c r="DD8" s="25">
        <v>870</v>
      </c>
      <c r="DE8" s="25">
        <v>14699</v>
      </c>
      <c r="DF8" s="25">
        <v>822</v>
      </c>
      <c r="DG8" s="25">
        <v>971</v>
      </c>
      <c r="DH8" s="25">
        <v>193</v>
      </c>
      <c r="DI8" s="25">
        <v>1864</v>
      </c>
      <c r="DJ8" s="25">
        <v>287</v>
      </c>
      <c r="DK8" s="25">
        <v>1442</v>
      </c>
      <c r="DL8" s="25">
        <v>266</v>
      </c>
      <c r="DM8" s="25">
        <v>1569</v>
      </c>
      <c r="DN8" s="25">
        <v>255</v>
      </c>
      <c r="DO8" s="25">
        <v>878</v>
      </c>
      <c r="DP8" s="25">
        <v>180</v>
      </c>
      <c r="DQ8" s="25">
        <v>1174</v>
      </c>
      <c r="DR8" s="25">
        <v>236</v>
      </c>
      <c r="DS8" s="25">
        <v>35</v>
      </c>
      <c r="DT8" s="25">
        <v>43</v>
      </c>
      <c r="DU8" s="25">
        <v>58724</v>
      </c>
      <c r="DV8" s="25">
        <v>1327</v>
      </c>
      <c r="DW8" s="25">
        <v>31282</v>
      </c>
      <c r="DX8" s="25">
        <v>1092</v>
      </c>
      <c r="DY8" s="25">
        <v>21639</v>
      </c>
      <c r="DZ8" s="25">
        <v>904</v>
      </c>
      <c r="EA8" s="25">
        <v>9643</v>
      </c>
      <c r="EB8" s="25">
        <v>617</v>
      </c>
      <c r="EC8" s="25">
        <v>2172</v>
      </c>
      <c r="ED8" s="25">
        <v>351</v>
      </c>
      <c r="EE8" s="25">
        <v>914</v>
      </c>
      <c r="EF8" s="25">
        <v>212</v>
      </c>
      <c r="EG8" s="25">
        <v>1295</v>
      </c>
      <c r="EH8" s="25">
        <v>262</v>
      </c>
      <c r="EI8" s="25">
        <v>586</v>
      </c>
      <c r="EJ8" s="25">
        <v>203</v>
      </c>
      <c r="EK8" s="25">
        <v>21956</v>
      </c>
      <c r="EL8" s="25">
        <v>970</v>
      </c>
      <c r="EM8" s="25">
        <v>519</v>
      </c>
      <c r="EN8" s="25">
        <v>128</v>
      </c>
    </row>
    <row r="9" spans="1:144" x14ac:dyDescent="0.25">
      <c r="A9" s="19">
        <f t="shared" si="9"/>
        <v>1</v>
      </c>
      <c r="B9" s="20" t="str">
        <f t="shared" si="10"/>
        <v>Beaver</v>
      </c>
      <c r="C9" s="24" t="s">
        <v>288</v>
      </c>
      <c r="D9" s="24" t="s">
        <v>289</v>
      </c>
      <c r="E9" s="25">
        <v>2424</v>
      </c>
      <c r="F9" s="25">
        <v>302</v>
      </c>
      <c r="G9" s="25">
        <v>1709</v>
      </c>
      <c r="H9" s="25">
        <v>257</v>
      </c>
      <c r="I9" s="25">
        <v>1574</v>
      </c>
      <c r="J9" s="25">
        <v>252</v>
      </c>
      <c r="K9" s="25">
        <v>135</v>
      </c>
      <c r="L9" s="25">
        <v>72</v>
      </c>
      <c r="M9" s="25">
        <v>8</v>
      </c>
      <c r="N9" s="25">
        <v>9</v>
      </c>
      <c r="O9" s="25">
        <v>313</v>
      </c>
      <c r="P9" s="25">
        <v>81</v>
      </c>
      <c r="Q9" s="25">
        <v>89</v>
      </c>
      <c r="R9" s="25">
        <v>41</v>
      </c>
      <c r="S9" s="25">
        <v>105</v>
      </c>
      <c r="T9" s="25">
        <v>61</v>
      </c>
      <c r="U9" s="25">
        <v>200</v>
      </c>
      <c r="V9" s="25">
        <v>62</v>
      </c>
      <c r="W9" s="25">
        <v>0</v>
      </c>
      <c r="X9" s="25">
        <v>119</v>
      </c>
      <c r="Y9" s="25">
        <v>1937</v>
      </c>
      <c r="Z9" s="25">
        <v>243</v>
      </c>
      <c r="AA9" s="25">
        <v>1402</v>
      </c>
      <c r="AB9" s="25">
        <v>213</v>
      </c>
      <c r="AC9" s="25">
        <v>1326</v>
      </c>
      <c r="AD9" s="25">
        <v>213</v>
      </c>
      <c r="AE9" s="25">
        <v>76</v>
      </c>
      <c r="AF9" s="25">
        <v>51</v>
      </c>
      <c r="AG9" s="25">
        <v>8</v>
      </c>
      <c r="AH9" s="25">
        <v>9</v>
      </c>
      <c r="AI9" s="25">
        <v>281</v>
      </c>
      <c r="AJ9" s="25">
        <v>75</v>
      </c>
      <c r="AK9" s="25">
        <v>77</v>
      </c>
      <c r="AL9" s="25">
        <v>41</v>
      </c>
      <c r="AM9" s="25">
        <v>51</v>
      </c>
      <c r="AN9" s="25">
        <v>40</v>
      </c>
      <c r="AO9" s="25">
        <v>118</v>
      </c>
      <c r="AP9" s="25">
        <v>60</v>
      </c>
      <c r="AQ9" s="25">
        <v>0</v>
      </c>
      <c r="AR9" s="25">
        <v>119</v>
      </c>
      <c r="AS9" s="25">
        <v>170</v>
      </c>
      <c r="AT9" s="25">
        <v>65</v>
      </c>
      <c r="AU9" s="25">
        <v>146</v>
      </c>
      <c r="AV9" s="25">
        <v>61</v>
      </c>
      <c r="AW9" s="25">
        <v>126</v>
      </c>
      <c r="AX9" s="25">
        <v>51</v>
      </c>
      <c r="AY9" s="25">
        <v>20</v>
      </c>
      <c r="AZ9" s="25">
        <v>19</v>
      </c>
      <c r="BA9" s="25">
        <v>0</v>
      </c>
      <c r="BB9" s="25">
        <v>119</v>
      </c>
      <c r="BC9" s="25">
        <v>5</v>
      </c>
      <c r="BD9" s="25">
        <v>10</v>
      </c>
      <c r="BE9" s="25">
        <v>9</v>
      </c>
      <c r="BF9" s="25">
        <v>10</v>
      </c>
      <c r="BG9" s="25">
        <v>0</v>
      </c>
      <c r="BH9" s="25">
        <v>119</v>
      </c>
      <c r="BI9" s="25">
        <v>10</v>
      </c>
      <c r="BJ9" s="25">
        <v>11</v>
      </c>
      <c r="BK9" s="25">
        <v>0</v>
      </c>
      <c r="BL9" s="25">
        <v>119</v>
      </c>
      <c r="BM9" s="25">
        <v>0</v>
      </c>
      <c r="BN9" s="25">
        <v>119</v>
      </c>
      <c r="BO9" s="25">
        <v>0</v>
      </c>
      <c r="BP9" s="25">
        <v>119</v>
      </c>
      <c r="BQ9" s="25">
        <v>0</v>
      </c>
      <c r="BR9" s="25">
        <v>119</v>
      </c>
      <c r="BS9" s="25">
        <v>0</v>
      </c>
      <c r="BT9" s="25">
        <v>119</v>
      </c>
      <c r="BU9" s="25">
        <v>0</v>
      </c>
      <c r="BV9" s="25">
        <v>119</v>
      </c>
      <c r="BW9" s="25">
        <v>0</v>
      </c>
      <c r="BX9" s="25">
        <v>119</v>
      </c>
      <c r="BY9" s="25">
        <v>0</v>
      </c>
      <c r="BZ9" s="25">
        <v>119</v>
      </c>
      <c r="CA9" s="25">
        <v>0</v>
      </c>
      <c r="CB9" s="25">
        <v>119</v>
      </c>
      <c r="CC9" s="25">
        <v>0</v>
      </c>
      <c r="CD9" s="25">
        <v>119</v>
      </c>
      <c r="CE9" s="25">
        <v>0</v>
      </c>
      <c r="CF9" s="25">
        <v>119</v>
      </c>
      <c r="CG9" s="25">
        <v>105</v>
      </c>
      <c r="CH9" s="25">
        <v>58</v>
      </c>
      <c r="CI9" s="25">
        <v>38</v>
      </c>
      <c r="CJ9" s="25">
        <v>26</v>
      </c>
      <c r="CK9" s="25">
        <v>38</v>
      </c>
      <c r="CL9" s="25">
        <v>26</v>
      </c>
      <c r="CM9" s="25">
        <v>0</v>
      </c>
      <c r="CN9" s="25">
        <v>119</v>
      </c>
      <c r="CO9" s="25">
        <v>0</v>
      </c>
      <c r="CP9" s="25">
        <v>119</v>
      </c>
      <c r="CQ9" s="25">
        <v>18</v>
      </c>
      <c r="CR9" s="25">
        <v>16</v>
      </c>
      <c r="CS9" s="25">
        <v>3</v>
      </c>
      <c r="CT9" s="25">
        <v>7</v>
      </c>
      <c r="CU9" s="25">
        <v>33</v>
      </c>
      <c r="CV9" s="25">
        <v>43</v>
      </c>
      <c r="CW9" s="25">
        <v>13</v>
      </c>
      <c r="CX9" s="25">
        <v>21</v>
      </c>
      <c r="CY9" s="25">
        <v>0</v>
      </c>
      <c r="CZ9" s="25">
        <v>119</v>
      </c>
      <c r="DA9" s="25">
        <v>43</v>
      </c>
      <c r="DB9" s="25">
        <v>52</v>
      </c>
      <c r="DC9" s="25">
        <v>43</v>
      </c>
      <c r="DD9" s="25">
        <v>52</v>
      </c>
      <c r="DE9" s="25">
        <v>43</v>
      </c>
      <c r="DF9" s="25">
        <v>52</v>
      </c>
      <c r="DG9" s="25">
        <v>0</v>
      </c>
      <c r="DH9" s="25">
        <v>119</v>
      </c>
      <c r="DI9" s="25">
        <v>0</v>
      </c>
      <c r="DJ9" s="25">
        <v>119</v>
      </c>
      <c r="DK9" s="25">
        <v>0</v>
      </c>
      <c r="DL9" s="25">
        <v>119</v>
      </c>
      <c r="DM9" s="25">
        <v>0</v>
      </c>
      <c r="DN9" s="25">
        <v>119</v>
      </c>
      <c r="DO9" s="25">
        <v>0</v>
      </c>
      <c r="DP9" s="25">
        <v>119</v>
      </c>
      <c r="DQ9" s="25">
        <v>0</v>
      </c>
      <c r="DR9" s="25">
        <v>119</v>
      </c>
      <c r="DS9" s="25">
        <v>0</v>
      </c>
      <c r="DT9" s="25">
        <v>119</v>
      </c>
      <c r="DU9" s="25">
        <v>169</v>
      </c>
      <c r="DV9" s="25">
        <v>67</v>
      </c>
      <c r="DW9" s="25">
        <v>80</v>
      </c>
      <c r="DX9" s="25">
        <v>60</v>
      </c>
      <c r="DY9" s="25">
        <v>41</v>
      </c>
      <c r="DZ9" s="25">
        <v>37</v>
      </c>
      <c r="EA9" s="25">
        <v>39</v>
      </c>
      <c r="EB9" s="25">
        <v>46</v>
      </c>
      <c r="EC9" s="25">
        <v>0</v>
      </c>
      <c r="ED9" s="25">
        <v>119</v>
      </c>
      <c r="EE9" s="25">
        <v>9</v>
      </c>
      <c r="EF9" s="25">
        <v>13</v>
      </c>
      <c r="EG9" s="25">
        <v>0</v>
      </c>
      <c r="EH9" s="25">
        <v>119</v>
      </c>
      <c r="EI9" s="25">
        <v>21</v>
      </c>
      <c r="EJ9" s="25">
        <v>25</v>
      </c>
      <c r="EK9" s="25">
        <v>59</v>
      </c>
      <c r="EL9" s="25">
        <v>36</v>
      </c>
      <c r="EM9" s="25">
        <v>0</v>
      </c>
      <c r="EN9" s="25">
        <v>119</v>
      </c>
    </row>
    <row r="10" spans="1:144" x14ac:dyDescent="0.25">
      <c r="A10" s="19">
        <f t="shared" si="9"/>
        <v>3</v>
      </c>
      <c r="B10" s="20" t="str">
        <f t="shared" si="10"/>
        <v>Box Elder</v>
      </c>
      <c r="C10" s="24" t="s">
        <v>290</v>
      </c>
      <c r="D10" s="24" t="s">
        <v>291</v>
      </c>
      <c r="E10" s="25">
        <v>20756</v>
      </c>
      <c r="F10" s="25">
        <v>477</v>
      </c>
      <c r="G10" s="25">
        <v>15006</v>
      </c>
      <c r="H10" s="25">
        <v>497</v>
      </c>
      <c r="I10" s="25">
        <v>14063</v>
      </c>
      <c r="J10" s="25">
        <v>496</v>
      </c>
      <c r="K10" s="25">
        <v>943</v>
      </c>
      <c r="L10" s="25">
        <v>186</v>
      </c>
      <c r="M10" s="25">
        <v>833</v>
      </c>
      <c r="N10" s="25">
        <v>176</v>
      </c>
      <c r="O10" s="25">
        <v>2163</v>
      </c>
      <c r="P10" s="25">
        <v>289</v>
      </c>
      <c r="Q10" s="25">
        <v>699</v>
      </c>
      <c r="R10" s="25">
        <v>146</v>
      </c>
      <c r="S10" s="25">
        <v>781</v>
      </c>
      <c r="T10" s="25">
        <v>145</v>
      </c>
      <c r="U10" s="25">
        <v>1234</v>
      </c>
      <c r="V10" s="25">
        <v>196</v>
      </c>
      <c r="W10" s="25">
        <v>40</v>
      </c>
      <c r="X10" s="25">
        <v>31</v>
      </c>
      <c r="Y10" s="25">
        <v>15407</v>
      </c>
      <c r="Z10" s="25">
        <v>477</v>
      </c>
      <c r="AA10" s="25">
        <v>11222</v>
      </c>
      <c r="AB10" s="25">
        <v>483</v>
      </c>
      <c r="AC10" s="25">
        <v>10606</v>
      </c>
      <c r="AD10" s="25">
        <v>454</v>
      </c>
      <c r="AE10" s="25">
        <v>616</v>
      </c>
      <c r="AF10" s="25">
        <v>153</v>
      </c>
      <c r="AG10" s="25">
        <v>699</v>
      </c>
      <c r="AH10" s="25">
        <v>164</v>
      </c>
      <c r="AI10" s="25">
        <v>1790</v>
      </c>
      <c r="AJ10" s="25">
        <v>243</v>
      </c>
      <c r="AK10" s="25">
        <v>584</v>
      </c>
      <c r="AL10" s="25">
        <v>124</v>
      </c>
      <c r="AM10" s="25">
        <v>574</v>
      </c>
      <c r="AN10" s="25">
        <v>114</v>
      </c>
      <c r="AO10" s="25">
        <v>508</v>
      </c>
      <c r="AP10" s="25">
        <v>126</v>
      </c>
      <c r="AQ10" s="25">
        <v>30</v>
      </c>
      <c r="AR10" s="25">
        <v>30</v>
      </c>
      <c r="AS10" s="25">
        <v>3263</v>
      </c>
      <c r="AT10" s="25">
        <v>347</v>
      </c>
      <c r="AU10" s="25">
        <v>2677</v>
      </c>
      <c r="AV10" s="25">
        <v>313</v>
      </c>
      <c r="AW10" s="25">
        <v>2577</v>
      </c>
      <c r="AX10" s="25">
        <v>303</v>
      </c>
      <c r="AY10" s="25">
        <v>100</v>
      </c>
      <c r="AZ10" s="25">
        <v>59</v>
      </c>
      <c r="BA10" s="25">
        <v>111</v>
      </c>
      <c r="BB10" s="25">
        <v>59</v>
      </c>
      <c r="BC10" s="25">
        <v>174</v>
      </c>
      <c r="BD10" s="25">
        <v>75</v>
      </c>
      <c r="BE10" s="25">
        <v>52</v>
      </c>
      <c r="BF10" s="25">
        <v>30</v>
      </c>
      <c r="BG10" s="25">
        <v>167</v>
      </c>
      <c r="BH10" s="25">
        <v>77</v>
      </c>
      <c r="BI10" s="25">
        <v>80</v>
      </c>
      <c r="BJ10" s="25">
        <v>46</v>
      </c>
      <c r="BK10" s="25">
        <v>2</v>
      </c>
      <c r="BL10" s="25">
        <v>4</v>
      </c>
      <c r="BM10" s="25">
        <v>155</v>
      </c>
      <c r="BN10" s="25">
        <v>69</v>
      </c>
      <c r="BO10" s="25">
        <v>110</v>
      </c>
      <c r="BP10" s="25">
        <v>62</v>
      </c>
      <c r="BQ10" s="25">
        <v>110</v>
      </c>
      <c r="BR10" s="25">
        <v>62</v>
      </c>
      <c r="BS10" s="25">
        <v>0</v>
      </c>
      <c r="BT10" s="25">
        <v>119</v>
      </c>
      <c r="BU10" s="25">
        <v>8</v>
      </c>
      <c r="BV10" s="25">
        <v>11</v>
      </c>
      <c r="BW10" s="25">
        <v>12</v>
      </c>
      <c r="BX10" s="25">
        <v>14</v>
      </c>
      <c r="BY10" s="25">
        <v>17</v>
      </c>
      <c r="BZ10" s="25">
        <v>15</v>
      </c>
      <c r="CA10" s="25">
        <v>8</v>
      </c>
      <c r="CB10" s="25">
        <v>14</v>
      </c>
      <c r="CC10" s="25">
        <v>0</v>
      </c>
      <c r="CD10" s="25">
        <v>119</v>
      </c>
      <c r="CE10" s="25">
        <v>0</v>
      </c>
      <c r="CF10" s="25">
        <v>119</v>
      </c>
      <c r="CG10" s="25">
        <v>462</v>
      </c>
      <c r="CH10" s="25">
        <v>130</v>
      </c>
      <c r="CI10" s="25">
        <v>274</v>
      </c>
      <c r="CJ10" s="25">
        <v>106</v>
      </c>
      <c r="CK10" s="25">
        <v>236</v>
      </c>
      <c r="CL10" s="25">
        <v>106</v>
      </c>
      <c r="CM10" s="25">
        <v>38</v>
      </c>
      <c r="CN10" s="25">
        <v>26</v>
      </c>
      <c r="CO10" s="25">
        <v>12</v>
      </c>
      <c r="CP10" s="25">
        <v>16</v>
      </c>
      <c r="CQ10" s="25">
        <v>94</v>
      </c>
      <c r="CR10" s="25">
        <v>62</v>
      </c>
      <c r="CS10" s="25">
        <v>38</v>
      </c>
      <c r="CT10" s="25">
        <v>53</v>
      </c>
      <c r="CU10" s="25">
        <v>5</v>
      </c>
      <c r="CV10" s="25">
        <v>6</v>
      </c>
      <c r="CW10" s="25">
        <v>34</v>
      </c>
      <c r="CX10" s="25">
        <v>35</v>
      </c>
      <c r="CY10" s="25">
        <v>5</v>
      </c>
      <c r="CZ10" s="25">
        <v>6</v>
      </c>
      <c r="DA10" s="25">
        <v>418</v>
      </c>
      <c r="DB10" s="25">
        <v>122</v>
      </c>
      <c r="DC10" s="25">
        <v>302</v>
      </c>
      <c r="DD10" s="25">
        <v>115</v>
      </c>
      <c r="DE10" s="25">
        <v>278</v>
      </c>
      <c r="DF10" s="25">
        <v>107</v>
      </c>
      <c r="DG10" s="25">
        <v>24</v>
      </c>
      <c r="DH10" s="25">
        <v>23</v>
      </c>
      <c r="DI10" s="25">
        <v>0</v>
      </c>
      <c r="DJ10" s="25">
        <v>119</v>
      </c>
      <c r="DK10" s="25">
        <v>58</v>
      </c>
      <c r="DL10" s="25">
        <v>49</v>
      </c>
      <c r="DM10" s="25">
        <v>8</v>
      </c>
      <c r="DN10" s="25">
        <v>12</v>
      </c>
      <c r="DO10" s="25">
        <v>16</v>
      </c>
      <c r="DP10" s="25">
        <v>15</v>
      </c>
      <c r="DQ10" s="25">
        <v>34</v>
      </c>
      <c r="DR10" s="25">
        <v>34</v>
      </c>
      <c r="DS10" s="25">
        <v>0</v>
      </c>
      <c r="DT10" s="25">
        <v>119</v>
      </c>
      <c r="DU10" s="25">
        <v>1051</v>
      </c>
      <c r="DV10" s="25">
        <v>171</v>
      </c>
      <c r="DW10" s="25">
        <v>421</v>
      </c>
      <c r="DX10" s="25">
        <v>125</v>
      </c>
      <c r="DY10" s="25">
        <v>256</v>
      </c>
      <c r="DZ10" s="25">
        <v>89</v>
      </c>
      <c r="EA10" s="25">
        <v>165</v>
      </c>
      <c r="EB10" s="25">
        <v>68</v>
      </c>
      <c r="EC10" s="25">
        <v>3</v>
      </c>
      <c r="ED10" s="25">
        <v>4</v>
      </c>
      <c r="EE10" s="25">
        <v>35</v>
      </c>
      <c r="EF10" s="25">
        <v>32</v>
      </c>
      <c r="EG10" s="25">
        <v>0</v>
      </c>
      <c r="EH10" s="25">
        <v>119</v>
      </c>
      <c r="EI10" s="25">
        <v>11</v>
      </c>
      <c r="EJ10" s="25">
        <v>16</v>
      </c>
      <c r="EK10" s="25">
        <v>578</v>
      </c>
      <c r="EL10" s="25">
        <v>143</v>
      </c>
      <c r="EM10" s="25">
        <v>3</v>
      </c>
      <c r="EN10" s="25">
        <v>4</v>
      </c>
    </row>
    <row r="11" spans="1:144" x14ac:dyDescent="0.25">
      <c r="A11" s="19">
        <f t="shared" si="9"/>
        <v>5</v>
      </c>
      <c r="B11" s="20" t="str">
        <f t="shared" si="10"/>
        <v>Cache</v>
      </c>
      <c r="C11" s="24" t="s">
        <v>292</v>
      </c>
      <c r="D11" s="24" t="s">
        <v>293</v>
      </c>
      <c r="E11" s="25">
        <v>50937</v>
      </c>
      <c r="F11" s="25">
        <v>784</v>
      </c>
      <c r="G11" s="25">
        <v>35115</v>
      </c>
      <c r="H11" s="25">
        <v>941</v>
      </c>
      <c r="I11" s="25">
        <v>32621</v>
      </c>
      <c r="J11" s="25">
        <v>946</v>
      </c>
      <c r="K11" s="25">
        <v>2494</v>
      </c>
      <c r="L11" s="25">
        <v>255</v>
      </c>
      <c r="M11" s="25">
        <v>2726</v>
      </c>
      <c r="N11" s="25">
        <v>362</v>
      </c>
      <c r="O11" s="25">
        <v>3873</v>
      </c>
      <c r="P11" s="25">
        <v>362</v>
      </c>
      <c r="Q11" s="25">
        <v>5647</v>
      </c>
      <c r="R11" s="25">
        <v>416</v>
      </c>
      <c r="S11" s="25">
        <v>965</v>
      </c>
      <c r="T11" s="25">
        <v>208</v>
      </c>
      <c r="U11" s="25">
        <v>2492</v>
      </c>
      <c r="V11" s="25">
        <v>286</v>
      </c>
      <c r="W11" s="25">
        <v>119</v>
      </c>
      <c r="X11" s="25">
        <v>62</v>
      </c>
      <c r="Y11" s="25">
        <v>36811</v>
      </c>
      <c r="Z11" s="25">
        <v>917</v>
      </c>
      <c r="AA11" s="25">
        <v>26931</v>
      </c>
      <c r="AB11" s="25">
        <v>954</v>
      </c>
      <c r="AC11" s="25">
        <v>25185</v>
      </c>
      <c r="AD11" s="25">
        <v>934</v>
      </c>
      <c r="AE11" s="25">
        <v>1746</v>
      </c>
      <c r="AF11" s="25">
        <v>223</v>
      </c>
      <c r="AG11" s="25">
        <v>2058</v>
      </c>
      <c r="AH11" s="25">
        <v>291</v>
      </c>
      <c r="AI11" s="25">
        <v>2897</v>
      </c>
      <c r="AJ11" s="25">
        <v>317</v>
      </c>
      <c r="AK11" s="25">
        <v>3060</v>
      </c>
      <c r="AL11" s="25">
        <v>276</v>
      </c>
      <c r="AM11" s="25">
        <v>684</v>
      </c>
      <c r="AN11" s="25">
        <v>157</v>
      </c>
      <c r="AO11" s="25">
        <v>1102</v>
      </c>
      <c r="AP11" s="25">
        <v>203</v>
      </c>
      <c r="AQ11" s="25">
        <v>79</v>
      </c>
      <c r="AR11" s="25">
        <v>59</v>
      </c>
      <c r="AS11" s="25">
        <v>6210</v>
      </c>
      <c r="AT11" s="25">
        <v>476</v>
      </c>
      <c r="AU11" s="25">
        <v>4281</v>
      </c>
      <c r="AV11" s="25">
        <v>411</v>
      </c>
      <c r="AW11" s="25">
        <v>4038</v>
      </c>
      <c r="AX11" s="25">
        <v>404</v>
      </c>
      <c r="AY11" s="25">
        <v>243</v>
      </c>
      <c r="AZ11" s="25">
        <v>91</v>
      </c>
      <c r="BA11" s="25">
        <v>223</v>
      </c>
      <c r="BB11" s="25">
        <v>69</v>
      </c>
      <c r="BC11" s="25">
        <v>621</v>
      </c>
      <c r="BD11" s="25">
        <v>150</v>
      </c>
      <c r="BE11" s="25">
        <v>690</v>
      </c>
      <c r="BF11" s="25">
        <v>189</v>
      </c>
      <c r="BG11" s="25">
        <v>172</v>
      </c>
      <c r="BH11" s="25">
        <v>81</v>
      </c>
      <c r="BI11" s="25">
        <v>221</v>
      </c>
      <c r="BJ11" s="25">
        <v>78</v>
      </c>
      <c r="BK11" s="25">
        <v>2</v>
      </c>
      <c r="BL11" s="25">
        <v>3</v>
      </c>
      <c r="BM11" s="25">
        <v>1006</v>
      </c>
      <c r="BN11" s="25">
        <v>237</v>
      </c>
      <c r="BO11" s="25">
        <v>498</v>
      </c>
      <c r="BP11" s="25">
        <v>190</v>
      </c>
      <c r="BQ11" s="25">
        <v>492</v>
      </c>
      <c r="BR11" s="25">
        <v>187</v>
      </c>
      <c r="BS11" s="25">
        <v>6</v>
      </c>
      <c r="BT11" s="25">
        <v>9</v>
      </c>
      <c r="BU11" s="25">
        <v>48</v>
      </c>
      <c r="BV11" s="25">
        <v>46</v>
      </c>
      <c r="BW11" s="25">
        <v>86</v>
      </c>
      <c r="BX11" s="25">
        <v>77</v>
      </c>
      <c r="BY11" s="25">
        <v>277</v>
      </c>
      <c r="BZ11" s="25">
        <v>112</v>
      </c>
      <c r="CA11" s="25">
        <v>43</v>
      </c>
      <c r="CB11" s="25">
        <v>35</v>
      </c>
      <c r="CC11" s="25">
        <v>54</v>
      </c>
      <c r="CD11" s="25">
        <v>51</v>
      </c>
      <c r="CE11" s="25">
        <v>0</v>
      </c>
      <c r="CF11" s="25">
        <v>119</v>
      </c>
      <c r="CG11" s="25">
        <v>2558</v>
      </c>
      <c r="CH11" s="25">
        <v>406</v>
      </c>
      <c r="CI11" s="25">
        <v>1027</v>
      </c>
      <c r="CJ11" s="25">
        <v>273</v>
      </c>
      <c r="CK11" s="25">
        <v>937</v>
      </c>
      <c r="CL11" s="25">
        <v>261</v>
      </c>
      <c r="CM11" s="25">
        <v>90</v>
      </c>
      <c r="CN11" s="25">
        <v>52</v>
      </c>
      <c r="CO11" s="25">
        <v>216</v>
      </c>
      <c r="CP11" s="25">
        <v>90</v>
      </c>
      <c r="CQ11" s="25">
        <v>153</v>
      </c>
      <c r="CR11" s="25">
        <v>95</v>
      </c>
      <c r="CS11" s="25">
        <v>1059</v>
      </c>
      <c r="CT11" s="25">
        <v>271</v>
      </c>
      <c r="CU11" s="25">
        <v>39</v>
      </c>
      <c r="CV11" s="25">
        <v>60</v>
      </c>
      <c r="CW11" s="25">
        <v>53</v>
      </c>
      <c r="CX11" s="25">
        <v>30</v>
      </c>
      <c r="CY11" s="25">
        <v>11</v>
      </c>
      <c r="CZ11" s="25">
        <v>15</v>
      </c>
      <c r="DA11" s="25">
        <v>1608</v>
      </c>
      <c r="DB11" s="25">
        <v>300</v>
      </c>
      <c r="DC11" s="25">
        <v>973</v>
      </c>
      <c r="DD11" s="25">
        <v>215</v>
      </c>
      <c r="DE11" s="25">
        <v>939</v>
      </c>
      <c r="DF11" s="25">
        <v>214</v>
      </c>
      <c r="DG11" s="25">
        <v>34</v>
      </c>
      <c r="DH11" s="25">
        <v>23</v>
      </c>
      <c r="DI11" s="25">
        <v>78</v>
      </c>
      <c r="DJ11" s="25">
        <v>54</v>
      </c>
      <c r="DK11" s="25">
        <v>86</v>
      </c>
      <c r="DL11" s="25">
        <v>52</v>
      </c>
      <c r="DM11" s="25">
        <v>391</v>
      </c>
      <c r="DN11" s="25">
        <v>134</v>
      </c>
      <c r="DO11" s="25">
        <v>4</v>
      </c>
      <c r="DP11" s="25">
        <v>6</v>
      </c>
      <c r="DQ11" s="25">
        <v>76</v>
      </c>
      <c r="DR11" s="25">
        <v>52</v>
      </c>
      <c r="DS11" s="25">
        <v>0</v>
      </c>
      <c r="DT11" s="25">
        <v>119</v>
      </c>
      <c r="DU11" s="25">
        <v>2744</v>
      </c>
      <c r="DV11" s="25">
        <v>302</v>
      </c>
      <c r="DW11" s="25">
        <v>1405</v>
      </c>
      <c r="DX11" s="25">
        <v>213</v>
      </c>
      <c r="DY11" s="25">
        <v>1030</v>
      </c>
      <c r="DZ11" s="25">
        <v>183</v>
      </c>
      <c r="EA11" s="25">
        <v>375</v>
      </c>
      <c r="EB11" s="25">
        <v>111</v>
      </c>
      <c r="EC11" s="25">
        <v>103</v>
      </c>
      <c r="ED11" s="25">
        <v>72</v>
      </c>
      <c r="EE11" s="25">
        <v>30</v>
      </c>
      <c r="EF11" s="25">
        <v>28</v>
      </c>
      <c r="EG11" s="25">
        <v>170</v>
      </c>
      <c r="EH11" s="25">
        <v>95</v>
      </c>
      <c r="EI11" s="25">
        <v>23</v>
      </c>
      <c r="EJ11" s="25">
        <v>23</v>
      </c>
      <c r="EK11" s="25">
        <v>986</v>
      </c>
      <c r="EL11" s="25">
        <v>178</v>
      </c>
      <c r="EM11" s="25">
        <v>27</v>
      </c>
      <c r="EN11" s="25">
        <v>17</v>
      </c>
    </row>
    <row r="12" spans="1:144" x14ac:dyDescent="0.25">
      <c r="A12" s="19">
        <f t="shared" si="9"/>
        <v>7</v>
      </c>
      <c r="B12" s="20" t="str">
        <f t="shared" si="10"/>
        <v>Carbon</v>
      </c>
      <c r="C12" s="24" t="s">
        <v>294</v>
      </c>
      <c r="D12" s="24" t="s">
        <v>295</v>
      </c>
      <c r="E12" s="25">
        <v>8600</v>
      </c>
      <c r="F12" s="25">
        <v>346</v>
      </c>
      <c r="G12" s="25">
        <v>5986</v>
      </c>
      <c r="H12" s="25">
        <v>351</v>
      </c>
      <c r="I12" s="25">
        <v>5651</v>
      </c>
      <c r="J12" s="25">
        <v>352</v>
      </c>
      <c r="K12" s="25">
        <v>335</v>
      </c>
      <c r="L12" s="25">
        <v>119</v>
      </c>
      <c r="M12" s="25">
        <v>355</v>
      </c>
      <c r="N12" s="25">
        <v>95</v>
      </c>
      <c r="O12" s="25">
        <v>676</v>
      </c>
      <c r="P12" s="25">
        <v>141</v>
      </c>
      <c r="Q12" s="25">
        <v>845</v>
      </c>
      <c r="R12" s="25">
        <v>183</v>
      </c>
      <c r="S12" s="25">
        <v>149</v>
      </c>
      <c r="T12" s="25">
        <v>79</v>
      </c>
      <c r="U12" s="25">
        <v>586</v>
      </c>
      <c r="V12" s="25">
        <v>116</v>
      </c>
      <c r="W12" s="25">
        <v>3</v>
      </c>
      <c r="X12" s="25">
        <v>6</v>
      </c>
      <c r="Y12" s="25">
        <v>6604</v>
      </c>
      <c r="Z12" s="25">
        <v>401</v>
      </c>
      <c r="AA12" s="25">
        <v>4532</v>
      </c>
      <c r="AB12" s="25">
        <v>347</v>
      </c>
      <c r="AC12" s="25">
        <v>4255</v>
      </c>
      <c r="AD12" s="25">
        <v>351</v>
      </c>
      <c r="AE12" s="25">
        <v>277</v>
      </c>
      <c r="AF12" s="25">
        <v>101</v>
      </c>
      <c r="AG12" s="25">
        <v>299</v>
      </c>
      <c r="AH12" s="25">
        <v>80</v>
      </c>
      <c r="AI12" s="25">
        <v>624</v>
      </c>
      <c r="AJ12" s="25">
        <v>131</v>
      </c>
      <c r="AK12" s="25">
        <v>648</v>
      </c>
      <c r="AL12" s="25">
        <v>149</v>
      </c>
      <c r="AM12" s="25">
        <v>135</v>
      </c>
      <c r="AN12" s="25">
        <v>75</v>
      </c>
      <c r="AO12" s="25">
        <v>363</v>
      </c>
      <c r="AP12" s="25">
        <v>94</v>
      </c>
      <c r="AQ12" s="25">
        <v>3</v>
      </c>
      <c r="AR12" s="25">
        <v>6</v>
      </c>
      <c r="AS12" s="25">
        <v>1262</v>
      </c>
      <c r="AT12" s="25">
        <v>181</v>
      </c>
      <c r="AU12" s="25">
        <v>1009</v>
      </c>
      <c r="AV12" s="25">
        <v>169</v>
      </c>
      <c r="AW12" s="25">
        <v>1009</v>
      </c>
      <c r="AX12" s="25">
        <v>169</v>
      </c>
      <c r="AY12" s="25">
        <v>0</v>
      </c>
      <c r="AZ12" s="25">
        <v>119</v>
      </c>
      <c r="BA12" s="25">
        <v>27</v>
      </c>
      <c r="BB12" s="25">
        <v>30</v>
      </c>
      <c r="BC12" s="25">
        <v>20</v>
      </c>
      <c r="BD12" s="25">
        <v>19</v>
      </c>
      <c r="BE12" s="25">
        <v>128</v>
      </c>
      <c r="BF12" s="25">
        <v>62</v>
      </c>
      <c r="BG12" s="25">
        <v>14</v>
      </c>
      <c r="BH12" s="25">
        <v>20</v>
      </c>
      <c r="BI12" s="25">
        <v>64</v>
      </c>
      <c r="BJ12" s="25">
        <v>35</v>
      </c>
      <c r="BK12" s="25">
        <v>0</v>
      </c>
      <c r="BL12" s="25">
        <v>119</v>
      </c>
      <c r="BM12" s="25">
        <v>29</v>
      </c>
      <c r="BN12" s="25">
        <v>29</v>
      </c>
      <c r="BO12" s="25">
        <v>20</v>
      </c>
      <c r="BP12" s="25">
        <v>28</v>
      </c>
      <c r="BQ12" s="25">
        <v>20</v>
      </c>
      <c r="BR12" s="25">
        <v>28</v>
      </c>
      <c r="BS12" s="25">
        <v>0</v>
      </c>
      <c r="BT12" s="25">
        <v>119</v>
      </c>
      <c r="BU12" s="25">
        <v>5</v>
      </c>
      <c r="BV12" s="25">
        <v>6</v>
      </c>
      <c r="BW12" s="25">
        <v>4</v>
      </c>
      <c r="BX12" s="25">
        <v>6</v>
      </c>
      <c r="BY12" s="25">
        <v>0</v>
      </c>
      <c r="BZ12" s="25">
        <v>119</v>
      </c>
      <c r="CA12" s="25">
        <v>0</v>
      </c>
      <c r="CB12" s="25">
        <v>119</v>
      </c>
      <c r="CC12" s="25">
        <v>0</v>
      </c>
      <c r="CD12" s="25">
        <v>119</v>
      </c>
      <c r="CE12" s="25">
        <v>0</v>
      </c>
      <c r="CF12" s="25">
        <v>119</v>
      </c>
      <c r="CG12" s="25">
        <v>277</v>
      </c>
      <c r="CH12" s="25">
        <v>142</v>
      </c>
      <c r="CI12" s="25">
        <v>152</v>
      </c>
      <c r="CJ12" s="25">
        <v>109</v>
      </c>
      <c r="CK12" s="25">
        <v>109</v>
      </c>
      <c r="CL12" s="25">
        <v>85</v>
      </c>
      <c r="CM12" s="25">
        <v>43</v>
      </c>
      <c r="CN12" s="25">
        <v>43</v>
      </c>
      <c r="CO12" s="25">
        <v>22</v>
      </c>
      <c r="CP12" s="25">
        <v>26</v>
      </c>
      <c r="CQ12" s="25">
        <v>24</v>
      </c>
      <c r="CR12" s="25">
        <v>30</v>
      </c>
      <c r="CS12" s="25">
        <v>52</v>
      </c>
      <c r="CT12" s="25">
        <v>65</v>
      </c>
      <c r="CU12" s="25">
        <v>0</v>
      </c>
      <c r="CV12" s="25">
        <v>119</v>
      </c>
      <c r="CW12" s="25">
        <v>27</v>
      </c>
      <c r="CX12" s="25">
        <v>26</v>
      </c>
      <c r="CY12" s="25">
        <v>0</v>
      </c>
      <c r="CZ12" s="25">
        <v>119</v>
      </c>
      <c r="DA12" s="25">
        <v>128</v>
      </c>
      <c r="DB12" s="25">
        <v>73</v>
      </c>
      <c r="DC12" s="25">
        <v>105</v>
      </c>
      <c r="DD12" s="25">
        <v>70</v>
      </c>
      <c r="DE12" s="25">
        <v>105</v>
      </c>
      <c r="DF12" s="25">
        <v>70</v>
      </c>
      <c r="DG12" s="25">
        <v>0</v>
      </c>
      <c r="DH12" s="25">
        <v>119</v>
      </c>
      <c r="DI12" s="25">
        <v>0</v>
      </c>
      <c r="DJ12" s="25">
        <v>119</v>
      </c>
      <c r="DK12" s="25">
        <v>4</v>
      </c>
      <c r="DL12" s="25">
        <v>6</v>
      </c>
      <c r="DM12" s="25">
        <v>0</v>
      </c>
      <c r="DN12" s="25">
        <v>119</v>
      </c>
      <c r="DO12" s="25">
        <v>0</v>
      </c>
      <c r="DP12" s="25">
        <v>119</v>
      </c>
      <c r="DQ12" s="25">
        <v>19</v>
      </c>
      <c r="DR12" s="25">
        <v>22</v>
      </c>
      <c r="DS12" s="25">
        <v>0</v>
      </c>
      <c r="DT12" s="25">
        <v>119</v>
      </c>
      <c r="DU12" s="25">
        <v>300</v>
      </c>
      <c r="DV12" s="25">
        <v>128</v>
      </c>
      <c r="DW12" s="25">
        <v>168</v>
      </c>
      <c r="DX12" s="25">
        <v>93</v>
      </c>
      <c r="DY12" s="25">
        <v>153</v>
      </c>
      <c r="DZ12" s="25">
        <v>80</v>
      </c>
      <c r="EA12" s="25">
        <v>15</v>
      </c>
      <c r="EB12" s="25">
        <v>22</v>
      </c>
      <c r="EC12" s="25">
        <v>2</v>
      </c>
      <c r="ED12" s="25">
        <v>4</v>
      </c>
      <c r="EE12" s="25">
        <v>0</v>
      </c>
      <c r="EF12" s="25">
        <v>119</v>
      </c>
      <c r="EG12" s="25">
        <v>17</v>
      </c>
      <c r="EH12" s="25">
        <v>29</v>
      </c>
      <c r="EI12" s="25">
        <v>0</v>
      </c>
      <c r="EJ12" s="25">
        <v>119</v>
      </c>
      <c r="EK12" s="25">
        <v>113</v>
      </c>
      <c r="EL12" s="25">
        <v>59</v>
      </c>
      <c r="EM12" s="25">
        <v>0</v>
      </c>
      <c r="EN12" s="25">
        <v>119</v>
      </c>
    </row>
    <row r="13" spans="1:144" x14ac:dyDescent="0.25">
      <c r="A13" s="19">
        <f t="shared" si="9"/>
        <v>9</v>
      </c>
      <c r="B13" s="20" t="str">
        <f t="shared" si="10"/>
        <v>Daggett</v>
      </c>
      <c r="C13" s="24" t="s">
        <v>296</v>
      </c>
      <c r="D13" s="24" t="s">
        <v>297</v>
      </c>
      <c r="E13" s="25">
        <v>336</v>
      </c>
      <c r="F13" s="25">
        <v>94</v>
      </c>
      <c r="G13" s="25">
        <v>194</v>
      </c>
      <c r="H13" s="25">
        <v>73</v>
      </c>
      <c r="I13" s="25">
        <v>150</v>
      </c>
      <c r="J13" s="25">
        <v>57</v>
      </c>
      <c r="K13" s="25">
        <v>44</v>
      </c>
      <c r="L13" s="25">
        <v>44</v>
      </c>
      <c r="M13" s="25">
        <v>4</v>
      </c>
      <c r="N13" s="25">
        <v>6</v>
      </c>
      <c r="O13" s="25">
        <v>77</v>
      </c>
      <c r="P13" s="25">
        <v>34</v>
      </c>
      <c r="Q13" s="25">
        <v>18</v>
      </c>
      <c r="R13" s="25">
        <v>18</v>
      </c>
      <c r="S13" s="25">
        <v>15</v>
      </c>
      <c r="T13" s="25">
        <v>10</v>
      </c>
      <c r="U13" s="25">
        <v>28</v>
      </c>
      <c r="V13" s="25">
        <v>20</v>
      </c>
      <c r="W13" s="25">
        <v>0</v>
      </c>
      <c r="X13" s="25">
        <v>119</v>
      </c>
      <c r="Y13" s="25">
        <v>272</v>
      </c>
      <c r="Z13" s="25">
        <v>76</v>
      </c>
      <c r="AA13" s="25">
        <v>144</v>
      </c>
      <c r="AB13" s="25">
        <v>47</v>
      </c>
      <c r="AC13" s="25">
        <v>131</v>
      </c>
      <c r="AD13" s="25">
        <v>48</v>
      </c>
      <c r="AE13" s="25">
        <v>13</v>
      </c>
      <c r="AF13" s="25">
        <v>18</v>
      </c>
      <c r="AG13" s="25">
        <v>4</v>
      </c>
      <c r="AH13" s="25">
        <v>6</v>
      </c>
      <c r="AI13" s="25">
        <v>77</v>
      </c>
      <c r="AJ13" s="25">
        <v>34</v>
      </c>
      <c r="AK13" s="25">
        <v>18</v>
      </c>
      <c r="AL13" s="25">
        <v>18</v>
      </c>
      <c r="AM13" s="25">
        <v>8</v>
      </c>
      <c r="AN13" s="25">
        <v>7</v>
      </c>
      <c r="AO13" s="25">
        <v>21</v>
      </c>
      <c r="AP13" s="25">
        <v>18</v>
      </c>
      <c r="AQ13" s="25">
        <v>0</v>
      </c>
      <c r="AR13" s="25">
        <v>119</v>
      </c>
      <c r="AS13" s="25">
        <v>13</v>
      </c>
      <c r="AT13" s="25">
        <v>12</v>
      </c>
      <c r="AU13" s="25">
        <v>8</v>
      </c>
      <c r="AV13" s="25">
        <v>9</v>
      </c>
      <c r="AW13" s="25">
        <v>8</v>
      </c>
      <c r="AX13" s="25">
        <v>9</v>
      </c>
      <c r="AY13" s="25">
        <v>0</v>
      </c>
      <c r="AZ13" s="25">
        <v>119</v>
      </c>
      <c r="BA13" s="25">
        <v>0</v>
      </c>
      <c r="BB13" s="25">
        <v>119</v>
      </c>
      <c r="BC13" s="25">
        <v>0</v>
      </c>
      <c r="BD13" s="25">
        <v>119</v>
      </c>
      <c r="BE13" s="25">
        <v>0</v>
      </c>
      <c r="BF13" s="25">
        <v>119</v>
      </c>
      <c r="BG13" s="25">
        <v>5</v>
      </c>
      <c r="BH13" s="25">
        <v>7</v>
      </c>
      <c r="BI13" s="25">
        <v>0</v>
      </c>
      <c r="BJ13" s="25">
        <v>119</v>
      </c>
      <c r="BK13" s="25">
        <v>0</v>
      </c>
      <c r="BL13" s="25">
        <v>119</v>
      </c>
      <c r="BM13" s="25">
        <v>0</v>
      </c>
      <c r="BN13" s="25">
        <v>119</v>
      </c>
      <c r="BO13" s="25">
        <v>0</v>
      </c>
      <c r="BP13" s="25">
        <v>119</v>
      </c>
      <c r="BQ13" s="25">
        <v>0</v>
      </c>
      <c r="BR13" s="25">
        <v>119</v>
      </c>
      <c r="BS13" s="25">
        <v>0</v>
      </c>
      <c r="BT13" s="25">
        <v>119</v>
      </c>
      <c r="BU13" s="25">
        <v>0</v>
      </c>
      <c r="BV13" s="25">
        <v>119</v>
      </c>
      <c r="BW13" s="25">
        <v>0</v>
      </c>
      <c r="BX13" s="25">
        <v>119</v>
      </c>
      <c r="BY13" s="25">
        <v>0</v>
      </c>
      <c r="BZ13" s="25">
        <v>119</v>
      </c>
      <c r="CA13" s="25">
        <v>0</v>
      </c>
      <c r="CB13" s="25">
        <v>119</v>
      </c>
      <c r="CC13" s="25">
        <v>0</v>
      </c>
      <c r="CD13" s="25">
        <v>119</v>
      </c>
      <c r="CE13" s="25">
        <v>0</v>
      </c>
      <c r="CF13" s="25">
        <v>119</v>
      </c>
      <c r="CG13" s="25">
        <v>20</v>
      </c>
      <c r="CH13" s="25">
        <v>18</v>
      </c>
      <c r="CI13" s="25">
        <v>11</v>
      </c>
      <c r="CJ13" s="25">
        <v>12</v>
      </c>
      <c r="CK13" s="25">
        <v>11</v>
      </c>
      <c r="CL13" s="25">
        <v>12</v>
      </c>
      <c r="CM13" s="25">
        <v>0</v>
      </c>
      <c r="CN13" s="25">
        <v>119</v>
      </c>
      <c r="CO13" s="25">
        <v>0</v>
      </c>
      <c r="CP13" s="25">
        <v>119</v>
      </c>
      <c r="CQ13" s="25">
        <v>0</v>
      </c>
      <c r="CR13" s="25">
        <v>119</v>
      </c>
      <c r="CS13" s="25">
        <v>0</v>
      </c>
      <c r="CT13" s="25">
        <v>119</v>
      </c>
      <c r="CU13" s="25">
        <v>2</v>
      </c>
      <c r="CV13" s="25">
        <v>6</v>
      </c>
      <c r="CW13" s="25">
        <v>7</v>
      </c>
      <c r="CX13" s="25">
        <v>10</v>
      </c>
      <c r="CY13" s="25">
        <v>0</v>
      </c>
      <c r="CZ13" s="25">
        <v>119</v>
      </c>
      <c r="DA13" s="25">
        <v>0</v>
      </c>
      <c r="DB13" s="25">
        <v>119</v>
      </c>
      <c r="DC13" s="25">
        <v>0</v>
      </c>
      <c r="DD13" s="25">
        <v>119</v>
      </c>
      <c r="DE13" s="25">
        <v>0</v>
      </c>
      <c r="DF13" s="25">
        <v>119</v>
      </c>
      <c r="DG13" s="25">
        <v>0</v>
      </c>
      <c r="DH13" s="25">
        <v>119</v>
      </c>
      <c r="DI13" s="25">
        <v>0</v>
      </c>
      <c r="DJ13" s="25">
        <v>119</v>
      </c>
      <c r="DK13" s="25">
        <v>0</v>
      </c>
      <c r="DL13" s="25">
        <v>119</v>
      </c>
      <c r="DM13" s="25">
        <v>0</v>
      </c>
      <c r="DN13" s="25">
        <v>119</v>
      </c>
      <c r="DO13" s="25">
        <v>0</v>
      </c>
      <c r="DP13" s="25">
        <v>119</v>
      </c>
      <c r="DQ13" s="25">
        <v>0</v>
      </c>
      <c r="DR13" s="25">
        <v>119</v>
      </c>
      <c r="DS13" s="25">
        <v>0</v>
      </c>
      <c r="DT13" s="25">
        <v>119</v>
      </c>
      <c r="DU13" s="25">
        <v>31</v>
      </c>
      <c r="DV13" s="25">
        <v>41</v>
      </c>
      <c r="DW13" s="25">
        <v>31</v>
      </c>
      <c r="DX13" s="25">
        <v>41</v>
      </c>
      <c r="DY13" s="25">
        <v>0</v>
      </c>
      <c r="DZ13" s="25">
        <v>119</v>
      </c>
      <c r="EA13" s="25">
        <v>31</v>
      </c>
      <c r="EB13" s="25">
        <v>41</v>
      </c>
      <c r="EC13" s="25">
        <v>0</v>
      </c>
      <c r="ED13" s="25">
        <v>119</v>
      </c>
      <c r="EE13" s="25">
        <v>0</v>
      </c>
      <c r="EF13" s="25">
        <v>119</v>
      </c>
      <c r="EG13" s="25">
        <v>0</v>
      </c>
      <c r="EH13" s="25">
        <v>119</v>
      </c>
      <c r="EI13" s="25">
        <v>0</v>
      </c>
      <c r="EJ13" s="25">
        <v>119</v>
      </c>
      <c r="EK13" s="25">
        <v>0</v>
      </c>
      <c r="EL13" s="25">
        <v>119</v>
      </c>
      <c r="EM13" s="25">
        <v>0</v>
      </c>
      <c r="EN13" s="25">
        <v>119</v>
      </c>
    </row>
    <row r="14" spans="1:144" x14ac:dyDescent="0.25">
      <c r="A14" s="19">
        <f t="shared" si="9"/>
        <v>11</v>
      </c>
      <c r="B14" s="20" t="str">
        <f t="shared" si="10"/>
        <v>Davis</v>
      </c>
      <c r="C14" s="24" t="s">
        <v>298</v>
      </c>
      <c r="D14" s="24" t="s">
        <v>299</v>
      </c>
      <c r="E14" s="25">
        <v>134109</v>
      </c>
      <c r="F14" s="25">
        <v>1155</v>
      </c>
      <c r="G14" s="25">
        <v>91265</v>
      </c>
      <c r="H14" s="25">
        <v>1464</v>
      </c>
      <c r="I14" s="25">
        <v>85646</v>
      </c>
      <c r="J14" s="25">
        <v>1461</v>
      </c>
      <c r="K14" s="25">
        <v>5619</v>
      </c>
      <c r="L14" s="25">
        <v>490</v>
      </c>
      <c r="M14" s="25">
        <v>7266</v>
      </c>
      <c r="N14" s="25">
        <v>570</v>
      </c>
      <c r="O14" s="25">
        <v>10328</v>
      </c>
      <c r="P14" s="25">
        <v>538</v>
      </c>
      <c r="Q14" s="25">
        <v>6002</v>
      </c>
      <c r="R14" s="25">
        <v>496</v>
      </c>
      <c r="S14" s="25">
        <v>13009</v>
      </c>
      <c r="T14" s="25">
        <v>755</v>
      </c>
      <c r="U14" s="25">
        <v>6158</v>
      </c>
      <c r="V14" s="25">
        <v>506</v>
      </c>
      <c r="W14" s="25">
        <v>81</v>
      </c>
      <c r="X14" s="25">
        <v>74</v>
      </c>
      <c r="Y14" s="25">
        <v>106068</v>
      </c>
      <c r="Z14" s="25">
        <v>1623</v>
      </c>
      <c r="AA14" s="25">
        <v>73573</v>
      </c>
      <c r="AB14" s="25">
        <v>1457</v>
      </c>
      <c r="AC14" s="25">
        <v>69594</v>
      </c>
      <c r="AD14" s="25">
        <v>1463</v>
      </c>
      <c r="AE14" s="25">
        <v>3979</v>
      </c>
      <c r="AF14" s="25">
        <v>403</v>
      </c>
      <c r="AG14" s="25">
        <v>5283</v>
      </c>
      <c r="AH14" s="25">
        <v>453</v>
      </c>
      <c r="AI14" s="25">
        <v>8601</v>
      </c>
      <c r="AJ14" s="25">
        <v>510</v>
      </c>
      <c r="AK14" s="25">
        <v>4522</v>
      </c>
      <c r="AL14" s="25">
        <v>383</v>
      </c>
      <c r="AM14" s="25">
        <v>11189</v>
      </c>
      <c r="AN14" s="25">
        <v>708</v>
      </c>
      <c r="AO14" s="25">
        <v>2855</v>
      </c>
      <c r="AP14" s="25">
        <v>317</v>
      </c>
      <c r="AQ14" s="25">
        <v>45</v>
      </c>
      <c r="AR14" s="25">
        <v>47</v>
      </c>
      <c r="AS14" s="25">
        <v>14760</v>
      </c>
      <c r="AT14" s="25">
        <v>736</v>
      </c>
      <c r="AU14" s="25">
        <v>9956</v>
      </c>
      <c r="AV14" s="25">
        <v>593</v>
      </c>
      <c r="AW14" s="25">
        <v>9405</v>
      </c>
      <c r="AX14" s="25">
        <v>615</v>
      </c>
      <c r="AY14" s="25">
        <v>551</v>
      </c>
      <c r="AZ14" s="25">
        <v>146</v>
      </c>
      <c r="BA14" s="25">
        <v>1002</v>
      </c>
      <c r="BB14" s="25">
        <v>227</v>
      </c>
      <c r="BC14" s="25">
        <v>1148</v>
      </c>
      <c r="BD14" s="25">
        <v>199</v>
      </c>
      <c r="BE14" s="25">
        <v>892</v>
      </c>
      <c r="BF14" s="25">
        <v>214</v>
      </c>
      <c r="BG14" s="25">
        <v>1260</v>
      </c>
      <c r="BH14" s="25">
        <v>228</v>
      </c>
      <c r="BI14" s="25">
        <v>502</v>
      </c>
      <c r="BJ14" s="25">
        <v>187</v>
      </c>
      <c r="BK14" s="25">
        <v>0</v>
      </c>
      <c r="BL14" s="25">
        <v>119</v>
      </c>
      <c r="BM14" s="25">
        <v>3690</v>
      </c>
      <c r="BN14" s="25">
        <v>583</v>
      </c>
      <c r="BO14" s="25">
        <v>2034</v>
      </c>
      <c r="BP14" s="25">
        <v>500</v>
      </c>
      <c r="BQ14" s="25">
        <v>2034</v>
      </c>
      <c r="BR14" s="25">
        <v>500</v>
      </c>
      <c r="BS14" s="25">
        <v>0</v>
      </c>
      <c r="BT14" s="25">
        <v>119</v>
      </c>
      <c r="BU14" s="25">
        <v>821</v>
      </c>
      <c r="BV14" s="25">
        <v>178</v>
      </c>
      <c r="BW14" s="25">
        <v>156</v>
      </c>
      <c r="BX14" s="25">
        <v>81</v>
      </c>
      <c r="BY14" s="25">
        <v>428</v>
      </c>
      <c r="BZ14" s="25">
        <v>117</v>
      </c>
      <c r="CA14" s="25">
        <v>229</v>
      </c>
      <c r="CB14" s="25">
        <v>90</v>
      </c>
      <c r="CC14" s="25">
        <v>22</v>
      </c>
      <c r="CD14" s="25">
        <v>24</v>
      </c>
      <c r="CE14" s="25">
        <v>0</v>
      </c>
      <c r="CF14" s="25">
        <v>119</v>
      </c>
      <c r="CG14" s="25">
        <v>1679</v>
      </c>
      <c r="CH14" s="25">
        <v>289</v>
      </c>
      <c r="CI14" s="25">
        <v>1217</v>
      </c>
      <c r="CJ14" s="25">
        <v>276</v>
      </c>
      <c r="CK14" s="25">
        <v>1102</v>
      </c>
      <c r="CL14" s="25">
        <v>266</v>
      </c>
      <c r="CM14" s="25">
        <v>115</v>
      </c>
      <c r="CN14" s="25">
        <v>71</v>
      </c>
      <c r="CO14" s="25">
        <v>49</v>
      </c>
      <c r="CP14" s="25">
        <v>55</v>
      </c>
      <c r="CQ14" s="25">
        <v>199</v>
      </c>
      <c r="CR14" s="25">
        <v>82</v>
      </c>
      <c r="CS14" s="25">
        <v>18</v>
      </c>
      <c r="CT14" s="25">
        <v>22</v>
      </c>
      <c r="CU14" s="25">
        <v>82</v>
      </c>
      <c r="CV14" s="25">
        <v>72</v>
      </c>
      <c r="CW14" s="25">
        <v>114</v>
      </c>
      <c r="CX14" s="25">
        <v>55</v>
      </c>
      <c r="CY14" s="25">
        <v>0</v>
      </c>
      <c r="CZ14" s="25">
        <v>119</v>
      </c>
      <c r="DA14" s="25">
        <v>1934</v>
      </c>
      <c r="DB14" s="25">
        <v>284</v>
      </c>
      <c r="DC14" s="25">
        <v>1237</v>
      </c>
      <c r="DD14" s="25">
        <v>227</v>
      </c>
      <c r="DE14" s="25">
        <v>1142</v>
      </c>
      <c r="DF14" s="25">
        <v>233</v>
      </c>
      <c r="DG14" s="25">
        <v>95</v>
      </c>
      <c r="DH14" s="25">
        <v>59</v>
      </c>
      <c r="DI14" s="25">
        <v>40</v>
      </c>
      <c r="DJ14" s="25">
        <v>33</v>
      </c>
      <c r="DK14" s="25">
        <v>159</v>
      </c>
      <c r="DL14" s="25">
        <v>85</v>
      </c>
      <c r="DM14" s="25">
        <v>6</v>
      </c>
      <c r="DN14" s="25">
        <v>9</v>
      </c>
      <c r="DO14" s="25">
        <v>159</v>
      </c>
      <c r="DP14" s="25">
        <v>70</v>
      </c>
      <c r="DQ14" s="25">
        <v>333</v>
      </c>
      <c r="DR14" s="25">
        <v>152</v>
      </c>
      <c r="DS14" s="25">
        <v>0</v>
      </c>
      <c r="DT14" s="25">
        <v>119</v>
      </c>
      <c r="DU14" s="25">
        <v>5978</v>
      </c>
      <c r="DV14" s="25">
        <v>394</v>
      </c>
      <c r="DW14" s="25">
        <v>3248</v>
      </c>
      <c r="DX14" s="25">
        <v>347</v>
      </c>
      <c r="DY14" s="25">
        <v>2369</v>
      </c>
      <c r="DZ14" s="25">
        <v>297</v>
      </c>
      <c r="EA14" s="25">
        <v>879</v>
      </c>
      <c r="EB14" s="25">
        <v>184</v>
      </c>
      <c r="EC14" s="25">
        <v>71</v>
      </c>
      <c r="ED14" s="25">
        <v>43</v>
      </c>
      <c r="EE14" s="25">
        <v>65</v>
      </c>
      <c r="EF14" s="25">
        <v>41</v>
      </c>
      <c r="EG14" s="25">
        <v>136</v>
      </c>
      <c r="EH14" s="25">
        <v>67</v>
      </c>
      <c r="EI14" s="25">
        <v>90</v>
      </c>
      <c r="EJ14" s="25">
        <v>57</v>
      </c>
      <c r="EK14" s="25">
        <v>2332</v>
      </c>
      <c r="EL14" s="25">
        <v>285</v>
      </c>
      <c r="EM14" s="25">
        <v>36</v>
      </c>
      <c r="EN14" s="25">
        <v>50</v>
      </c>
    </row>
    <row r="15" spans="1:144" x14ac:dyDescent="0.25">
      <c r="A15" s="19">
        <f t="shared" si="9"/>
        <v>13</v>
      </c>
      <c r="B15" s="20" t="str">
        <f t="shared" si="10"/>
        <v>Duchesne</v>
      </c>
      <c r="C15" s="24" t="s">
        <v>300</v>
      </c>
      <c r="D15" s="24" t="s">
        <v>301</v>
      </c>
      <c r="E15" s="25">
        <v>7019</v>
      </c>
      <c r="F15" s="25">
        <v>283</v>
      </c>
      <c r="G15" s="25">
        <v>4812</v>
      </c>
      <c r="H15" s="25">
        <v>285</v>
      </c>
      <c r="I15" s="25">
        <v>4496</v>
      </c>
      <c r="J15" s="25">
        <v>291</v>
      </c>
      <c r="K15" s="25">
        <v>316</v>
      </c>
      <c r="L15" s="25">
        <v>105</v>
      </c>
      <c r="M15" s="25">
        <v>384</v>
      </c>
      <c r="N15" s="25">
        <v>125</v>
      </c>
      <c r="O15" s="25">
        <v>791</v>
      </c>
      <c r="P15" s="25">
        <v>160</v>
      </c>
      <c r="Q15" s="25">
        <v>377</v>
      </c>
      <c r="R15" s="25">
        <v>119</v>
      </c>
      <c r="S15" s="25">
        <v>163</v>
      </c>
      <c r="T15" s="25">
        <v>82</v>
      </c>
      <c r="U15" s="25">
        <v>457</v>
      </c>
      <c r="V15" s="25">
        <v>141</v>
      </c>
      <c r="W15" s="25">
        <v>35</v>
      </c>
      <c r="X15" s="25">
        <v>33</v>
      </c>
      <c r="Y15" s="25">
        <v>5489</v>
      </c>
      <c r="Z15" s="25">
        <v>288</v>
      </c>
      <c r="AA15" s="25">
        <v>3679</v>
      </c>
      <c r="AB15" s="25">
        <v>247</v>
      </c>
      <c r="AC15" s="25">
        <v>3472</v>
      </c>
      <c r="AD15" s="25">
        <v>252</v>
      </c>
      <c r="AE15" s="25">
        <v>207</v>
      </c>
      <c r="AF15" s="25">
        <v>79</v>
      </c>
      <c r="AG15" s="25">
        <v>350</v>
      </c>
      <c r="AH15" s="25">
        <v>127</v>
      </c>
      <c r="AI15" s="25">
        <v>672</v>
      </c>
      <c r="AJ15" s="25">
        <v>155</v>
      </c>
      <c r="AK15" s="25">
        <v>350</v>
      </c>
      <c r="AL15" s="25">
        <v>112</v>
      </c>
      <c r="AM15" s="25">
        <v>153</v>
      </c>
      <c r="AN15" s="25">
        <v>81</v>
      </c>
      <c r="AO15" s="25">
        <v>265</v>
      </c>
      <c r="AP15" s="25">
        <v>103</v>
      </c>
      <c r="AQ15" s="25">
        <v>20</v>
      </c>
      <c r="AR15" s="25">
        <v>22</v>
      </c>
      <c r="AS15" s="25">
        <v>876</v>
      </c>
      <c r="AT15" s="25">
        <v>177</v>
      </c>
      <c r="AU15" s="25">
        <v>710</v>
      </c>
      <c r="AV15" s="25">
        <v>167</v>
      </c>
      <c r="AW15" s="25">
        <v>682</v>
      </c>
      <c r="AX15" s="25">
        <v>165</v>
      </c>
      <c r="AY15" s="25">
        <v>28</v>
      </c>
      <c r="AZ15" s="25">
        <v>28</v>
      </c>
      <c r="BA15" s="25">
        <v>29</v>
      </c>
      <c r="BB15" s="25">
        <v>31</v>
      </c>
      <c r="BC15" s="25">
        <v>91</v>
      </c>
      <c r="BD15" s="25">
        <v>55</v>
      </c>
      <c r="BE15" s="25">
        <v>22</v>
      </c>
      <c r="BF15" s="25">
        <v>22</v>
      </c>
      <c r="BG15" s="25">
        <v>0</v>
      </c>
      <c r="BH15" s="25">
        <v>119</v>
      </c>
      <c r="BI15" s="25">
        <v>24</v>
      </c>
      <c r="BJ15" s="25">
        <v>22</v>
      </c>
      <c r="BK15" s="25">
        <v>0</v>
      </c>
      <c r="BL15" s="25">
        <v>119</v>
      </c>
      <c r="BM15" s="25">
        <v>17</v>
      </c>
      <c r="BN15" s="25">
        <v>20</v>
      </c>
      <c r="BO15" s="25">
        <v>1</v>
      </c>
      <c r="BP15" s="25">
        <v>3</v>
      </c>
      <c r="BQ15" s="25">
        <v>1</v>
      </c>
      <c r="BR15" s="25">
        <v>3</v>
      </c>
      <c r="BS15" s="25">
        <v>0</v>
      </c>
      <c r="BT15" s="25">
        <v>119</v>
      </c>
      <c r="BU15" s="25">
        <v>0</v>
      </c>
      <c r="BV15" s="25">
        <v>119</v>
      </c>
      <c r="BW15" s="25">
        <v>16</v>
      </c>
      <c r="BX15" s="25">
        <v>20</v>
      </c>
      <c r="BY15" s="25">
        <v>0</v>
      </c>
      <c r="BZ15" s="25">
        <v>119</v>
      </c>
      <c r="CA15" s="25">
        <v>0</v>
      </c>
      <c r="CB15" s="25">
        <v>119</v>
      </c>
      <c r="CC15" s="25">
        <v>0</v>
      </c>
      <c r="CD15" s="25">
        <v>119</v>
      </c>
      <c r="CE15" s="25">
        <v>0</v>
      </c>
      <c r="CF15" s="25">
        <v>119</v>
      </c>
      <c r="CG15" s="25">
        <v>258</v>
      </c>
      <c r="CH15" s="25">
        <v>120</v>
      </c>
      <c r="CI15" s="25">
        <v>222</v>
      </c>
      <c r="CJ15" s="25">
        <v>118</v>
      </c>
      <c r="CK15" s="25">
        <v>178</v>
      </c>
      <c r="CL15" s="25">
        <v>106</v>
      </c>
      <c r="CM15" s="25">
        <v>44</v>
      </c>
      <c r="CN15" s="25">
        <v>43</v>
      </c>
      <c r="CO15" s="25">
        <v>0</v>
      </c>
      <c r="CP15" s="25">
        <v>119</v>
      </c>
      <c r="CQ15" s="25">
        <v>12</v>
      </c>
      <c r="CR15" s="25">
        <v>12</v>
      </c>
      <c r="CS15" s="25">
        <v>0</v>
      </c>
      <c r="CT15" s="25">
        <v>119</v>
      </c>
      <c r="CU15" s="25">
        <v>10</v>
      </c>
      <c r="CV15" s="25">
        <v>14</v>
      </c>
      <c r="CW15" s="25">
        <v>14</v>
      </c>
      <c r="CX15" s="25">
        <v>15</v>
      </c>
      <c r="CY15" s="25">
        <v>0</v>
      </c>
      <c r="CZ15" s="25">
        <v>119</v>
      </c>
      <c r="DA15" s="25">
        <v>27</v>
      </c>
      <c r="DB15" s="25">
        <v>23</v>
      </c>
      <c r="DC15" s="25">
        <v>22</v>
      </c>
      <c r="DD15" s="25">
        <v>22</v>
      </c>
      <c r="DE15" s="25">
        <v>22</v>
      </c>
      <c r="DF15" s="25">
        <v>22</v>
      </c>
      <c r="DG15" s="25">
        <v>0</v>
      </c>
      <c r="DH15" s="25">
        <v>119</v>
      </c>
      <c r="DI15" s="25">
        <v>5</v>
      </c>
      <c r="DJ15" s="25">
        <v>7</v>
      </c>
      <c r="DK15" s="25">
        <v>0</v>
      </c>
      <c r="DL15" s="25">
        <v>119</v>
      </c>
      <c r="DM15" s="25">
        <v>0</v>
      </c>
      <c r="DN15" s="25">
        <v>119</v>
      </c>
      <c r="DO15" s="25">
        <v>0</v>
      </c>
      <c r="DP15" s="25">
        <v>119</v>
      </c>
      <c r="DQ15" s="25">
        <v>0</v>
      </c>
      <c r="DR15" s="25">
        <v>119</v>
      </c>
      <c r="DS15" s="25">
        <v>0</v>
      </c>
      <c r="DT15" s="25">
        <v>119</v>
      </c>
      <c r="DU15" s="25">
        <v>352</v>
      </c>
      <c r="DV15" s="25">
        <v>129</v>
      </c>
      <c r="DW15" s="25">
        <v>178</v>
      </c>
      <c r="DX15" s="25">
        <v>94</v>
      </c>
      <c r="DY15" s="25">
        <v>141</v>
      </c>
      <c r="DZ15" s="25">
        <v>89</v>
      </c>
      <c r="EA15" s="25">
        <v>37</v>
      </c>
      <c r="EB15" s="25">
        <v>31</v>
      </c>
      <c r="EC15" s="25">
        <v>0</v>
      </c>
      <c r="ED15" s="25">
        <v>119</v>
      </c>
      <c r="EE15" s="25">
        <v>0</v>
      </c>
      <c r="EF15" s="25">
        <v>119</v>
      </c>
      <c r="EG15" s="25">
        <v>5</v>
      </c>
      <c r="EH15" s="25">
        <v>7</v>
      </c>
      <c r="EI15" s="25">
        <v>0</v>
      </c>
      <c r="EJ15" s="25">
        <v>119</v>
      </c>
      <c r="EK15" s="25">
        <v>154</v>
      </c>
      <c r="EL15" s="25">
        <v>95</v>
      </c>
      <c r="EM15" s="25">
        <v>15</v>
      </c>
      <c r="EN15" s="25">
        <v>24</v>
      </c>
    </row>
    <row r="16" spans="1:144" x14ac:dyDescent="0.25">
      <c r="A16" s="19">
        <f t="shared" si="9"/>
        <v>15</v>
      </c>
      <c r="B16" s="20" t="str">
        <f t="shared" si="10"/>
        <v>Emery</v>
      </c>
      <c r="C16" s="24" t="s">
        <v>302</v>
      </c>
      <c r="D16" s="24" t="s">
        <v>303</v>
      </c>
      <c r="E16" s="25">
        <v>4617</v>
      </c>
      <c r="F16" s="25">
        <v>163</v>
      </c>
      <c r="G16" s="25">
        <v>3251</v>
      </c>
      <c r="H16" s="25">
        <v>206</v>
      </c>
      <c r="I16" s="25">
        <v>3086</v>
      </c>
      <c r="J16" s="25">
        <v>196</v>
      </c>
      <c r="K16" s="25">
        <v>165</v>
      </c>
      <c r="L16" s="25">
        <v>74</v>
      </c>
      <c r="M16" s="25">
        <v>179</v>
      </c>
      <c r="N16" s="25">
        <v>73</v>
      </c>
      <c r="O16" s="25">
        <v>573</v>
      </c>
      <c r="P16" s="25">
        <v>94</v>
      </c>
      <c r="Q16" s="25">
        <v>285</v>
      </c>
      <c r="R16" s="25">
        <v>92</v>
      </c>
      <c r="S16" s="25">
        <v>96</v>
      </c>
      <c r="T16" s="25">
        <v>40</v>
      </c>
      <c r="U16" s="25">
        <v>212</v>
      </c>
      <c r="V16" s="25">
        <v>60</v>
      </c>
      <c r="W16" s="25">
        <v>21</v>
      </c>
      <c r="X16" s="25">
        <v>17</v>
      </c>
      <c r="Y16" s="25">
        <v>3565</v>
      </c>
      <c r="Z16" s="25">
        <v>196</v>
      </c>
      <c r="AA16" s="25">
        <v>2551</v>
      </c>
      <c r="AB16" s="25">
        <v>201</v>
      </c>
      <c r="AC16" s="25">
        <v>2497</v>
      </c>
      <c r="AD16" s="25">
        <v>195</v>
      </c>
      <c r="AE16" s="25">
        <v>54</v>
      </c>
      <c r="AF16" s="25">
        <v>26</v>
      </c>
      <c r="AG16" s="25">
        <v>148</v>
      </c>
      <c r="AH16" s="25">
        <v>68</v>
      </c>
      <c r="AI16" s="25">
        <v>470</v>
      </c>
      <c r="AJ16" s="25">
        <v>80</v>
      </c>
      <c r="AK16" s="25">
        <v>208</v>
      </c>
      <c r="AL16" s="25">
        <v>81</v>
      </c>
      <c r="AM16" s="25">
        <v>63</v>
      </c>
      <c r="AN16" s="25">
        <v>35</v>
      </c>
      <c r="AO16" s="25">
        <v>116</v>
      </c>
      <c r="AP16" s="25">
        <v>45</v>
      </c>
      <c r="AQ16" s="25">
        <v>9</v>
      </c>
      <c r="AR16" s="25">
        <v>10</v>
      </c>
      <c r="AS16" s="25">
        <v>630</v>
      </c>
      <c r="AT16" s="25">
        <v>106</v>
      </c>
      <c r="AU16" s="25">
        <v>463</v>
      </c>
      <c r="AV16" s="25">
        <v>99</v>
      </c>
      <c r="AW16" s="25">
        <v>453</v>
      </c>
      <c r="AX16" s="25">
        <v>100</v>
      </c>
      <c r="AY16" s="25">
        <v>10</v>
      </c>
      <c r="AZ16" s="25">
        <v>8</v>
      </c>
      <c r="BA16" s="25">
        <v>29</v>
      </c>
      <c r="BB16" s="25">
        <v>33</v>
      </c>
      <c r="BC16" s="25">
        <v>50</v>
      </c>
      <c r="BD16" s="25">
        <v>24</v>
      </c>
      <c r="BE16" s="25">
        <v>65</v>
      </c>
      <c r="BF16" s="25">
        <v>34</v>
      </c>
      <c r="BG16" s="25">
        <v>19</v>
      </c>
      <c r="BH16" s="25">
        <v>22</v>
      </c>
      <c r="BI16" s="25">
        <v>4</v>
      </c>
      <c r="BJ16" s="25">
        <v>8</v>
      </c>
      <c r="BK16" s="25">
        <v>0</v>
      </c>
      <c r="BL16" s="25">
        <v>119</v>
      </c>
      <c r="BM16" s="25">
        <v>0</v>
      </c>
      <c r="BN16" s="25">
        <v>119</v>
      </c>
      <c r="BO16" s="25">
        <v>0</v>
      </c>
      <c r="BP16" s="25">
        <v>119</v>
      </c>
      <c r="BQ16" s="25">
        <v>0</v>
      </c>
      <c r="BR16" s="25">
        <v>119</v>
      </c>
      <c r="BS16" s="25">
        <v>0</v>
      </c>
      <c r="BT16" s="25">
        <v>119</v>
      </c>
      <c r="BU16" s="25">
        <v>0</v>
      </c>
      <c r="BV16" s="25">
        <v>119</v>
      </c>
      <c r="BW16" s="25">
        <v>0</v>
      </c>
      <c r="BX16" s="25">
        <v>119</v>
      </c>
      <c r="BY16" s="25">
        <v>0</v>
      </c>
      <c r="BZ16" s="25">
        <v>119</v>
      </c>
      <c r="CA16" s="25">
        <v>0</v>
      </c>
      <c r="CB16" s="25">
        <v>119</v>
      </c>
      <c r="CC16" s="25">
        <v>0</v>
      </c>
      <c r="CD16" s="25">
        <v>119</v>
      </c>
      <c r="CE16" s="25">
        <v>0</v>
      </c>
      <c r="CF16" s="25">
        <v>119</v>
      </c>
      <c r="CG16" s="25">
        <v>128</v>
      </c>
      <c r="CH16" s="25">
        <v>64</v>
      </c>
      <c r="CI16" s="25">
        <v>76</v>
      </c>
      <c r="CJ16" s="25">
        <v>50</v>
      </c>
      <c r="CK16" s="25">
        <v>57</v>
      </c>
      <c r="CL16" s="25">
        <v>43</v>
      </c>
      <c r="CM16" s="25">
        <v>19</v>
      </c>
      <c r="CN16" s="25">
        <v>24</v>
      </c>
      <c r="CO16" s="25">
        <v>2</v>
      </c>
      <c r="CP16" s="25">
        <v>3</v>
      </c>
      <c r="CQ16" s="25">
        <v>44</v>
      </c>
      <c r="CR16" s="25">
        <v>28</v>
      </c>
      <c r="CS16" s="25">
        <v>0</v>
      </c>
      <c r="CT16" s="25">
        <v>119</v>
      </c>
      <c r="CU16" s="25">
        <v>3</v>
      </c>
      <c r="CV16" s="25">
        <v>4</v>
      </c>
      <c r="CW16" s="25">
        <v>3</v>
      </c>
      <c r="CX16" s="25">
        <v>5</v>
      </c>
      <c r="CY16" s="25">
        <v>0</v>
      </c>
      <c r="CZ16" s="25">
        <v>119</v>
      </c>
      <c r="DA16" s="25">
        <v>33</v>
      </c>
      <c r="DB16" s="25">
        <v>21</v>
      </c>
      <c r="DC16" s="25">
        <v>31</v>
      </c>
      <c r="DD16" s="25">
        <v>22</v>
      </c>
      <c r="DE16" s="25">
        <v>28</v>
      </c>
      <c r="DF16" s="25">
        <v>21</v>
      </c>
      <c r="DG16" s="25">
        <v>3</v>
      </c>
      <c r="DH16" s="25">
        <v>5</v>
      </c>
      <c r="DI16" s="25">
        <v>0</v>
      </c>
      <c r="DJ16" s="25">
        <v>119</v>
      </c>
      <c r="DK16" s="25">
        <v>2</v>
      </c>
      <c r="DL16" s="25">
        <v>4</v>
      </c>
      <c r="DM16" s="25">
        <v>0</v>
      </c>
      <c r="DN16" s="25">
        <v>119</v>
      </c>
      <c r="DO16" s="25">
        <v>0</v>
      </c>
      <c r="DP16" s="25">
        <v>119</v>
      </c>
      <c r="DQ16" s="25">
        <v>0</v>
      </c>
      <c r="DR16" s="25">
        <v>119</v>
      </c>
      <c r="DS16" s="25">
        <v>0</v>
      </c>
      <c r="DT16" s="25">
        <v>119</v>
      </c>
      <c r="DU16" s="25">
        <v>261</v>
      </c>
      <c r="DV16" s="25">
        <v>96</v>
      </c>
      <c r="DW16" s="25">
        <v>130</v>
      </c>
      <c r="DX16" s="25">
        <v>77</v>
      </c>
      <c r="DY16" s="25">
        <v>51</v>
      </c>
      <c r="DZ16" s="25">
        <v>34</v>
      </c>
      <c r="EA16" s="25">
        <v>79</v>
      </c>
      <c r="EB16" s="25">
        <v>69</v>
      </c>
      <c r="EC16" s="25">
        <v>0</v>
      </c>
      <c r="ED16" s="25">
        <v>119</v>
      </c>
      <c r="EE16" s="25">
        <v>7</v>
      </c>
      <c r="EF16" s="25">
        <v>8</v>
      </c>
      <c r="EG16" s="25">
        <v>12</v>
      </c>
      <c r="EH16" s="25">
        <v>18</v>
      </c>
      <c r="EI16" s="25">
        <v>11</v>
      </c>
      <c r="EJ16" s="25">
        <v>13</v>
      </c>
      <c r="EK16" s="25">
        <v>89</v>
      </c>
      <c r="EL16" s="25">
        <v>45</v>
      </c>
      <c r="EM16" s="25">
        <v>12</v>
      </c>
      <c r="EN16" s="25">
        <v>14</v>
      </c>
    </row>
    <row r="17" spans="1:144" x14ac:dyDescent="0.25">
      <c r="A17" s="19">
        <f t="shared" si="9"/>
        <v>17</v>
      </c>
      <c r="B17" s="20" t="str">
        <f t="shared" si="10"/>
        <v>Garfield</v>
      </c>
      <c r="C17" s="24" t="s">
        <v>304</v>
      </c>
      <c r="D17" s="24" t="s">
        <v>305</v>
      </c>
      <c r="E17" s="25">
        <v>2582</v>
      </c>
      <c r="F17" s="25">
        <v>178</v>
      </c>
      <c r="G17" s="25">
        <v>1517</v>
      </c>
      <c r="H17" s="25">
        <v>133</v>
      </c>
      <c r="I17" s="25">
        <v>1357</v>
      </c>
      <c r="J17" s="25">
        <v>125</v>
      </c>
      <c r="K17" s="25">
        <v>160</v>
      </c>
      <c r="L17" s="25">
        <v>63</v>
      </c>
      <c r="M17" s="25">
        <v>125</v>
      </c>
      <c r="N17" s="25">
        <v>50</v>
      </c>
      <c r="O17" s="25">
        <v>402</v>
      </c>
      <c r="P17" s="25">
        <v>125</v>
      </c>
      <c r="Q17" s="25">
        <v>59</v>
      </c>
      <c r="R17" s="25">
        <v>30</v>
      </c>
      <c r="S17" s="25">
        <v>209</v>
      </c>
      <c r="T17" s="25">
        <v>59</v>
      </c>
      <c r="U17" s="25">
        <v>248</v>
      </c>
      <c r="V17" s="25">
        <v>82</v>
      </c>
      <c r="W17" s="25">
        <v>22</v>
      </c>
      <c r="X17" s="25">
        <v>17</v>
      </c>
      <c r="Y17" s="25">
        <v>1696</v>
      </c>
      <c r="Z17" s="25">
        <v>151</v>
      </c>
      <c r="AA17" s="25">
        <v>1009</v>
      </c>
      <c r="AB17" s="25">
        <v>133</v>
      </c>
      <c r="AC17" s="25">
        <v>922</v>
      </c>
      <c r="AD17" s="25">
        <v>132</v>
      </c>
      <c r="AE17" s="25">
        <v>87</v>
      </c>
      <c r="AF17" s="25">
        <v>38</v>
      </c>
      <c r="AG17" s="25">
        <v>116</v>
      </c>
      <c r="AH17" s="25">
        <v>50</v>
      </c>
      <c r="AI17" s="25">
        <v>226</v>
      </c>
      <c r="AJ17" s="25">
        <v>54</v>
      </c>
      <c r="AK17" s="25">
        <v>46</v>
      </c>
      <c r="AL17" s="25">
        <v>26</v>
      </c>
      <c r="AM17" s="25">
        <v>165</v>
      </c>
      <c r="AN17" s="25">
        <v>53</v>
      </c>
      <c r="AO17" s="25">
        <v>126</v>
      </c>
      <c r="AP17" s="25">
        <v>61</v>
      </c>
      <c r="AQ17" s="25">
        <v>8</v>
      </c>
      <c r="AR17" s="25">
        <v>9</v>
      </c>
      <c r="AS17" s="25">
        <v>362</v>
      </c>
      <c r="AT17" s="25">
        <v>91</v>
      </c>
      <c r="AU17" s="25">
        <v>243</v>
      </c>
      <c r="AV17" s="25">
        <v>80</v>
      </c>
      <c r="AW17" s="25">
        <v>221</v>
      </c>
      <c r="AX17" s="25">
        <v>83</v>
      </c>
      <c r="AY17" s="25">
        <v>22</v>
      </c>
      <c r="AZ17" s="25">
        <v>24</v>
      </c>
      <c r="BA17" s="25">
        <v>6</v>
      </c>
      <c r="BB17" s="25">
        <v>7</v>
      </c>
      <c r="BC17" s="25">
        <v>82</v>
      </c>
      <c r="BD17" s="25">
        <v>47</v>
      </c>
      <c r="BE17" s="25">
        <v>8</v>
      </c>
      <c r="BF17" s="25">
        <v>11</v>
      </c>
      <c r="BG17" s="25">
        <v>9</v>
      </c>
      <c r="BH17" s="25">
        <v>12</v>
      </c>
      <c r="BI17" s="25">
        <v>12</v>
      </c>
      <c r="BJ17" s="25">
        <v>12</v>
      </c>
      <c r="BK17" s="25">
        <v>2</v>
      </c>
      <c r="BL17" s="25">
        <v>3</v>
      </c>
      <c r="BM17" s="25">
        <v>2</v>
      </c>
      <c r="BN17" s="25">
        <v>4</v>
      </c>
      <c r="BO17" s="25">
        <v>0</v>
      </c>
      <c r="BP17" s="25">
        <v>119</v>
      </c>
      <c r="BQ17" s="25">
        <v>0</v>
      </c>
      <c r="BR17" s="25">
        <v>119</v>
      </c>
      <c r="BS17" s="25">
        <v>0</v>
      </c>
      <c r="BT17" s="25">
        <v>119</v>
      </c>
      <c r="BU17" s="25">
        <v>2</v>
      </c>
      <c r="BV17" s="25">
        <v>4</v>
      </c>
      <c r="BW17" s="25">
        <v>0</v>
      </c>
      <c r="BX17" s="25">
        <v>119</v>
      </c>
      <c r="BY17" s="25">
        <v>0</v>
      </c>
      <c r="BZ17" s="25">
        <v>119</v>
      </c>
      <c r="CA17" s="25">
        <v>0</v>
      </c>
      <c r="CB17" s="25">
        <v>119</v>
      </c>
      <c r="CC17" s="25">
        <v>0</v>
      </c>
      <c r="CD17" s="25">
        <v>119</v>
      </c>
      <c r="CE17" s="25">
        <v>0</v>
      </c>
      <c r="CF17" s="25">
        <v>119</v>
      </c>
      <c r="CG17" s="25">
        <v>242</v>
      </c>
      <c r="CH17" s="25">
        <v>95</v>
      </c>
      <c r="CI17" s="25">
        <v>172</v>
      </c>
      <c r="CJ17" s="25">
        <v>91</v>
      </c>
      <c r="CK17" s="25">
        <v>163</v>
      </c>
      <c r="CL17" s="25">
        <v>91</v>
      </c>
      <c r="CM17" s="25">
        <v>9</v>
      </c>
      <c r="CN17" s="25">
        <v>10</v>
      </c>
      <c r="CO17" s="25">
        <v>1</v>
      </c>
      <c r="CP17" s="25">
        <v>3</v>
      </c>
      <c r="CQ17" s="25">
        <v>33</v>
      </c>
      <c r="CR17" s="25">
        <v>22</v>
      </c>
      <c r="CS17" s="25">
        <v>0</v>
      </c>
      <c r="CT17" s="25">
        <v>119</v>
      </c>
      <c r="CU17" s="25">
        <v>32</v>
      </c>
      <c r="CV17" s="25">
        <v>26</v>
      </c>
      <c r="CW17" s="25">
        <v>4</v>
      </c>
      <c r="CX17" s="25">
        <v>6</v>
      </c>
      <c r="CY17" s="25">
        <v>0</v>
      </c>
      <c r="CZ17" s="25">
        <v>119</v>
      </c>
      <c r="DA17" s="25">
        <v>35</v>
      </c>
      <c r="DB17" s="25">
        <v>32</v>
      </c>
      <c r="DC17" s="25">
        <v>32</v>
      </c>
      <c r="DD17" s="25">
        <v>32</v>
      </c>
      <c r="DE17" s="25">
        <v>25</v>
      </c>
      <c r="DF17" s="25">
        <v>27</v>
      </c>
      <c r="DG17" s="25">
        <v>7</v>
      </c>
      <c r="DH17" s="25">
        <v>11</v>
      </c>
      <c r="DI17" s="25">
        <v>0</v>
      </c>
      <c r="DJ17" s="25">
        <v>119</v>
      </c>
      <c r="DK17" s="25">
        <v>0</v>
      </c>
      <c r="DL17" s="25">
        <v>119</v>
      </c>
      <c r="DM17" s="25">
        <v>0</v>
      </c>
      <c r="DN17" s="25">
        <v>119</v>
      </c>
      <c r="DO17" s="25">
        <v>3</v>
      </c>
      <c r="DP17" s="25">
        <v>4</v>
      </c>
      <c r="DQ17" s="25">
        <v>0</v>
      </c>
      <c r="DR17" s="25">
        <v>119</v>
      </c>
      <c r="DS17" s="25">
        <v>0</v>
      </c>
      <c r="DT17" s="25">
        <v>119</v>
      </c>
      <c r="DU17" s="25">
        <v>245</v>
      </c>
      <c r="DV17" s="25">
        <v>113</v>
      </c>
      <c r="DW17" s="25">
        <v>61</v>
      </c>
      <c r="DX17" s="25">
        <v>41</v>
      </c>
      <c r="DY17" s="25">
        <v>26</v>
      </c>
      <c r="DZ17" s="25">
        <v>22</v>
      </c>
      <c r="EA17" s="25">
        <v>35</v>
      </c>
      <c r="EB17" s="25">
        <v>34</v>
      </c>
      <c r="EC17" s="25">
        <v>0</v>
      </c>
      <c r="ED17" s="25">
        <v>119</v>
      </c>
      <c r="EE17" s="25">
        <v>61</v>
      </c>
      <c r="EF17" s="25">
        <v>89</v>
      </c>
      <c r="EG17" s="25">
        <v>5</v>
      </c>
      <c r="EH17" s="25">
        <v>8</v>
      </c>
      <c r="EI17" s="25">
        <v>0</v>
      </c>
      <c r="EJ17" s="25">
        <v>119</v>
      </c>
      <c r="EK17" s="25">
        <v>106</v>
      </c>
      <c r="EL17" s="25">
        <v>50</v>
      </c>
      <c r="EM17" s="25">
        <v>12</v>
      </c>
      <c r="EN17" s="25">
        <v>14</v>
      </c>
    </row>
    <row r="18" spans="1:144" x14ac:dyDescent="0.25">
      <c r="A18" s="19">
        <f t="shared" si="9"/>
        <v>19</v>
      </c>
      <c r="B18" s="20" t="str">
        <f t="shared" si="10"/>
        <v>Grand</v>
      </c>
      <c r="C18" s="24" t="s">
        <v>306</v>
      </c>
      <c r="D18" s="24" t="s">
        <v>307</v>
      </c>
      <c r="E18" s="25">
        <v>4329</v>
      </c>
      <c r="F18" s="25">
        <v>365</v>
      </c>
      <c r="G18" s="25">
        <v>2679</v>
      </c>
      <c r="H18" s="25">
        <v>332</v>
      </c>
      <c r="I18" s="25">
        <v>2409</v>
      </c>
      <c r="J18" s="25">
        <v>335</v>
      </c>
      <c r="K18" s="25">
        <v>270</v>
      </c>
      <c r="L18" s="25">
        <v>114</v>
      </c>
      <c r="M18" s="25">
        <v>342</v>
      </c>
      <c r="N18" s="25">
        <v>115</v>
      </c>
      <c r="O18" s="25">
        <v>489</v>
      </c>
      <c r="P18" s="25">
        <v>222</v>
      </c>
      <c r="Q18" s="25">
        <v>309</v>
      </c>
      <c r="R18" s="25">
        <v>157</v>
      </c>
      <c r="S18" s="25">
        <v>162</v>
      </c>
      <c r="T18" s="25">
        <v>108</v>
      </c>
      <c r="U18" s="25">
        <v>327</v>
      </c>
      <c r="V18" s="25">
        <v>149</v>
      </c>
      <c r="W18" s="25">
        <v>21</v>
      </c>
      <c r="X18" s="25">
        <v>31</v>
      </c>
      <c r="Y18" s="25">
        <v>3032</v>
      </c>
      <c r="Z18" s="25">
        <v>355</v>
      </c>
      <c r="AA18" s="25">
        <v>1881</v>
      </c>
      <c r="AB18" s="25">
        <v>322</v>
      </c>
      <c r="AC18" s="25">
        <v>1704</v>
      </c>
      <c r="AD18" s="25">
        <v>297</v>
      </c>
      <c r="AE18" s="25">
        <v>177</v>
      </c>
      <c r="AF18" s="25">
        <v>95</v>
      </c>
      <c r="AG18" s="25">
        <v>161</v>
      </c>
      <c r="AH18" s="25">
        <v>79</v>
      </c>
      <c r="AI18" s="25">
        <v>401</v>
      </c>
      <c r="AJ18" s="25">
        <v>197</v>
      </c>
      <c r="AK18" s="25">
        <v>243</v>
      </c>
      <c r="AL18" s="25">
        <v>109</v>
      </c>
      <c r="AM18" s="25">
        <v>121</v>
      </c>
      <c r="AN18" s="25">
        <v>77</v>
      </c>
      <c r="AO18" s="25">
        <v>225</v>
      </c>
      <c r="AP18" s="25">
        <v>127</v>
      </c>
      <c r="AQ18" s="25">
        <v>0</v>
      </c>
      <c r="AR18" s="25">
        <v>119</v>
      </c>
      <c r="AS18" s="25">
        <v>424</v>
      </c>
      <c r="AT18" s="25">
        <v>194</v>
      </c>
      <c r="AU18" s="25">
        <v>298</v>
      </c>
      <c r="AV18" s="25">
        <v>144</v>
      </c>
      <c r="AW18" s="25">
        <v>271</v>
      </c>
      <c r="AX18" s="25">
        <v>143</v>
      </c>
      <c r="AY18" s="25">
        <v>27</v>
      </c>
      <c r="AZ18" s="25">
        <v>40</v>
      </c>
      <c r="BA18" s="25">
        <v>6</v>
      </c>
      <c r="BB18" s="25">
        <v>10</v>
      </c>
      <c r="BC18" s="25">
        <v>4</v>
      </c>
      <c r="BD18" s="25">
        <v>7</v>
      </c>
      <c r="BE18" s="25">
        <v>66</v>
      </c>
      <c r="BF18" s="25">
        <v>96</v>
      </c>
      <c r="BG18" s="25">
        <v>15</v>
      </c>
      <c r="BH18" s="25">
        <v>20</v>
      </c>
      <c r="BI18" s="25">
        <v>34</v>
      </c>
      <c r="BJ18" s="25">
        <v>44</v>
      </c>
      <c r="BK18" s="25">
        <v>1</v>
      </c>
      <c r="BL18" s="25">
        <v>4</v>
      </c>
      <c r="BM18" s="25">
        <v>17</v>
      </c>
      <c r="BN18" s="25">
        <v>26</v>
      </c>
      <c r="BO18" s="25">
        <v>0</v>
      </c>
      <c r="BP18" s="25">
        <v>119</v>
      </c>
      <c r="BQ18" s="25">
        <v>0</v>
      </c>
      <c r="BR18" s="25">
        <v>119</v>
      </c>
      <c r="BS18" s="25">
        <v>0</v>
      </c>
      <c r="BT18" s="25">
        <v>119</v>
      </c>
      <c r="BU18" s="25">
        <v>17</v>
      </c>
      <c r="BV18" s="25">
        <v>26</v>
      </c>
      <c r="BW18" s="25">
        <v>0</v>
      </c>
      <c r="BX18" s="25">
        <v>119</v>
      </c>
      <c r="BY18" s="25">
        <v>0</v>
      </c>
      <c r="BZ18" s="25">
        <v>119</v>
      </c>
      <c r="CA18" s="25">
        <v>0</v>
      </c>
      <c r="CB18" s="25">
        <v>119</v>
      </c>
      <c r="CC18" s="25">
        <v>0</v>
      </c>
      <c r="CD18" s="25">
        <v>119</v>
      </c>
      <c r="CE18" s="25">
        <v>0</v>
      </c>
      <c r="CF18" s="25">
        <v>119</v>
      </c>
      <c r="CG18" s="25">
        <v>276</v>
      </c>
      <c r="CH18" s="25">
        <v>111</v>
      </c>
      <c r="CI18" s="25">
        <v>190</v>
      </c>
      <c r="CJ18" s="25">
        <v>99</v>
      </c>
      <c r="CK18" s="25">
        <v>161</v>
      </c>
      <c r="CL18" s="25">
        <v>91</v>
      </c>
      <c r="CM18" s="25">
        <v>29</v>
      </c>
      <c r="CN18" s="25">
        <v>44</v>
      </c>
      <c r="CO18" s="25">
        <v>55</v>
      </c>
      <c r="CP18" s="25">
        <v>45</v>
      </c>
      <c r="CQ18" s="25">
        <v>31</v>
      </c>
      <c r="CR18" s="25">
        <v>39</v>
      </c>
      <c r="CS18" s="25">
        <v>0</v>
      </c>
      <c r="CT18" s="25">
        <v>119</v>
      </c>
      <c r="CU18" s="25">
        <v>0</v>
      </c>
      <c r="CV18" s="25">
        <v>119</v>
      </c>
      <c r="CW18" s="25">
        <v>0</v>
      </c>
      <c r="CX18" s="25">
        <v>119</v>
      </c>
      <c r="CY18" s="25">
        <v>0</v>
      </c>
      <c r="CZ18" s="25">
        <v>119</v>
      </c>
      <c r="DA18" s="25">
        <v>420</v>
      </c>
      <c r="DB18" s="25">
        <v>155</v>
      </c>
      <c r="DC18" s="25">
        <v>242</v>
      </c>
      <c r="DD18" s="25">
        <v>120</v>
      </c>
      <c r="DE18" s="25">
        <v>242</v>
      </c>
      <c r="DF18" s="25">
        <v>120</v>
      </c>
      <c r="DG18" s="25">
        <v>0</v>
      </c>
      <c r="DH18" s="25">
        <v>119</v>
      </c>
      <c r="DI18" s="25">
        <v>89</v>
      </c>
      <c r="DJ18" s="25">
        <v>70</v>
      </c>
      <c r="DK18" s="25">
        <v>51</v>
      </c>
      <c r="DL18" s="25">
        <v>57</v>
      </c>
      <c r="DM18" s="25">
        <v>0</v>
      </c>
      <c r="DN18" s="25">
        <v>119</v>
      </c>
      <c r="DO18" s="25">
        <v>26</v>
      </c>
      <c r="DP18" s="25">
        <v>42</v>
      </c>
      <c r="DQ18" s="25">
        <v>12</v>
      </c>
      <c r="DR18" s="25">
        <v>21</v>
      </c>
      <c r="DS18" s="25">
        <v>0</v>
      </c>
      <c r="DT18" s="25">
        <v>119</v>
      </c>
      <c r="DU18" s="25">
        <v>160</v>
      </c>
      <c r="DV18" s="25">
        <v>84</v>
      </c>
      <c r="DW18" s="25">
        <v>68</v>
      </c>
      <c r="DX18" s="25">
        <v>49</v>
      </c>
      <c r="DY18" s="25">
        <v>31</v>
      </c>
      <c r="DZ18" s="25">
        <v>37</v>
      </c>
      <c r="EA18" s="25">
        <v>37</v>
      </c>
      <c r="EB18" s="25">
        <v>35</v>
      </c>
      <c r="EC18" s="25">
        <v>14</v>
      </c>
      <c r="ED18" s="25">
        <v>16</v>
      </c>
      <c r="EE18" s="25">
        <v>2</v>
      </c>
      <c r="EF18" s="25">
        <v>6</v>
      </c>
      <c r="EG18" s="25">
        <v>0</v>
      </c>
      <c r="EH18" s="25">
        <v>119</v>
      </c>
      <c r="EI18" s="25">
        <v>0</v>
      </c>
      <c r="EJ18" s="25">
        <v>119</v>
      </c>
      <c r="EK18" s="25">
        <v>56</v>
      </c>
      <c r="EL18" s="25">
        <v>45</v>
      </c>
      <c r="EM18" s="25">
        <v>20</v>
      </c>
      <c r="EN18" s="25">
        <v>30</v>
      </c>
    </row>
    <row r="19" spans="1:144" x14ac:dyDescent="0.25">
      <c r="A19" s="19">
        <f t="shared" si="9"/>
        <v>21</v>
      </c>
      <c r="B19" s="20" t="str">
        <f t="shared" si="10"/>
        <v>Iron</v>
      </c>
      <c r="C19" s="24" t="s">
        <v>308</v>
      </c>
      <c r="D19" s="24" t="s">
        <v>309</v>
      </c>
      <c r="E19" s="25">
        <v>18647</v>
      </c>
      <c r="F19" s="25">
        <v>557</v>
      </c>
      <c r="G19" s="25">
        <v>12348</v>
      </c>
      <c r="H19" s="25">
        <v>554</v>
      </c>
      <c r="I19" s="25">
        <v>11282</v>
      </c>
      <c r="J19" s="25">
        <v>575</v>
      </c>
      <c r="K19" s="25">
        <v>1066</v>
      </c>
      <c r="L19" s="25">
        <v>187</v>
      </c>
      <c r="M19" s="25">
        <v>1100</v>
      </c>
      <c r="N19" s="25">
        <v>225</v>
      </c>
      <c r="O19" s="25">
        <v>1580</v>
      </c>
      <c r="P19" s="25">
        <v>258</v>
      </c>
      <c r="Q19" s="25">
        <v>1787</v>
      </c>
      <c r="R19" s="25">
        <v>337</v>
      </c>
      <c r="S19" s="25">
        <v>428</v>
      </c>
      <c r="T19" s="25">
        <v>130</v>
      </c>
      <c r="U19" s="25">
        <v>1373</v>
      </c>
      <c r="V19" s="25">
        <v>264</v>
      </c>
      <c r="W19" s="25">
        <v>31</v>
      </c>
      <c r="X19" s="25">
        <v>22</v>
      </c>
      <c r="Y19" s="25">
        <v>13469</v>
      </c>
      <c r="Z19" s="25">
        <v>570</v>
      </c>
      <c r="AA19" s="25">
        <v>9168</v>
      </c>
      <c r="AB19" s="25">
        <v>565</v>
      </c>
      <c r="AC19" s="25">
        <v>8417</v>
      </c>
      <c r="AD19" s="25">
        <v>549</v>
      </c>
      <c r="AE19" s="25">
        <v>751</v>
      </c>
      <c r="AF19" s="25">
        <v>162</v>
      </c>
      <c r="AG19" s="25">
        <v>767</v>
      </c>
      <c r="AH19" s="25">
        <v>192</v>
      </c>
      <c r="AI19" s="25">
        <v>1330</v>
      </c>
      <c r="AJ19" s="25">
        <v>230</v>
      </c>
      <c r="AK19" s="25">
        <v>1254</v>
      </c>
      <c r="AL19" s="25">
        <v>246</v>
      </c>
      <c r="AM19" s="25">
        <v>333</v>
      </c>
      <c r="AN19" s="25">
        <v>113</v>
      </c>
      <c r="AO19" s="25">
        <v>590</v>
      </c>
      <c r="AP19" s="25">
        <v>182</v>
      </c>
      <c r="AQ19" s="25">
        <v>27</v>
      </c>
      <c r="AR19" s="25">
        <v>21</v>
      </c>
      <c r="AS19" s="25">
        <v>2818</v>
      </c>
      <c r="AT19" s="25">
        <v>410</v>
      </c>
      <c r="AU19" s="25">
        <v>1981</v>
      </c>
      <c r="AV19" s="25">
        <v>383</v>
      </c>
      <c r="AW19" s="25">
        <v>1808</v>
      </c>
      <c r="AX19" s="25">
        <v>372</v>
      </c>
      <c r="AY19" s="25">
        <v>173</v>
      </c>
      <c r="AZ19" s="25">
        <v>110</v>
      </c>
      <c r="BA19" s="25">
        <v>148</v>
      </c>
      <c r="BB19" s="25">
        <v>98</v>
      </c>
      <c r="BC19" s="25">
        <v>150</v>
      </c>
      <c r="BD19" s="25">
        <v>83</v>
      </c>
      <c r="BE19" s="25">
        <v>272</v>
      </c>
      <c r="BF19" s="25">
        <v>130</v>
      </c>
      <c r="BG19" s="25">
        <v>50</v>
      </c>
      <c r="BH19" s="25">
        <v>54</v>
      </c>
      <c r="BI19" s="25">
        <v>213</v>
      </c>
      <c r="BJ19" s="25">
        <v>103</v>
      </c>
      <c r="BK19" s="25">
        <v>4</v>
      </c>
      <c r="BL19" s="25">
        <v>5</v>
      </c>
      <c r="BM19" s="25">
        <v>25</v>
      </c>
      <c r="BN19" s="25">
        <v>30</v>
      </c>
      <c r="BO19" s="25">
        <v>13</v>
      </c>
      <c r="BP19" s="25">
        <v>21</v>
      </c>
      <c r="BQ19" s="25">
        <v>13</v>
      </c>
      <c r="BR19" s="25">
        <v>21</v>
      </c>
      <c r="BS19" s="25">
        <v>0</v>
      </c>
      <c r="BT19" s="25">
        <v>119</v>
      </c>
      <c r="BU19" s="25">
        <v>0</v>
      </c>
      <c r="BV19" s="25">
        <v>119</v>
      </c>
      <c r="BW19" s="25">
        <v>0</v>
      </c>
      <c r="BX19" s="25">
        <v>119</v>
      </c>
      <c r="BY19" s="25">
        <v>12</v>
      </c>
      <c r="BZ19" s="25">
        <v>21</v>
      </c>
      <c r="CA19" s="25">
        <v>0</v>
      </c>
      <c r="CB19" s="25">
        <v>119</v>
      </c>
      <c r="CC19" s="25">
        <v>0</v>
      </c>
      <c r="CD19" s="25">
        <v>119</v>
      </c>
      <c r="CE19" s="25">
        <v>0</v>
      </c>
      <c r="CF19" s="25">
        <v>119</v>
      </c>
      <c r="CG19" s="25">
        <v>1192</v>
      </c>
      <c r="CH19" s="25">
        <v>263</v>
      </c>
      <c r="CI19" s="25">
        <v>683</v>
      </c>
      <c r="CJ19" s="25">
        <v>204</v>
      </c>
      <c r="CK19" s="25">
        <v>636</v>
      </c>
      <c r="CL19" s="25">
        <v>191</v>
      </c>
      <c r="CM19" s="25">
        <v>47</v>
      </c>
      <c r="CN19" s="25">
        <v>54</v>
      </c>
      <c r="CO19" s="25">
        <v>169</v>
      </c>
      <c r="CP19" s="25">
        <v>108</v>
      </c>
      <c r="CQ19" s="25">
        <v>42</v>
      </c>
      <c r="CR19" s="25">
        <v>33</v>
      </c>
      <c r="CS19" s="25">
        <v>164</v>
      </c>
      <c r="CT19" s="25">
        <v>159</v>
      </c>
      <c r="CU19" s="25">
        <v>16</v>
      </c>
      <c r="CV19" s="25">
        <v>26</v>
      </c>
      <c r="CW19" s="25">
        <v>118</v>
      </c>
      <c r="CX19" s="25">
        <v>106</v>
      </c>
      <c r="CY19" s="25">
        <v>0</v>
      </c>
      <c r="CZ19" s="25">
        <v>119</v>
      </c>
      <c r="DA19" s="25">
        <v>421</v>
      </c>
      <c r="DB19" s="25">
        <v>130</v>
      </c>
      <c r="DC19" s="25">
        <v>283</v>
      </c>
      <c r="DD19" s="25">
        <v>107</v>
      </c>
      <c r="DE19" s="25">
        <v>262</v>
      </c>
      <c r="DF19" s="25">
        <v>101</v>
      </c>
      <c r="DG19" s="25">
        <v>21</v>
      </c>
      <c r="DH19" s="25">
        <v>26</v>
      </c>
      <c r="DI19" s="25">
        <v>16</v>
      </c>
      <c r="DJ19" s="25">
        <v>20</v>
      </c>
      <c r="DK19" s="25">
        <v>35</v>
      </c>
      <c r="DL19" s="25">
        <v>35</v>
      </c>
      <c r="DM19" s="25">
        <v>54</v>
      </c>
      <c r="DN19" s="25">
        <v>43</v>
      </c>
      <c r="DO19" s="25">
        <v>29</v>
      </c>
      <c r="DP19" s="25">
        <v>36</v>
      </c>
      <c r="DQ19" s="25">
        <v>4</v>
      </c>
      <c r="DR19" s="25">
        <v>7</v>
      </c>
      <c r="DS19" s="25">
        <v>0</v>
      </c>
      <c r="DT19" s="25">
        <v>119</v>
      </c>
      <c r="DU19" s="25">
        <v>722</v>
      </c>
      <c r="DV19" s="25">
        <v>186</v>
      </c>
      <c r="DW19" s="25">
        <v>220</v>
      </c>
      <c r="DX19" s="25">
        <v>121</v>
      </c>
      <c r="DY19" s="25">
        <v>146</v>
      </c>
      <c r="DZ19" s="25">
        <v>95</v>
      </c>
      <c r="EA19" s="25">
        <v>74</v>
      </c>
      <c r="EB19" s="25">
        <v>46</v>
      </c>
      <c r="EC19" s="25">
        <v>0</v>
      </c>
      <c r="ED19" s="25">
        <v>119</v>
      </c>
      <c r="EE19" s="25">
        <v>23</v>
      </c>
      <c r="EF19" s="25">
        <v>36</v>
      </c>
      <c r="EG19" s="25">
        <v>31</v>
      </c>
      <c r="EH19" s="25">
        <v>30</v>
      </c>
      <c r="EI19" s="25">
        <v>0</v>
      </c>
      <c r="EJ19" s="25">
        <v>119</v>
      </c>
      <c r="EK19" s="25">
        <v>448</v>
      </c>
      <c r="EL19" s="25">
        <v>159</v>
      </c>
      <c r="EM19" s="25">
        <v>0</v>
      </c>
      <c r="EN19" s="25">
        <v>119</v>
      </c>
    </row>
    <row r="20" spans="1:144" x14ac:dyDescent="0.25">
      <c r="A20" s="19">
        <f t="shared" si="9"/>
        <v>23</v>
      </c>
      <c r="B20" s="20" t="str">
        <f t="shared" si="10"/>
        <v>Juab</v>
      </c>
      <c r="C20" s="24" t="s">
        <v>310</v>
      </c>
      <c r="D20" s="24" t="s">
        <v>311</v>
      </c>
      <c r="E20" s="25">
        <v>4149</v>
      </c>
      <c r="F20" s="25">
        <v>199</v>
      </c>
      <c r="G20" s="25">
        <v>3143</v>
      </c>
      <c r="H20" s="25">
        <v>203</v>
      </c>
      <c r="I20" s="25">
        <v>3032</v>
      </c>
      <c r="J20" s="25">
        <v>221</v>
      </c>
      <c r="K20" s="25">
        <v>111</v>
      </c>
      <c r="L20" s="25">
        <v>57</v>
      </c>
      <c r="M20" s="25">
        <v>135</v>
      </c>
      <c r="N20" s="25">
        <v>65</v>
      </c>
      <c r="O20" s="25">
        <v>389</v>
      </c>
      <c r="P20" s="25">
        <v>97</v>
      </c>
      <c r="Q20" s="25">
        <v>213</v>
      </c>
      <c r="R20" s="25">
        <v>66</v>
      </c>
      <c r="S20" s="25">
        <v>42</v>
      </c>
      <c r="T20" s="25">
        <v>29</v>
      </c>
      <c r="U20" s="25">
        <v>227</v>
      </c>
      <c r="V20" s="25">
        <v>88</v>
      </c>
      <c r="W20" s="25">
        <v>0</v>
      </c>
      <c r="X20" s="25">
        <v>119</v>
      </c>
      <c r="Y20" s="25">
        <v>2914</v>
      </c>
      <c r="Z20" s="25">
        <v>206</v>
      </c>
      <c r="AA20" s="25">
        <v>2208</v>
      </c>
      <c r="AB20" s="25">
        <v>205</v>
      </c>
      <c r="AC20" s="25">
        <v>2134</v>
      </c>
      <c r="AD20" s="25">
        <v>218</v>
      </c>
      <c r="AE20" s="25">
        <v>74</v>
      </c>
      <c r="AF20" s="25">
        <v>46</v>
      </c>
      <c r="AG20" s="25">
        <v>115</v>
      </c>
      <c r="AH20" s="25">
        <v>63</v>
      </c>
      <c r="AI20" s="25">
        <v>256</v>
      </c>
      <c r="AJ20" s="25">
        <v>73</v>
      </c>
      <c r="AK20" s="25">
        <v>182</v>
      </c>
      <c r="AL20" s="25">
        <v>61</v>
      </c>
      <c r="AM20" s="25">
        <v>20</v>
      </c>
      <c r="AN20" s="25">
        <v>22</v>
      </c>
      <c r="AO20" s="25">
        <v>133</v>
      </c>
      <c r="AP20" s="25">
        <v>64</v>
      </c>
      <c r="AQ20" s="25">
        <v>0</v>
      </c>
      <c r="AR20" s="25">
        <v>119</v>
      </c>
      <c r="AS20" s="25">
        <v>833</v>
      </c>
      <c r="AT20" s="25">
        <v>144</v>
      </c>
      <c r="AU20" s="25">
        <v>655</v>
      </c>
      <c r="AV20" s="25">
        <v>125</v>
      </c>
      <c r="AW20" s="25">
        <v>649</v>
      </c>
      <c r="AX20" s="25">
        <v>123</v>
      </c>
      <c r="AY20" s="25">
        <v>6</v>
      </c>
      <c r="AZ20" s="25">
        <v>10</v>
      </c>
      <c r="BA20" s="25">
        <v>3</v>
      </c>
      <c r="BB20" s="25">
        <v>5</v>
      </c>
      <c r="BC20" s="25">
        <v>97</v>
      </c>
      <c r="BD20" s="25">
        <v>60</v>
      </c>
      <c r="BE20" s="25">
        <v>3</v>
      </c>
      <c r="BF20" s="25">
        <v>5</v>
      </c>
      <c r="BG20" s="25">
        <v>22</v>
      </c>
      <c r="BH20" s="25">
        <v>17</v>
      </c>
      <c r="BI20" s="25">
        <v>53</v>
      </c>
      <c r="BJ20" s="25">
        <v>38</v>
      </c>
      <c r="BK20" s="25">
        <v>0</v>
      </c>
      <c r="BL20" s="25">
        <v>119</v>
      </c>
      <c r="BM20" s="25">
        <v>10</v>
      </c>
      <c r="BN20" s="25">
        <v>8</v>
      </c>
      <c r="BO20" s="25">
        <v>3</v>
      </c>
      <c r="BP20" s="25">
        <v>5</v>
      </c>
      <c r="BQ20" s="25">
        <v>3</v>
      </c>
      <c r="BR20" s="25">
        <v>5</v>
      </c>
      <c r="BS20" s="25">
        <v>0</v>
      </c>
      <c r="BT20" s="25">
        <v>119</v>
      </c>
      <c r="BU20" s="25">
        <v>7</v>
      </c>
      <c r="BV20" s="25">
        <v>6</v>
      </c>
      <c r="BW20" s="25">
        <v>0</v>
      </c>
      <c r="BX20" s="25">
        <v>119</v>
      </c>
      <c r="BY20" s="25">
        <v>0</v>
      </c>
      <c r="BZ20" s="25">
        <v>119</v>
      </c>
      <c r="CA20" s="25">
        <v>0</v>
      </c>
      <c r="CB20" s="25">
        <v>119</v>
      </c>
      <c r="CC20" s="25">
        <v>0</v>
      </c>
      <c r="CD20" s="25">
        <v>119</v>
      </c>
      <c r="CE20" s="25">
        <v>0</v>
      </c>
      <c r="CF20" s="25">
        <v>119</v>
      </c>
      <c r="CG20" s="25">
        <v>47</v>
      </c>
      <c r="CH20" s="25">
        <v>25</v>
      </c>
      <c r="CI20" s="25">
        <v>31</v>
      </c>
      <c r="CJ20" s="25">
        <v>20</v>
      </c>
      <c r="CK20" s="25">
        <v>31</v>
      </c>
      <c r="CL20" s="25">
        <v>20</v>
      </c>
      <c r="CM20" s="25">
        <v>0</v>
      </c>
      <c r="CN20" s="25">
        <v>119</v>
      </c>
      <c r="CO20" s="25">
        <v>8</v>
      </c>
      <c r="CP20" s="25">
        <v>8</v>
      </c>
      <c r="CQ20" s="25">
        <v>0</v>
      </c>
      <c r="CR20" s="25">
        <v>119</v>
      </c>
      <c r="CS20" s="25">
        <v>8</v>
      </c>
      <c r="CT20" s="25">
        <v>11</v>
      </c>
      <c r="CU20" s="25">
        <v>0</v>
      </c>
      <c r="CV20" s="25">
        <v>119</v>
      </c>
      <c r="CW20" s="25">
        <v>0</v>
      </c>
      <c r="CX20" s="25">
        <v>119</v>
      </c>
      <c r="CY20" s="25">
        <v>0</v>
      </c>
      <c r="CZ20" s="25">
        <v>119</v>
      </c>
      <c r="DA20" s="25">
        <v>126</v>
      </c>
      <c r="DB20" s="25">
        <v>87</v>
      </c>
      <c r="DC20" s="25">
        <v>108</v>
      </c>
      <c r="DD20" s="25">
        <v>86</v>
      </c>
      <c r="DE20" s="25">
        <v>108</v>
      </c>
      <c r="DF20" s="25">
        <v>86</v>
      </c>
      <c r="DG20" s="25">
        <v>0</v>
      </c>
      <c r="DH20" s="25">
        <v>119</v>
      </c>
      <c r="DI20" s="25">
        <v>2</v>
      </c>
      <c r="DJ20" s="25">
        <v>3</v>
      </c>
      <c r="DK20" s="25">
        <v>12</v>
      </c>
      <c r="DL20" s="25">
        <v>19</v>
      </c>
      <c r="DM20" s="25">
        <v>4</v>
      </c>
      <c r="DN20" s="25">
        <v>7</v>
      </c>
      <c r="DO20" s="25">
        <v>0</v>
      </c>
      <c r="DP20" s="25">
        <v>119</v>
      </c>
      <c r="DQ20" s="25">
        <v>0</v>
      </c>
      <c r="DR20" s="25">
        <v>119</v>
      </c>
      <c r="DS20" s="25">
        <v>0</v>
      </c>
      <c r="DT20" s="25">
        <v>119</v>
      </c>
      <c r="DU20" s="25">
        <v>219</v>
      </c>
      <c r="DV20" s="25">
        <v>66</v>
      </c>
      <c r="DW20" s="25">
        <v>138</v>
      </c>
      <c r="DX20" s="25">
        <v>55</v>
      </c>
      <c r="DY20" s="25">
        <v>107</v>
      </c>
      <c r="DZ20" s="25">
        <v>49</v>
      </c>
      <c r="EA20" s="25">
        <v>31</v>
      </c>
      <c r="EB20" s="25">
        <v>26</v>
      </c>
      <c r="EC20" s="25">
        <v>0</v>
      </c>
      <c r="ED20" s="25">
        <v>119</v>
      </c>
      <c r="EE20" s="25">
        <v>24</v>
      </c>
      <c r="EF20" s="25">
        <v>31</v>
      </c>
      <c r="EG20" s="25">
        <v>16</v>
      </c>
      <c r="EH20" s="25">
        <v>26</v>
      </c>
      <c r="EI20" s="25">
        <v>0</v>
      </c>
      <c r="EJ20" s="25">
        <v>119</v>
      </c>
      <c r="EK20" s="25">
        <v>41</v>
      </c>
      <c r="EL20" s="25">
        <v>20</v>
      </c>
      <c r="EM20" s="25">
        <v>0</v>
      </c>
      <c r="EN20" s="25">
        <v>119</v>
      </c>
    </row>
    <row r="21" spans="1:144" x14ac:dyDescent="0.25">
      <c r="A21" s="19">
        <f t="shared" si="9"/>
        <v>25</v>
      </c>
      <c r="B21" s="20" t="str">
        <f t="shared" si="10"/>
        <v>Kane</v>
      </c>
      <c r="C21" s="24" t="s">
        <v>312</v>
      </c>
      <c r="D21" s="24" t="s">
        <v>313</v>
      </c>
      <c r="E21" s="25">
        <v>3240</v>
      </c>
      <c r="F21" s="25">
        <v>313</v>
      </c>
      <c r="G21" s="25">
        <v>1811</v>
      </c>
      <c r="H21" s="25">
        <v>256</v>
      </c>
      <c r="I21" s="25">
        <v>1525</v>
      </c>
      <c r="J21" s="25">
        <v>215</v>
      </c>
      <c r="K21" s="25">
        <v>286</v>
      </c>
      <c r="L21" s="25">
        <v>110</v>
      </c>
      <c r="M21" s="25">
        <v>492</v>
      </c>
      <c r="N21" s="25">
        <v>129</v>
      </c>
      <c r="O21" s="25">
        <v>297</v>
      </c>
      <c r="P21" s="25">
        <v>93</v>
      </c>
      <c r="Q21" s="25">
        <v>136</v>
      </c>
      <c r="R21" s="25">
        <v>68</v>
      </c>
      <c r="S21" s="25">
        <v>239</v>
      </c>
      <c r="T21" s="25">
        <v>125</v>
      </c>
      <c r="U21" s="25">
        <v>251</v>
      </c>
      <c r="V21" s="25">
        <v>92</v>
      </c>
      <c r="W21" s="25">
        <v>14</v>
      </c>
      <c r="X21" s="25">
        <v>13</v>
      </c>
      <c r="Y21" s="25">
        <v>2284</v>
      </c>
      <c r="Z21" s="25">
        <v>330</v>
      </c>
      <c r="AA21" s="25">
        <v>1218</v>
      </c>
      <c r="AB21" s="25">
        <v>259</v>
      </c>
      <c r="AC21" s="25">
        <v>1073</v>
      </c>
      <c r="AD21" s="25">
        <v>224</v>
      </c>
      <c r="AE21" s="25">
        <v>145</v>
      </c>
      <c r="AF21" s="25">
        <v>77</v>
      </c>
      <c r="AG21" s="25">
        <v>402</v>
      </c>
      <c r="AH21" s="25">
        <v>123</v>
      </c>
      <c r="AI21" s="25">
        <v>239</v>
      </c>
      <c r="AJ21" s="25">
        <v>90</v>
      </c>
      <c r="AK21" s="25">
        <v>112</v>
      </c>
      <c r="AL21" s="25">
        <v>67</v>
      </c>
      <c r="AM21" s="25">
        <v>232</v>
      </c>
      <c r="AN21" s="25">
        <v>127</v>
      </c>
      <c r="AO21" s="25">
        <v>81</v>
      </c>
      <c r="AP21" s="25">
        <v>40</v>
      </c>
      <c r="AQ21" s="25">
        <v>0</v>
      </c>
      <c r="AR21" s="25">
        <v>119</v>
      </c>
      <c r="AS21" s="25">
        <v>505</v>
      </c>
      <c r="AT21" s="25">
        <v>157</v>
      </c>
      <c r="AU21" s="25">
        <v>331</v>
      </c>
      <c r="AV21" s="25">
        <v>132</v>
      </c>
      <c r="AW21" s="25">
        <v>315</v>
      </c>
      <c r="AX21" s="25">
        <v>134</v>
      </c>
      <c r="AY21" s="25">
        <v>16</v>
      </c>
      <c r="AZ21" s="25">
        <v>22</v>
      </c>
      <c r="BA21" s="25">
        <v>88</v>
      </c>
      <c r="BB21" s="25">
        <v>69</v>
      </c>
      <c r="BC21" s="25">
        <v>39</v>
      </c>
      <c r="BD21" s="25">
        <v>29</v>
      </c>
      <c r="BE21" s="25">
        <v>24</v>
      </c>
      <c r="BF21" s="25">
        <v>26</v>
      </c>
      <c r="BG21" s="25">
        <v>0</v>
      </c>
      <c r="BH21" s="25">
        <v>119</v>
      </c>
      <c r="BI21" s="25">
        <v>23</v>
      </c>
      <c r="BJ21" s="25">
        <v>18</v>
      </c>
      <c r="BK21" s="25">
        <v>0</v>
      </c>
      <c r="BL21" s="25">
        <v>119</v>
      </c>
      <c r="BM21" s="25">
        <v>0</v>
      </c>
      <c r="BN21" s="25">
        <v>119</v>
      </c>
      <c r="BO21" s="25">
        <v>0</v>
      </c>
      <c r="BP21" s="25">
        <v>119</v>
      </c>
      <c r="BQ21" s="25">
        <v>0</v>
      </c>
      <c r="BR21" s="25">
        <v>119</v>
      </c>
      <c r="BS21" s="25">
        <v>0</v>
      </c>
      <c r="BT21" s="25">
        <v>119</v>
      </c>
      <c r="BU21" s="25">
        <v>0</v>
      </c>
      <c r="BV21" s="25">
        <v>119</v>
      </c>
      <c r="BW21" s="25">
        <v>0</v>
      </c>
      <c r="BX21" s="25">
        <v>119</v>
      </c>
      <c r="BY21" s="25">
        <v>0</v>
      </c>
      <c r="BZ21" s="25">
        <v>119</v>
      </c>
      <c r="CA21" s="25">
        <v>0</v>
      </c>
      <c r="CB21" s="25">
        <v>119</v>
      </c>
      <c r="CC21" s="25">
        <v>0</v>
      </c>
      <c r="CD21" s="25">
        <v>119</v>
      </c>
      <c r="CE21" s="25">
        <v>0</v>
      </c>
      <c r="CF21" s="25">
        <v>119</v>
      </c>
      <c r="CG21" s="25">
        <v>133</v>
      </c>
      <c r="CH21" s="25">
        <v>70</v>
      </c>
      <c r="CI21" s="25">
        <v>94</v>
      </c>
      <c r="CJ21" s="25">
        <v>64</v>
      </c>
      <c r="CK21" s="25">
        <v>66</v>
      </c>
      <c r="CL21" s="25">
        <v>54</v>
      </c>
      <c r="CM21" s="25">
        <v>28</v>
      </c>
      <c r="CN21" s="25">
        <v>32</v>
      </c>
      <c r="CO21" s="25">
        <v>0</v>
      </c>
      <c r="CP21" s="25">
        <v>119</v>
      </c>
      <c r="CQ21" s="25">
        <v>19</v>
      </c>
      <c r="CR21" s="25">
        <v>19</v>
      </c>
      <c r="CS21" s="25">
        <v>0</v>
      </c>
      <c r="CT21" s="25">
        <v>119</v>
      </c>
      <c r="CU21" s="25">
        <v>0</v>
      </c>
      <c r="CV21" s="25">
        <v>119</v>
      </c>
      <c r="CW21" s="25">
        <v>13</v>
      </c>
      <c r="CX21" s="25">
        <v>15</v>
      </c>
      <c r="CY21" s="25">
        <v>7</v>
      </c>
      <c r="CZ21" s="25">
        <v>10</v>
      </c>
      <c r="DA21" s="25">
        <v>128</v>
      </c>
      <c r="DB21" s="25">
        <v>77</v>
      </c>
      <c r="DC21" s="25">
        <v>114</v>
      </c>
      <c r="DD21" s="25">
        <v>75</v>
      </c>
      <c r="DE21" s="25">
        <v>46</v>
      </c>
      <c r="DF21" s="25">
        <v>37</v>
      </c>
      <c r="DG21" s="25">
        <v>68</v>
      </c>
      <c r="DH21" s="25">
        <v>67</v>
      </c>
      <c r="DI21" s="25">
        <v>2</v>
      </c>
      <c r="DJ21" s="25">
        <v>4</v>
      </c>
      <c r="DK21" s="25">
        <v>0</v>
      </c>
      <c r="DL21" s="25">
        <v>119</v>
      </c>
      <c r="DM21" s="25">
        <v>0</v>
      </c>
      <c r="DN21" s="25">
        <v>119</v>
      </c>
      <c r="DO21" s="25">
        <v>2</v>
      </c>
      <c r="DP21" s="25">
        <v>3</v>
      </c>
      <c r="DQ21" s="25">
        <v>10</v>
      </c>
      <c r="DR21" s="25">
        <v>11</v>
      </c>
      <c r="DS21" s="25">
        <v>0</v>
      </c>
      <c r="DT21" s="25">
        <v>119</v>
      </c>
      <c r="DU21" s="25">
        <v>190</v>
      </c>
      <c r="DV21" s="25">
        <v>102</v>
      </c>
      <c r="DW21" s="25">
        <v>54</v>
      </c>
      <c r="DX21" s="25">
        <v>51</v>
      </c>
      <c r="DY21" s="25">
        <v>25</v>
      </c>
      <c r="DZ21" s="25">
        <v>39</v>
      </c>
      <c r="EA21" s="25">
        <v>29</v>
      </c>
      <c r="EB21" s="25">
        <v>33</v>
      </c>
      <c r="EC21" s="25">
        <v>0</v>
      </c>
      <c r="ED21" s="25">
        <v>119</v>
      </c>
      <c r="EE21" s="25">
        <v>0</v>
      </c>
      <c r="EF21" s="25">
        <v>119</v>
      </c>
      <c r="EG21" s="25">
        <v>0</v>
      </c>
      <c r="EH21" s="25">
        <v>119</v>
      </c>
      <c r="EI21" s="25">
        <v>5</v>
      </c>
      <c r="EJ21" s="25">
        <v>7</v>
      </c>
      <c r="EK21" s="25">
        <v>124</v>
      </c>
      <c r="EL21" s="25">
        <v>82</v>
      </c>
      <c r="EM21" s="25">
        <v>7</v>
      </c>
      <c r="EN21" s="25">
        <v>10</v>
      </c>
    </row>
    <row r="22" spans="1:144" x14ac:dyDescent="0.25">
      <c r="A22" s="19">
        <f t="shared" si="9"/>
        <v>27</v>
      </c>
      <c r="B22" s="20" t="str">
        <f t="shared" si="10"/>
        <v>Millard</v>
      </c>
      <c r="C22" s="24" t="s">
        <v>314</v>
      </c>
      <c r="D22" s="24" t="s">
        <v>315</v>
      </c>
      <c r="E22" s="25">
        <v>4864</v>
      </c>
      <c r="F22" s="25">
        <v>282</v>
      </c>
      <c r="G22" s="25">
        <v>3335</v>
      </c>
      <c r="H22" s="25">
        <v>236</v>
      </c>
      <c r="I22" s="25">
        <v>3142</v>
      </c>
      <c r="J22" s="25">
        <v>221</v>
      </c>
      <c r="K22" s="25">
        <v>193</v>
      </c>
      <c r="L22" s="25">
        <v>60</v>
      </c>
      <c r="M22" s="25">
        <v>256</v>
      </c>
      <c r="N22" s="25">
        <v>75</v>
      </c>
      <c r="O22" s="25">
        <v>559</v>
      </c>
      <c r="P22" s="25">
        <v>113</v>
      </c>
      <c r="Q22" s="25">
        <v>209</v>
      </c>
      <c r="R22" s="25">
        <v>58</v>
      </c>
      <c r="S22" s="25">
        <v>123</v>
      </c>
      <c r="T22" s="25">
        <v>50</v>
      </c>
      <c r="U22" s="25">
        <v>353</v>
      </c>
      <c r="V22" s="25">
        <v>102</v>
      </c>
      <c r="W22" s="25">
        <v>29</v>
      </c>
      <c r="X22" s="25">
        <v>29</v>
      </c>
      <c r="Y22" s="25">
        <v>3631</v>
      </c>
      <c r="Z22" s="25">
        <v>244</v>
      </c>
      <c r="AA22" s="25">
        <v>2550</v>
      </c>
      <c r="AB22" s="25">
        <v>214</v>
      </c>
      <c r="AC22" s="25">
        <v>2416</v>
      </c>
      <c r="AD22" s="25">
        <v>207</v>
      </c>
      <c r="AE22" s="25">
        <v>134</v>
      </c>
      <c r="AF22" s="25">
        <v>48</v>
      </c>
      <c r="AG22" s="25">
        <v>202</v>
      </c>
      <c r="AH22" s="25">
        <v>66</v>
      </c>
      <c r="AI22" s="25">
        <v>480</v>
      </c>
      <c r="AJ22" s="25">
        <v>106</v>
      </c>
      <c r="AK22" s="25">
        <v>154</v>
      </c>
      <c r="AL22" s="25">
        <v>49</v>
      </c>
      <c r="AM22" s="25">
        <v>107</v>
      </c>
      <c r="AN22" s="25">
        <v>46</v>
      </c>
      <c r="AO22" s="25">
        <v>131</v>
      </c>
      <c r="AP22" s="25">
        <v>52</v>
      </c>
      <c r="AQ22" s="25">
        <v>7</v>
      </c>
      <c r="AR22" s="25">
        <v>10</v>
      </c>
      <c r="AS22" s="25">
        <v>840</v>
      </c>
      <c r="AT22" s="25">
        <v>155</v>
      </c>
      <c r="AU22" s="25">
        <v>607</v>
      </c>
      <c r="AV22" s="25">
        <v>109</v>
      </c>
      <c r="AW22" s="25">
        <v>604</v>
      </c>
      <c r="AX22" s="25">
        <v>109</v>
      </c>
      <c r="AY22" s="25">
        <v>3</v>
      </c>
      <c r="AZ22" s="25">
        <v>5</v>
      </c>
      <c r="BA22" s="25">
        <v>54</v>
      </c>
      <c r="BB22" s="25">
        <v>35</v>
      </c>
      <c r="BC22" s="25">
        <v>49</v>
      </c>
      <c r="BD22" s="25">
        <v>24</v>
      </c>
      <c r="BE22" s="25">
        <v>36</v>
      </c>
      <c r="BF22" s="25">
        <v>31</v>
      </c>
      <c r="BG22" s="25">
        <v>8</v>
      </c>
      <c r="BH22" s="25">
        <v>9</v>
      </c>
      <c r="BI22" s="25">
        <v>64</v>
      </c>
      <c r="BJ22" s="25">
        <v>31</v>
      </c>
      <c r="BK22" s="25">
        <v>22</v>
      </c>
      <c r="BL22" s="25">
        <v>28</v>
      </c>
      <c r="BM22" s="25">
        <v>3</v>
      </c>
      <c r="BN22" s="25">
        <v>4</v>
      </c>
      <c r="BO22" s="25">
        <v>0</v>
      </c>
      <c r="BP22" s="25">
        <v>119</v>
      </c>
      <c r="BQ22" s="25">
        <v>0</v>
      </c>
      <c r="BR22" s="25">
        <v>119</v>
      </c>
      <c r="BS22" s="25">
        <v>0</v>
      </c>
      <c r="BT22" s="25">
        <v>119</v>
      </c>
      <c r="BU22" s="25">
        <v>0</v>
      </c>
      <c r="BV22" s="25">
        <v>119</v>
      </c>
      <c r="BW22" s="25">
        <v>3</v>
      </c>
      <c r="BX22" s="25">
        <v>4</v>
      </c>
      <c r="BY22" s="25">
        <v>0</v>
      </c>
      <c r="BZ22" s="25">
        <v>119</v>
      </c>
      <c r="CA22" s="25">
        <v>0</v>
      </c>
      <c r="CB22" s="25">
        <v>119</v>
      </c>
      <c r="CC22" s="25">
        <v>0</v>
      </c>
      <c r="CD22" s="25">
        <v>119</v>
      </c>
      <c r="CE22" s="25">
        <v>0</v>
      </c>
      <c r="CF22" s="25">
        <v>119</v>
      </c>
      <c r="CG22" s="25">
        <v>130</v>
      </c>
      <c r="CH22" s="25">
        <v>66</v>
      </c>
      <c r="CI22" s="25">
        <v>58</v>
      </c>
      <c r="CJ22" s="25">
        <v>33</v>
      </c>
      <c r="CK22" s="25">
        <v>45</v>
      </c>
      <c r="CL22" s="25">
        <v>27</v>
      </c>
      <c r="CM22" s="25">
        <v>13</v>
      </c>
      <c r="CN22" s="25">
        <v>17</v>
      </c>
      <c r="CO22" s="25">
        <v>0</v>
      </c>
      <c r="CP22" s="25">
        <v>119</v>
      </c>
      <c r="CQ22" s="25">
        <v>7</v>
      </c>
      <c r="CR22" s="25">
        <v>11</v>
      </c>
      <c r="CS22" s="25">
        <v>0</v>
      </c>
      <c r="CT22" s="25">
        <v>119</v>
      </c>
      <c r="CU22" s="25">
        <v>6</v>
      </c>
      <c r="CV22" s="25">
        <v>8</v>
      </c>
      <c r="CW22" s="25">
        <v>59</v>
      </c>
      <c r="CX22" s="25">
        <v>51</v>
      </c>
      <c r="CY22" s="25">
        <v>0</v>
      </c>
      <c r="CZ22" s="25">
        <v>119</v>
      </c>
      <c r="DA22" s="25">
        <v>67</v>
      </c>
      <c r="DB22" s="25">
        <v>34</v>
      </c>
      <c r="DC22" s="25">
        <v>31</v>
      </c>
      <c r="DD22" s="25">
        <v>23</v>
      </c>
      <c r="DE22" s="25">
        <v>28</v>
      </c>
      <c r="DF22" s="25">
        <v>22</v>
      </c>
      <c r="DG22" s="25">
        <v>3</v>
      </c>
      <c r="DH22" s="25">
        <v>4</v>
      </c>
      <c r="DI22" s="25">
        <v>0</v>
      </c>
      <c r="DJ22" s="25">
        <v>119</v>
      </c>
      <c r="DK22" s="25">
        <v>7</v>
      </c>
      <c r="DL22" s="25">
        <v>7</v>
      </c>
      <c r="DM22" s="25">
        <v>17</v>
      </c>
      <c r="DN22" s="25">
        <v>20</v>
      </c>
      <c r="DO22" s="25">
        <v>0</v>
      </c>
      <c r="DP22" s="25">
        <v>119</v>
      </c>
      <c r="DQ22" s="25">
        <v>12</v>
      </c>
      <c r="DR22" s="25">
        <v>16</v>
      </c>
      <c r="DS22" s="25">
        <v>0</v>
      </c>
      <c r="DT22" s="25">
        <v>119</v>
      </c>
      <c r="DU22" s="25">
        <v>193</v>
      </c>
      <c r="DV22" s="25">
        <v>65</v>
      </c>
      <c r="DW22" s="25">
        <v>89</v>
      </c>
      <c r="DX22" s="25">
        <v>45</v>
      </c>
      <c r="DY22" s="25">
        <v>49</v>
      </c>
      <c r="DZ22" s="25">
        <v>38</v>
      </c>
      <c r="EA22" s="25">
        <v>40</v>
      </c>
      <c r="EB22" s="25">
        <v>26</v>
      </c>
      <c r="EC22" s="25">
        <v>0</v>
      </c>
      <c r="ED22" s="25">
        <v>119</v>
      </c>
      <c r="EE22" s="25">
        <v>13</v>
      </c>
      <c r="EF22" s="25">
        <v>15</v>
      </c>
      <c r="EG22" s="25">
        <v>2</v>
      </c>
      <c r="EH22" s="25">
        <v>3</v>
      </c>
      <c r="EI22" s="25">
        <v>2</v>
      </c>
      <c r="EJ22" s="25">
        <v>4</v>
      </c>
      <c r="EK22" s="25">
        <v>87</v>
      </c>
      <c r="EL22" s="25">
        <v>54</v>
      </c>
      <c r="EM22" s="25">
        <v>0</v>
      </c>
      <c r="EN22" s="25">
        <v>119</v>
      </c>
    </row>
    <row r="23" spans="1:144" x14ac:dyDescent="0.25">
      <c r="A23" s="19">
        <f t="shared" si="9"/>
        <v>29</v>
      </c>
      <c r="B23" s="20" t="str">
        <f t="shared" si="10"/>
        <v>Morgan</v>
      </c>
      <c r="C23" s="24" t="s">
        <v>316</v>
      </c>
      <c r="D23" s="24" t="s">
        <v>317</v>
      </c>
      <c r="E23" s="25">
        <v>4014</v>
      </c>
      <c r="F23" s="25">
        <v>162</v>
      </c>
      <c r="G23" s="25">
        <v>2575</v>
      </c>
      <c r="H23" s="25">
        <v>225</v>
      </c>
      <c r="I23" s="25">
        <v>2290</v>
      </c>
      <c r="J23" s="25">
        <v>212</v>
      </c>
      <c r="K23" s="25">
        <v>285</v>
      </c>
      <c r="L23" s="25">
        <v>101</v>
      </c>
      <c r="M23" s="25">
        <v>176</v>
      </c>
      <c r="N23" s="25">
        <v>65</v>
      </c>
      <c r="O23" s="25">
        <v>328</v>
      </c>
      <c r="P23" s="25">
        <v>91</v>
      </c>
      <c r="Q23" s="25">
        <v>138</v>
      </c>
      <c r="R23" s="25">
        <v>58</v>
      </c>
      <c r="S23" s="25">
        <v>439</v>
      </c>
      <c r="T23" s="25">
        <v>116</v>
      </c>
      <c r="U23" s="25">
        <v>358</v>
      </c>
      <c r="V23" s="25">
        <v>122</v>
      </c>
      <c r="W23" s="25">
        <v>0</v>
      </c>
      <c r="X23" s="25">
        <v>119</v>
      </c>
      <c r="Y23" s="25">
        <v>3183</v>
      </c>
      <c r="Z23" s="25">
        <v>230</v>
      </c>
      <c r="AA23" s="25">
        <v>2180</v>
      </c>
      <c r="AB23" s="25">
        <v>241</v>
      </c>
      <c r="AC23" s="25">
        <v>1975</v>
      </c>
      <c r="AD23" s="25">
        <v>218</v>
      </c>
      <c r="AE23" s="25">
        <v>205</v>
      </c>
      <c r="AF23" s="25">
        <v>91</v>
      </c>
      <c r="AG23" s="25">
        <v>127</v>
      </c>
      <c r="AH23" s="25">
        <v>52</v>
      </c>
      <c r="AI23" s="25">
        <v>268</v>
      </c>
      <c r="AJ23" s="25">
        <v>79</v>
      </c>
      <c r="AK23" s="25">
        <v>116</v>
      </c>
      <c r="AL23" s="25">
        <v>53</v>
      </c>
      <c r="AM23" s="25">
        <v>372</v>
      </c>
      <c r="AN23" s="25">
        <v>113</v>
      </c>
      <c r="AO23" s="25">
        <v>120</v>
      </c>
      <c r="AP23" s="25">
        <v>63</v>
      </c>
      <c r="AQ23" s="25">
        <v>0</v>
      </c>
      <c r="AR23" s="25">
        <v>119</v>
      </c>
      <c r="AS23" s="25">
        <v>420</v>
      </c>
      <c r="AT23" s="25">
        <v>134</v>
      </c>
      <c r="AU23" s="25">
        <v>253</v>
      </c>
      <c r="AV23" s="25">
        <v>101</v>
      </c>
      <c r="AW23" s="25">
        <v>216</v>
      </c>
      <c r="AX23" s="25">
        <v>89</v>
      </c>
      <c r="AY23" s="25">
        <v>37</v>
      </c>
      <c r="AZ23" s="25">
        <v>40</v>
      </c>
      <c r="BA23" s="25">
        <v>33</v>
      </c>
      <c r="BB23" s="25">
        <v>37</v>
      </c>
      <c r="BC23" s="25">
        <v>42</v>
      </c>
      <c r="BD23" s="25">
        <v>45</v>
      </c>
      <c r="BE23" s="25">
        <v>5</v>
      </c>
      <c r="BF23" s="25">
        <v>8</v>
      </c>
      <c r="BG23" s="25">
        <v>56</v>
      </c>
      <c r="BH23" s="25">
        <v>42</v>
      </c>
      <c r="BI23" s="25">
        <v>31</v>
      </c>
      <c r="BJ23" s="25">
        <v>37</v>
      </c>
      <c r="BK23" s="25">
        <v>0</v>
      </c>
      <c r="BL23" s="25">
        <v>119</v>
      </c>
      <c r="BM23" s="25">
        <v>37</v>
      </c>
      <c r="BN23" s="25">
        <v>28</v>
      </c>
      <c r="BO23" s="25">
        <v>9</v>
      </c>
      <c r="BP23" s="25">
        <v>15</v>
      </c>
      <c r="BQ23" s="25">
        <v>9</v>
      </c>
      <c r="BR23" s="25">
        <v>15</v>
      </c>
      <c r="BS23" s="25">
        <v>0</v>
      </c>
      <c r="BT23" s="25">
        <v>119</v>
      </c>
      <c r="BU23" s="25">
        <v>0</v>
      </c>
      <c r="BV23" s="25">
        <v>119</v>
      </c>
      <c r="BW23" s="25">
        <v>0</v>
      </c>
      <c r="BX23" s="25">
        <v>119</v>
      </c>
      <c r="BY23" s="25">
        <v>17</v>
      </c>
      <c r="BZ23" s="25">
        <v>16</v>
      </c>
      <c r="CA23" s="25">
        <v>11</v>
      </c>
      <c r="CB23" s="25">
        <v>18</v>
      </c>
      <c r="CC23" s="25">
        <v>0</v>
      </c>
      <c r="CD23" s="25">
        <v>119</v>
      </c>
      <c r="CE23" s="25">
        <v>0</v>
      </c>
      <c r="CF23" s="25">
        <v>119</v>
      </c>
      <c r="CG23" s="25">
        <v>103</v>
      </c>
      <c r="CH23" s="25">
        <v>53</v>
      </c>
      <c r="CI23" s="25">
        <v>62</v>
      </c>
      <c r="CJ23" s="25">
        <v>38</v>
      </c>
      <c r="CK23" s="25">
        <v>41</v>
      </c>
      <c r="CL23" s="25">
        <v>28</v>
      </c>
      <c r="CM23" s="25">
        <v>21</v>
      </c>
      <c r="CN23" s="25">
        <v>22</v>
      </c>
      <c r="CO23" s="25">
        <v>12</v>
      </c>
      <c r="CP23" s="25">
        <v>20</v>
      </c>
      <c r="CQ23" s="25">
        <v>6</v>
      </c>
      <c r="CR23" s="25">
        <v>9</v>
      </c>
      <c r="CS23" s="25">
        <v>0</v>
      </c>
      <c r="CT23" s="25">
        <v>119</v>
      </c>
      <c r="CU23" s="25">
        <v>0</v>
      </c>
      <c r="CV23" s="25">
        <v>119</v>
      </c>
      <c r="CW23" s="25">
        <v>23</v>
      </c>
      <c r="CX23" s="25">
        <v>28</v>
      </c>
      <c r="CY23" s="25">
        <v>0</v>
      </c>
      <c r="CZ23" s="25">
        <v>119</v>
      </c>
      <c r="DA23" s="25">
        <v>40</v>
      </c>
      <c r="DB23" s="25">
        <v>37</v>
      </c>
      <c r="DC23" s="25">
        <v>40</v>
      </c>
      <c r="DD23" s="25">
        <v>37</v>
      </c>
      <c r="DE23" s="25">
        <v>40</v>
      </c>
      <c r="DF23" s="25">
        <v>37</v>
      </c>
      <c r="DG23" s="25">
        <v>0</v>
      </c>
      <c r="DH23" s="25">
        <v>119</v>
      </c>
      <c r="DI23" s="25">
        <v>0</v>
      </c>
      <c r="DJ23" s="25">
        <v>119</v>
      </c>
      <c r="DK23" s="25">
        <v>0</v>
      </c>
      <c r="DL23" s="25">
        <v>119</v>
      </c>
      <c r="DM23" s="25">
        <v>0</v>
      </c>
      <c r="DN23" s="25">
        <v>119</v>
      </c>
      <c r="DO23" s="25">
        <v>0</v>
      </c>
      <c r="DP23" s="25">
        <v>119</v>
      </c>
      <c r="DQ23" s="25">
        <v>0</v>
      </c>
      <c r="DR23" s="25">
        <v>119</v>
      </c>
      <c r="DS23" s="25">
        <v>0</v>
      </c>
      <c r="DT23" s="25">
        <v>119</v>
      </c>
      <c r="DU23" s="25">
        <v>231</v>
      </c>
      <c r="DV23" s="25">
        <v>89</v>
      </c>
      <c r="DW23" s="25">
        <v>31</v>
      </c>
      <c r="DX23" s="25">
        <v>26</v>
      </c>
      <c r="DY23" s="25">
        <v>9</v>
      </c>
      <c r="DZ23" s="25">
        <v>12</v>
      </c>
      <c r="EA23" s="25">
        <v>22</v>
      </c>
      <c r="EB23" s="25">
        <v>23</v>
      </c>
      <c r="EC23" s="25">
        <v>4</v>
      </c>
      <c r="ED23" s="25">
        <v>12</v>
      </c>
      <c r="EE23" s="25">
        <v>12</v>
      </c>
      <c r="EF23" s="25">
        <v>14</v>
      </c>
      <c r="EG23" s="25">
        <v>0</v>
      </c>
      <c r="EH23" s="25">
        <v>119</v>
      </c>
      <c r="EI23" s="25">
        <v>0</v>
      </c>
      <c r="EJ23" s="25">
        <v>119</v>
      </c>
      <c r="EK23" s="25">
        <v>184</v>
      </c>
      <c r="EL23" s="25">
        <v>87</v>
      </c>
      <c r="EM23" s="25">
        <v>0</v>
      </c>
      <c r="EN23" s="25">
        <v>119</v>
      </c>
    </row>
    <row r="24" spans="1:144" x14ac:dyDescent="0.25">
      <c r="A24" s="19">
        <f t="shared" si="9"/>
        <v>31</v>
      </c>
      <c r="B24" s="20" t="str">
        <f t="shared" si="10"/>
        <v>Piute</v>
      </c>
      <c r="C24" s="24" t="s">
        <v>318</v>
      </c>
      <c r="D24" s="24" t="s">
        <v>319</v>
      </c>
      <c r="E24" s="25">
        <v>531</v>
      </c>
      <c r="F24" s="25">
        <v>99</v>
      </c>
      <c r="G24" s="25">
        <v>275</v>
      </c>
      <c r="H24" s="25">
        <v>67</v>
      </c>
      <c r="I24" s="25">
        <v>246</v>
      </c>
      <c r="J24" s="25">
        <v>59</v>
      </c>
      <c r="K24" s="25">
        <v>29</v>
      </c>
      <c r="L24" s="25">
        <v>24</v>
      </c>
      <c r="M24" s="25">
        <v>17</v>
      </c>
      <c r="N24" s="25">
        <v>9</v>
      </c>
      <c r="O24" s="25">
        <v>83</v>
      </c>
      <c r="P24" s="25">
        <v>35</v>
      </c>
      <c r="Q24" s="25">
        <v>75</v>
      </c>
      <c r="R24" s="25">
        <v>33</v>
      </c>
      <c r="S24" s="25">
        <v>14</v>
      </c>
      <c r="T24" s="25">
        <v>11</v>
      </c>
      <c r="U24" s="25">
        <v>67</v>
      </c>
      <c r="V24" s="25">
        <v>28</v>
      </c>
      <c r="W24" s="25">
        <v>0</v>
      </c>
      <c r="X24" s="25">
        <v>119</v>
      </c>
      <c r="Y24" s="25">
        <v>338</v>
      </c>
      <c r="Z24" s="25">
        <v>71</v>
      </c>
      <c r="AA24" s="25">
        <v>185</v>
      </c>
      <c r="AB24" s="25">
        <v>56</v>
      </c>
      <c r="AC24" s="25">
        <v>161</v>
      </c>
      <c r="AD24" s="25">
        <v>49</v>
      </c>
      <c r="AE24" s="25">
        <v>24</v>
      </c>
      <c r="AF24" s="25">
        <v>23</v>
      </c>
      <c r="AG24" s="25">
        <v>9</v>
      </c>
      <c r="AH24" s="25">
        <v>6</v>
      </c>
      <c r="AI24" s="25">
        <v>72</v>
      </c>
      <c r="AJ24" s="25">
        <v>34</v>
      </c>
      <c r="AK24" s="25">
        <v>45</v>
      </c>
      <c r="AL24" s="25">
        <v>24</v>
      </c>
      <c r="AM24" s="25">
        <v>6</v>
      </c>
      <c r="AN24" s="25">
        <v>6</v>
      </c>
      <c r="AO24" s="25">
        <v>21</v>
      </c>
      <c r="AP24" s="25">
        <v>13</v>
      </c>
      <c r="AQ24" s="25">
        <v>0</v>
      </c>
      <c r="AR24" s="25">
        <v>119</v>
      </c>
      <c r="AS24" s="25">
        <v>103</v>
      </c>
      <c r="AT24" s="25">
        <v>42</v>
      </c>
      <c r="AU24" s="25">
        <v>48</v>
      </c>
      <c r="AV24" s="25">
        <v>19</v>
      </c>
      <c r="AW24" s="25">
        <v>48</v>
      </c>
      <c r="AX24" s="25">
        <v>19</v>
      </c>
      <c r="AY24" s="25">
        <v>0</v>
      </c>
      <c r="AZ24" s="25">
        <v>119</v>
      </c>
      <c r="BA24" s="25">
        <v>5</v>
      </c>
      <c r="BB24" s="25">
        <v>5</v>
      </c>
      <c r="BC24" s="25">
        <v>0</v>
      </c>
      <c r="BD24" s="25">
        <v>119</v>
      </c>
      <c r="BE24" s="25">
        <v>28</v>
      </c>
      <c r="BF24" s="25">
        <v>21</v>
      </c>
      <c r="BG24" s="25">
        <v>8</v>
      </c>
      <c r="BH24" s="25">
        <v>10</v>
      </c>
      <c r="BI24" s="25">
        <v>14</v>
      </c>
      <c r="BJ24" s="25">
        <v>14</v>
      </c>
      <c r="BK24" s="25">
        <v>0</v>
      </c>
      <c r="BL24" s="25">
        <v>119</v>
      </c>
      <c r="BM24" s="25">
        <v>0</v>
      </c>
      <c r="BN24" s="25">
        <v>119</v>
      </c>
      <c r="BO24" s="25">
        <v>0</v>
      </c>
      <c r="BP24" s="25">
        <v>119</v>
      </c>
      <c r="BQ24" s="25">
        <v>0</v>
      </c>
      <c r="BR24" s="25">
        <v>119</v>
      </c>
      <c r="BS24" s="25">
        <v>0</v>
      </c>
      <c r="BT24" s="25">
        <v>119</v>
      </c>
      <c r="BU24" s="25">
        <v>0</v>
      </c>
      <c r="BV24" s="25">
        <v>119</v>
      </c>
      <c r="BW24" s="25">
        <v>0</v>
      </c>
      <c r="BX24" s="25">
        <v>119</v>
      </c>
      <c r="BY24" s="25">
        <v>0</v>
      </c>
      <c r="BZ24" s="25">
        <v>119</v>
      </c>
      <c r="CA24" s="25">
        <v>0</v>
      </c>
      <c r="CB24" s="25">
        <v>119</v>
      </c>
      <c r="CC24" s="25">
        <v>0</v>
      </c>
      <c r="CD24" s="25">
        <v>119</v>
      </c>
      <c r="CE24" s="25">
        <v>0</v>
      </c>
      <c r="CF24" s="25">
        <v>119</v>
      </c>
      <c r="CG24" s="25">
        <v>23</v>
      </c>
      <c r="CH24" s="25">
        <v>16</v>
      </c>
      <c r="CI24" s="25">
        <v>7</v>
      </c>
      <c r="CJ24" s="25">
        <v>10</v>
      </c>
      <c r="CK24" s="25">
        <v>7</v>
      </c>
      <c r="CL24" s="25">
        <v>10</v>
      </c>
      <c r="CM24" s="25">
        <v>0</v>
      </c>
      <c r="CN24" s="25">
        <v>119</v>
      </c>
      <c r="CO24" s="25">
        <v>0</v>
      </c>
      <c r="CP24" s="25">
        <v>119</v>
      </c>
      <c r="CQ24" s="25">
        <v>5</v>
      </c>
      <c r="CR24" s="25">
        <v>6</v>
      </c>
      <c r="CS24" s="25">
        <v>2</v>
      </c>
      <c r="CT24" s="25">
        <v>3</v>
      </c>
      <c r="CU24" s="25">
        <v>0</v>
      </c>
      <c r="CV24" s="25">
        <v>119</v>
      </c>
      <c r="CW24" s="25">
        <v>9</v>
      </c>
      <c r="CX24" s="25">
        <v>10</v>
      </c>
      <c r="CY24" s="25">
        <v>0</v>
      </c>
      <c r="CZ24" s="25">
        <v>119</v>
      </c>
      <c r="DA24" s="25">
        <v>2</v>
      </c>
      <c r="DB24" s="25">
        <v>4</v>
      </c>
      <c r="DC24" s="25">
        <v>2</v>
      </c>
      <c r="DD24" s="25">
        <v>4</v>
      </c>
      <c r="DE24" s="25">
        <v>2</v>
      </c>
      <c r="DF24" s="25">
        <v>4</v>
      </c>
      <c r="DG24" s="25">
        <v>0</v>
      </c>
      <c r="DH24" s="25">
        <v>119</v>
      </c>
      <c r="DI24" s="25">
        <v>0</v>
      </c>
      <c r="DJ24" s="25">
        <v>119</v>
      </c>
      <c r="DK24" s="25">
        <v>0</v>
      </c>
      <c r="DL24" s="25">
        <v>119</v>
      </c>
      <c r="DM24" s="25">
        <v>0</v>
      </c>
      <c r="DN24" s="25">
        <v>119</v>
      </c>
      <c r="DO24" s="25">
        <v>0</v>
      </c>
      <c r="DP24" s="25">
        <v>119</v>
      </c>
      <c r="DQ24" s="25">
        <v>0</v>
      </c>
      <c r="DR24" s="25">
        <v>119</v>
      </c>
      <c r="DS24" s="25">
        <v>0</v>
      </c>
      <c r="DT24" s="25">
        <v>119</v>
      </c>
      <c r="DU24" s="25">
        <v>65</v>
      </c>
      <c r="DV24" s="25">
        <v>32</v>
      </c>
      <c r="DW24" s="25">
        <v>33</v>
      </c>
      <c r="DX24" s="25">
        <v>23</v>
      </c>
      <c r="DY24" s="25">
        <v>28</v>
      </c>
      <c r="DZ24" s="25">
        <v>18</v>
      </c>
      <c r="EA24" s="25">
        <v>5</v>
      </c>
      <c r="EB24" s="25">
        <v>8</v>
      </c>
      <c r="EC24" s="25">
        <v>3</v>
      </c>
      <c r="ED24" s="25">
        <v>4</v>
      </c>
      <c r="EE24" s="25">
        <v>6</v>
      </c>
      <c r="EF24" s="25">
        <v>6</v>
      </c>
      <c r="EG24" s="25">
        <v>0</v>
      </c>
      <c r="EH24" s="25">
        <v>119</v>
      </c>
      <c r="EI24" s="25">
        <v>0</v>
      </c>
      <c r="EJ24" s="25">
        <v>119</v>
      </c>
      <c r="EK24" s="25">
        <v>23</v>
      </c>
      <c r="EL24" s="25">
        <v>17</v>
      </c>
      <c r="EM24" s="25">
        <v>0</v>
      </c>
      <c r="EN24" s="25">
        <v>119</v>
      </c>
    </row>
    <row r="25" spans="1:144" x14ac:dyDescent="0.25">
      <c r="A25" s="19">
        <f t="shared" si="9"/>
        <v>33</v>
      </c>
      <c r="B25" s="20" t="str">
        <f t="shared" si="10"/>
        <v>Rich</v>
      </c>
      <c r="C25" s="24" t="s">
        <v>320</v>
      </c>
      <c r="D25" s="24" t="s">
        <v>321</v>
      </c>
      <c r="E25" s="25">
        <v>1068</v>
      </c>
      <c r="F25" s="25">
        <v>109</v>
      </c>
      <c r="G25" s="25">
        <v>636</v>
      </c>
      <c r="H25" s="25">
        <v>89</v>
      </c>
      <c r="I25" s="25">
        <v>523</v>
      </c>
      <c r="J25" s="25">
        <v>83</v>
      </c>
      <c r="K25" s="25">
        <v>113</v>
      </c>
      <c r="L25" s="25">
        <v>43</v>
      </c>
      <c r="M25" s="25">
        <v>31</v>
      </c>
      <c r="N25" s="25">
        <v>19</v>
      </c>
      <c r="O25" s="25">
        <v>162</v>
      </c>
      <c r="P25" s="25">
        <v>51</v>
      </c>
      <c r="Q25" s="25">
        <v>78</v>
      </c>
      <c r="R25" s="25">
        <v>31</v>
      </c>
      <c r="S25" s="25">
        <v>18</v>
      </c>
      <c r="T25" s="25">
        <v>12</v>
      </c>
      <c r="U25" s="25">
        <v>125</v>
      </c>
      <c r="V25" s="25">
        <v>48</v>
      </c>
      <c r="W25" s="25">
        <v>18</v>
      </c>
      <c r="X25" s="25">
        <v>22</v>
      </c>
      <c r="Y25" s="25">
        <v>680</v>
      </c>
      <c r="Z25" s="25">
        <v>102</v>
      </c>
      <c r="AA25" s="25">
        <v>406</v>
      </c>
      <c r="AB25" s="25">
        <v>85</v>
      </c>
      <c r="AC25" s="25">
        <v>376</v>
      </c>
      <c r="AD25" s="25">
        <v>83</v>
      </c>
      <c r="AE25" s="25">
        <v>30</v>
      </c>
      <c r="AF25" s="25">
        <v>20</v>
      </c>
      <c r="AG25" s="25">
        <v>20</v>
      </c>
      <c r="AH25" s="25">
        <v>13</v>
      </c>
      <c r="AI25" s="25">
        <v>135</v>
      </c>
      <c r="AJ25" s="25">
        <v>46</v>
      </c>
      <c r="AK25" s="25">
        <v>51</v>
      </c>
      <c r="AL25" s="25">
        <v>19</v>
      </c>
      <c r="AM25" s="25">
        <v>18</v>
      </c>
      <c r="AN25" s="25">
        <v>12</v>
      </c>
      <c r="AO25" s="25">
        <v>50</v>
      </c>
      <c r="AP25" s="25">
        <v>24</v>
      </c>
      <c r="AQ25" s="25">
        <v>0</v>
      </c>
      <c r="AR25" s="25">
        <v>119</v>
      </c>
      <c r="AS25" s="25">
        <v>137</v>
      </c>
      <c r="AT25" s="25">
        <v>50</v>
      </c>
      <c r="AU25" s="25">
        <v>108</v>
      </c>
      <c r="AV25" s="25">
        <v>41</v>
      </c>
      <c r="AW25" s="25">
        <v>106</v>
      </c>
      <c r="AX25" s="25">
        <v>40</v>
      </c>
      <c r="AY25" s="25">
        <v>2</v>
      </c>
      <c r="AZ25" s="25">
        <v>4</v>
      </c>
      <c r="BA25" s="25">
        <v>3</v>
      </c>
      <c r="BB25" s="25">
        <v>6</v>
      </c>
      <c r="BC25" s="25">
        <v>5</v>
      </c>
      <c r="BD25" s="25">
        <v>10</v>
      </c>
      <c r="BE25" s="25">
        <v>0</v>
      </c>
      <c r="BF25" s="25">
        <v>119</v>
      </c>
      <c r="BG25" s="25">
        <v>0</v>
      </c>
      <c r="BH25" s="25">
        <v>119</v>
      </c>
      <c r="BI25" s="25">
        <v>21</v>
      </c>
      <c r="BJ25" s="25">
        <v>18</v>
      </c>
      <c r="BK25" s="25">
        <v>0</v>
      </c>
      <c r="BL25" s="25">
        <v>119</v>
      </c>
      <c r="BM25" s="25">
        <v>4</v>
      </c>
      <c r="BN25" s="25">
        <v>6</v>
      </c>
      <c r="BO25" s="25">
        <v>4</v>
      </c>
      <c r="BP25" s="25">
        <v>6</v>
      </c>
      <c r="BQ25" s="25">
        <v>4</v>
      </c>
      <c r="BR25" s="25">
        <v>6</v>
      </c>
      <c r="BS25" s="25">
        <v>0</v>
      </c>
      <c r="BT25" s="25">
        <v>119</v>
      </c>
      <c r="BU25" s="25">
        <v>0</v>
      </c>
      <c r="BV25" s="25">
        <v>119</v>
      </c>
      <c r="BW25" s="25">
        <v>0</v>
      </c>
      <c r="BX25" s="25">
        <v>119</v>
      </c>
      <c r="BY25" s="25">
        <v>0</v>
      </c>
      <c r="BZ25" s="25">
        <v>119</v>
      </c>
      <c r="CA25" s="25">
        <v>0</v>
      </c>
      <c r="CB25" s="25">
        <v>119</v>
      </c>
      <c r="CC25" s="25">
        <v>0</v>
      </c>
      <c r="CD25" s="25">
        <v>119</v>
      </c>
      <c r="CE25" s="25">
        <v>0</v>
      </c>
      <c r="CF25" s="25">
        <v>119</v>
      </c>
      <c r="CG25" s="25">
        <v>90</v>
      </c>
      <c r="CH25" s="25">
        <v>35</v>
      </c>
      <c r="CI25" s="25">
        <v>40</v>
      </c>
      <c r="CJ25" s="25">
        <v>23</v>
      </c>
      <c r="CK25" s="25">
        <v>19</v>
      </c>
      <c r="CL25" s="25">
        <v>17</v>
      </c>
      <c r="CM25" s="25">
        <v>21</v>
      </c>
      <c r="CN25" s="25">
        <v>17</v>
      </c>
      <c r="CO25" s="25">
        <v>0</v>
      </c>
      <c r="CP25" s="25">
        <v>119</v>
      </c>
      <c r="CQ25" s="25">
        <v>20</v>
      </c>
      <c r="CR25" s="25">
        <v>19</v>
      </c>
      <c r="CS25" s="25">
        <v>27</v>
      </c>
      <c r="CT25" s="25">
        <v>20</v>
      </c>
      <c r="CU25" s="25">
        <v>0</v>
      </c>
      <c r="CV25" s="25">
        <v>119</v>
      </c>
      <c r="CW25" s="25">
        <v>3</v>
      </c>
      <c r="CX25" s="25">
        <v>5</v>
      </c>
      <c r="CY25" s="25">
        <v>0</v>
      </c>
      <c r="CZ25" s="25">
        <v>119</v>
      </c>
      <c r="DA25" s="25">
        <v>31</v>
      </c>
      <c r="DB25" s="25">
        <v>37</v>
      </c>
      <c r="DC25" s="25">
        <v>7</v>
      </c>
      <c r="DD25" s="25">
        <v>11</v>
      </c>
      <c r="DE25" s="25">
        <v>7</v>
      </c>
      <c r="DF25" s="25">
        <v>11</v>
      </c>
      <c r="DG25" s="25">
        <v>0</v>
      </c>
      <c r="DH25" s="25">
        <v>119</v>
      </c>
      <c r="DI25" s="25">
        <v>0</v>
      </c>
      <c r="DJ25" s="25">
        <v>119</v>
      </c>
      <c r="DK25" s="25">
        <v>0</v>
      </c>
      <c r="DL25" s="25">
        <v>119</v>
      </c>
      <c r="DM25" s="25">
        <v>0</v>
      </c>
      <c r="DN25" s="25">
        <v>119</v>
      </c>
      <c r="DO25" s="25">
        <v>0</v>
      </c>
      <c r="DP25" s="25">
        <v>119</v>
      </c>
      <c r="DQ25" s="25">
        <v>24</v>
      </c>
      <c r="DR25" s="25">
        <v>36</v>
      </c>
      <c r="DS25" s="25">
        <v>0</v>
      </c>
      <c r="DT25" s="25">
        <v>119</v>
      </c>
      <c r="DU25" s="25">
        <v>126</v>
      </c>
      <c r="DV25" s="25">
        <v>49</v>
      </c>
      <c r="DW25" s="25">
        <v>71</v>
      </c>
      <c r="DX25" s="25">
        <v>39</v>
      </c>
      <c r="DY25" s="25">
        <v>11</v>
      </c>
      <c r="DZ25" s="25">
        <v>10</v>
      </c>
      <c r="EA25" s="25">
        <v>60</v>
      </c>
      <c r="EB25" s="25">
        <v>39</v>
      </c>
      <c r="EC25" s="25">
        <v>8</v>
      </c>
      <c r="ED25" s="25">
        <v>12</v>
      </c>
      <c r="EE25" s="25">
        <v>2</v>
      </c>
      <c r="EF25" s="25">
        <v>4</v>
      </c>
      <c r="EG25" s="25">
        <v>0</v>
      </c>
      <c r="EH25" s="25">
        <v>119</v>
      </c>
      <c r="EI25" s="25">
        <v>0</v>
      </c>
      <c r="EJ25" s="25">
        <v>119</v>
      </c>
      <c r="EK25" s="25">
        <v>27</v>
      </c>
      <c r="EL25" s="25">
        <v>23</v>
      </c>
      <c r="EM25" s="25">
        <v>18</v>
      </c>
      <c r="EN25" s="25">
        <v>22</v>
      </c>
    </row>
    <row r="26" spans="1:144" x14ac:dyDescent="0.25">
      <c r="A26" s="19">
        <f t="shared" si="9"/>
        <v>35</v>
      </c>
      <c r="B26" s="20" t="str">
        <f t="shared" si="10"/>
        <v>Salt Lake</v>
      </c>
      <c r="C26" s="24" t="s">
        <v>322</v>
      </c>
      <c r="D26" s="24" t="s">
        <v>323</v>
      </c>
      <c r="E26" s="25">
        <v>490265</v>
      </c>
      <c r="F26" s="25">
        <v>2158</v>
      </c>
      <c r="G26" s="25">
        <v>365645</v>
      </c>
      <c r="H26" s="25">
        <v>3004</v>
      </c>
      <c r="I26" s="25">
        <v>345966</v>
      </c>
      <c r="J26" s="25">
        <v>2944</v>
      </c>
      <c r="K26" s="25">
        <v>19679</v>
      </c>
      <c r="L26" s="25">
        <v>829</v>
      </c>
      <c r="M26" s="25">
        <v>32741</v>
      </c>
      <c r="N26" s="25">
        <v>1211</v>
      </c>
      <c r="O26" s="25">
        <v>28033</v>
      </c>
      <c r="P26" s="25">
        <v>939</v>
      </c>
      <c r="Q26" s="25">
        <v>28245</v>
      </c>
      <c r="R26" s="25">
        <v>1105</v>
      </c>
      <c r="S26" s="25">
        <v>10806</v>
      </c>
      <c r="T26" s="25">
        <v>665</v>
      </c>
      <c r="U26" s="25">
        <v>24280</v>
      </c>
      <c r="V26" s="25">
        <v>1157</v>
      </c>
      <c r="W26" s="25">
        <v>515</v>
      </c>
      <c r="X26" s="25">
        <v>143</v>
      </c>
      <c r="Y26" s="25">
        <v>374908</v>
      </c>
      <c r="Z26" s="25">
        <v>2561</v>
      </c>
      <c r="AA26" s="25">
        <v>285184</v>
      </c>
      <c r="AB26" s="25">
        <v>2900</v>
      </c>
      <c r="AC26" s="25">
        <v>271398</v>
      </c>
      <c r="AD26" s="25">
        <v>2885</v>
      </c>
      <c r="AE26" s="25">
        <v>13786</v>
      </c>
      <c r="AF26" s="25">
        <v>724</v>
      </c>
      <c r="AG26" s="25">
        <v>24275</v>
      </c>
      <c r="AH26" s="25">
        <v>1034</v>
      </c>
      <c r="AI26" s="25">
        <v>23027</v>
      </c>
      <c r="AJ26" s="25">
        <v>834</v>
      </c>
      <c r="AK26" s="25">
        <v>21264</v>
      </c>
      <c r="AL26" s="25">
        <v>910</v>
      </c>
      <c r="AM26" s="25">
        <v>8303</v>
      </c>
      <c r="AN26" s="25">
        <v>616</v>
      </c>
      <c r="AO26" s="25">
        <v>12666</v>
      </c>
      <c r="AP26" s="25">
        <v>773</v>
      </c>
      <c r="AQ26" s="25">
        <v>189</v>
      </c>
      <c r="AR26" s="25">
        <v>67</v>
      </c>
      <c r="AS26" s="25">
        <v>57732</v>
      </c>
      <c r="AT26" s="25">
        <v>1846</v>
      </c>
      <c r="AU26" s="25">
        <v>43727</v>
      </c>
      <c r="AV26" s="25">
        <v>1526</v>
      </c>
      <c r="AW26" s="25">
        <v>42018</v>
      </c>
      <c r="AX26" s="25">
        <v>1493</v>
      </c>
      <c r="AY26" s="25">
        <v>1709</v>
      </c>
      <c r="AZ26" s="25">
        <v>257</v>
      </c>
      <c r="BA26" s="25">
        <v>3778</v>
      </c>
      <c r="BB26" s="25">
        <v>436</v>
      </c>
      <c r="BC26" s="25">
        <v>3025</v>
      </c>
      <c r="BD26" s="25">
        <v>377</v>
      </c>
      <c r="BE26" s="25">
        <v>3015</v>
      </c>
      <c r="BF26" s="25">
        <v>419</v>
      </c>
      <c r="BG26" s="25">
        <v>1511</v>
      </c>
      <c r="BH26" s="25">
        <v>238</v>
      </c>
      <c r="BI26" s="25">
        <v>2498</v>
      </c>
      <c r="BJ26" s="25">
        <v>385</v>
      </c>
      <c r="BK26" s="25">
        <v>178</v>
      </c>
      <c r="BL26" s="25">
        <v>94</v>
      </c>
      <c r="BM26" s="25">
        <v>16484</v>
      </c>
      <c r="BN26" s="25">
        <v>934</v>
      </c>
      <c r="BO26" s="25">
        <v>10837</v>
      </c>
      <c r="BP26" s="25">
        <v>844</v>
      </c>
      <c r="BQ26" s="25">
        <v>10798</v>
      </c>
      <c r="BR26" s="25">
        <v>849</v>
      </c>
      <c r="BS26" s="25">
        <v>39</v>
      </c>
      <c r="BT26" s="25">
        <v>35</v>
      </c>
      <c r="BU26" s="25">
        <v>2241</v>
      </c>
      <c r="BV26" s="25">
        <v>318</v>
      </c>
      <c r="BW26" s="25">
        <v>566</v>
      </c>
      <c r="BX26" s="25">
        <v>142</v>
      </c>
      <c r="BY26" s="25">
        <v>2207</v>
      </c>
      <c r="BZ26" s="25">
        <v>320</v>
      </c>
      <c r="CA26" s="25">
        <v>450</v>
      </c>
      <c r="CB26" s="25">
        <v>130</v>
      </c>
      <c r="CC26" s="25">
        <v>179</v>
      </c>
      <c r="CD26" s="25">
        <v>82</v>
      </c>
      <c r="CE26" s="25">
        <v>4</v>
      </c>
      <c r="CF26" s="25">
        <v>11</v>
      </c>
      <c r="CG26" s="25">
        <v>11072</v>
      </c>
      <c r="CH26" s="25">
        <v>970</v>
      </c>
      <c r="CI26" s="25">
        <v>7528</v>
      </c>
      <c r="CJ26" s="25">
        <v>854</v>
      </c>
      <c r="CK26" s="25">
        <v>7102</v>
      </c>
      <c r="CL26" s="25">
        <v>822</v>
      </c>
      <c r="CM26" s="25">
        <v>426</v>
      </c>
      <c r="CN26" s="25">
        <v>159</v>
      </c>
      <c r="CO26" s="25">
        <v>1096</v>
      </c>
      <c r="CP26" s="25">
        <v>279</v>
      </c>
      <c r="CQ26" s="25">
        <v>705</v>
      </c>
      <c r="CR26" s="25">
        <v>173</v>
      </c>
      <c r="CS26" s="25">
        <v>763</v>
      </c>
      <c r="CT26" s="25">
        <v>167</v>
      </c>
      <c r="CU26" s="25">
        <v>134</v>
      </c>
      <c r="CV26" s="25">
        <v>99</v>
      </c>
      <c r="CW26" s="25">
        <v>835</v>
      </c>
      <c r="CX26" s="25">
        <v>230</v>
      </c>
      <c r="CY26" s="25">
        <v>11</v>
      </c>
      <c r="CZ26" s="25">
        <v>18</v>
      </c>
      <c r="DA26" s="25">
        <v>9021</v>
      </c>
      <c r="DB26" s="25">
        <v>745</v>
      </c>
      <c r="DC26" s="25">
        <v>6768</v>
      </c>
      <c r="DD26" s="25">
        <v>611</v>
      </c>
      <c r="DE26" s="25">
        <v>6446</v>
      </c>
      <c r="DF26" s="25">
        <v>592</v>
      </c>
      <c r="DG26" s="25">
        <v>322</v>
      </c>
      <c r="DH26" s="25">
        <v>105</v>
      </c>
      <c r="DI26" s="25">
        <v>568</v>
      </c>
      <c r="DJ26" s="25">
        <v>138</v>
      </c>
      <c r="DK26" s="25">
        <v>503</v>
      </c>
      <c r="DL26" s="25">
        <v>149</v>
      </c>
      <c r="DM26" s="25">
        <v>573</v>
      </c>
      <c r="DN26" s="25">
        <v>133</v>
      </c>
      <c r="DO26" s="25">
        <v>274</v>
      </c>
      <c r="DP26" s="25">
        <v>123</v>
      </c>
      <c r="DQ26" s="25">
        <v>335</v>
      </c>
      <c r="DR26" s="25">
        <v>123</v>
      </c>
      <c r="DS26" s="25">
        <v>0</v>
      </c>
      <c r="DT26" s="25">
        <v>119</v>
      </c>
      <c r="DU26" s="25">
        <v>21048</v>
      </c>
      <c r="DV26" s="25">
        <v>869</v>
      </c>
      <c r="DW26" s="25">
        <v>11601</v>
      </c>
      <c r="DX26" s="25">
        <v>701</v>
      </c>
      <c r="DY26" s="25">
        <v>8204</v>
      </c>
      <c r="DZ26" s="25">
        <v>536</v>
      </c>
      <c r="EA26" s="25">
        <v>3397</v>
      </c>
      <c r="EB26" s="25">
        <v>398</v>
      </c>
      <c r="EC26" s="25">
        <v>783</v>
      </c>
      <c r="ED26" s="25">
        <v>193</v>
      </c>
      <c r="EE26" s="25">
        <v>207</v>
      </c>
      <c r="EF26" s="25">
        <v>77</v>
      </c>
      <c r="EG26" s="25">
        <v>423</v>
      </c>
      <c r="EH26" s="25">
        <v>122</v>
      </c>
      <c r="EI26" s="25">
        <v>134</v>
      </c>
      <c r="EJ26" s="25">
        <v>62</v>
      </c>
      <c r="EK26" s="25">
        <v>7767</v>
      </c>
      <c r="EL26" s="25">
        <v>686</v>
      </c>
      <c r="EM26" s="25">
        <v>133</v>
      </c>
      <c r="EN26" s="25">
        <v>56</v>
      </c>
    </row>
    <row r="27" spans="1:144" x14ac:dyDescent="0.25">
      <c r="A27" s="19">
        <f t="shared" si="9"/>
        <v>37</v>
      </c>
      <c r="B27" s="20" t="str">
        <f t="shared" si="10"/>
        <v>San Juan</v>
      </c>
      <c r="C27" s="24" t="s">
        <v>324</v>
      </c>
      <c r="D27" s="24" t="s">
        <v>325</v>
      </c>
      <c r="E27" s="25">
        <v>4982</v>
      </c>
      <c r="F27" s="25">
        <v>257</v>
      </c>
      <c r="G27" s="25">
        <v>2688</v>
      </c>
      <c r="H27" s="25">
        <v>253</v>
      </c>
      <c r="I27" s="25">
        <v>2489</v>
      </c>
      <c r="J27" s="25">
        <v>250</v>
      </c>
      <c r="K27" s="25">
        <v>199</v>
      </c>
      <c r="L27" s="25">
        <v>63</v>
      </c>
      <c r="M27" s="25">
        <v>204</v>
      </c>
      <c r="N27" s="25">
        <v>92</v>
      </c>
      <c r="O27" s="25">
        <v>950</v>
      </c>
      <c r="P27" s="25">
        <v>168</v>
      </c>
      <c r="Q27" s="25">
        <v>594</v>
      </c>
      <c r="R27" s="25">
        <v>132</v>
      </c>
      <c r="S27" s="25">
        <v>279</v>
      </c>
      <c r="T27" s="25">
        <v>93</v>
      </c>
      <c r="U27" s="25">
        <v>173</v>
      </c>
      <c r="V27" s="25">
        <v>52</v>
      </c>
      <c r="W27" s="25">
        <v>94</v>
      </c>
      <c r="X27" s="25">
        <v>81</v>
      </c>
      <c r="Y27" s="25">
        <v>3293</v>
      </c>
      <c r="Z27" s="25">
        <v>237</v>
      </c>
      <c r="AA27" s="25">
        <v>1801</v>
      </c>
      <c r="AB27" s="25">
        <v>204</v>
      </c>
      <c r="AC27" s="25">
        <v>1723</v>
      </c>
      <c r="AD27" s="25">
        <v>205</v>
      </c>
      <c r="AE27" s="25">
        <v>78</v>
      </c>
      <c r="AF27" s="25">
        <v>51</v>
      </c>
      <c r="AG27" s="25">
        <v>140</v>
      </c>
      <c r="AH27" s="25">
        <v>62</v>
      </c>
      <c r="AI27" s="25">
        <v>656</v>
      </c>
      <c r="AJ27" s="25">
        <v>131</v>
      </c>
      <c r="AK27" s="25">
        <v>421</v>
      </c>
      <c r="AL27" s="25">
        <v>101</v>
      </c>
      <c r="AM27" s="25">
        <v>242</v>
      </c>
      <c r="AN27" s="25">
        <v>86</v>
      </c>
      <c r="AO27" s="25">
        <v>33</v>
      </c>
      <c r="AP27" s="25">
        <v>23</v>
      </c>
      <c r="AQ27" s="25">
        <v>0</v>
      </c>
      <c r="AR27" s="25">
        <v>119</v>
      </c>
      <c r="AS27" s="25">
        <v>851</v>
      </c>
      <c r="AT27" s="25">
        <v>176</v>
      </c>
      <c r="AU27" s="25">
        <v>511</v>
      </c>
      <c r="AV27" s="25">
        <v>124</v>
      </c>
      <c r="AW27" s="25">
        <v>489</v>
      </c>
      <c r="AX27" s="25">
        <v>126</v>
      </c>
      <c r="AY27" s="25">
        <v>22</v>
      </c>
      <c r="AZ27" s="25">
        <v>24</v>
      </c>
      <c r="BA27" s="25">
        <v>41</v>
      </c>
      <c r="BB27" s="25">
        <v>62</v>
      </c>
      <c r="BC27" s="25">
        <v>160</v>
      </c>
      <c r="BD27" s="25">
        <v>62</v>
      </c>
      <c r="BE27" s="25">
        <v>40</v>
      </c>
      <c r="BF27" s="25">
        <v>39</v>
      </c>
      <c r="BG27" s="25">
        <v>24</v>
      </c>
      <c r="BH27" s="25">
        <v>35</v>
      </c>
      <c r="BI27" s="25">
        <v>26</v>
      </c>
      <c r="BJ27" s="25">
        <v>31</v>
      </c>
      <c r="BK27" s="25">
        <v>49</v>
      </c>
      <c r="BL27" s="25">
        <v>70</v>
      </c>
      <c r="BM27" s="25">
        <v>22</v>
      </c>
      <c r="BN27" s="25">
        <v>34</v>
      </c>
      <c r="BO27" s="25">
        <v>22</v>
      </c>
      <c r="BP27" s="25">
        <v>34</v>
      </c>
      <c r="BQ27" s="25">
        <v>22</v>
      </c>
      <c r="BR27" s="25">
        <v>34</v>
      </c>
      <c r="BS27" s="25">
        <v>0</v>
      </c>
      <c r="BT27" s="25">
        <v>119</v>
      </c>
      <c r="BU27" s="25">
        <v>0</v>
      </c>
      <c r="BV27" s="25">
        <v>119</v>
      </c>
      <c r="BW27" s="25">
        <v>0</v>
      </c>
      <c r="BX27" s="25">
        <v>119</v>
      </c>
      <c r="BY27" s="25">
        <v>0</v>
      </c>
      <c r="BZ27" s="25">
        <v>119</v>
      </c>
      <c r="CA27" s="25">
        <v>0</v>
      </c>
      <c r="CB27" s="25">
        <v>119</v>
      </c>
      <c r="CC27" s="25">
        <v>0</v>
      </c>
      <c r="CD27" s="25">
        <v>119</v>
      </c>
      <c r="CE27" s="25">
        <v>0</v>
      </c>
      <c r="CF27" s="25">
        <v>119</v>
      </c>
      <c r="CG27" s="25">
        <v>448</v>
      </c>
      <c r="CH27" s="25">
        <v>117</v>
      </c>
      <c r="CI27" s="25">
        <v>184</v>
      </c>
      <c r="CJ27" s="25">
        <v>74</v>
      </c>
      <c r="CK27" s="25">
        <v>140</v>
      </c>
      <c r="CL27" s="25">
        <v>64</v>
      </c>
      <c r="CM27" s="25">
        <v>44</v>
      </c>
      <c r="CN27" s="25">
        <v>33</v>
      </c>
      <c r="CO27" s="25">
        <v>4</v>
      </c>
      <c r="CP27" s="25">
        <v>6</v>
      </c>
      <c r="CQ27" s="25">
        <v>118</v>
      </c>
      <c r="CR27" s="25">
        <v>73</v>
      </c>
      <c r="CS27" s="25">
        <v>107</v>
      </c>
      <c r="CT27" s="25">
        <v>57</v>
      </c>
      <c r="CU27" s="25">
        <v>4</v>
      </c>
      <c r="CV27" s="25">
        <v>7</v>
      </c>
      <c r="CW27" s="25">
        <v>7</v>
      </c>
      <c r="CX27" s="25">
        <v>11</v>
      </c>
      <c r="CY27" s="25">
        <v>24</v>
      </c>
      <c r="CZ27" s="25">
        <v>34</v>
      </c>
      <c r="DA27" s="25">
        <v>52</v>
      </c>
      <c r="DB27" s="25">
        <v>39</v>
      </c>
      <c r="DC27" s="25">
        <v>22</v>
      </c>
      <c r="DD27" s="25">
        <v>25</v>
      </c>
      <c r="DE27" s="25">
        <v>22</v>
      </c>
      <c r="DF27" s="25">
        <v>25</v>
      </c>
      <c r="DG27" s="25">
        <v>0</v>
      </c>
      <c r="DH27" s="25">
        <v>119</v>
      </c>
      <c r="DI27" s="25">
        <v>6</v>
      </c>
      <c r="DJ27" s="25">
        <v>9</v>
      </c>
      <c r="DK27" s="25">
        <v>12</v>
      </c>
      <c r="DL27" s="25">
        <v>20</v>
      </c>
      <c r="DM27" s="25">
        <v>3</v>
      </c>
      <c r="DN27" s="25">
        <v>7</v>
      </c>
      <c r="DO27" s="25">
        <v>9</v>
      </c>
      <c r="DP27" s="25">
        <v>13</v>
      </c>
      <c r="DQ27" s="25">
        <v>0</v>
      </c>
      <c r="DR27" s="25">
        <v>119</v>
      </c>
      <c r="DS27" s="25">
        <v>0</v>
      </c>
      <c r="DT27" s="25">
        <v>119</v>
      </c>
      <c r="DU27" s="25">
        <v>316</v>
      </c>
      <c r="DV27" s="25">
        <v>86</v>
      </c>
      <c r="DW27" s="25">
        <v>148</v>
      </c>
      <c r="DX27" s="25">
        <v>55</v>
      </c>
      <c r="DY27" s="25">
        <v>93</v>
      </c>
      <c r="DZ27" s="25">
        <v>48</v>
      </c>
      <c r="EA27" s="25">
        <v>55</v>
      </c>
      <c r="EB27" s="25">
        <v>42</v>
      </c>
      <c r="EC27" s="25">
        <v>13</v>
      </c>
      <c r="ED27" s="25">
        <v>15</v>
      </c>
      <c r="EE27" s="25">
        <v>4</v>
      </c>
      <c r="EF27" s="25">
        <v>6</v>
      </c>
      <c r="EG27" s="25">
        <v>23</v>
      </c>
      <c r="EH27" s="25">
        <v>25</v>
      </c>
      <c r="EI27" s="25">
        <v>0</v>
      </c>
      <c r="EJ27" s="25">
        <v>119</v>
      </c>
      <c r="EK27" s="25">
        <v>107</v>
      </c>
      <c r="EL27" s="25">
        <v>51</v>
      </c>
      <c r="EM27" s="25">
        <v>21</v>
      </c>
      <c r="EN27" s="25">
        <v>32</v>
      </c>
    </row>
    <row r="28" spans="1:144" x14ac:dyDescent="0.25">
      <c r="A28" s="19">
        <f t="shared" si="9"/>
        <v>39</v>
      </c>
      <c r="B28" s="20" t="str">
        <f t="shared" si="10"/>
        <v>Sanpete</v>
      </c>
      <c r="C28" s="24" t="s">
        <v>326</v>
      </c>
      <c r="D28" s="24" t="s">
        <v>327</v>
      </c>
      <c r="E28" s="25">
        <v>10168</v>
      </c>
      <c r="F28" s="25">
        <v>513</v>
      </c>
      <c r="G28" s="25">
        <v>7058</v>
      </c>
      <c r="H28" s="25">
        <v>487</v>
      </c>
      <c r="I28" s="25">
        <v>6577</v>
      </c>
      <c r="J28" s="25">
        <v>471</v>
      </c>
      <c r="K28" s="25">
        <v>481</v>
      </c>
      <c r="L28" s="25">
        <v>142</v>
      </c>
      <c r="M28" s="25">
        <v>548</v>
      </c>
      <c r="N28" s="25">
        <v>104</v>
      </c>
      <c r="O28" s="25">
        <v>934</v>
      </c>
      <c r="P28" s="25">
        <v>145</v>
      </c>
      <c r="Q28" s="25">
        <v>769</v>
      </c>
      <c r="R28" s="25">
        <v>137</v>
      </c>
      <c r="S28" s="25">
        <v>156</v>
      </c>
      <c r="T28" s="25">
        <v>66</v>
      </c>
      <c r="U28" s="25">
        <v>683</v>
      </c>
      <c r="V28" s="25">
        <v>165</v>
      </c>
      <c r="W28" s="25">
        <v>20</v>
      </c>
      <c r="X28" s="25">
        <v>21</v>
      </c>
      <c r="Y28" s="25">
        <v>7031</v>
      </c>
      <c r="Z28" s="25">
        <v>462</v>
      </c>
      <c r="AA28" s="25">
        <v>4662</v>
      </c>
      <c r="AB28" s="25">
        <v>413</v>
      </c>
      <c r="AC28" s="25">
        <v>4381</v>
      </c>
      <c r="AD28" s="25">
        <v>426</v>
      </c>
      <c r="AE28" s="25">
        <v>281</v>
      </c>
      <c r="AF28" s="25">
        <v>122</v>
      </c>
      <c r="AG28" s="25">
        <v>420</v>
      </c>
      <c r="AH28" s="25">
        <v>91</v>
      </c>
      <c r="AI28" s="25">
        <v>836</v>
      </c>
      <c r="AJ28" s="25">
        <v>134</v>
      </c>
      <c r="AK28" s="25">
        <v>592</v>
      </c>
      <c r="AL28" s="25">
        <v>118</v>
      </c>
      <c r="AM28" s="25">
        <v>124</v>
      </c>
      <c r="AN28" s="25">
        <v>53</v>
      </c>
      <c r="AO28" s="25">
        <v>391</v>
      </c>
      <c r="AP28" s="25">
        <v>137</v>
      </c>
      <c r="AQ28" s="25">
        <v>6</v>
      </c>
      <c r="AR28" s="25">
        <v>8</v>
      </c>
      <c r="AS28" s="25">
        <v>1500</v>
      </c>
      <c r="AT28" s="25">
        <v>254</v>
      </c>
      <c r="AU28" s="25">
        <v>1246</v>
      </c>
      <c r="AV28" s="25">
        <v>238</v>
      </c>
      <c r="AW28" s="25">
        <v>1208</v>
      </c>
      <c r="AX28" s="25">
        <v>232</v>
      </c>
      <c r="AY28" s="25">
        <v>38</v>
      </c>
      <c r="AZ28" s="25">
        <v>27</v>
      </c>
      <c r="BA28" s="25">
        <v>26</v>
      </c>
      <c r="BB28" s="25">
        <v>23</v>
      </c>
      <c r="BC28" s="25">
        <v>81</v>
      </c>
      <c r="BD28" s="25">
        <v>46</v>
      </c>
      <c r="BE28" s="25">
        <v>100</v>
      </c>
      <c r="BF28" s="25">
        <v>51</v>
      </c>
      <c r="BG28" s="25">
        <v>26</v>
      </c>
      <c r="BH28" s="25">
        <v>35</v>
      </c>
      <c r="BI28" s="25">
        <v>13</v>
      </c>
      <c r="BJ28" s="25">
        <v>12</v>
      </c>
      <c r="BK28" s="25">
        <v>8</v>
      </c>
      <c r="BL28" s="25">
        <v>14</v>
      </c>
      <c r="BM28" s="25">
        <v>10</v>
      </c>
      <c r="BN28" s="25">
        <v>16</v>
      </c>
      <c r="BO28" s="25">
        <v>0</v>
      </c>
      <c r="BP28" s="25">
        <v>119</v>
      </c>
      <c r="BQ28" s="25">
        <v>0</v>
      </c>
      <c r="BR28" s="25">
        <v>119</v>
      </c>
      <c r="BS28" s="25">
        <v>0</v>
      </c>
      <c r="BT28" s="25">
        <v>119</v>
      </c>
      <c r="BU28" s="25">
        <v>8</v>
      </c>
      <c r="BV28" s="25">
        <v>15</v>
      </c>
      <c r="BW28" s="25">
        <v>0</v>
      </c>
      <c r="BX28" s="25">
        <v>119</v>
      </c>
      <c r="BY28" s="25">
        <v>0</v>
      </c>
      <c r="BZ28" s="25">
        <v>119</v>
      </c>
      <c r="CA28" s="25">
        <v>2</v>
      </c>
      <c r="CB28" s="25">
        <v>4</v>
      </c>
      <c r="CC28" s="25">
        <v>0</v>
      </c>
      <c r="CD28" s="25">
        <v>119</v>
      </c>
      <c r="CE28" s="25">
        <v>0</v>
      </c>
      <c r="CF28" s="25">
        <v>119</v>
      </c>
      <c r="CG28" s="25">
        <v>693</v>
      </c>
      <c r="CH28" s="25">
        <v>229</v>
      </c>
      <c r="CI28" s="25">
        <v>579</v>
      </c>
      <c r="CJ28" s="25">
        <v>231</v>
      </c>
      <c r="CK28" s="25">
        <v>573</v>
      </c>
      <c r="CL28" s="25">
        <v>232</v>
      </c>
      <c r="CM28" s="25">
        <v>6</v>
      </c>
      <c r="CN28" s="25">
        <v>7</v>
      </c>
      <c r="CO28" s="25">
        <v>63</v>
      </c>
      <c r="CP28" s="25">
        <v>46</v>
      </c>
      <c r="CQ28" s="25">
        <v>5</v>
      </c>
      <c r="CR28" s="25">
        <v>8</v>
      </c>
      <c r="CS28" s="25">
        <v>21</v>
      </c>
      <c r="CT28" s="25">
        <v>27</v>
      </c>
      <c r="CU28" s="25">
        <v>0</v>
      </c>
      <c r="CV28" s="25">
        <v>119</v>
      </c>
      <c r="CW28" s="25">
        <v>25</v>
      </c>
      <c r="CX28" s="25">
        <v>24</v>
      </c>
      <c r="CY28" s="25">
        <v>0</v>
      </c>
      <c r="CZ28" s="25">
        <v>119</v>
      </c>
      <c r="DA28" s="25">
        <v>239</v>
      </c>
      <c r="DB28" s="25">
        <v>100</v>
      </c>
      <c r="DC28" s="25">
        <v>165</v>
      </c>
      <c r="DD28" s="25">
        <v>86</v>
      </c>
      <c r="DE28" s="25">
        <v>165</v>
      </c>
      <c r="DF28" s="25">
        <v>86</v>
      </c>
      <c r="DG28" s="25">
        <v>0</v>
      </c>
      <c r="DH28" s="25">
        <v>119</v>
      </c>
      <c r="DI28" s="25">
        <v>7</v>
      </c>
      <c r="DJ28" s="25">
        <v>8</v>
      </c>
      <c r="DK28" s="25">
        <v>6</v>
      </c>
      <c r="DL28" s="25">
        <v>8</v>
      </c>
      <c r="DM28" s="25">
        <v>43</v>
      </c>
      <c r="DN28" s="25">
        <v>35</v>
      </c>
      <c r="DO28" s="25">
        <v>4</v>
      </c>
      <c r="DP28" s="25">
        <v>7</v>
      </c>
      <c r="DQ28" s="25">
        <v>14</v>
      </c>
      <c r="DR28" s="25">
        <v>17</v>
      </c>
      <c r="DS28" s="25">
        <v>0</v>
      </c>
      <c r="DT28" s="25">
        <v>119</v>
      </c>
      <c r="DU28" s="25">
        <v>695</v>
      </c>
      <c r="DV28" s="25">
        <v>165</v>
      </c>
      <c r="DW28" s="25">
        <v>406</v>
      </c>
      <c r="DX28" s="25">
        <v>130</v>
      </c>
      <c r="DY28" s="25">
        <v>250</v>
      </c>
      <c r="DZ28" s="25">
        <v>99</v>
      </c>
      <c r="EA28" s="25">
        <v>156</v>
      </c>
      <c r="EB28" s="25">
        <v>83</v>
      </c>
      <c r="EC28" s="25">
        <v>24</v>
      </c>
      <c r="ED28" s="25">
        <v>23</v>
      </c>
      <c r="EE28" s="25">
        <v>6</v>
      </c>
      <c r="EF28" s="25">
        <v>6</v>
      </c>
      <c r="EG28" s="25">
        <v>13</v>
      </c>
      <c r="EH28" s="25">
        <v>13</v>
      </c>
      <c r="EI28" s="25">
        <v>0</v>
      </c>
      <c r="EJ28" s="25">
        <v>119</v>
      </c>
      <c r="EK28" s="25">
        <v>240</v>
      </c>
      <c r="EL28" s="25">
        <v>77</v>
      </c>
      <c r="EM28" s="25">
        <v>6</v>
      </c>
      <c r="EN28" s="25">
        <v>9</v>
      </c>
    </row>
    <row r="29" spans="1:144" x14ac:dyDescent="0.25">
      <c r="A29" s="19">
        <f t="shared" si="9"/>
        <v>41</v>
      </c>
      <c r="B29" s="20" t="str">
        <f t="shared" si="10"/>
        <v>Sevier</v>
      </c>
      <c r="C29" s="24" t="s">
        <v>328</v>
      </c>
      <c r="D29" s="24" t="s">
        <v>329</v>
      </c>
      <c r="E29" s="25">
        <v>8293</v>
      </c>
      <c r="F29" s="25">
        <v>394</v>
      </c>
      <c r="G29" s="25">
        <v>5697</v>
      </c>
      <c r="H29" s="25">
        <v>365</v>
      </c>
      <c r="I29" s="25">
        <v>5286</v>
      </c>
      <c r="J29" s="25">
        <v>360</v>
      </c>
      <c r="K29" s="25">
        <v>411</v>
      </c>
      <c r="L29" s="25">
        <v>117</v>
      </c>
      <c r="M29" s="25">
        <v>294</v>
      </c>
      <c r="N29" s="25">
        <v>85</v>
      </c>
      <c r="O29" s="25">
        <v>659</v>
      </c>
      <c r="P29" s="25">
        <v>144</v>
      </c>
      <c r="Q29" s="25">
        <v>788</v>
      </c>
      <c r="R29" s="25">
        <v>138</v>
      </c>
      <c r="S29" s="25">
        <v>275</v>
      </c>
      <c r="T29" s="25">
        <v>139</v>
      </c>
      <c r="U29" s="25">
        <v>543</v>
      </c>
      <c r="V29" s="25">
        <v>125</v>
      </c>
      <c r="W29" s="25">
        <v>37</v>
      </c>
      <c r="X29" s="25">
        <v>37</v>
      </c>
      <c r="Y29" s="25">
        <v>6575</v>
      </c>
      <c r="Z29" s="25">
        <v>350</v>
      </c>
      <c r="AA29" s="25">
        <v>4713</v>
      </c>
      <c r="AB29" s="25">
        <v>337</v>
      </c>
      <c r="AC29" s="25">
        <v>4397</v>
      </c>
      <c r="AD29" s="25">
        <v>328</v>
      </c>
      <c r="AE29" s="25">
        <v>316</v>
      </c>
      <c r="AF29" s="25">
        <v>102</v>
      </c>
      <c r="AG29" s="25">
        <v>247</v>
      </c>
      <c r="AH29" s="25">
        <v>86</v>
      </c>
      <c r="AI29" s="25">
        <v>543</v>
      </c>
      <c r="AJ29" s="25">
        <v>131</v>
      </c>
      <c r="AK29" s="25">
        <v>574</v>
      </c>
      <c r="AL29" s="25">
        <v>136</v>
      </c>
      <c r="AM29" s="25">
        <v>241</v>
      </c>
      <c r="AN29" s="25">
        <v>138</v>
      </c>
      <c r="AO29" s="25">
        <v>224</v>
      </c>
      <c r="AP29" s="25">
        <v>67</v>
      </c>
      <c r="AQ29" s="25">
        <v>33</v>
      </c>
      <c r="AR29" s="25">
        <v>36</v>
      </c>
      <c r="AS29" s="25">
        <v>906</v>
      </c>
      <c r="AT29" s="25">
        <v>186</v>
      </c>
      <c r="AU29" s="25">
        <v>558</v>
      </c>
      <c r="AV29" s="25">
        <v>152</v>
      </c>
      <c r="AW29" s="25">
        <v>522</v>
      </c>
      <c r="AX29" s="25">
        <v>150</v>
      </c>
      <c r="AY29" s="25">
        <v>36</v>
      </c>
      <c r="AZ29" s="25">
        <v>24</v>
      </c>
      <c r="BA29" s="25">
        <v>26</v>
      </c>
      <c r="BB29" s="25">
        <v>20</v>
      </c>
      <c r="BC29" s="25">
        <v>81</v>
      </c>
      <c r="BD29" s="25">
        <v>43</v>
      </c>
      <c r="BE29" s="25">
        <v>164</v>
      </c>
      <c r="BF29" s="25">
        <v>57</v>
      </c>
      <c r="BG29" s="25">
        <v>24</v>
      </c>
      <c r="BH29" s="25">
        <v>24</v>
      </c>
      <c r="BI29" s="25">
        <v>49</v>
      </c>
      <c r="BJ29" s="25">
        <v>30</v>
      </c>
      <c r="BK29" s="25">
        <v>4</v>
      </c>
      <c r="BL29" s="25">
        <v>6</v>
      </c>
      <c r="BM29" s="25">
        <v>32</v>
      </c>
      <c r="BN29" s="25">
        <v>25</v>
      </c>
      <c r="BO29" s="25">
        <v>22</v>
      </c>
      <c r="BP29" s="25">
        <v>20</v>
      </c>
      <c r="BQ29" s="25">
        <v>22</v>
      </c>
      <c r="BR29" s="25">
        <v>20</v>
      </c>
      <c r="BS29" s="25">
        <v>0</v>
      </c>
      <c r="BT29" s="25">
        <v>119</v>
      </c>
      <c r="BU29" s="25">
        <v>0</v>
      </c>
      <c r="BV29" s="25">
        <v>119</v>
      </c>
      <c r="BW29" s="25">
        <v>0</v>
      </c>
      <c r="BX29" s="25">
        <v>119</v>
      </c>
      <c r="BY29" s="25">
        <v>0</v>
      </c>
      <c r="BZ29" s="25">
        <v>119</v>
      </c>
      <c r="CA29" s="25">
        <v>0</v>
      </c>
      <c r="CB29" s="25">
        <v>119</v>
      </c>
      <c r="CC29" s="25">
        <v>10</v>
      </c>
      <c r="CD29" s="25">
        <v>15</v>
      </c>
      <c r="CE29" s="25">
        <v>0</v>
      </c>
      <c r="CF29" s="25">
        <v>119</v>
      </c>
      <c r="CG29" s="25">
        <v>217</v>
      </c>
      <c r="CH29" s="25">
        <v>65</v>
      </c>
      <c r="CI29" s="25">
        <v>113</v>
      </c>
      <c r="CJ29" s="25">
        <v>55</v>
      </c>
      <c r="CK29" s="25">
        <v>90</v>
      </c>
      <c r="CL29" s="25">
        <v>47</v>
      </c>
      <c r="CM29" s="25">
        <v>23</v>
      </c>
      <c r="CN29" s="25">
        <v>31</v>
      </c>
      <c r="CO29" s="25">
        <v>6</v>
      </c>
      <c r="CP29" s="25">
        <v>7</v>
      </c>
      <c r="CQ29" s="25">
        <v>18</v>
      </c>
      <c r="CR29" s="25">
        <v>29</v>
      </c>
      <c r="CS29" s="25">
        <v>18</v>
      </c>
      <c r="CT29" s="25">
        <v>16</v>
      </c>
      <c r="CU29" s="25">
        <v>10</v>
      </c>
      <c r="CV29" s="25">
        <v>15</v>
      </c>
      <c r="CW29" s="25">
        <v>52</v>
      </c>
      <c r="CX29" s="25">
        <v>57</v>
      </c>
      <c r="CY29" s="25">
        <v>0</v>
      </c>
      <c r="CZ29" s="25">
        <v>119</v>
      </c>
      <c r="DA29" s="25">
        <v>119</v>
      </c>
      <c r="DB29" s="25">
        <v>60</v>
      </c>
      <c r="DC29" s="25">
        <v>87</v>
      </c>
      <c r="DD29" s="25">
        <v>48</v>
      </c>
      <c r="DE29" s="25">
        <v>87</v>
      </c>
      <c r="DF29" s="25">
        <v>48</v>
      </c>
      <c r="DG29" s="25">
        <v>0</v>
      </c>
      <c r="DH29" s="25">
        <v>119</v>
      </c>
      <c r="DI29" s="25">
        <v>8</v>
      </c>
      <c r="DJ29" s="25">
        <v>15</v>
      </c>
      <c r="DK29" s="25">
        <v>0</v>
      </c>
      <c r="DL29" s="25">
        <v>119</v>
      </c>
      <c r="DM29" s="25">
        <v>14</v>
      </c>
      <c r="DN29" s="25">
        <v>16</v>
      </c>
      <c r="DO29" s="25">
        <v>0</v>
      </c>
      <c r="DP29" s="25">
        <v>119</v>
      </c>
      <c r="DQ29" s="25">
        <v>10</v>
      </c>
      <c r="DR29" s="25">
        <v>9</v>
      </c>
      <c r="DS29" s="25">
        <v>0</v>
      </c>
      <c r="DT29" s="25">
        <v>119</v>
      </c>
      <c r="DU29" s="25">
        <v>444</v>
      </c>
      <c r="DV29" s="25">
        <v>124</v>
      </c>
      <c r="DW29" s="25">
        <v>204</v>
      </c>
      <c r="DX29" s="25">
        <v>87</v>
      </c>
      <c r="DY29" s="25">
        <v>168</v>
      </c>
      <c r="DZ29" s="25">
        <v>86</v>
      </c>
      <c r="EA29" s="25">
        <v>36</v>
      </c>
      <c r="EB29" s="25">
        <v>24</v>
      </c>
      <c r="EC29" s="25">
        <v>7</v>
      </c>
      <c r="ED29" s="25">
        <v>11</v>
      </c>
      <c r="EE29" s="25">
        <v>17</v>
      </c>
      <c r="EF29" s="25">
        <v>18</v>
      </c>
      <c r="EG29" s="25">
        <v>18</v>
      </c>
      <c r="EH29" s="25">
        <v>17</v>
      </c>
      <c r="EI29" s="25">
        <v>0</v>
      </c>
      <c r="EJ29" s="25">
        <v>119</v>
      </c>
      <c r="EK29" s="25">
        <v>198</v>
      </c>
      <c r="EL29" s="25">
        <v>88</v>
      </c>
      <c r="EM29" s="25">
        <v>0</v>
      </c>
      <c r="EN29" s="25">
        <v>119</v>
      </c>
    </row>
    <row r="30" spans="1:144" x14ac:dyDescent="0.25">
      <c r="A30" s="19">
        <f t="shared" si="9"/>
        <v>43</v>
      </c>
      <c r="B30" s="20" t="str">
        <f t="shared" si="10"/>
        <v>Summit</v>
      </c>
      <c r="C30" s="24" t="s">
        <v>330</v>
      </c>
      <c r="D30" s="24" t="s">
        <v>331</v>
      </c>
      <c r="E30" s="25">
        <v>18777</v>
      </c>
      <c r="F30" s="25">
        <v>560</v>
      </c>
      <c r="G30" s="25">
        <v>14043</v>
      </c>
      <c r="H30" s="25">
        <v>643</v>
      </c>
      <c r="I30" s="25">
        <v>12425</v>
      </c>
      <c r="J30" s="25">
        <v>652</v>
      </c>
      <c r="K30" s="25">
        <v>1618</v>
      </c>
      <c r="L30" s="25">
        <v>298</v>
      </c>
      <c r="M30" s="25">
        <v>1122</v>
      </c>
      <c r="N30" s="25">
        <v>269</v>
      </c>
      <c r="O30" s="25">
        <v>1136</v>
      </c>
      <c r="P30" s="25">
        <v>210</v>
      </c>
      <c r="Q30" s="25">
        <v>662</v>
      </c>
      <c r="R30" s="25">
        <v>177</v>
      </c>
      <c r="S30" s="25">
        <v>282</v>
      </c>
      <c r="T30" s="25">
        <v>96</v>
      </c>
      <c r="U30" s="25">
        <v>1489</v>
      </c>
      <c r="V30" s="25">
        <v>321</v>
      </c>
      <c r="W30" s="25">
        <v>43</v>
      </c>
      <c r="X30" s="25">
        <v>43</v>
      </c>
      <c r="Y30" s="25">
        <v>13582</v>
      </c>
      <c r="Z30" s="25">
        <v>561</v>
      </c>
      <c r="AA30" s="25">
        <v>10451</v>
      </c>
      <c r="AB30" s="25">
        <v>597</v>
      </c>
      <c r="AC30" s="25">
        <v>9529</v>
      </c>
      <c r="AD30" s="25">
        <v>604</v>
      </c>
      <c r="AE30" s="25">
        <v>922</v>
      </c>
      <c r="AF30" s="25">
        <v>228</v>
      </c>
      <c r="AG30" s="25">
        <v>813</v>
      </c>
      <c r="AH30" s="25">
        <v>207</v>
      </c>
      <c r="AI30" s="25">
        <v>1001</v>
      </c>
      <c r="AJ30" s="25">
        <v>217</v>
      </c>
      <c r="AK30" s="25">
        <v>501</v>
      </c>
      <c r="AL30" s="25">
        <v>155</v>
      </c>
      <c r="AM30" s="25">
        <v>181</v>
      </c>
      <c r="AN30" s="25">
        <v>90</v>
      </c>
      <c r="AO30" s="25">
        <v>631</v>
      </c>
      <c r="AP30" s="25">
        <v>202</v>
      </c>
      <c r="AQ30" s="25">
        <v>4</v>
      </c>
      <c r="AR30" s="25">
        <v>6</v>
      </c>
      <c r="AS30" s="25">
        <v>1737</v>
      </c>
      <c r="AT30" s="25">
        <v>309</v>
      </c>
      <c r="AU30" s="25">
        <v>1204</v>
      </c>
      <c r="AV30" s="25">
        <v>291</v>
      </c>
      <c r="AW30" s="25">
        <v>1063</v>
      </c>
      <c r="AX30" s="25">
        <v>273</v>
      </c>
      <c r="AY30" s="25">
        <v>141</v>
      </c>
      <c r="AZ30" s="25">
        <v>76</v>
      </c>
      <c r="BA30" s="25">
        <v>170</v>
      </c>
      <c r="BB30" s="25">
        <v>98</v>
      </c>
      <c r="BC30" s="25">
        <v>47</v>
      </c>
      <c r="BD30" s="25">
        <v>30</v>
      </c>
      <c r="BE30" s="25">
        <v>76</v>
      </c>
      <c r="BF30" s="25">
        <v>41</v>
      </c>
      <c r="BG30" s="25">
        <v>61</v>
      </c>
      <c r="BH30" s="25">
        <v>46</v>
      </c>
      <c r="BI30" s="25">
        <v>171</v>
      </c>
      <c r="BJ30" s="25">
        <v>82</v>
      </c>
      <c r="BK30" s="25">
        <v>8</v>
      </c>
      <c r="BL30" s="25">
        <v>11</v>
      </c>
      <c r="BM30" s="25">
        <v>228</v>
      </c>
      <c r="BN30" s="25">
        <v>123</v>
      </c>
      <c r="BO30" s="25">
        <v>202</v>
      </c>
      <c r="BP30" s="25">
        <v>123</v>
      </c>
      <c r="BQ30" s="25">
        <v>202</v>
      </c>
      <c r="BR30" s="25">
        <v>123</v>
      </c>
      <c r="BS30" s="25">
        <v>0</v>
      </c>
      <c r="BT30" s="25">
        <v>119</v>
      </c>
      <c r="BU30" s="25">
        <v>15</v>
      </c>
      <c r="BV30" s="25">
        <v>20</v>
      </c>
      <c r="BW30" s="25">
        <v>0</v>
      </c>
      <c r="BX30" s="25">
        <v>119</v>
      </c>
      <c r="BY30" s="25">
        <v>0</v>
      </c>
      <c r="BZ30" s="25">
        <v>119</v>
      </c>
      <c r="CA30" s="25">
        <v>0</v>
      </c>
      <c r="CB30" s="25">
        <v>119</v>
      </c>
      <c r="CC30" s="25">
        <v>11</v>
      </c>
      <c r="CD30" s="25">
        <v>19</v>
      </c>
      <c r="CE30" s="25">
        <v>0</v>
      </c>
      <c r="CF30" s="25">
        <v>119</v>
      </c>
      <c r="CG30" s="25">
        <v>432</v>
      </c>
      <c r="CH30" s="25">
        <v>167</v>
      </c>
      <c r="CI30" s="25">
        <v>351</v>
      </c>
      <c r="CJ30" s="25">
        <v>158</v>
      </c>
      <c r="CK30" s="25">
        <v>317</v>
      </c>
      <c r="CL30" s="25">
        <v>151</v>
      </c>
      <c r="CM30" s="25">
        <v>34</v>
      </c>
      <c r="CN30" s="25">
        <v>46</v>
      </c>
      <c r="CO30" s="25">
        <v>51</v>
      </c>
      <c r="CP30" s="25">
        <v>55</v>
      </c>
      <c r="CQ30" s="25">
        <v>0</v>
      </c>
      <c r="CR30" s="25">
        <v>119</v>
      </c>
      <c r="CS30" s="25">
        <v>14</v>
      </c>
      <c r="CT30" s="25">
        <v>17</v>
      </c>
      <c r="CU30" s="25">
        <v>0</v>
      </c>
      <c r="CV30" s="25">
        <v>119</v>
      </c>
      <c r="CW30" s="25">
        <v>16</v>
      </c>
      <c r="CX30" s="25">
        <v>17</v>
      </c>
      <c r="CY30" s="25">
        <v>0</v>
      </c>
      <c r="CZ30" s="25">
        <v>119</v>
      </c>
      <c r="DA30" s="25">
        <v>782</v>
      </c>
      <c r="DB30" s="25">
        <v>315</v>
      </c>
      <c r="DC30" s="25">
        <v>674</v>
      </c>
      <c r="DD30" s="25">
        <v>295</v>
      </c>
      <c r="DE30" s="25">
        <v>531</v>
      </c>
      <c r="DF30" s="25">
        <v>275</v>
      </c>
      <c r="DG30" s="25">
        <v>143</v>
      </c>
      <c r="DH30" s="25">
        <v>88</v>
      </c>
      <c r="DI30" s="25">
        <v>17</v>
      </c>
      <c r="DJ30" s="25">
        <v>30</v>
      </c>
      <c r="DK30" s="25">
        <v>16</v>
      </c>
      <c r="DL30" s="25">
        <v>25</v>
      </c>
      <c r="DM30" s="25">
        <v>10</v>
      </c>
      <c r="DN30" s="25">
        <v>18</v>
      </c>
      <c r="DO30" s="25">
        <v>0</v>
      </c>
      <c r="DP30" s="25">
        <v>119</v>
      </c>
      <c r="DQ30" s="25">
        <v>39</v>
      </c>
      <c r="DR30" s="25">
        <v>39</v>
      </c>
      <c r="DS30" s="25">
        <v>26</v>
      </c>
      <c r="DT30" s="25">
        <v>41</v>
      </c>
      <c r="DU30" s="25">
        <v>2016</v>
      </c>
      <c r="DV30" s="25">
        <v>368</v>
      </c>
      <c r="DW30" s="25">
        <v>1161</v>
      </c>
      <c r="DX30" s="25">
        <v>268</v>
      </c>
      <c r="DY30" s="25">
        <v>783</v>
      </c>
      <c r="DZ30" s="25">
        <v>196</v>
      </c>
      <c r="EA30" s="25">
        <v>378</v>
      </c>
      <c r="EB30" s="25">
        <v>139</v>
      </c>
      <c r="EC30" s="25">
        <v>56</v>
      </c>
      <c r="ED30" s="25">
        <v>56</v>
      </c>
      <c r="EE30" s="25">
        <v>72</v>
      </c>
      <c r="EF30" s="25">
        <v>81</v>
      </c>
      <c r="EG30" s="25">
        <v>61</v>
      </c>
      <c r="EH30" s="25">
        <v>82</v>
      </c>
      <c r="EI30" s="25">
        <v>40</v>
      </c>
      <c r="EJ30" s="25">
        <v>35</v>
      </c>
      <c r="EK30" s="25">
        <v>621</v>
      </c>
      <c r="EL30" s="25">
        <v>146</v>
      </c>
      <c r="EM30" s="25">
        <v>5</v>
      </c>
      <c r="EN30" s="25">
        <v>7</v>
      </c>
    </row>
    <row r="31" spans="1:144" x14ac:dyDescent="0.25">
      <c r="A31" s="19">
        <f t="shared" si="9"/>
        <v>45</v>
      </c>
      <c r="B31" s="20" t="str">
        <f t="shared" si="10"/>
        <v>Tooele</v>
      </c>
      <c r="C31" s="24" t="s">
        <v>332</v>
      </c>
      <c r="D31" s="24" t="s">
        <v>333</v>
      </c>
      <c r="E31" s="25">
        <v>24437</v>
      </c>
      <c r="F31" s="25">
        <v>537</v>
      </c>
      <c r="G31" s="25">
        <v>17243</v>
      </c>
      <c r="H31" s="25">
        <v>685</v>
      </c>
      <c r="I31" s="25">
        <v>16719</v>
      </c>
      <c r="J31" s="25">
        <v>688</v>
      </c>
      <c r="K31" s="25">
        <v>524</v>
      </c>
      <c r="L31" s="25">
        <v>155</v>
      </c>
      <c r="M31" s="25">
        <v>1068</v>
      </c>
      <c r="N31" s="25">
        <v>247</v>
      </c>
      <c r="O31" s="25">
        <v>1838</v>
      </c>
      <c r="P31" s="25">
        <v>267</v>
      </c>
      <c r="Q31" s="25">
        <v>861</v>
      </c>
      <c r="R31" s="25">
        <v>212</v>
      </c>
      <c r="S31" s="25">
        <v>2451</v>
      </c>
      <c r="T31" s="25">
        <v>346</v>
      </c>
      <c r="U31" s="25">
        <v>925</v>
      </c>
      <c r="V31" s="25">
        <v>209</v>
      </c>
      <c r="W31" s="25">
        <v>51</v>
      </c>
      <c r="X31" s="25">
        <v>53</v>
      </c>
      <c r="Y31" s="25">
        <v>16779</v>
      </c>
      <c r="Z31" s="25">
        <v>657</v>
      </c>
      <c r="AA31" s="25">
        <v>12047</v>
      </c>
      <c r="AB31" s="25">
        <v>632</v>
      </c>
      <c r="AC31" s="25">
        <v>11654</v>
      </c>
      <c r="AD31" s="25">
        <v>636</v>
      </c>
      <c r="AE31" s="25">
        <v>393</v>
      </c>
      <c r="AF31" s="25">
        <v>140</v>
      </c>
      <c r="AG31" s="25">
        <v>855</v>
      </c>
      <c r="AH31" s="25">
        <v>232</v>
      </c>
      <c r="AI31" s="25">
        <v>1490</v>
      </c>
      <c r="AJ31" s="25">
        <v>240</v>
      </c>
      <c r="AK31" s="25">
        <v>497</v>
      </c>
      <c r="AL31" s="25">
        <v>163</v>
      </c>
      <c r="AM31" s="25">
        <v>1413</v>
      </c>
      <c r="AN31" s="25">
        <v>329</v>
      </c>
      <c r="AO31" s="25">
        <v>426</v>
      </c>
      <c r="AP31" s="25">
        <v>141</v>
      </c>
      <c r="AQ31" s="25">
        <v>51</v>
      </c>
      <c r="AR31" s="25">
        <v>53</v>
      </c>
      <c r="AS31" s="25">
        <v>5070</v>
      </c>
      <c r="AT31" s="25">
        <v>539</v>
      </c>
      <c r="AU31" s="25">
        <v>3556</v>
      </c>
      <c r="AV31" s="25">
        <v>458</v>
      </c>
      <c r="AW31" s="25">
        <v>3502</v>
      </c>
      <c r="AX31" s="25">
        <v>456</v>
      </c>
      <c r="AY31" s="25">
        <v>54</v>
      </c>
      <c r="AZ31" s="25">
        <v>35</v>
      </c>
      <c r="BA31" s="25">
        <v>115</v>
      </c>
      <c r="BB31" s="25">
        <v>57</v>
      </c>
      <c r="BC31" s="25">
        <v>237</v>
      </c>
      <c r="BD31" s="25">
        <v>106</v>
      </c>
      <c r="BE31" s="25">
        <v>270</v>
      </c>
      <c r="BF31" s="25">
        <v>120</v>
      </c>
      <c r="BG31" s="25">
        <v>795</v>
      </c>
      <c r="BH31" s="25">
        <v>181</v>
      </c>
      <c r="BI31" s="25">
        <v>97</v>
      </c>
      <c r="BJ31" s="25">
        <v>71</v>
      </c>
      <c r="BK31" s="25">
        <v>0</v>
      </c>
      <c r="BL31" s="25">
        <v>119</v>
      </c>
      <c r="BM31" s="25">
        <v>565</v>
      </c>
      <c r="BN31" s="25">
        <v>173</v>
      </c>
      <c r="BO31" s="25">
        <v>384</v>
      </c>
      <c r="BP31" s="25">
        <v>139</v>
      </c>
      <c r="BQ31" s="25">
        <v>384</v>
      </c>
      <c r="BR31" s="25">
        <v>139</v>
      </c>
      <c r="BS31" s="25">
        <v>0</v>
      </c>
      <c r="BT31" s="25">
        <v>119</v>
      </c>
      <c r="BU31" s="25">
        <v>63</v>
      </c>
      <c r="BV31" s="25">
        <v>53</v>
      </c>
      <c r="BW31" s="25">
        <v>12</v>
      </c>
      <c r="BX31" s="25">
        <v>18</v>
      </c>
      <c r="BY31" s="25">
        <v>73</v>
      </c>
      <c r="BZ31" s="25">
        <v>52</v>
      </c>
      <c r="CA31" s="25">
        <v>33</v>
      </c>
      <c r="CB31" s="25">
        <v>33</v>
      </c>
      <c r="CC31" s="25">
        <v>0</v>
      </c>
      <c r="CD31" s="25">
        <v>119</v>
      </c>
      <c r="CE31" s="25">
        <v>0</v>
      </c>
      <c r="CF31" s="25">
        <v>119</v>
      </c>
      <c r="CG31" s="25">
        <v>677</v>
      </c>
      <c r="CH31" s="25">
        <v>176</v>
      </c>
      <c r="CI31" s="25">
        <v>510</v>
      </c>
      <c r="CJ31" s="25">
        <v>148</v>
      </c>
      <c r="CK31" s="25">
        <v>483</v>
      </c>
      <c r="CL31" s="25">
        <v>149</v>
      </c>
      <c r="CM31" s="25">
        <v>27</v>
      </c>
      <c r="CN31" s="25">
        <v>30</v>
      </c>
      <c r="CO31" s="25">
        <v>3</v>
      </c>
      <c r="CP31" s="25">
        <v>5</v>
      </c>
      <c r="CQ31" s="25">
        <v>77</v>
      </c>
      <c r="CR31" s="25">
        <v>53</v>
      </c>
      <c r="CS31" s="25">
        <v>8</v>
      </c>
      <c r="CT31" s="25">
        <v>13</v>
      </c>
      <c r="CU31" s="25">
        <v>65</v>
      </c>
      <c r="CV31" s="25">
        <v>44</v>
      </c>
      <c r="CW31" s="25">
        <v>14</v>
      </c>
      <c r="CX31" s="25">
        <v>21</v>
      </c>
      <c r="CY31" s="25">
        <v>0</v>
      </c>
      <c r="CZ31" s="25">
        <v>119</v>
      </c>
      <c r="DA31" s="25">
        <v>304</v>
      </c>
      <c r="DB31" s="25">
        <v>104</v>
      </c>
      <c r="DC31" s="25">
        <v>254</v>
      </c>
      <c r="DD31" s="25">
        <v>94</v>
      </c>
      <c r="DE31" s="25">
        <v>254</v>
      </c>
      <c r="DF31" s="25">
        <v>94</v>
      </c>
      <c r="DG31" s="25">
        <v>0</v>
      </c>
      <c r="DH31" s="25">
        <v>119</v>
      </c>
      <c r="DI31" s="25">
        <v>11</v>
      </c>
      <c r="DJ31" s="25">
        <v>17</v>
      </c>
      <c r="DK31" s="25">
        <v>22</v>
      </c>
      <c r="DL31" s="25">
        <v>34</v>
      </c>
      <c r="DM31" s="25">
        <v>0</v>
      </c>
      <c r="DN31" s="25">
        <v>119</v>
      </c>
      <c r="DO31" s="25">
        <v>17</v>
      </c>
      <c r="DP31" s="25">
        <v>13</v>
      </c>
      <c r="DQ31" s="25">
        <v>0</v>
      </c>
      <c r="DR31" s="25">
        <v>119</v>
      </c>
      <c r="DS31" s="25">
        <v>0</v>
      </c>
      <c r="DT31" s="25">
        <v>119</v>
      </c>
      <c r="DU31" s="25">
        <v>1042</v>
      </c>
      <c r="DV31" s="25">
        <v>338</v>
      </c>
      <c r="DW31" s="25">
        <v>492</v>
      </c>
      <c r="DX31" s="25">
        <v>190</v>
      </c>
      <c r="DY31" s="25">
        <v>442</v>
      </c>
      <c r="DZ31" s="25">
        <v>182</v>
      </c>
      <c r="EA31" s="25">
        <v>50</v>
      </c>
      <c r="EB31" s="25">
        <v>37</v>
      </c>
      <c r="EC31" s="25">
        <v>21</v>
      </c>
      <c r="ED31" s="25">
        <v>22</v>
      </c>
      <c r="EE31" s="25">
        <v>0</v>
      </c>
      <c r="EF31" s="25">
        <v>119</v>
      </c>
      <c r="EG31" s="25">
        <v>13</v>
      </c>
      <c r="EH31" s="25">
        <v>20</v>
      </c>
      <c r="EI31" s="25">
        <v>128</v>
      </c>
      <c r="EJ31" s="25">
        <v>154</v>
      </c>
      <c r="EK31" s="25">
        <v>388</v>
      </c>
      <c r="EL31" s="25">
        <v>133</v>
      </c>
      <c r="EM31" s="25">
        <v>0</v>
      </c>
      <c r="EN31" s="25">
        <v>119</v>
      </c>
    </row>
    <row r="32" spans="1:144" x14ac:dyDescent="0.25">
      <c r="A32" s="19">
        <f t="shared" si="9"/>
        <v>47</v>
      </c>
      <c r="B32" s="20" t="str">
        <f t="shared" si="10"/>
        <v>Uintah</v>
      </c>
      <c r="C32" s="24" t="s">
        <v>334</v>
      </c>
      <c r="D32" s="24" t="s">
        <v>335</v>
      </c>
      <c r="E32" s="25">
        <v>13709</v>
      </c>
      <c r="F32" s="25">
        <v>442</v>
      </c>
      <c r="G32" s="25">
        <v>9594</v>
      </c>
      <c r="H32" s="25">
        <v>409</v>
      </c>
      <c r="I32" s="25">
        <v>8694</v>
      </c>
      <c r="J32" s="25">
        <v>441</v>
      </c>
      <c r="K32" s="25">
        <v>900</v>
      </c>
      <c r="L32" s="25">
        <v>223</v>
      </c>
      <c r="M32" s="25">
        <v>317</v>
      </c>
      <c r="N32" s="25">
        <v>113</v>
      </c>
      <c r="O32" s="25">
        <v>1572</v>
      </c>
      <c r="P32" s="25">
        <v>246</v>
      </c>
      <c r="Q32" s="25">
        <v>717</v>
      </c>
      <c r="R32" s="25">
        <v>204</v>
      </c>
      <c r="S32" s="25">
        <v>498</v>
      </c>
      <c r="T32" s="25">
        <v>172</v>
      </c>
      <c r="U32" s="25">
        <v>941</v>
      </c>
      <c r="V32" s="25">
        <v>230</v>
      </c>
      <c r="W32" s="25">
        <v>70</v>
      </c>
      <c r="X32" s="25">
        <v>58</v>
      </c>
      <c r="Y32" s="25">
        <v>10787</v>
      </c>
      <c r="Z32" s="25">
        <v>484</v>
      </c>
      <c r="AA32" s="25">
        <v>7594</v>
      </c>
      <c r="AB32" s="25">
        <v>420</v>
      </c>
      <c r="AC32" s="25">
        <v>6977</v>
      </c>
      <c r="AD32" s="25">
        <v>402</v>
      </c>
      <c r="AE32" s="25">
        <v>617</v>
      </c>
      <c r="AF32" s="25">
        <v>184</v>
      </c>
      <c r="AG32" s="25">
        <v>215</v>
      </c>
      <c r="AH32" s="25">
        <v>98</v>
      </c>
      <c r="AI32" s="25">
        <v>1436</v>
      </c>
      <c r="AJ32" s="25">
        <v>239</v>
      </c>
      <c r="AK32" s="25">
        <v>595</v>
      </c>
      <c r="AL32" s="25">
        <v>166</v>
      </c>
      <c r="AM32" s="25">
        <v>360</v>
      </c>
      <c r="AN32" s="25">
        <v>142</v>
      </c>
      <c r="AO32" s="25">
        <v>574</v>
      </c>
      <c r="AP32" s="25">
        <v>194</v>
      </c>
      <c r="AQ32" s="25">
        <v>13</v>
      </c>
      <c r="AR32" s="25">
        <v>21</v>
      </c>
      <c r="AS32" s="25">
        <v>1832</v>
      </c>
      <c r="AT32" s="25">
        <v>285</v>
      </c>
      <c r="AU32" s="25">
        <v>1525</v>
      </c>
      <c r="AV32" s="25">
        <v>263</v>
      </c>
      <c r="AW32" s="25">
        <v>1427</v>
      </c>
      <c r="AX32" s="25">
        <v>267</v>
      </c>
      <c r="AY32" s="25">
        <v>98</v>
      </c>
      <c r="AZ32" s="25">
        <v>65</v>
      </c>
      <c r="BA32" s="25">
        <v>26</v>
      </c>
      <c r="BB32" s="25">
        <v>23</v>
      </c>
      <c r="BC32" s="25">
        <v>79</v>
      </c>
      <c r="BD32" s="25">
        <v>51</v>
      </c>
      <c r="BE32" s="25">
        <v>64</v>
      </c>
      <c r="BF32" s="25">
        <v>69</v>
      </c>
      <c r="BG32" s="25">
        <v>17</v>
      </c>
      <c r="BH32" s="25">
        <v>20</v>
      </c>
      <c r="BI32" s="25">
        <v>105</v>
      </c>
      <c r="BJ32" s="25">
        <v>78</v>
      </c>
      <c r="BK32" s="25">
        <v>16</v>
      </c>
      <c r="BL32" s="25">
        <v>26</v>
      </c>
      <c r="BM32" s="25">
        <v>46</v>
      </c>
      <c r="BN32" s="25">
        <v>36</v>
      </c>
      <c r="BO32" s="25">
        <v>18</v>
      </c>
      <c r="BP32" s="25">
        <v>19</v>
      </c>
      <c r="BQ32" s="25">
        <v>18</v>
      </c>
      <c r="BR32" s="25">
        <v>19</v>
      </c>
      <c r="BS32" s="25">
        <v>0</v>
      </c>
      <c r="BT32" s="25">
        <v>119</v>
      </c>
      <c r="BU32" s="25">
        <v>23</v>
      </c>
      <c r="BV32" s="25">
        <v>29</v>
      </c>
      <c r="BW32" s="25">
        <v>0</v>
      </c>
      <c r="BX32" s="25">
        <v>119</v>
      </c>
      <c r="BY32" s="25">
        <v>5</v>
      </c>
      <c r="BZ32" s="25">
        <v>8</v>
      </c>
      <c r="CA32" s="25">
        <v>0</v>
      </c>
      <c r="CB32" s="25">
        <v>119</v>
      </c>
      <c r="CC32" s="25">
        <v>0</v>
      </c>
      <c r="CD32" s="25">
        <v>119</v>
      </c>
      <c r="CE32" s="25">
        <v>0</v>
      </c>
      <c r="CF32" s="25">
        <v>119</v>
      </c>
      <c r="CG32" s="25">
        <v>360</v>
      </c>
      <c r="CH32" s="25">
        <v>161</v>
      </c>
      <c r="CI32" s="25">
        <v>135</v>
      </c>
      <c r="CJ32" s="25">
        <v>110</v>
      </c>
      <c r="CK32" s="25">
        <v>122</v>
      </c>
      <c r="CL32" s="25">
        <v>98</v>
      </c>
      <c r="CM32" s="25">
        <v>13</v>
      </c>
      <c r="CN32" s="25">
        <v>22</v>
      </c>
      <c r="CO32" s="25">
        <v>6</v>
      </c>
      <c r="CP32" s="25">
        <v>10</v>
      </c>
      <c r="CQ32" s="25">
        <v>21</v>
      </c>
      <c r="CR32" s="25">
        <v>29</v>
      </c>
      <c r="CS32" s="25">
        <v>0</v>
      </c>
      <c r="CT32" s="25">
        <v>119</v>
      </c>
      <c r="CU32" s="25">
        <v>105</v>
      </c>
      <c r="CV32" s="25">
        <v>91</v>
      </c>
      <c r="CW32" s="25">
        <v>93</v>
      </c>
      <c r="CX32" s="25">
        <v>78</v>
      </c>
      <c r="CY32" s="25">
        <v>0</v>
      </c>
      <c r="CZ32" s="25">
        <v>119</v>
      </c>
      <c r="DA32" s="25">
        <v>190</v>
      </c>
      <c r="DB32" s="25">
        <v>98</v>
      </c>
      <c r="DC32" s="25">
        <v>70</v>
      </c>
      <c r="DD32" s="25">
        <v>46</v>
      </c>
      <c r="DE32" s="25">
        <v>52</v>
      </c>
      <c r="DF32" s="25">
        <v>41</v>
      </c>
      <c r="DG32" s="25">
        <v>18</v>
      </c>
      <c r="DH32" s="25">
        <v>21</v>
      </c>
      <c r="DI32" s="25">
        <v>30</v>
      </c>
      <c r="DJ32" s="25">
        <v>30</v>
      </c>
      <c r="DK32" s="25">
        <v>36</v>
      </c>
      <c r="DL32" s="25">
        <v>56</v>
      </c>
      <c r="DM32" s="25">
        <v>34</v>
      </c>
      <c r="DN32" s="25">
        <v>41</v>
      </c>
      <c r="DO32" s="25">
        <v>16</v>
      </c>
      <c r="DP32" s="25">
        <v>26</v>
      </c>
      <c r="DQ32" s="25">
        <v>4</v>
      </c>
      <c r="DR32" s="25">
        <v>7</v>
      </c>
      <c r="DS32" s="25">
        <v>0</v>
      </c>
      <c r="DT32" s="25">
        <v>119</v>
      </c>
      <c r="DU32" s="25">
        <v>494</v>
      </c>
      <c r="DV32" s="25">
        <v>135</v>
      </c>
      <c r="DW32" s="25">
        <v>252</v>
      </c>
      <c r="DX32" s="25">
        <v>116</v>
      </c>
      <c r="DY32" s="25">
        <v>98</v>
      </c>
      <c r="DZ32" s="25">
        <v>63</v>
      </c>
      <c r="EA32" s="25">
        <v>154</v>
      </c>
      <c r="EB32" s="25">
        <v>95</v>
      </c>
      <c r="EC32" s="25">
        <v>17</v>
      </c>
      <c r="ED32" s="25">
        <v>29</v>
      </c>
      <c r="EE32" s="25">
        <v>0</v>
      </c>
      <c r="EF32" s="25">
        <v>119</v>
      </c>
      <c r="EG32" s="25">
        <v>19</v>
      </c>
      <c r="EH32" s="25">
        <v>22</v>
      </c>
      <c r="EI32" s="25">
        <v>0</v>
      </c>
      <c r="EJ32" s="25">
        <v>119</v>
      </c>
      <c r="EK32" s="25">
        <v>165</v>
      </c>
      <c r="EL32" s="25">
        <v>70</v>
      </c>
      <c r="EM32" s="25">
        <v>41</v>
      </c>
      <c r="EN32" s="25">
        <v>42</v>
      </c>
    </row>
    <row r="33" spans="1:144" x14ac:dyDescent="0.25">
      <c r="A33" s="19">
        <f t="shared" si="9"/>
        <v>49</v>
      </c>
      <c r="B33" s="20" t="str">
        <f t="shared" si="10"/>
        <v>Utah</v>
      </c>
      <c r="C33" s="24" t="s">
        <v>336</v>
      </c>
      <c r="D33" s="24" t="s">
        <v>337</v>
      </c>
      <c r="E33" s="25">
        <v>207623</v>
      </c>
      <c r="F33" s="25">
        <v>2006</v>
      </c>
      <c r="G33" s="25">
        <v>147158</v>
      </c>
      <c r="H33" s="25">
        <v>2161</v>
      </c>
      <c r="I33" s="25">
        <v>136933</v>
      </c>
      <c r="J33" s="25">
        <v>2138</v>
      </c>
      <c r="K33" s="25">
        <v>10225</v>
      </c>
      <c r="L33" s="25">
        <v>564</v>
      </c>
      <c r="M33" s="25">
        <v>21900</v>
      </c>
      <c r="N33" s="25">
        <v>1290</v>
      </c>
      <c r="O33" s="25">
        <v>14092</v>
      </c>
      <c r="P33" s="25">
        <v>658</v>
      </c>
      <c r="Q33" s="25">
        <v>9772</v>
      </c>
      <c r="R33" s="25">
        <v>688</v>
      </c>
      <c r="S33" s="25">
        <v>2990</v>
      </c>
      <c r="T33" s="25">
        <v>327</v>
      </c>
      <c r="U33" s="25">
        <v>11386</v>
      </c>
      <c r="V33" s="25">
        <v>623</v>
      </c>
      <c r="W33" s="25">
        <v>325</v>
      </c>
      <c r="X33" s="25">
        <v>102</v>
      </c>
      <c r="Y33" s="25">
        <v>150156</v>
      </c>
      <c r="Z33" s="25">
        <v>2106</v>
      </c>
      <c r="AA33" s="25">
        <v>110166</v>
      </c>
      <c r="AB33" s="25">
        <v>2060</v>
      </c>
      <c r="AC33" s="25">
        <v>103625</v>
      </c>
      <c r="AD33" s="25">
        <v>1998</v>
      </c>
      <c r="AE33" s="25">
        <v>6541</v>
      </c>
      <c r="AF33" s="25">
        <v>433</v>
      </c>
      <c r="AG33" s="25">
        <v>13164</v>
      </c>
      <c r="AH33" s="25">
        <v>857</v>
      </c>
      <c r="AI33" s="25">
        <v>11681</v>
      </c>
      <c r="AJ33" s="25">
        <v>605</v>
      </c>
      <c r="AK33" s="25">
        <v>7322</v>
      </c>
      <c r="AL33" s="25">
        <v>509</v>
      </c>
      <c r="AM33" s="25">
        <v>2430</v>
      </c>
      <c r="AN33" s="25">
        <v>301</v>
      </c>
      <c r="AO33" s="25">
        <v>5239</v>
      </c>
      <c r="AP33" s="25">
        <v>393</v>
      </c>
      <c r="AQ33" s="25">
        <v>154</v>
      </c>
      <c r="AR33" s="25">
        <v>76</v>
      </c>
      <c r="AS33" s="25">
        <v>26256</v>
      </c>
      <c r="AT33" s="25">
        <v>1303</v>
      </c>
      <c r="AU33" s="25">
        <v>19740</v>
      </c>
      <c r="AV33" s="25">
        <v>1109</v>
      </c>
      <c r="AW33" s="25">
        <v>18575</v>
      </c>
      <c r="AX33" s="25">
        <v>1064</v>
      </c>
      <c r="AY33" s="25">
        <v>1165</v>
      </c>
      <c r="AZ33" s="25">
        <v>222</v>
      </c>
      <c r="BA33" s="25">
        <v>2540</v>
      </c>
      <c r="BB33" s="25">
        <v>364</v>
      </c>
      <c r="BC33" s="25">
        <v>1374</v>
      </c>
      <c r="BD33" s="25">
        <v>213</v>
      </c>
      <c r="BE33" s="25">
        <v>1157</v>
      </c>
      <c r="BF33" s="25">
        <v>222</v>
      </c>
      <c r="BG33" s="25">
        <v>341</v>
      </c>
      <c r="BH33" s="25">
        <v>111</v>
      </c>
      <c r="BI33" s="25">
        <v>1009</v>
      </c>
      <c r="BJ33" s="25">
        <v>189</v>
      </c>
      <c r="BK33" s="25">
        <v>95</v>
      </c>
      <c r="BL33" s="25">
        <v>48</v>
      </c>
      <c r="BM33" s="25">
        <v>4397</v>
      </c>
      <c r="BN33" s="25">
        <v>458</v>
      </c>
      <c r="BO33" s="25">
        <v>2745</v>
      </c>
      <c r="BP33" s="25">
        <v>340</v>
      </c>
      <c r="BQ33" s="25">
        <v>2658</v>
      </c>
      <c r="BR33" s="25">
        <v>327</v>
      </c>
      <c r="BS33" s="25">
        <v>87</v>
      </c>
      <c r="BT33" s="25">
        <v>59</v>
      </c>
      <c r="BU33" s="25">
        <v>1042</v>
      </c>
      <c r="BV33" s="25">
        <v>237</v>
      </c>
      <c r="BW33" s="25">
        <v>215</v>
      </c>
      <c r="BX33" s="25">
        <v>117</v>
      </c>
      <c r="BY33" s="25">
        <v>353</v>
      </c>
      <c r="BZ33" s="25">
        <v>127</v>
      </c>
      <c r="CA33" s="25">
        <v>35</v>
      </c>
      <c r="CB33" s="25">
        <v>28</v>
      </c>
      <c r="CC33" s="25">
        <v>7</v>
      </c>
      <c r="CD33" s="25">
        <v>12</v>
      </c>
      <c r="CE33" s="25">
        <v>0</v>
      </c>
      <c r="CF33" s="25">
        <v>119</v>
      </c>
      <c r="CG33" s="25">
        <v>10040</v>
      </c>
      <c r="CH33" s="25">
        <v>772</v>
      </c>
      <c r="CI33" s="25">
        <v>5049</v>
      </c>
      <c r="CJ33" s="25">
        <v>570</v>
      </c>
      <c r="CK33" s="25">
        <v>4754</v>
      </c>
      <c r="CL33" s="25">
        <v>564</v>
      </c>
      <c r="CM33" s="25">
        <v>295</v>
      </c>
      <c r="CN33" s="25">
        <v>93</v>
      </c>
      <c r="CO33" s="25">
        <v>3629</v>
      </c>
      <c r="CP33" s="25">
        <v>499</v>
      </c>
      <c r="CQ33" s="25">
        <v>418</v>
      </c>
      <c r="CR33" s="25">
        <v>124</v>
      </c>
      <c r="CS33" s="25">
        <v>396</v>
      </c>
      <c r="CT33" s="25">
        <v>113</v>
      </c>
      <c r="CU33" s="25">
        <v>15</v>
      </c>
      <c r="CV33" s="25">
        <v>19</v>
      </c>
      <c r="CW33" s="25">
        <v>522</v>
      </c>
      <c r="CX33" s="25">
        <v>142</v>
      </c>
      <c r="CY33" s="25">
        <v>11</v>
      </c>
      <c r="CZ33" s="25">
        <v>19</v>
      </c>
      <c r="DA33" s="25">
        <v>3998</v>
      </c>
      <c r="DB33" s="25">
        <v>442</v>
      </c>
      <c r="DC33" s="25">
        <v>2489</v>
      </c>
      <c r="DD33" s="25">
        <v>309</v>
      </c>
      <c r="DE33" s="25">
        <v>2357</v>
      </c>
      <c r="DF33" s="25">
        <v>319</v>
      </c>
      <c r="DG33" s="25">
        <v>132</v>
      </c>
      <c r="DH33" s="25">
        <v>56</v>
      </c>
      <c r="DI33" s="25">
        <v>815</v>
      </c>
      <c r="DJ33" s="25">
        <v>195</v>
      </c>
      <c r="DK33" s="25">
        <v>153</v>
      </c>
      <c r="DL33" s="25">
        <v>80</v>
      </c>
      <c r="DM33" s="25">
        <v>289</v>
      </c>
      <c r="DN33" s="25">
        <v>136</v>
      </c>
      <c r="DO33" s="25">
        <v>117</v>
      </c>
      <c r="DP33" s="25">
        <v>66</v>
      </c>
      <c r="DQ33" s="25">
        <v>135</v>
      </c>
      <c r="DR33" s="25">
        <v>88</v>
      </c>
      <c r="DS33" s="25">
        <v>0</v>
      </c>
      <c r="DT33" s="25">
        <v>119</v>
      </c>
      <c r="DU33" s="25">
        <v>12776</v>
      </c>
      <c r="DV33" s="25">
        <v>754</v>
      </c>
      <c r="DW33" s="25">
        <v>6969</v>
      </c>
      <c r="DX33" s="25">
        <v>565</v>
      </c>
      <c r="DY33" s="25">
        <v>4964</v>
      </c>
      <c r="DZ33" s="25">
        <v>463</v>
      </c>
      <c r="EA33" s="25">
        <v>2005</v>
      </c>
      <c r="EB33" s="25">
        <v>268</v>
      </c>
      <c r="EC33" s="25">
        <v>710</v>
      </c>
      <c r="ED33" s="25">
        <v>177</v>
      </c>
      <c r="EE33" s="25">
        <v>251</v>
      </c>
      <c r="EF33" s="25">
        <v>127</v>
      </c>
      <c r="EG33" s="25">
        <v>255</v>
      </c>
      <c r="EH33" s="25">
        <v>143</v>
      </c>
      <c r="EI33" s="25">
        <v>52</v>
      </c>
      <c r="EJ33" s="25">
        <v>41</v>
      </c>
      <c r="EK33" s="25">
        <v>4474</v>
      </c>
      <c r="EL33" s="25">
        <v>468</v>
      </c>
      <c r="EM33" s="25">
        <v>65</v>
      </c>
      <c r="EN33" s="25">
        <v>50</v>
      </c>
    </row>
    <row r="34" spans="1:144" x14ac:dyDescent="0.25">
      <c r="A34" s="19">
        <f t="shared" si="9"/>
        <v>51</v>
      </c>
      <c r="B34" s="20" t="str">
        <f t="shared" si="10"/>
        <v>Wasatch</v>
      </c>
      <c r="C34" s="24" t="s">
        <v>338</v>
      </c>
      <c r="D34" s="24" t="s">
        <v>339</v>
      </c>
      <c r="E34" s="25">
        <v>10537</v>
      </c>
      <c r="F34" s="25">
        <v>334</v>
      </c>
      <c r="G34" s="25">
        <v>7344</v>
      </c>
      <c r="H34" s="25">
        <v>410</v>
      </c>
      <c r="I34" s="25">
        <v>6307</v>
      </c>
      <c r="J34" s="25">
        <v>415</v>
      </c>
      <c r="K34" s="25">
        <v>1037</v>
      </c>
      <c r="L34" s="25">
        <v>222</v>
      </c>
      <c r="M34" s="25">
        <v>536</v>
      </c>
      <c r="N34" s="25">
        <v>213</v>
      </c>
      <c r="O34" s="25">
        <v>1052</v>
      </c>
      <c r="P34" s="25">
        <v>212</v>
      </c>
      <c r="Q34" s="25">
        <v>442</v>
      </c>
      <c r="R34" s="25">
        <v>149</v>
      </c>
      <c r="S34" s="25">
        <v>153</v>
      </c>
      <c r="T34" s="25">
        <v>81</v>
      </c>
      <c r="U34" s="25">
        <v>966</v>
      </c>
      <c r="V34" s="25">
        <v>224</v>
      </c>
      <c r="W34" s="25">
        <v>44</v>
      </c>
      <c r="X34" s="25">
        <v>48</v>
      </c>
      <c r="Y34" s="25">
        <v>7976</v>
      </c>
      <c r="Z34" s="25">
        <v>490</v>
      </c>
      <c r="AA34" s="25">
        <v>5588</v>
      </c>
      <c r="AB34" s="25">
        <v>421</v>
      </c>
      <c r="AC34" s="25">
        <v>4895</v>
      </c>
      <c r="AD34" s="25">
        <v>423</v>
      </c>
      <c r="AE34" s="25">
        <v>693</v>
      </c>
      <c r="AF34" s="25">
        <v>204</v>
      </c>
      <c r="AG34" s="25">
        <v>427</v>
      </c>
      <c r="AH34" s="25">
        <v>203</v>
      </c>
      <c r="AI34" s="25">
        <v>923</v>
      </c>
      <c r="AJ34" s="25">
        <v>196</v>
      </c>
      <c r="AK34" s="25">
        <v>384</v>
      </c>
      <c r="AL34" s="25">
        <v>140</v>
      </c>
      <c r="AM34" s="25">
        <v>142</v>
      </c>
      <c r="AN34" s="25">
        <v>79</v>
      </c>
      <c r="AO34" s="25">
        <v>502</v>
      </c>
      <c r="AP34" s="25">
        <v>156</v>
      </c>
      <c r="AQ34" s="25">
        <v>10</v>
      </c>
      <c r="AR34" s="25">
        <v>19</v>
      </c>
      <c r="AS34" s="25">
        <v>1267</v>
      </c>
      <c r="AT34" s="25">
        <v>272</v>
      </c>
      <c r="AU34" s="25">
        <v>995</v>
      </c>
      <c r="AV34" s="25">
        <v>233</v>
      </c>
      <c r="AW34" s="25">
        <v>888</v>
      </c>
      <c r="AX34" s="25">
        <v>203</v>
      </c>
      <c r="AY34" s="25">
        <v>107</v>
      </c>
      <c r="AZ34" s="25">
        <v>63</v>
      </c>
      <c r="BA34" s="25">
        <v>49</v>
      </c>
      <c r="BB34" s="25">
        <v>37</v>
      </c>
      <c r="BC34" s="25">
        <v>88</v>
      </c>
      <c r="BD34" s="25">
        <v>50</v>
      </c>
      <c r="BE34" s="25">
        <v>58</v>
      </c>
      <c r="BF34" s="25">
        <v>46</v>
      </c>
      <c r="BG34" s="25">
        <v>5</v>
      </c>
      <c r="BH34" s="25">
        <v>7</v>
      </c>
      <c r="BI34" s="25">
        <v>65</v>
      </c>
      <c r="BJ34" s="25">
        <v>52</v>
      </c>
      <c r="BK34" s="25">
        <v>7</v>
      </c>
      <c r="BL34" s="25">
        <v>11</v>
      </c>
      <c r="BM34" s="25">
        <v>27</v>
      </c>
      <c r="BN34" s="25">
        <v>32</v>
      </c>
      <c r="BO34" s="25">
        <v>27</v>
      </c>
      <c r="BP34" s="25">
        <v>32</v>
      </c>
      <c r="BQ34" s="25">
        <v>27</v>
      </c>
      <c r="BR34" s="25">
        <v>32</v>
      </c>
      <c r="BS34" s="25">
        <v>0</v>
      </c>
      <c r="BT34" s="25">
        <v>119</v>
      </c>
      <c r="BU34" s="25">
        <v>0</v>
      </c>
      <c r="BV34" s="25">
        <v>119</v>
      </c>
      <c r="BW34" s="25">
        <v>0</v>
      </c>
      <c r="BX34" s="25">
        <v>119</v>
      </c>
      <c r="BY34" s="25">
        <v>0</v>
      </c>
      <c r="BZ34" s="25">
        <v>119</v>
      </c>
      <c r="CA34" s="25">
        <v>0</v>
      </c>
      <c r="CB34" s="25">
        <v>119</v>
      </c>
      <c r="CC34" s="25">
        <v>0</v>
      </c>
      <c r="CD34" s="25">
        <v>119</v>
      </c>
      <c r="CE34" s="25">
        <v>0</v>
      </c>
      <c r="CF34" s="25">
        <v>119</v>
      </c>
      <c r="CG34" s="25">
        <v>179</v>
      </c>
      <c r="CH34" s="25">
        <v>90</v>
      </c>
      <c r="CI34" s="25">
        <v>141</v>
      </c>
      <c r="CJ34" s="25">
        <v>82</v>
      </c>
      <c r="CK34" s="25">
        <v>136</v>
      </c>
      <c r="CL34" s="25">
        <v>82</v>
      </c>
      <c r="CM34" s="25">
        <v>5</v>
      </c>
      <c r="CN34" s="25">
        <v>11</v>
      </c>
      <c r="CO34" s="25">
        <v>0</v>
      </c>
      <c r="CP34" s="25">
        <v>119</v>
      </c>
      <c r="CQ34" s="25">
        <v>14</v>
      </c>
      <c r="CR34" s="25">
        <v>23</v>
      </c>
      <c r="CS34" s="25">
        <v>0</v>
      </c>
      <c r="CT34" s="25">
        <v>119</v>
      </c>
      <c r="CU34" s="25">
        <v>0</v>
      </c>
      <c r="CV34" s="25">
        <v>119</v>
      </c>
      <c r="CW34" s="25">
        <v>24</v>
      </c>
      <c r="CX34" s="25">
        <v>23</v>
      </c>
      <c r="CY34" s="25">
        <v>0</v>
      </c>
      <c r="CZ34" s="25">
        <v>119</v>
      </c>
      <c r="DA34" s="25">
        <v>159</v>
      </c>
      <c r="DB34" s="25">
        <v>78</v>
      </c>
      <c r="DC34" s="25">
        <v>125</v>
      </c>
      <c r="DD34" s="25">
        <v>70</v>
      </c>
      <c r="DE34" s="25">
        <v>102</v>
      </c>
      <c r="DF34" s="25">
        <v>64</v>
      </c>
      <c r="DG34" s="25">
        <v>23</v>
      </c>
      <c r="DH34" s="25">
        <v>26</v>
      </c>
      <c r="DI34" s="25">
        <v>0</v>
      </c>
      <c r="DJ34" s="25">
        <v>119</v>
      </c>
      <c r="DK34" s="25">
        <v>27</v>
      </c>
      <c r="DL34" s="25">
        <v>32</v>
      </c>
      <c r="DM34" s="25">
        <v>0</v>
      </c>
      <c r="DN34" s="25">
        <v>119</v>
      </c>
      <c r="DO34" s="25">
        <v>2</v>
      </c>
      <c r="DP34" s="25">
        <v>5</v>
      </c>
      <c r="DQ34" s="25">
        <v>5</v>
      </c>
      <c r="DR34" s="25">
        <v>8</v>
      </c>
      <c r="DS34" s="25">
        <v>0</v>
      </c>
      <c r="DT34" s="25">
        <v>119</v>
      </c>
      <c r="DU34" s="25">
        <v>929</v>
      </c>
      <c r="DV34" s="25">
        <v>216</v>
      </c>
      <c r="DW34" s="25">
        <v>468</v>
      </c>
      <c r="DX34" s="25">
        <v>152</v>
      </c>
      <c r="DY34" s="25">
        <v>259</v>
      </c>
      <c r="DZ34" s="25">
        <v>97</v>
      </c>
      <c r="EA34" s="25">
        <v>209</v>
      </c>
      <c r="EB34" s="25">
        <v>90</v>
      </c>
      <c r="EC34" s="25">
        <v>60</v>
      </c>
      <c r="ED34" s="25">
        <v>52</v>
      </c>
      <c r="EE34" s="25">
        <v>0</v>
      </c>
      <c r="EF34" s="25">
        <v>119</v>
      </c>
      <c r="EG34" s="25">
        <v>0</v>
      </c>
      <c r="EH34" s="25">
        <v>119</v>
      </c>
      <c r="EI34" s="25">
        <v>4</v>
      </c>
      <c r="EJ34" s="25">
        <v>6</v>
      </c>
      <c r="EK34" s="25">
        <v>370</v>
      </c>
      <c r="EL34" s="25">
        <v>146</v>
      </c>
      <c r="EM34" s="25">
        <v>27</v>
      </c>
      <c r="EN34" s="25">
        <v>42</v>
      </c>
    </row>
    <row r="35" spans="1:144" x14ac:dyDescent="0.25">
      <c r="A35" s="19">
        <f t="shared" si="9"/>
        <v>53</v>
      </c>
      <c r="B35" s="20" t="str">
        <f t="shared" si="10"/>
        <v>Washington</v>
      </c>
      <c r="C35" s="24" t="s">
        <v>340</v>
      </c>
      <c r="D35" s="24" t="s">
        <v>341</v>
      </c>
      <c r="E35" s="25">
        <v>52005</v>
      </c>
      <c r="F35" s="25">
        <v>865</v>
      </c>
      <c r="G35" s="25">
        <v>38620</v>
      </c>
      <c r="H35" s="25">
        <v>939</v>
      </c>
      <c r="I35" s="25">
        <v>35003</v>
      </c>
      <c r="J35" s="25">
        <v>899</v>
      </c>
      <c r="K35" s="25">
        <v>3617</v>
      </c>
      <c r="L35" s="25">
        <v>452</v>
      </c>
      <c r="M35" s="25">
        <v>3484</v>
      </c>
      <c r="N35" s="25">
        <v>439</v>
      </c>
      <c r="O35" s="25">
        <v>3683</v>
      </c>
      <c r="P35" s="25">
        <v>446</v>
      </c>
      <c r="Q35" s="25">
        <v>1569</v>
      </c>
      <c r="R35" s="25">
        <v>266</v>
      </c>
      <c r="S35" s="25">
        <v>955</v>
      </c>
      <c r="T35" s="25">
        <v>256</v>
      </c>
      <c r="U35" s="25">
        <v>3573</v>
      </c>
      <c r="V35" s="25">
        <v>388</v>
      </c>
      <c r="W35" s="25">
        <v>121</v>
      </c>
      <c r="X35" s="25">
        <v>61</v>
      </c>
      <c r="Y35" s="25">
        <v>39968</v>
      </c>
      <c r="Z35" s="25">
        <v>1151</v>
      </c>
      <c r="AA35" s="25">
        <v>30122</v>
      </c>
      <c r="AB35" s="25">
        <v>1054</v>
      </c>
      <c r="AC35" s="25">
        <v>27727</v>
      </c>
      <c r="AD35" s="25">
        <v>976</v>
      </c>
      <c r="AE35" s="25">
        <v>2395</v>
      </c>
      <c r="AF35" s="25">
        <v>350</v>
      </c>
      <c r="AG35" s="25">
        <v>2933</v>
      </c>
      <c r="AH35" s="25">
        <v>408</v>
      </c>
      <c r="AI35" s="25">
        <v>2942</v>
      </c>
      <c r="AJ35" s="25">
        <v>382</v>
      </c>
      <c r="AK35" s="25">
        <v>1198</v>
      </c>
      <c r="AL35" s="25">
        <v>251</v>
      </c>
      <c r="AM35" s="25">
        <v>819</v>
      </c>
      <c r="AN35" s="25">
        <v>229</v>
      </c>
      <c r="AO35" s="25">
        <v>1898</v>
      </c>
      <c r="AP35" s="25">
        <v>298</v>
      </c>
      <c r="AQ35" s="25">
        <v>56</v>
      </c>
      <c r="AR35" s="25">
        <v>44</v>
      </c>
      <c r="AS35" s="25">
        <v>7199</v>
      </c>
      <c r="AT35" s="25">
        <v>811</v>
      </c>
      <c r="AU35" s="25">
        <v>5517</v>
      </c>
      <c r="AV35" s="25">
        <v>729</v>
      </c>
      <c r="AW35" s="25">
        <v>5106</v>
      </c>
      <c r="AX35" s="25">
        <v>698</v>
      </c>
      <c r="AY35" s="25">
        <v>411</v>
      </c>
      <c r="AZ35" s="25">
        <v>192</v>
      </c>
      <c r="BA35" s="25">
        <v>322</v>
      </c>
      <c r="BB35" s="25">
        <v>112</v>
      </c>
      <c r="BC35" s="25">
        <v>506</v>
      </c>
      <c r="BD35" s="25">
        <v>165</v>
      </c>
      <c r="BE35" s="25">
        <v>249</v>
      </c>
      <c r="BF35" s="25">
        <v>101</v>
      </c>
      <c r="BG35" s="25">
        <v>58</v>
      </c>
      <c r="BH35" s="25">
        <v>38</v>
      </c>
      <c r="BI35" s="25">
        <v>487</v>
      </c>
      <c r="BJ35" s="25">
        <v>135</v>
      </c>
      <c r="BK35" s="25">
        <v>60</v>
      </c>
      <c r="BL35" s="25">
        <v>51</v>
      </c>
      <c r="BM35" s="25">
        <v>291</v>
      </c>
      <c r="BN35" s="25">
        <v>114</v>
      </c>
      <c r="BO35" s="25">
        <v>190</v>
      </c>
      <c r="BP35" s="25">
        <v>92</v>
      </c>
      <c r="BQ35" s="25">
        <v>173</v>
      </c>
      <c r="BR35" s="25">
        <v>87</v>
      </c>
      <c r="BS35" s="25">
        <v>17</v>
      </c>
      <c r="BT35" s="25">
        <v>27</v>
      </c>
      <c r="BU35" s="25">
        <v>21</v>
      </c>
      <c r="BV35" s="25">
        <v>24</v>
      </c>
      <c r="BW35" s="25">
        <v>42</v>
      </c>
      <c r="BX35" s="25">
        <v>63</v>
      </c>
      <c r="BY35" s="25">
        <v>18</v>
      </c>
      <c r="BZ35" s="25">
        <v>29</v>
      </c>
      <c r="CA35" s="25">
        <v>0</v>
      </c>
      <c r="CB35" s="25">
        <v>119</v>
      </c>
      <c r="CC35" s="25">
        <v>20</v>
      </c>
      <c r="CD35" s="25">
        <v>22</v>
      </c>
      <c r="CE35" s="25">
        <v>0</v>
      </c>
      <c r="CF35" s="25">
        <v>119</v>
      </c>
      <c r="CG35" s="25">
        <v>1209</v>
      </c>
      <c r="CH35" s="25">
        <v>274</v>
      </c>
      <c r="CI35" s="25">
        <v>847</v>
      </c>
      <c r="CJ35" s="25">
        <v>248</v>
      </c>
      <c r="CK35" s="25">
        <v>765</v>
      </c>
      <c r="CL35" s="25">
        <v>244</v>
      </c>
      <c r="CM35" s="25">
        <v>82</v>
      </c>
      <c r="CN35" s="25">
        <v>51</v>
      </c>
      <c r="CO35" s="25">
        <v>38</v>
      </c>
      <c r="CP35" s="25">
        <v>46</v>
      </c>
      <c r="CQ35" s="25">
        <v>112</v>
      </c>
      <c r="CR35" s="25">
        <v>69</v>
      </c>
      <c r="CS35" s="25">
        <v>38</v>
      </c>
      <c r="CT35" s="25">
        <v>45</v>
      </c>
      <c r="CU35" s="25">
        <v>55</v>
      </c>
      <c r="CV35" s="25">
        <v>85</v>
      </c>
      <c r="CW35" s="25">
        <v>119</v>
      </c>
      <c r="CX35" s="25">
        <v>69</v>
      </c>
      <c r="CY35" s="25">
        <v>0</v>
      </c>
      <c r="CZ35" s="25">
        <v>119</v>
      </c>
      <c r="DA35" s="25">
        <v>738</v>
      </c>
      <c r="DB35" s="25">
        <v>171</v>
      </c>
      <c r="DC35" s="25">
        <v>477</v>
      </c>
      <c r="DD35" s="25">
        <v>134</v>
      </c>
      <c r="DE35" s="25">
        <v>460</v>
      </c>
      <c r="DF35" s="25">
        <v>133</v>
      </c>
      <c r="DG35" s="25">
        <v>17</v>
      </c>
      <c r="DH35" s="25">
        <v>21</v>
      </c>
      <c r="DI35" s="25">
        <v>102</v>
      </c>
      <c r="DJ35" s="25">
        <v>58</v>
      </c>
      <c r="DK35" s="25">
        <v>41</v>
      </c>
      <c r="DL35" s="25">
        <v>33</v>
      </c>
      <c r="DM35" s="25">
        <v>33</v>
      </c>
      <c r="DN35" s="25">
        <v>32</v>
      </c>
      <c r="DO35" s="25">
        <v>23</v>
      </c>
      <c r="DP35" s="25">
        <v>36</v>
      </c>
      <c r="DQ35" s="25">
        <v>62</v>
      </c>
      <c r="DR35" s="25">
        <v>50</v>
      </c>
      <c r="DS35" s="25">
        <v>0</v>
      </c>
      <c r="DT35" s="25">
        <v>119</v>
      </c>
      <c r="DU35" s="25">
        <v>2600</v>
      </c>
      <c r="DV35" s="25">
        <v>399</v>
      </c>
      <c r="DW35" s="25">
        <v>1467</v>
      </c>
      <c r="DX35" s="25">
        <v>335</v>
      </c>
      <c r="DY35" s="25">
        <v>772</v>
      </c>
      <c r="DZ35" s="25">
        <v>217</v>
      </c>
      <c r="EA35" s="25">
        <v>695</v>
      </c>
      <c r="EB35" s="25">
        <v>205</v>
      </c>
      <c r="EC35" s="25">
        <v>68</v>
      </c>
      <c r="ED35" s="25">
        <v>74</v>
      </c>
      <c r="EE35" s="25">
        <v>40</v>
      </c>
      <c r="EF35" s="25">
        <v>30</v>
      </c>
      <c r="EG35" s="25">
        <v>33</v>
      </c>
      <c r="EH35" s="25">
        <v>39</v>
      </c>
      <c r="EI35" s="25">
        <v>0</v>
      </c>
      <c r="EJ35" s="25">
        <v>119</v>
      </c>
      <c r="EK35" s="25">
        <v>987</v>
      </c>
      <c r="EL35" s="25">
        <v>193</v>
      </c>
      <c r="EM35" s="25">
        <v>5</v>
      </c>
      <c r="EN35" s="25">
        <v>10</v>
      </c>
    </row>
    <row r="36" spans="1:144" x14ac:dyDescent="0.25">
      <c r="A36" s="19">
        <f t="shared" si="9"/>
        <v>55</v>
      </c>
      <c r="B36" s="20" t="str">
        <f t="shared" si="10"/>
        <v>Wayne</v>
      </c>
      <c r="C36" s="24" t="s">
        <v>342</v>
      </c>
      <c r="D36" s="24" t="s">
        <v>343</v>
      </c>
      <c r="E36" s="25">
        <v>1283</v>
      </c>
      <c r="F36" s="25">
        <v>110</v>
      </c>
      <c r="G36" s="25">
        <v>767</v>
      </c>
      <c r="H36" s="25">
        <v>98</v>
      </c>
      <c r="I36" s="25">
        <v>628</v>
      </c>
      <c r="J36" s="25">
        <v>95</v>
      </c>
      <c r="K36" s="25">
        <v>139</v>
      </c>
      <c r="L36" s="25">
        <v>65</v>
      </c>
      <c r="M36" s="25">
        <v>22</v>
      </c>
      <c r="N36" s="25">
        <v>20</v>
      </c>
      <c r="O36" s="25">
        <v>247</v>
      </c>
      <c r="P36" s="25">
        <v>77</v>
      </c>
      <c r="Q36" s="25">
        <v>46</v>
      </c>
      <c r="R36" s="25">
        <v>29</v>
      </c>
      <c r="S36" s="25">
        <v>90</v>
      </c>
      <c r="T36" s="25">
        <v>42</v>
      </c>
      <c r="U36" s="25">
        <v>104</v>
      </c>
      <c r="V36" s="25">
        <v>53</v>
      </c>
      <c r="W36" s="25">
        <v>7</v>
      </c>
      <c r="X36" s="25">
        <v>6</v>
      </c>
      <c r="Y36" s="25">
        <v>885</v>
      </c>
      <c r="Z36" s="25">
        <v>98</v>
      </c>
      <c r="AA36" s="25">
        <v>560</v>
      </c>
      <c r="AB36" s="25">
        <v>86</v>
      </c>
      <c r="AC36" s="25">
        <v>488</v>
      </c>
      <c r="AD36" s="25">
        <v>89</v>
      </c>
      <c r="AE36" s="25">
        <v>72</v>
      </c>
      <c r="AF36" s="25">
        <v>35</v>
      </c>
      <c r="AG36" s="25">
        <v>13</v>
      </c>
      <c r="AH36" s="25">
        <v>13</v>
      </c>
      <c r="AI36" s="25">
        <v>145</v>
      </c>
      <c r="AJ36" s="25">
        <v>51</v>
      </c>
      <c r="AK36" s="25">
        <v>40</v>
      </c>
      <c r="AL36" s="25">
        <v>27</v>
      </c>
      <c r="AM36" s="25">
        <v>73</v>
      </c>
      <c r="AN36" s="25">
        <v>37</v>
      </c>
      <c r="AO36" s="25">
        <v>54</v>
      </c>
      <c r="AP36" s="25">
        <v>34</v>
      </c>
      <c r="AQ36" s="25">
        <v>0</v>
      </c>
      <c r="AR36" s="25">
        <v>119</v>
      </c>
      <c r="AS36" s="25">
        <v>161</v>
      </c>
      <c r="AT36" s="25">
        <v>98</v>
      </c>
      <c r="AU36" s="25">
        <v>84</v>
      </c>
      <c r="AV36" s="25">
        <v>49</v>
      </c>
      <c r="AW36" s="25">
        <v>52</v>
      </c>
      <c r="AX36" s="25">
        <v>35</v>
      </c>
      <c r="AY36" s="25">
        <v>32</v>
      </c>
      <c r="AZ36" s="25">
        <v>34</v>
      </c>
      <c r="BA36" s="25">
        <v>0</v>
      </c>
      <c r="BB36" s="25">
        <v>119</v>
      </c>
      <c r="BC36" s="25">
        <v>69</v>
      </c>
      <c r="BD36" s="25">
        <v>61</v>
      </c>
      <c r="BE36" s="25">
        <v>3</v>
      </c>
      <c r="BF36" s="25">
        <v>6</v>
      </c>
      <c r="BG36" s="25">
        <v>5</v>
      </c>
      <c r="BH36" s="25">
        <v>6</v>
      </c>
      <c r="BI36" s="25">
        <v>0</v>
      </c>
      <c r="BJ36" s="25">
        <v>119</v>
      </c>
      <c r="BK36" s="25">
        <v>0</v>
      </c>
      <c r="BL36" s="25">
        <v>119</v>
      </c>
      <c r="BM36" s="25">
        <v>9</v>
      </c>
      <c r="BN36" s="25">
        <v>14</v>
      </c>
      <c r="BO36" s="25">
        <v>0</v>
      </c>
      <c r="BP36" s="25">
        <v>119</v>
      </c>
      <c r="BQ36" s="25">
        <v>0</v>
      </c>
      <c r="BR36" s="25">
        <v>119</v>
      </c>
      <c r="BS36" s="25">
        <v>0</v>
      </c>
      <c r="BT36" s="25">
        <v>119</v>
      </c>
      <c r="BU36" s="25">
        <v>9</v>
      </c>
      <c r="BV36" s="25">
        <v>14</v>
      </c>
      <c r="BW36" s="25">
        <v>0</v>
      </c>
      <c r="BX36" s="25">
        <v>119</v>
      </c>
      <c r="BY36" s="25">
        <v>0</v>
      </c>
      <c r="BZ36" s="25">
        <v>119</v>
      </c>
      <c r="CA36" s="25">
        <v>0</v>
      </c>
      <c r="CB36" s="25">
        <v>119</v>
      </c>
      <c r="CC36" s="25">
        <v>0</v>
      </c>
      <c r="CD36" s="25">
        <v>119</v>
      </c>
      <c r="CE36" s="25">
        <v>0</v>
      </c>
      <c r="CF36" s="25">
        <v>119</v>
      </c>
      <c r="CG36" s="25">
        <v>119</v>
      </c>
      <c r="CH36" s="25">
        <v>48</v>
      </c>
      <c r="CI36" s="25">
        <v>79</v>
      </c>
      <c r="CJ36" s="25">
        <v>40</v>
      </c>
      <c r="CK36" s="25">
        <v>62</v>
      </c>
      <c r="CL36" s="25">
        <v>37</v>
      </c>
      <c r="CM36" s="25">
        <v>17</v>
      </c>
      <c r="CN36" s="25">
        <v>18</v>
      </c>
      <c r="CO36" s="25">
        <v>0</v>
      </c>
      <c r="CP36" s="25">
        <v>119</v>
      </c>
      <c r="CQ36" s="25">
        <v>13</v>
      </c>
      <c r="CR36" s="25">
        <v>14</v>
      </c>
      <c r="CS36" s="25">
        <v>3</v>
      </c>
      <c r="CT36" s="25">
        <v>4</v>
      </c>
      <c r="CU36" s="25">
        <v>12</v>
      </c>
      <c r="CV36" s="25">
        <v>14</v>
      </c>
      <c r="CW36" s="25">
        <v>9</v>
      </c>
      <c r="CX36" s="25">
        <v>15</v>
      </c>
      <c r="CY36" s="25">
        <v>3</v>
      </c>
      <c r="CZ36" s="25">
        <v>5</v>
      </c>
      <c r="DA36" s="25">
        <v>20</v>
      </c>
      <c r="DB36" s="25">
        <v>26</v>
      </c>
      <c r="DC36" s="25">
        <v>0</v>
      </c>
      <c r="DD36" s="25">
        <v>119</v>
      </c>
      <c r="DE36" s="25">
        <v>0</v>
      </c>
      <c r="DF36" s="25">
        <v>119</v>
      </c>
      <c r="DG36" s="25">
        <v>0</v>
      </c>
      <c r="DH36" s="25">
        <v>119</v>
      </c>
      <c r="DI36" s="25">
        <v>0</v>
      </c>
      <c r="DJ36" s="25">
        <v>119</v>
      </c>
      <c r="DK36" s="25">
        <v>20</v>
      </c>
      <c r="DL36" s="25">
        <v>26</v>
      </c>
      <c r="DM36" s="25">
        <v>0</v>
      </c>
      <c r="DN36" s="25">
        <v>119</v>
      </c>
      <c r="DO36" s="25">
        <v>0</v>
      </c>
      <c r="DP36" s="25">
        <v>119</v>
      </c>
      <c r="DQ36" s="25">
        <v>0</v>
      </c>
      <c r="DR36" s="25">
        <v>119</v>
      </c>
      <c r="DS36" s="25">
        <v>0</v>
      </c>
      <c r="DT36" s="25">
        <v>119</v>
      </c>
      <c r="DU36" s="25">
        <v>89</v>
      </c>
      <c r="DV36" s="25">
        <v>42</v>
      </c>
      <c r="DW36" s="25">
        <v>44</v>
      </c>
      <c r="DX36" s="25">
        <v>25</v>
      </c>
      <c r="DY36" s="25">
        <v>26</v>
      </c>
      <c r="DZ36" s="25">
        <v>23</v>
      </c>
      <c r="EA36" s="25">
        <v>18</v>
      </c>
      <c r="EB36" s="25">
        <v>14</v>
      </c>
      <c r="EC36" s="25">
        <v>0</v>
      </c>
      <c r="ED36" s="25">
        <v>119</v>
      </c>
      <c r="EE36" s="25">
        <v>0</v>
      </c>
      <c r="EF36" s="25">
        <v>119</v>
      </c>
      <c r="EG36" s="25">
        <v>0</v>
      </c>
      <c r="EH36" s="25">
        <v>119</v>
      </c>
      <c r="EI36" s="25">
        <v>0</v>
      </c>
      <c r="EJ36" s="25">
        <v>119</v>
      </c>
      <c r="EK36" s="25">
        <v>41</v>
      </c>
      <c r="EL36" s="25">
        <v>27</v>
      </c>
      <c r="EM36" s="25">
        <v>4</v>
      </c>
      <c r="EN36" s="25">
        <v>5</v>
      </c>
    </row>
    <row r="37" spans="1:144" x14ac:dyDescent="0.25">
      <c r="A37" s="19">
        <f t="shared" si="9"/>
        <v>57</v>
      </c>
      <c r="B37" s="20" t="str">
        <f t="shared" si="10"/>
        <v>Weber</v>
      </c>
      <c r="C37" s="24" t="s">
        <v>344</v>
      </c>
      <c r="D37" s="24" t="s">
        <v>345</v>
      </c>
      <c r="E37" s="25">
        <v>102828</v>
      </c>
      <c r="F37" s="25">
        <v>1296</v>
      </c>
      <c r="G37" s="25">
        <v>70873</v>
      </c>
      <c r="H37" s="25">
        <v>1411</v>
      </c>
      <c r="I37" s="25">
        <v>67216</v>
      </c>
      <c r="J37" s="25">
        <v>1359</v>
      </c>
      <c r="K37" s="25">
        <v>3657</v>
      </c>
      <c r="L37" s="25">
        <v>413</v>
      </c>
      <c r="M37" s="25">
        <v>4393</v>
      </c>
      <c r="N37" s="25">
        <v>440</v>
      </c>
      <c r="O37" s="25">
        <v>7047</v>
      </c>
      <c r="P37" s="25">
        <v>574</v>
      </c>
      <c r="Q37" s="25">
        <v>4727</v>
      </c>
      <c r="R37" s="25">
        <v>480</v>
      </c>
      <c r="S37" s="25">
        <v>11989</v>
      </c>
      <c r="T37" s="25">
        <v>629</v>
      </c>
      <c r="U37" s="25">
        <v>3634</v>
      </c>
      <c r="V37" s="25">
        <v>360</v>
      </c>
      <c r="W37" s="25">
        <v>165</v>
      </c>
      <c r="X37" s="25">
        <v>69</v>
      </c>
      <c r="Y37" s="25">
        <v>81930</v>
      </c>
      <c r="Z37" s="25">
        <v>1543</v>
      </c>
      <c r="AA37" s="25">
        <v>56476</v>
      </c>
      <c r="AB37" s="25">
        <v>1476</v>
      </c>
      <c r="AC37" s="25">
        <v>53977</v>
      </c>
      <c r="AD37" s="25">
        <v>1406</v>
      </c>
      <c r="AE37" s="25">
        <v>2499</v>
      </c>
      <c r="AF37" s="25">
        <v>357</v>
      </c>
      <c r="AG37" s="25">
        <v>3479</v>
      </c>
      <c r="AH37" s="25">
        <v>350</v>
      </c>
      <c r="AI37" s="25">
        <v>5977</v>
      </c>
      <c r="AJ37" s="25">
        <v>487</v>
      </c>
      <c r="AK37" s="25">
        <v>3762</v>
      </c>
      <c r="AL37" s="25">
        <v>438</v>
      </c>
      <c r="AM37" s="25">
        <v>10273</v>
      </c>
      <c r="AN37" s="25">
        <v>583</v>
      </c>
      <c r="AO37" s="25">
        <v>1911</v>
      </c>
      <c r="AP37" s="25">
        <v>260</v>
      </c>
      <c r="AQ37" s="25">
        <v>52</v>
      </c>
      <c r="AR37" s="25">
        <v>47</v>
      </c>
      <c r="AS37" s="25">
        <v>12578</v>
      </c>
      <c r="AT37" s="25">
        <v>916</v>
      </c>
      <c r="AU37" s="25">
        <v>9313</v>
      </c>
      <c r="AV37" s="25">
        <v>790</v>
      </c>
      <c r="AW37" s="25">
        <v>8820</v>
      </c>
      <c r="AX37" s="25">
        <v>727</v>
      </c>
      <c r="AY37" s="25">
        <v>493</v>
      </c>
      <c r="AZ37" s="25">
        <v>152</v>
      </c>
      <c r="BA37" s="25">
        <v>405</v>
      </c>
      <c r="BB37" s="25">
        <v>137</v>
      </c>
      <c r="BC37" s="25">
        <v>594</v>
      </c>
      <c r="BD37" s="25">
        <v>159</v>
      </c>
      <c r="BE37" s="25">
        <v>466</v>
      </c>
      <c r="BF37" s="25">
        <v>156</v>
      </c>
      <c r="BG37" s="25">
        <v>1337</v>
      </c>
      <c r="BH37" s="25">
        <v>234</v>
      </c>
      <c r="BI37" s="25">
        <v>427</v>
      </c>
      <c r="BJ37" s="25">
        <v>135</v>
      </c>
      <c r="BK37" s="25">
        <v>36</v>
      </c>
      <c r="BL37" s="25">
        <v>35</v>
      </c>
      <c r="BM37" s="25">
        <v>2112</v>
      </c>
      <c r="BN37" s="25">
        <v>320</v>
      </c>
      <c r="BO37" s="25">
        <v>1407</v>
      </c>
      <c r="BP37" s="25">
        <v>311</v>
      </c>
      <c r="BQ37" s="25">
        <v>1407</v>
      </c>
      <c r="BR37" s="25">
        <v>311</v>
      </c>
      <c r="BS37" s="25">
        <v>0</v>
      </c>
      <c r="BT37" s="25">
        <v>119</v>
      </c>
      <c r="BU37" s="25">
        <v>208</v>
      </c>
      <c r="BV37" s="25">
        <v>88</v>
      </c>
      <c r="BW37" s="25">
        <v>106</v>
      </c>
      <c r="BX37" s="25">
        <v>73</v>
      </c>
      <c r="BY37" s="25">
        <v>263</v>
      </c>
      <c r="BZ37" s="25">
        <v>126</v>
      </c>
      <c r="CA37" s="25">
        <v>107</v>
      </c>
      <c r="CB37" s="25">
        <v>75</v>
      </c>
      <c r="CC37" s="25">
        <v>21</v>
      </c>
      <c r="CD37" s="25">
        <v>25</v>
      </c>
      <c r="CE37" s="25">
        <v>0</v>
      </c>
      <c r="CF37" s="25">
        <v>119</v>
      </c>
      <c r="CG37" s="25">
        <v>1421</v>
      </c>
      <c r="CH37" s="25">
        <v>276</v>
      </c>
      <c r="CI37" s="25">
        <v>1066</v>
      </c>
      <c r="CJ37" s="25">
        <v>260</v>
      </c>
      <c r="CK37" s="25">
        <v>999</v>
      </c>
      <c r="CL37" s="25">
        <v>254</v>
      </c>
      <c r="CM37" s="25">
        <v>67</v>
      </c>
      <c r="CN37" s="25">
        <v>46</v>
      </c>
      <c r="CO37" s="25">
        <v>28</v>
      </c>
      <c r="CP37" s="25">
        <v>30</v>
      </c>
      <c r="CQ37" s="25">
        <v>150</v>
      </c>
      <c r="CR37" s="25">
        <v>63</v>
      </c>
      <c r="CS37" s="25">
        <v>103</v>
      </c>
      <c r="CT37" s="25">
        <v>69</v>
      </c>
      <c r="CU37" s="25">
        <v>30</v>
      </c>
      <c r="CV37" s="25">
        <v>35</v>
      </c>
      <c r="CW37" s="25">
        <v>38</v>
      </c>
      <c r="CX37" s="25">
        <v>34</v>
      </c>
      <c r="CY37" s="25">
        <v>6</v>
      </c>
      <c r="CZ37" s="25">
        <v>9</v>
      </c>
      <c r="DA37" s="25">
        <v>1549</v>
      </c>
      <c r="DB37" s="25">
        <v>303</v>
      </c>
      <c r="DC37" s="25">
        <v>967</v>
      </c>
      <c r="DD37" s="25">
        <v>250</v>
      </c>
      <c r="DE37" s="25">
        <v>906</v>
      </c>
      <c r="DF37" s="25">
        <v>236</v>
      </c>
      <c r="DG37" s="25">
        <v>61</v>
      </c>
      <c r="DH37" s="25">
        <v>56</v>
      </c>
      <c r="DI37" s="25">
        <v>68</v>
      </c>
      <c r="DJ37" s="25">
        <v>55</v>
      </c>
      <c r="DK37" s="25">
        <v>192</v>
      </c>
      <c r="DL37" s="25">
        <v>121</v>
      </c>
      <c r="DM37" s="25">
        <v>90</v>
      </c>
      <c r="DN37" s="25">
        <v>62</v>
      </c>
      <c r="DO37" s="25">
        <v>177</v>
      </c>
      <c r="DP37" s="25">
        <v>73</v>
      </c>
      <c r="DQ37" s="25">
        <v>46</v>
      </c>
      <c r="DR37" s="25">
        <v>31</v>
      </c>
      <c r="DS37" s="25">
        <v>9</v>
      </c>
      <c r="DT37" s="25">
        <v>13</v>
      </c>
      <c r="DU37" s="25">
        <v>3238</v>
      </c>
      <c r="DV37" s="25">
        <v>401</v>
      </c>
      <c r="DW37" s="25">
        <v>1644</v>
      </c>
      <c r="DX37" s="25">
        <v>271</v>
      </c>
      <c r="DY37" s="25">
        <v>1107</v>
      </c>
      <c r="DZ37" s="25">
        <v>216</v>
      </c>
      <c r="EA37" s="25">
        <v>537</v>
      </c>
      <c r="EB37" s="25">
        <v>143</v>
      </c>
      <c r="EC37" s="25">
        <v>205</v>
      </c>
      <c r="ED37" s="25">
        <v>160</v>
      </c>
      <c r="EE37" s="25">
        <v>28</v>
      </c>
      <c r="EF37" s="25">
        <v>24</v>
      </c>
      <c r="EG37" s="25">
        <v>43</v>
      </c>
      <c r="EH37" s="25">
        <v>32</v>
      </c>
      <c r="EI37" s="25">
        <v>65</v>
      </c>
      <c r="EJ37" s="25">
        <v>40</v>
      </c>
      <c r="EK37" s="25">
        <v>1191</v>
      </c>
      <c r="EL37" s="25">
        <v>238</v>
      </c>
      <c r="EM37" s="25">
        <v>62</v>
      </c>
      <c r="EN37" s="25">
        <v>47</v>
      </c>
    </row>
    <row r="39" spans="1:144" x14ac:dyDescent="0.25">
      <c r="A39" s="19">
        <f>VLOOKUP($C39, lu_GEOID, 2, FALSE)</f>
        <v>101</v>
      </c>
      <c r="B39" s="20" t="str">
        <f>VLOOKUP($C39, lu_GEOID, 3, FALSE)</f>
        <v>Wasatch Front</v>
      </c>
      <c r="C39" s="17" t="s">
        <v>401</v>
      </c>
      <c r="D39" s="21" t="str">
        <f>B39</f>
        <v>Wasatch Front</v>
      </c>
      <c r="E39" s="22">
        <f>E14 + E26 + E33 + E37</f>
        <v>934825</v>
      </c>
      <c r="F39" s="22">
        <f t="shared" ref="F39:BQ39" si="11">F14 + F26 + F33 + F37</f>
        <v>6615</v>
      </c>
      <c r="G39" s="22">
        <f t="shared" si="11"/>
        <v>674941</v>
      </c>
      <c r="H39" s="22">
        <f t="shared" si="11"/>
        <v>8040</v>
      </c>
      <c r="I39" s="22">
        <f t="shared" si="11"/>
        <v>635761</v>
      </c>
      <c r="J39" s="22">
        <f t="shared" si="11"/>
        <v>7902</v>
      </c>
      <c r="K39" s="22">
        <f t="shared" si="11"/>
        <v>39180</v>
      </c>
      <c r="L39" s="22">
        <f t="shared" si="11"/>
        <v>2296</v>
      </c>
      <c r="M39" s="22">
        <f t="shared" si="11"/>
        <v>66300</v>
      </c>
      <c r="N39" s="22">
        <f t="shared" si="11"/>
        <v>3511</v>
      </c>
      <c r="O39" s="22">
        <f t="shared" si="11"/>
        <v>59500</v>
      </c>
      <c r="P39" s="22">
        <f t="shared" si="11"/>
        <v>2709</v>
      </c>
      <c r="Q39" s="22">
        <f t="shared" si="11"/>
        <v>48746</v>
      </c>
      <c r="R39" s="22">
        <f t="shared" si="11"/>
        <v>2769</v>
      </c>
      <c r="S39" s="22">
        <f t="shared" si="11"/>
        <v>38794</v>
      </c>
      <c r="T39" s="22">
        <f t="shared" si="11"/>
        <v>2376</v>
      </c>
      <c r="U39" s="22">
        <f t="shared" si="11"/>
        <v>45458</v>
      </c>
      <c r="V39" s="22">
        <f t="shared" si="11"/>
        <v>2646</v>
      </c>
      <c r="W39" s="22">
        <f t="shared" si="11"/>
        <v>1086</v>
      </c>
      <c r="X39" s="22">
        <f t="shared" si="11"/>
        <v>388</v>
      </c>
      <c r="Y39" s="22">
        <f t="shared" si="11"/>
        <v>713062</v>
      </c>
      <c r="Z39" s="22">
        <f t="shared" si="11"/>
        <v>7833</v>
      </c>
      <c r="AA39" s="22">
        <f t="shared" si="11"/>
        <v>525399</v>
      </c>
      <c r="AB39" s="22">
        <f t="shared" si="11"/>
        <v>7893</v>
      </c>
      <c r="AC39" s="22">
        <f t="shared" si="11"/>
        <v>498594</v>
      </c>
      <c r="AD39" s="22">
        <f t="shared" si="11"/>
        <v>7752</v>
      </c>
      <c r="AE39" s="22">
        <f t="shared" si="11"/>
        <v>26805</v>
      </c>
      <c r="AF39" s="22">
        <f t="shared" si="11"/>
        <v>1917</v>
      </c>
      <c r="AG39" s="22">
        <f t="shared" si="11"/>
        <v>46201</v>
      </c>
      <c r="AH39" s="22">
        <f t="shared" si="11"/>
        <v>2694</v>
      </c>
      <c r="AI39" s="22">
        <f t="shared" si="11"/>
        <v>49286</v>
      </c>
      <c r="AJ39" s="22">
        <f t="shared" si="11"/>
        <v>2436</v>
      </c>
      <c r="AK39" s="22">
        <f t="shared" si="11"/>
        <v>36870</v>
      </c>
      <c r="AL39" s="22">
        <f t="shared" si="11"/>
        <v>2240</v>
      </c>
      <c r="AM39" s="22">
        <f t="shared" si="11"/>
        <v>32195</v>
      </c>
      <c r="AN39" s="22">
        <f t="shared" si="11"/>
        <v>2208</v>
      </c>
      <c r="AO39" s="22">
        <f t="shared" si="11"/>
        <v>22671</v>
      </c>
      <c r="AP39" s="22">
        <f t="shared" si="11"/>
        <v>1743</v>
      </c>
      <c r="AQ39" s="22">
        <f t="shared" si="11"/>
        <v>440</v>
      </c>
      <c r="AR39" s="22">
        <f t="shared" si="11"/>
        <v>237</v>
      </c>
      <c r="AS39" s="22">
        <f t="shared" si="11"/>
        <v>111326</v>
      </c>
      <c r="AT39" s="22">
        <f t="shared" si="11"/>
        <v>4801</v>
      </c>
      <c r="AU39" s="22">
        <f t="shared" si="11"/>
        <v>82736</v>
      </c>
      <c r="AV39" s="22">
        <f t="shared" si="11"/>
        <v>4018</v>
      </c>
      <c r="AW39" s="22">
        <f t="shared" si="11"/>
        <v>78818</v>
      </c>
      <c r="AX39" s="22">
        <f t="shared" si="11"/>
        <v>3899</v>
      </c>
      <c r="AY39" s="22">
        <f t="shared" si="11"/>
        <v>3918</v>
      </c>
      <c r="AZ39" s="22">
        <f t="shared" si="11"/>
        <v>777</v>
      </c>
      <c r="BA39" s="22">
        <f t="shared" si="11"/>
        <v>7725</v>
      </c>
      <c r="BB39" s="22">
        <f t="shared" si="11"/>
        <v>1164</v>
      </c>
      <c r="BC39" s="22">
        <f t="shared" si="11"/>
        <v>6141</v>
      </c>
      <c r="BD39" s="22">
        <f t="shared" si="11"/>
        <v>948</v>
      </c>
      <c r="BE39" s="22">
        <f t="shared" si="11"/>
        <v>5530</v>
      </c>
      <c r="BF39" s="22">
        <f t="shared" si="11"/>
        <v>1011</v>
      </c>
      <c r="BG39" s="22">
        <f t="shared" si="11"/>
        <v>4449</v>
      </c>
      <c r="BH39" s="22">
        <f t="shared" si="11"/>
        <v>811</v>
      </c>
      <c r="BI39" s="22">
        <f t="shared" si="11"/>
        <v>4436</v>
      </c>
      <c r="BJ39" s="22">
        <f t="shared" si="11"/>
        <v>896</v>
      </c>
      <c r="BK39" s="22">
        <f t="shared" si="11"/>
        <v>309</v>
      </c>
      <c r="BL39" s="22">
        <f t="shared" si="11"/>
        <v>296</v>
      </c>
      <c r="BM39" s="22">
        <f t="shared" si="11"/>
        <v>26683</v>
      </c>
      <c r="BN39" s="22">
        <f t="shared" si="11"/>
        <v>2295</v>
      </c>
      <c r="BO39" s="22">
        <f t="shared" si="11"/>
        <v>17023</v>
      </c>
      <c r="BP39" s="22">
        <f t="shared" si="11"/>
        <v>1995</v>
      </c>
      <c r="BQ39" s="22">
        <f t="shared" si="11"/>
        <v>16897</v>
      </c>
      <c r="BR39" s="22">
        <f t="shared" ref="BR39:EC39" si="12">BR14 + BR26 + BR33 + BR37</f>
        <v>1987</v>
      </c>
      <c r="BS39" s="22">
        <f t="shared" si="12"/>
        <v>126</v>
      </c>
      <c r="BT39" s="22">
        <f t="shared" si="12"/>
        <v>332</v>
      </c>
      <c r="BU39" s="22">
        <f t="shared" si="12"/>
        <v>4312</v>
      </c>
      <c r="BV39" s="22">
        <f t="shared" si="12"/>
        <v>821</v>
      </c>
      <c r="BW39" s="22">
        <f t="shared" si="12"/>
        <v>1043</v>
      </c>
      <c r="BX39" s="22">
        <f t="shared" si="12"/>
        <v>413</v>
      </c>
      <c r="BY39" s="22">
        <f t="shared" si="12"/>
        <v>3251</v>
      </c>
      <c r="BZ39" s="22">
        <f t="shared" si="12"/>
        <v>690</v>
      </c>
      <c r="CA39" s="22">
        <f t="shared" si="12"/>
        <v>821</v>
      </c>
      <c r="CB39" s="22">
        <f t="shared" si="12"/>
        <v>323</v>
      </c>
      <c r="CC39" s="22">
        <f t="shared" si="12"/>
        <v>229</v>
      </c>
      <c r="CD39" s="22">
        <f t="shared" si="12"/>
        <v>143</v>
      </c>
      <c r="CE39" s="22">
        <f t="shared" si="12"/>
        <v>4</v>
      </c>
      <c r="CF39" s="22">
        <f t="shared" si="12"/>
        <v>368</v>
      </c>
      <c r="CG39" s="22">
        <f t="shared" si="12"/>
        <v>24212</v>
      </c>
      <c r="CH39" s="22">
        <f t="shared" si="12"/>
        <v>2307</v>
      </c>
      <c r="CI39" s="22">
        <f t="shared" si="12"/>
        <v>14860</v>
      </c>
      <c r="CJ39" s="22">
        <f t="shared" si="12"/>
        <v>1960</v>
      </c>
      <c r="CK39" s="22">
        <f t="shared" si="12"/>
        <v>13957</v>
      </c>
      <c r="CL39" s="22">
        <f t="shared" si="12"/>
        <v>1906</v>
      </c>
      <c r="CM39" s="22">
        <f t="shared" si="12"/>
        <v>903</v>
      </c>
      <c r="CN39" s="22">
        <f t="shared" si="12"/>
        <v>369</v>
      </c>
      <c r="CO39" s="22">
        <f t="shared" si="12"/>
        <v>4802</v>
      </c>
      <c r="CP39" s="22">
        <f t="shared" si="12"/>
        <v>863</v>
      </c>
      <c r="CQ39" s="22">
        <f t="shared" si="12"/>
        <v>1472</v>
      </c>
      <c r="CR39" s="22">
        <f t="shared" si="12"/>
        <v>442</v>
      </c>
      <c r="CS39" s="22">
        <f t="shared" si="12"/>
        <v>1280</v>
      </c>
      <c r="CT39" s="22">
        <f t="shared" si="12"/>
        <v>371</v>
      </c>
      <c r="CU39" s="22">
        <f t="shared" si="12"/>
        <v>261</v>
      </c>
      <c r="CV39" s="22">
        <f t="shared" si="12"/>
        <v>225</v>
      </c>
      <c r="CW39" s="22">
        <f t="shared" si="12"/>
        <v>1509</v>
      </c>
      <c r="CX39" s="22">
        <f t="shared" si="12"/>
        <v>461</v>
      </c>
      <c r="CY39" s="22">
        <f t="shared" si="12"/>
        <v>28</v>
      </c>
      <c r="CZ39" s="22">
        <f t="shared" si="12"/>
        <v>165</v>
      </c>
      <c r="DA39" s="22">
        <f t="shared" si="12"/>
        <v>16502</v>
      </c>
      <c r="DB39" s="22">
        <f t="shared" si="12"/>
        <v>1774</v>
      </c>
      <c r="DC39" s="22">
        <f t="shared" si="12"/>
        <v>11461</v>
      </c>
      <c r="DD39" s="22">
        <f t="shared" si="12"/>
        <v>1397</v>
      </c>
      <c r="DE39" s="22">
        <f t="shared" si="12"/>
        <v>10851</v>
      </c>
      <c r="DF39" s="22">
        <f t="shared" si="12"/>
        <v>1380</v>
      </c>
      <c r="DG39" s="22">
        <f t="shared" si="12"/>
        <v>610</v>
      </c>
      <c r="DH39" s="22">
        <f t="shared" si="12"/>
        <v>276</v>
      </c>
      <c r="DI39" s="22">
        <f t="shared" si="12"/>
        <v>1491</v>
      </c>
      <c r="DJ39" s="22">
        <f t="shared" si="12"/>
        <v>421</v>
      </c>
      <c r="DK39" s="22">
        <f t="shared" si="12"/>
        <v>1007</v>
      </c>
      <c r="DL39" s="22">
        <f t="shared" si="12"/>
        <v>435</v>
      </c>
      <c r="DM39" s="22">
        <f t="shared" si="12"/>
        <v>958</v>
      </c>
      <c r="DN39" s="22">
        <f t="shared" si="12"/>
        <v>340</v>
      </c>
      <c r="DO39" s="22">
        <f t="shared" si="12"/>
        <v>727</v>
      </c>
      <c r="DP39" s="22">
        <f t="shared" si="12"/>
        <v>332</v>
      </c>
      <c r="DQ39" s="22">
        <f t="shared" si="12"/>
        <v>849</v>
      </c>
      <c r="DR39" s="22">
        <f t="shared" si="12"/>
        <v>394</v>
      </c>
      <c r="DS39" s="22">
        <f t="shared" si="12"/>
        <v>9</v>
      </c>
      <c r="DT39" s="22">
        <f t="shared" si="12"/>
        <v>370</v>
      </c>
      <c r="DU39" s="22">
        <f t="shared" si="12"/>
        <v>43040</v>
      </c>
      <c r="DV39" s="22">
        <f t="shared" si="12"/>
        <v>2418</v>
      </c>
      <c r="DW39" s="22">
        <f t="shared" si="12"/>
        <v>23462</v>
      </c>
      <c r="DX39" s="22">
        <f t="shared" si="12"/>
        <v>1884</v>
      </c>
      <c r="DY39" s="22">
        <f t="shared" si="12"/>
        <v>16644</v>
      </c>
      <c r="DZ39" s="22">
        <f t="shared" si="12"/>
        <v>1512</v>
      </c>
      <c r="EA39" s="22">
        <f t="shared" si="12"/>
        <v>6818</v>
      </c>
      <c r="EB39" s="22">
        <f t="shared" si="12"/>
        <v>993</v>
      </c>
      <c r="EC39" s="22">
        <f t="shared" si="12"/>
        <v>1769</v>
      </c>
      <c r="ED39" s="22">
        <f t="shared" ref="ED39:EN39" si="13">ED14 + ED26 + ED33 + ED37</f>
        <v>573</v>
      </c>
      <c r="EE39" s="22">
        <f t="shared" si="13"/>
        <v>551</v>
      </c>
      <c r="EF39" s="22">
        <f t="shared" si="13"/>
        <v>269</v>
      </c>
      <c r="EG39" s="22">
        <f t="shared" si="13"/>
        <v>857</v>
      </c>
      <c r="EH39" s="22">
        <f t="shared" si="13"/>
        <v>364</v>
      </c>
      <c r="EI39" s="22">
        <f t="shared" si="13"/>
        <v>341</v>
      </c>
      <c r="EJ39" s="22">
        <f t="shared" si="13"/>
        <v>200</v>
      </c>
      <c r="EK39" s="22">
        <f t="shared" si="13"/>
        <v>15764</v>
      </c>
      <c r="EL39" s="22">
        <f t="shared" si="13"/>
        <v>1677</v>
      </c>
      <c r="EM39" s="22">
        <f t="shared" si="13"/>
        <v>296</v>
      </c>
      <c r="EN39" s="22">
        <f t="shared" si="13"/>
        <v>203</v>
      </c>
    </row>
  </sheetData>
  <phoneticPr fontId="23" type="noConversion"/>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139488206</v>
      </c>
      <c r="F7" s="25">
        <v>132753</v>
      </c>
      <c r="G7" s="25">
        <v>98026130</v>
      </c>
      <c r="H7" s="25">
        <v>58221</v>
      </c>
      <c r="I7" s="25">
        <v>93065055</v>
      </c>
      <c r="J7" s="25">
        <v>66795</v>
      </c>
      <c r="K7" s="25">
        <v>4961075</v>
      </c>
      <c r="L7" s="25">
        <v>19510</v>
      </c>
      <c r="M7" s="25">
        <v>10894111</v>
      </c>
      <c r="N7" s="25">
        <v>56476</v>
      </c>
      <c r="O7" s="25">
        <v>10503202</v>
      </c>
      <c r="P7" s="25">
        <v>63040</v>
      </c>
      <c r="Q7" s="25">
        <v>6287066</v>
      </c>
      <c r="R7" s="25">
        <v>35602</v>
      </c>
      <c r="S7" s="25">
        <v>4786420</v>
      </c>
      <c r="T7" s="25">
        <v>27764</v>
      </c>
      <c r="U7" s="25">
        <v>8773787</v>
      </c>
      <c r="V7" s="25">
        <v>21870</v>
      </c>
      <c r="W7" s="25">
        <v>217490</v>
      </c>
      <c r="X7" s="25">
        <v>3123</v>
      </c>
      <c r="Y7" s="25">
        <v>106138652</v>
      </c>
      <c r="Z7" s="25">
        <v>111585</v>
      </c>
      <c r="AA7" s="25">
        <v>75648503</v>
      </c>
      <c r="AB7" s="25">
        <v>47547</v>
      </c>
      <c r="AC7" s="25">
        <v>72274984</v>
      </c>
      <c r="AD7" s="25">
        <v>53625</v>
      </c>
      <c r="AE7" s="25">
        <v>3373519</v>
      </c>
      <c r="AF7" s="25">
        <v>16291</v>
      </c>
      <c r="AG7" s="25">
        <v>8200279</v>
      </c>
      <c r="AH7" s="25">
        <v>40829</v>
      </c>
      <c r="AI7" s="25">
        <v>8652517</v>
      </c>
      <c r="AJ7" s="25">
        <v>47277</v>
      </c>
      <c r="AK7" s="25">
        <v>4847596</v>
      </c>
      <c r="AL7" s="25">
        <v>25833</v>
      </c>
      <c r="AM7" s="25">
        <v>3599037</v>
      </c>
      <c r="AN7" s="25">
        <v>21598</v>
      </c>
      <c r="AO7" s="25">
        <v>5083713</v>
      </c>
      <c r="AP7" s="25">
        <v>18280</v>
      </c>
      <c r="AQ7" s="25">
        <v>107007</v>
      </c>
      <c r="AR7" s="25">
        <v>2399</v>
      </c>
      <c r="AS7" s="25">
        <v>14176794</v>
      </c>
      <c r="AT7" s="25">
        <v>55610</v>
      </c>
      <c r="AU7" s="25">
        <v>10130384</v>
      </c>
      <c r="AV7" s="25">
        <v>27382</v>
      </c>
      <c r="AW7" s="25">
        <v>9662385</v>
      </c>
      <c r="AX7" s="25">
        <v>27034</v>
      </c>
      <c r="AY7" s="25">
        <v>467999</v>
      </c>
      <c r="AZ7" s="25">
        <v>6458</v>
      </c>
      <c r="BA7" s="25">
        <v>1049765</v>
      </c>
      <c r="BB7" s="25">
        <v>12916</v>
      </c>
      <c r="BC7" s="25">
        <v>966878</v>
      </c>
      <c r="BD7" s="25">
        <v>14713</v>
      </c>
      <c r="BE7" s="25">
        <v>647076</v>
      </c>
      <c r="BF7" s="25">
        <v>9697</v>
      </c>
      <c r="BG7" s="25">
        <v>455745</v>
      </c>
      <c r="BH7" s="25">
        <v>6482</v>
      </c>
      <c r="BI7" s="25">
        <v>891560</v>
      </c>
      <c r="BJ7" s="25">
        <v>7678</v>
      </c>
      <c r="BK7" s="25">
        <v>35386</v>
      </c>
      <c r="BL7" s="25">
        <v>1622</v>
      </c>
      <c r="BM7" s="25">
        <v>6915130</v>
      </c>
      <c r="BN7" s="25">
        <v>18136</v>
      </c>
      <c r="BO7" s="25">
        <v>4976018</v>
      </c>
      <c r="BP7" s="25">
        <v>18134</v>
      </c>
      <c r="BQ7" s="25">
        <v>4894282</v>
      </c>
      <c r="BR7" s="25">
        <v>18167</v>
      </c>
      <c r="BS7" s="25">
        <v>81736</v>
      </c>
      <c r="BT7" s="25">
        <v>1879</v>
      </c>
      <c r="BU7" s="25">
        <v>689360</v>
      </c>
      <c r="BV7" s="25">
        <v>6347</v>
      </c>
      <c r="BW7" s="25">
        <v>429719</v>
      </c>
      <c r="BX7" s="25">
        <v>5079</v>
      </c>
      <c r="BY7" s="25">
        <v>280601</v>
      </c>
      <c r="BZ7" s="25">
        <v>4102</v>
      </c>
      <c r="CA7" s="25">
        <v>298230</v>
      </c>
      <c r="CB7" s="25">
        <v>4661</v>
      </c>
      <c r="CC7" s="25">
        <v>237137</v>
      </c>
      <c r="CD7" s="25">
        <v>4070</v>
      </c>
      <c r="CE7" s="25">
        <v>4065</v>
      </c>
      <c r="CF7" s="25">
        <v>482</v>
      </c>
      <c r="CG7" s="25">
        <v>3948202</v>
      </c>
      <c r="CH7" s="25">
        <v>15196</v>
      </c>
      <c r="CI7" s="25">
        <v>2488843</v>
      </c>
      <c r="CJ7" s="25">
        <v>14557</v>
      </c>
      <c r="CK7" s="25">
        <v>2345896</v>
      </c>
      <c r="CL7" s="25">
        <v>14991</v>
      </c>
      <c r="CM7" s="25">
        <v>142947</v>
      </c>
      <c r="CN7" s="25">
        <v>2912</v>
      </c>
      <c r="CO7" s="25">
        <v>485487</v>
      </c>
      <c r="CP7" s="25">
        <v>5291</v>
      </c>
      <c r="CQ7" s="25">
        <v>213716</v>
      </c>
      <c r="CR7" s="25">
        <v>3453</v>
      </c>
      <c r="CS7" s="25">
        <v>251483</v>
      </c>
      <c r="CT7" s="25">
        <v>4151</v>
      </c>
      <c r="CU7" s="25">
        <v>184245</v>
      </c>
      <c r="CV7" s="25">
        <v>4033</v>
      </c>
      <c r="CW7" s="25">
        <v>311620</v>
      </c>
      <c r="CX7" s="25">
        <v>4046</v>
      </c>
      <c r="CY7" s="25">
        <v>12808</v>
      </c>
      <c r="CZ7" s="25">
        <v>617</v>
      </c>
      <c r="DA7" s="25">
        <v>2419660</v>
      </c>
      <c r="DB7" s="25">
        <v>13671</v>
      </c>
      <c r="DC7" s="25">
        <v>1736118</v>
      </c>
      <c r="DD7" s="25">
        <v>12415</v>
      </c>
      <c r="DE7" s="25">
        <v>1666560</v>
      </c>
      <c r="DF7" s="25">
        <v>12407</v>
      </c>
      <c r="DG7" s="25">
        <v>69558</v>
      </c>
      <c r="DH7" s="25">
        <v>1648</v>
      </c>
      <c r="DI7" s="25">
        <v>174262</v>
      </c>
      <c r="DJ7" s="25">
        <v>3300</v>
      </c>
      <c r="DK7" s="25">
        <v>126663</v>
      </c>
      <c r="DL7" s="25">
        <v>2481</v>
      </c>
      <c r="DM7" s="25">
        <v>118273</v>
      </c>
      <c r="DN7" s="25">
        <v>2512</v>
      </c>
      <c r="DO7" s="25">
        <v>87684</v>
      </c>
      <c r="DP7" s="25">
        <v>2365</v>
      </c>
      <c r="DQ7" s="25">
        <v>171472</v>
      </c>
      <c r="DR7" s="25">
        <v>3600</v>
      </c>
      <c r="DS7" s="25">
        <v>5188</v>
      </c>
      <c r="DT7" s="25">
        <v>502</v>
      </c>
      <c r="DU7" s="25">
        <v>5889768</v>
      </c>
      <c r="DV7" s="25">
        <v>19418</v>
      </c>
      <c r="DW7" s="25">
        <v>3046264</v>
      </c>
      <c r="DX7" s="25">
        <v>11624</v>
      </c>
      <c r="DY7" s="25">
        <v>2220948</v>
      </c>
      <c r="DZ7" s="25">
        <v>10702</v>
      </c>
      <c r="EA7" s="25">
        <v>825316</v>
      </c>
      <c r="EB7" s="25">
        <v>7220</v>
      </c>
      <c r="EC7" s="25">
        <v>294958</v>
      </c>
      <c r="ED7" s="25">
        <v>4539</v>
      </c>
      <c r="EE7" s="25">
        <v>113709</v>
      </c>
      <c r="EF7" s="25">
        <v>2410</v>
      </c>
      <c r="EG7" s="25">
        <v>142037</v>
      </c>
      <c r="EH7" s="25">
        <v>2770</v>
      </c>
      <c r="EI7" s="25">
        <v>161479</v>
      </c>
      <c r="EJ7" s="25">
        <v>4235</v>
      </c>
      <c r="EK7" s="25">
        <v>2078285</v>
      </c>
      <c r="EL7" s="25">
        <v>12013</v>
      </c>
      <c r="EM7" s="25">
        <v>53036</v>
      </c>
      <c r="EN7" s="25">
        <v>1547</v>
      </c>
    </row>
    <row r="8" spans="1:144" x14ac:dyDescent="0.25">
      <c r="A8" s="19">
        <f t="shared" si="8"/>
        <v>1049</v>
      </c>
      <c r="B8" s="20" t="str">
        <f t="shared" si="9"/>
        <v>State of Utah</v>
      </c>
      <c r="C8" s="24" t="s">
        <v>286</v>
      </c>
      <c r="D8" s="24" t="s">
        <v>287</v>
      </c>
      <c r="E8" s="25">
        <v>1234094</v>
      </c>
      <c r="F8" s="25">
        <v>4037</v>
      </c>
      <c r="G8" s="25">
        <v>884697</v>
      </c>
      <c r="H8" s="25">
        <v>4178</v>
      </c>
      <c r="I8" s="25">
        <v>830141</v>
      </c>
      <c r="J8" s="25">
        <v>4573</v>
      </c>
      <c r="K8" s="25">
        <v>54556</v>
      </c>
      <c r="L8" s="25">
        <v>1444</v>
      </c>
      <c r="M8" s="25">
        <v>84235</v>
      </c>
      <c r="N8" s="25">
        <v>1896</v>
      </c>
      <c r="O8" s="25">
        <v>85486</v>
      </c>
      <c r="P8" s="25">
        <v>2003</v>
      </c>
      <c r="Q8" s="25">
        <v>68367</v>
      </c>
      <c r="R8" s="25">
        <v>1782</v>
      </c>
      <c r="S8" s="25">
        <v>47990</v>
      </c>
      <c r="T8" s="25">
        <v>1542</v>
      </c>
      <c r="U8" s="25">
        <v>61660</v>
      </c>
      <c r="V8" s="25">
        <v>1662</v>
      </c>
      <c r="W8" s="25">
        <v>1659</v>
      </c>
      <c r="X8" s="25">
        <v>231</v>
      </c>
      <c r="Y8" s="25">
        <v>936374</v>
      </c>
      <c r="Z8" s="25">
        <v>5288</v>
      </c>
      <c r="AA8" s="25">
        <v>684292</v>
      </c>
      <c r="AB8" s="25">
        <v>4691</v>
      </c>
      <c r="AC8" s="25">
        <v>647497</v>
      </c>
      <c r="AD8" s="25">
        <v>4748</v>
      </c>
      <c r="AE8" s="25">
        <v>36795</v>
      </c>
      <c r="AF8" s="25">
        <v>1335</v>
      </c>
      <c r="AG8" s="25">
        <v>60540</v>
      </c>
      <c r="AH8" s="25">
        <v>1680</v>
      </c>
      <c r="AI8" s="25">
        <v>70712</v>
      </c>
      <c r="AJ8" s="25">
        <v>1864</v>
      </c>
      <c r="AK8" s="25">
        <v>50490</v>
      </c>
      <c r="AL8" s="25">
        <v>1511</v>
      </c>
      <c r="AM8" s="25">
        <v>38498</v>
      </c>
      <c r="AN8" s="25">
        <v>1446</v>
      </c>
      <c r="AO8" s="25">
        <v>31069</v>
      </c>
      <c r="AP8" s="25">
        <v>1243</v>
      </c>
      <c r="AQ8" s="25">
        <v>773</v>
      </c>
      <c r="AR8" s="25">
        <v>169</v>
      </c>
      <c r="AS8" s="25">
        <v>150719</v>
      </c>
      <c r="AT8" s="25">
        <v>2953</v>
      </c>
      <c r="AU8" s="25">
        <v>112144</v>
      </c>
      <c r="AV8" s="25">
        <v>2497</v>
      </c>
      <c r="AW8" s="25">
        <v>106433</v>
      </c>
      <c r="AX8" s="25">
        <v>2500</v>
      </c>
      <c r="AY8" s="25">
        <v>5711</v>
      </c>
      <c r="AZ8" s="25">
        <v>545</v>
      </c>
      <c r="BA8" s="25">
        <v>9274</v>
      </c>
      <c r="BB8" s="25">
        <v>626</v>
      </c>
      <c r="BC8" s="25">
        <v>8793</v>
      </c>
      <c r="BD8" s="25">
        <v>650</v>
      </c>
      <c r="BE8" s="25">
        <v>8163</v>
      </c>
      <c r="BF8" s="25">
        <v>620</v>
      </c>
      <c r="BG8" s="25">
        <v>6189</v>
      </c>
      <c r="BH8" s="25">
        <v>576</v>
      </c>
      <c r="BI8" s="25">
        <v>5726</v>
      </c>
      <c r="BJ8" s="25">
        <v>503</v>
      </c>
      <c r="BK8" s="25">
        <v>430</v>
      </c>
      <c r="BL8" s="25">
        <v>119</v>
      </c>
      <c r="BM8" s="25">
        <v>28843</v>
      </c>
      <c r="BN8" s="25">
        <v>1260</v>
      </c>
      <c r="BO8" s="25">
        <v>17936</v>
      </c>
      <c r="BP8" s="25">
        <v>1040</v>
      </c>
      <c r="BQ8" s="25">
        <v>17811</v>
      </c>
      <c r="BR8" s="25">
        <v>1042</v>
      </c>
      <c r="BS8" s="25">
        <v>125</v>
      </c>
      <c r="BT8" s="25">
        <v>55</v>
      </c>
      <c r="BU8" s="25">
        <v>4395</v>
      </c>
      <c r="BV8" s="25">
        <v>430</v>
      </c>
      <c r="BW8" s="25">
        <v>1268</v>
      </c>
      <c r="BX8" s="25">
        <v>210</v>
      </c>
      <c r="BY8" s="25">
        <v>3926</v>
      </c>
      <c r="BZ8" s="25">
        <v>455</v>
      </c>
      <c r="CA8" s="25">
        <v>889</v>
      </c>
      <c r="CB8" s="25">
        <v>217</v>
      </c>
      <c r="CC8" s="25">
        <v>417</v>
      </c>
      <c r="CD8" s="25">
        <v>129</v>
      </c>
      <c r="CE8" s="25">
        <v>12</v>
      </c>
      <c r="CF8" s="25">
        <v>20</v>
      </c>
      <c r="CG8" s="25">
        <v>35133</v>
      </c>
      <c r="CH8" s="25">
        <v>1495</v>
      </c>
      <c r="CI8" s="25">
        <v>21466</v>
      </c>
      <c r="CJ8" s="25">
        <v>1148</v>
      </c>
      <c r="CK8" s="25">
        <v>19990</v>
      </c>
      <c r="CL8" s="25">
        <v>1142</v>
      </c>
      <c r="CM8" s="25">
        <v>1476</v>
      </c>
      <c r="CN8" s="25">
        <v>230</v>
      </c>
      <c r="CO8" s="25">
        <v>5603</v>
      </c>
      <c r="CP8" s="25">
        <v>639</v>
      </c>
      <c r="CQ8" s="25">
        <v>2327</v>
      </c>
      <c r="CR8" s="25">
        <v>267</v>
      </c>
      <c r="CS8" s="25">
        <v>2801</v>
      </c>
      <c r="CT8" s="25">
        <v>439</v>
      </c>
      <c r="CU8" s="25">
        <v>846</v>
      </c>
      <c r="CV8" s="25">
        <v>222</v>
      </c>
      <c r="CW8" s="25">
        <v>2043</v>
      </c>
      <c r="CX8" s="25">
        <v>324</v>
      </c>
      <c r="CY8" s="25">
        <v>47</v>
      </c>
      <c r="CZ8" s="25">
        <v>34</v>
      </c>
      <c r="DA8" s="25">
        <v>23608</v>
      </c>
      <c r="DB8" s="25">
        <v>1105</v>
      </c>
      <c r="DC8" s="25">
        <v>16354</v>
      </c>
      <c r="DD8" s="25">
        <v>994</v>
      </c>
      <c r="DE8" s="25">
        <v>15376</v>
      </c>
      <c r="DF8" s="25">
        <v>974</v>
      </c>
      <c r="DG8" s="25">
        <v>978</v>
      </c>
      <c r="DH8" s="25">
        <v>194</v>
      </c>
      <c r="DI8" s="25">
        <v>2027</v>
      </c>
      <c r="DJ8" s="25">
        <v>294</v>
      </c>
      <c r="DK8" s="25">
        <v>1520</v>
      </c>
      <c r="DL8" s="25">
        <v>269</v>
      </c>
      <c r="DM8" s="25">
        <v>1670</v>
      </c>
      <c r="DN8" s="25">
        <v>268</v>
      </c>
      <c r="DO8" s="25">
        <v>956</v>
      </c>
      <c r="DP8" s="25">
        <v>239</v>
      </c>
      <c r="DQ8" s="25">
        <v>1051</v>
      </c>
      <c r="DR8" s="25">
        <v>239</v>
      </c>
      <c r="DS8" s="25">
        <v>30</v>
      </c>
      <c r="DT8" s="25">
        <v>39</v>
      </c>
      <c r="DU8" s="25">
        <v>59417</v>
      </c>
      <c r="DV8" s="25">
        <v>1505</v>
      </c>
      <c r="DW8" s="25">
        <v>32505</v>
      </c>
      <c r="DX8" s="25">
        <v>1066</v>
      </c>
      <c r="DY8" s="25">
        <v>23034</v>
      </c>
      <c r="DZ8" s="25">
        <v>918</v>
      </c>
      <c r="EA8" s="25">
        <v>9471</v>
      </c>
      <c r="EB8" s="25">
        <v>627</v>
      </c>
      <c r="EC8" s="25">
        <v>2396</v>
      </c>
      <c r="ED8" s="25">
        <v>332</v>
      </c>
      <c r="EE8" s="25">
        <v>866</v>
      </c>
      <c r="EF8" s="25">
        <v>189</v>
      </c>
      <c r="EG8" s="25">
        <v>1317</v>
      </c>
      <c r="EH8" s="25">
        <v>281</v>
      </c>
      <c r="EI8" s="25">
        <v>612</v>
      </c>
      <c r="EJ8" s="25">
        <v>142</v>
      </c>
      <c r="EK8" s="25">
        <v>21354</v>
      </c>
      <c r="EL8" s="25">
        <v>983</v>
      </c>
      <c r="EM8" s="25">
        <v>367</v>
      </c>
      <c r="EN8" s="25">
        <v>106</v>
      </c>
    </row>
    <row r="9" spans="1:144" x14ac:dyDescent="0.25">
      <c r="A9" s="19">
        <f t="shared" si="8"/>
        <v>1</v>
      </c>
      <c r="B9" s="20" t="str">
        <f t="shared" si="9"/>
        <v>Beaver</v>
      </c>
      <c r="C9" s="24" t="s">
        <v>288</v>
      </c>
      <c r="D9" s="24" t="s">
        <v>289</v>
      </c>
      <c r="E9" s="25">
        <v>2568</v>
      </c>
      <c r="F9" s="25">
        <v>238</v>
      </c>
      <c r="G9" s="25">
        <v>1805</v>
      </c>
      <c r="H9" s="25">
        <v>204</v>
      </c>
      <c r="I9" s="25">
        <v>1647</v>
      </c>
      <c r="J9" s="25">
        <v>186</v>
      </c>
      <c r="K9" s="25">
        <v>158</v>
      </c>
      <c r="L9" s="25">
        <v>68</v>
      </c>
      <c r="M9" s="25">
        <v>23</v>
      </c>
      <c r="N9" s="25">
        <v>29</v>
      </c>
      <c r="O9" s="25">
        <v>334</v>
      </c>
      <c r="P9" s="25">
        <v>86</v>
      </c>
      <c r="Q9" s="25">
        <v>96</v>
      </c>
      <c r="R9" s="25">
        <v>41</v>
      </c>
      <c r="S9" s="25">
        <v>117</v>
      </c>
      <c r="T9" s="25">
        <v>63</v>
      </c>
      <c r="U9" s="25">
        <v>193</v>
      </c>
      <c r="V9" s="25">
        <v>76</v>
      </c>
      <c r="W9" s="25">
        <v>0</v>
      </c>
      <c r="X9" s="25">
        <v>89</v>
      </c>
      <c r="Y9" s="25">
        <v>2121</v>
      </c>
      <c r="Z9" s="25">
        <v>215</v>
      </c>
      <c r="AA9" s="25">
        <v>1554</v>
      </c>
      <c r="AB9" s="25">
        <v>179</v>
      </c>
      <c r="AC9" s="25">
        <v>1431</v>
      </c>
      <c r="AD9" s="25">
        <v>162</v>
      </c>
      <c r="AE9" s="25">
        <v>123</v>
      </c>
      <c r="AF9" s="25">
        <v>65</v>
      </c>
      <c r="AG9" s="25">
        <v>23</v>
      </c>
      <c r="AH9" s="25">
        <v>29</v>
      </c>
      <c r="AI9" s="25">
        <v>291</v>
      </c>
      <c r="AJ9" s="25">
        <v>80</v>
      </c>
      <c r="AK9" s="25">
        <v>83</v>
      </c>
      <c r="AL9" s="25">
        <v>38</v>
      </c>
      <c r="AM9" s="25">
        <v>61</v>
      </c>
      <c r="AN9" s="25">
        <v>50</v>
      </c>
      <c r="AO9" s="25">
        <v>109</v>
      </c>
      <c r="AP9" s="25">
        <v>63</v>
      </c>
      <c r="AQ9" s="25">
        <v>0</v>
      </c>
      <c r="AR9" s="25">
        <v>89</v>
      </c>
      <c r="AS9" s="25">
        <v>191</v>
      </c>
      <c r="AT9" s="25">
        <v>73</v>
      </c>
      <c r="AU9" s="25">
        <v>138</v>
      </c>
      <c r="AV9" s="25">
        <v>66</v>
      </c>
      <c r="AW9" s="25">
        <v>116</v>
      </c>
      <c r="AX9" s="25">
        <v>58</v>
      </c>
      <c r="AY9" s="25">
        <v>22</v>
      </c>
      <c r="AZ9" s="25">
        <v>19</v>
      </c>
      <c r="BA9" s="25">
        <v>0</v>
      </c>
      <c r="BB9" s="25">
        <v>89</v>
      </c>
      <c r="BC9" s="25">
        <v>25</v>
      </c>
      <c r="BD9" s="25">
        <v>27</v>
      </c>
      <c r="BE9" s="25">
        <v>8</v>
      </c>
      <c r="BF9" s="25">
        <v>10</v>
      </c>
      <c r="BG9" s="25">
        <v>9</v>
      </c>
      <c r="BH9" s="25">
        <v>15</v>
      </c>
      <c r="BI9" s="25">
        <v>11</v>
      </c>
      <c r="BJ9" s="25">
        <v>10</v>
      </c>
      <c r="BK9" s="25">
        <v>0</v>
      </c>
      <c r="BL9" s="25">
        <v>89</v>
      </c>
      <c r="BM9" s="25">
        <v>7</v>
      </c>
      <c r="BN9" s="25">
        <v>12</v>
      </c>
      <c r="BO9" s="25">
        <v>7</v>
      </c>
      <c r="BP9" s="25">
        <v>12</v>
      </c>
      <c r="BQ9" s="25">
        <v>7</v>
      </c>
      <c r="BR9" s="25">
        <v>12</v>
      </c>
      <c r="BS9" s="25">
        <v>0</v>
      </c>
      <c r="BT9" s="25">
        <v>89</v>
      </c>
      <c r="BU9" s="25">
        <v>0</v>
      </c>
      <c r="BV9" s="25">
        <v>89</v>
      </c>
      <c r="BW9" s="25">
        <v>0</v>
      </c>
      <c r="BX9" s="25">
        <v>89</v>
      </c>
      <c r="BY9" s="25">
        <v>0</v>
      </c>
      <c r="BZ9" s="25">
        <v>89</v>
      </c>
      <c r="CA9" s="25">
        <v>0</v>
      </c>
      <c r="CB9" s="25">
        <v>89</v>
      </c>
      <c r="CC9" s="25">
        <v>0</v>
      </c>
      <c r="CD9" s="25">
        <v>89</v>
      </c>
      <c r="CE9" s="25">
        <v>0</v>
      </c>
      <c r="CF9" s="25">
        <v>89</v>
      </c>
      <c r="CG9" s="25">
        <v>85</v>
      </c>
      <c r="CH9" s="25">
        <v>47</v>
      </c>
      <c r="CI9" s="25">
        <v>26</v>
      </c>
      <c r="CJ9" s="25">
        <v>18</v>
      </c>
      <c r="CK9" s="25">
        <v>26</v>
      </c>
      <c r="CL9" s="25">
        <v>18</v>
      </c>
      <c r="CM9" s="25">
        <v>0</v>
      </c>
      <c r="CN9" s="25">
        <v>89</v>
      </c>
      <c r="CO9" s="25">
        <v>0</v>
      </c>
      <c r="CP9" s="25">
        <v>89</v>
      </c>
      <c r="CQ9" s="25">
        <v>10</v>
      </c>
      <c r="CR9" s="25">
        <v>11</v>
      </c>
      <c r="CS9" s="25">
        <v>5</v>
      </c>
      <c r="CT9" s="25">
        <v>9</v>
      </c>
      <c r="CU9" s="25">
        <v>27</v>
      </c>
      <c r="CV9" s="25">
        <v>34</v>
      </c>
      <c r="CW9" s="25">
        <v>17</v>
      </c>
      <c r="CX9" s="25">
        <v>28</v>
      </c>
      <c r="CY9" s="25">
        <v>0</v>
      </c>
      <c r="CZ9" s="25">
        <v>89</v>
      </c>
      <c r="DA9" s="25">
        <v>26</v>
      </c>
      <c r="DB9" s="25">
        <v>32</v>
      </c>
      <c r="DC9" s="25">
        <v>26</v>
      </c>
      <c r="DD9" s="25">
        <v>32</v>
      </c>
      <c r="DE9" s="25">
        <v>26</v>
      </c>
      <c r="DF9" s="25">
        <v>32</v>
      </c>
      <c r="DG9" s="25">
        <v>0</v>
      </c>
      <c r="DH9" s="25">
        <v>89</v>
      </c>
      <c r="DI9" s="25">
        <v>0</v>
      </c>
      <c r="DJ9" s="25">
        <v>89</v>
      </c>
      <c r="DK9" s="25">
        <v>0</v>
      </c>
      <c r="DL9" s="25">
        <v>89</v>
      </c>
      <c r="DM9" s="25">
        <v>0</v>
      </c>
      <c r="DN9" s="25">
        <v>89</v>
      </c>
      <c r="DO9" s="25">
        <v>0</v>
      </c>
      <c r="DP9" s="25">
        <v>89</v>
      </c>
      <c r="DQ9" s="25">
        <v>0</v>
      </c>
      <c r="DR9" s="25">
        <v>89</v>
      </c>
      <c r="DS9" s="25">
        <v>0</v>
      </c>
      <c r="DT9" s="25">
        <v>89</v>
      </c>
      <c r="DU9" s="25">
        <v>138</v>
      </c>
      <c r="DV9" s="25">
        <v>55</v>
      </c>
      <c r="DW9" s="25">
        <v>54</v>
      </c>
      <c r="DX9" s="25">
        <v>41</v>
      </c>
      <c r="DY9" s="25">
        <v>41</v>
      </c>
      <c r="DZ9" s="25">
        <v>38</v>
      </c>
      <c r="EA9" s="25">
        <v>13</v>
      </c>
      <c r="EB9" s="25">
        <v>18</v>
      </c>
      <c r="EC9" s="25">
        <v>0</v>
      </c>
      <c r="ED9" s="25">
        <v>89</v>
      </c>
      <c r="EE9" s="25">
        <v>8</v>
      </c>
      <c r="EF9" s="25">
        <v>11</v>
      </c>
      <c r="EG9" s="25">
        <v>0</v>
      </c>
      <c r="EH9" s="25">
        <v>89</v>
      </c>
      <c r="EI9" s="25">
        <v>20</v>
      </c>
      <c r="EJ9" s="25">
        <v>20</v>
      </c>
      <c r="EK9" s="25">
        <v>56</v>
      </c>
      <c r="EL9" s="25">
        <v>36</v>
      </c>
      <c r="EM9" s="25">
        <v>0</v>
      </c>
      <c r="EN9" s="25">
        <v>89</v>
      </c>
    </row>
    <row r="10" spans="1:144" x14ac:dyDescent="0.25">
      <c r="A10" s="19">
        <f t="shared" si="8"/>
        <v>3</v>
      </c>
      <c r="B10" s="20" t="str">
        <f t="shared" si="9"/>
        <v>Box Elder</v>
      </c>
      <c r="C10" s="24" t="s">
        <v>290</v>
      </c>
      <c r="D10" s="24" t="s">
        <v>291</v>
      </c>
      <c r="E10" s="25">
        <v>21098</v>
      </c>
      <c r="F10" s="25">
        <v>465</v>
      </c>
      <c r="G10" s="25">
        <v>15332</v>
      </c>
      <c r="H10" s="25">
        <v>511</v>
      </c>
      <c r="I10" s="25">
        <v>14371</v>
      </c>
      <c r="J10" s="25">
        <v>477</v>
      </c>
      <c r="K10" s="25">
        <v>961</v>
      </c>
      <c r="L10" s="25">
        <v>177</v>
      </c>
      <c r="M10" s="25">
        <v>774</v>
      </c>
      <c r="N10" s="25">
        <v>159</v>
      </c>
      <c r="O10" s="25">
        <v>2159</v>
      </c>
      <c r="P10" s="25">
        <v>326</v>
      </c>
      <c r="Q10" s="25">
        <v>752</v>
      </c>
      <c r="R10" s="25">
        <v>158</v>
      </c>
      <c r="S10" s="25">
        <v>824</v>
      </c>
      <c r="T10" s="25">
        <v>178</v>
      </c>
      <c r="U10" s="25">
        <v>1230</v>
      </c>
      <c r="V10" s="25">
        <v>221</v>
      </c>
      <c r="W10" s="25">
        <v>27</v>
      </c>
      <c r="X10" s="25">
        <v>33</v>
      </c>
      <c r="Y10" s="25">
        <v>15654</v>
      </c>
      <c r="Z10" s="25">
        <v>535</v>
      </c>
      <c r="AA10" s="25">
        <v>11481</v>
      </c>
      <c r="AB10" s="25">
        <v>570</v>
      </c>
      <c r="AC10" s="25">
        <v>10876</v>
      </c>
      <c r="AD10" s="25">
        <v>538</v>
      </c>
      <c r="AE10" s="25">
        <v>605</v>
      </c>
      <c r="AF10" s="25">
        <v>147</v>
      </c>
      <c r="AG10" s="25">
        <v>631</v>
      </c>
      <c r="AH10" s="25">
        <v>142</v>
      </c>
      <c r="AI10" s="25">
        <v>1821</v>
      </c>
      <c r="AJ10" s="25">
        <v>279</v>
      </c>
      <c r="AK10" s="25">
        <v>621</v>
      </c>
      <c r="AL10" s="25">
        <v>132</v>
      </c>
      <c r="AM10" s="25">
        <v>554</v>
      </c>
      <c r="AN10" s="25">
        <v>134</v>
      </c>
      <c r="AO10" s="25">
        <v>519</v>
      </c>
      <c r="AP10" s="25">
        <v>126</v>
      </c>
      <c r="AQ10" s="25">
        <v>27</v>
      </c>
      <c r="AR10" s="25">
        <v>33</v>
      </c>
      <c r="AS10" s="25">
        <v>3416</v>
      </c>
      <c r="AT10" s="25">
        <v>337</v>
      </c>
      <c r="AU10" s="25">
        <v>2806</v>
      </c>
      <c r="AV10" s="25">
        <v>297</v>
      </c>
      <c r="AW10" s="25">
        <v>2693</v>
      </c>
      <c r="AX10" s="25">
        <v>282</v>
      </c>
      <c r="AY10" s="25">
        <v>113</v>
      </c>
      <c r="AZ10" s="25">
        <v>74</v>
      </c>
      <c r="BA10" s="25">
        <v>113</v>
      </c>
      <c r="BB10" s="25">
        <v>58</v>
      </c>
      <c r="BC10" s="25">
        <v>112</v>
      </c>
      <c r="BD10" s="25">
        <v>49</v>
      </c>
      <c r="BE10" s="25">
        <v>64</v>
      </c>
      <c r="BF10" s="25">
        <v>38</v>
      </c>
      <c r="BG10" s="25">
        <v>227</v>
      </c>
      <c r="BH10" s="25">
        <v>106</v>
      </c>
      <c r="BI10" s="25">
        <v>94</v>
      </c>
      <c r="BJ10" s="25">
        <v>50</v>
      </c>
      <c r="BK10" s="25">
        <v>0</v>
      </c>
      <c r="BL10" s="25">
        <v>89</v>
      </c>
      <c r="BM10" s="25">
        <v>164</v>
      </c>
      <c r="BN10" s="25">
        <v>67</v>
      </c>
      <c r="BO10" s="25">
        <v>119</v>
      </c>
      <c r="BP10" s="25">
        <v>60</v>
      </c>
      <c r="BQ10" s="25">
        <v>119</v>
      </c>
      <c r="BR10" s="25">
        <v>60</v>
      </c>
      <c r="BS10" s="25">
        <v>0</v>
      </c>
      <c r="BT10" s="25">
        <v>89</v>
      </c>
      <c r="BU10" s="25">
        <v>9</v>
      </c>
      <c r="BV10" s="25">
        <v>12</v>
      </c>
      <c r="BW10" s="25">
        <v>3</v>
      </c>
      <c r="BX10" s="25">
        <v>4</v>
      </c>
      <c r="BY10" s="25">
        <v>21</v>
      </c>
      <c r="BZ10" s="25">
        <v>24</v>
      </c>
      <c r="CA10" s="25">
        <v>12</v>
      </c>
      <c r="CB10" s="25">
        <v>15</v>
      </c>
      <c r="CC10" s="25">
        <v>0</v>
      </c>
      <c r="CD10" s="25">
        <v>89</v>
      </c>
      <c r="CE10" s="25">
        <v>0</v>
      </c>
      <c r="CF10" s="25">
        <v>89</v>
      </c>
      <c r="CG10" s="25">
        <v>463</v>
      </c>
      <c r="CH10" s="25">
        <v>131</v>
      </c>
      <c r="CI10" s="25">
        <v>273</v>
      </c>
      <c r="CJ10" s="25">
        <v>101</v>
      </c>
      <c r="CK10" s="25">
        <v>221</v>
      </c>
      <c r="CL10" s="25">
        <v>96</v>
      </c>
      <c r="CM10" s="25">
        <v>52</v>
      </c>
      <c r="CN10" s="25">
        <v>38</v>
      </c>
      <c r="CO10" s="25">
        <v>13</v>
      </c>
      <c r="CP10" s="25">
        <v>18</v>
      </c>
      <c r="CQ10" s="25">
        <v>101</v>
      </c>
      <c r="CR10" s="25">
        <v>69</v>
      </c>
      <c r="CS10" s="25">
        <v>35</v>
      </c>
      <c r="CT10" s="25">
        <v>52</v>
      </c>
      <c r="CU10" s="25">
        <v>6</v>
      </c>
      <c r="CV10" s="25">
        <v>8</v>
      </c>
      <c r="CW10" s="25">
        <v>35</v>
      </c>
      <c r="CX10" s="25">
        <v>36</v>
      </c>
      <c r="CY10" s="25">
        <v>0</v>
      </c>
      <c r="CZ10" s="25">
        <v>89</v>
      </c>
      <c r="DA10" s="25">
        <v>362</v>
      </c>
      <c r="DB10" s="25">
        <v>95</v>
      </c>
      <c r="DC10" s="25">
        <v>236</v>
      </c>
      <c r="DD10" s="25">
        <v>72</v>
      </c>
      <c r="DE10" s="25">
        <v>215</v>
      </c>
      <c r="DF10" s="25">
        <v>69</v>
      </c>
      <c r="DG10" s="25">
        <v>21</v>
      </c>
      <c r="DH10" s="25">
        <v>20</v>
      </c>
      <c r="DI10" s="25">
        <v>4</v>
      </c>
      <c r="DJ10" s="25">
        <v>9</v>
      </c>
      <c r="DK10" s="25">
        <v>70</v>
      </c>
      <c r="DL10" s="25">
        <v>49</v>
      </c>
      <c r="DM10" s="25">
        <v>8</v>
      </c>
      <c r="DN10" s="25">
        <v>13</v>
      </c>
      <c r="DO10" s="25">
        <v>12</v>
      </c>
      <c r="DP10" s="25">
        <v>12</v>
      </c>
      <c r="DQ10" s="25">
        <v>32</v>
      </c>
      <c r="DR10" s="25">
        <v>35</v>
      </c>
      <c r="DS10" s="25">
        <v>0</v>
      </c>
      <c r="DT10" s="25">
        <v>89</v>
      </c>
      <c r="DU10" s="25">
        <v>1039</v>
      </c>
      <c r="DV10" s="25">
        <v>170</v>
      </c>
      <c r="DW10" s="25">
        <v>417</v>
      </c>
      <c r="DX10" s="25">
        <v>110</v>
      </c>
      <c r="DY10" s="25">
        <v>247</v>
      </c>
      <c r="DZ10" s="25">
        <v>83</v>
      </c>
      <c r="EA10" s="25">
        <v>170</v>
      </c>
      <c r="EB10" s="25">
        <v>75</v>
      </c>
      <c r="EC10" s="25">
        <v>4</v>
      </c>
      <c r="ED10" s="25">
        <v>6</v>
      </c>
      <c r="EE10" s="25">
        <v>52</v>
      </c>
      <c r="EF10" s="25">
        <v>45</v>
      </c>
      <c r="EG10" s="25">
        <v>3</v>
      </c>
      <c r="EH10" s="25">
        <v>5</v>
      </c>
      <c r="EI10" s="25">
        <v>13</v>
      </c>
      <c r="EJ10" s="25">
        <v>19</v>
      </c>
      <c r="EK10" s="25">
        <v>550</v>
      </c>
      <c r="EL10" s="25">
        <v>147</v>
      </c>
      <c r="EM10" s="25">
        <v>0</v>
      </c>
      <c r="EN10" s="25">
        <v>89</v>
      </c>
    </row>
    <row r="11" spans="1:144" x14ac:dyDescent="0.25">
      <c r="A11" s="19">
        <f t="shared" si="8"/>
        <v>5</v>
      </c>
      <c r="B11" s="20" t="str">
        <f t="shared" si="9"/>
        <v>Cache</v>
      </c>
      <c r="C11" s="24" t="s">
        <v>292</v>
      </c>
      <c r="D11" s="24" t="s">
        <v>293</v>
      </c>
      <c r="E11" s="25">
        <v>51735</v>
      </c>
      <c r="F11" s="25">
        <v>661</v>
      </c>
      <c r="G11" s="25">
        <v>35481</v>
      </c>
      <c r="H11" s="25">
        <v>830</v>
      </c>
      <c r="I11" s="25">
        <v>33095</v>
      </c>
      <c r="J11" s="25">
        <v>870</v>
      </c>
      <c r="K11" s="25">
        <v>2386</v>
      </c>
      <c r="L11" s="25">
        <v>263</v>
      </c>
      <c r="M11" s="25">
        <v>2922</v>
      </c>
      <c r="N11" s="25">
        <v>349</v>
      </c>
      <c r="O11" s="25">
        <v>3980</v>
      </c>
      <c r="P11" s="25">
        <v>394</v>
      </c>
      <c r="Q11" s="25">
        <v>5872</v>
      </c>
      <c r="R11" s="25">
        <v>519</v>
      </c>
      <c r="S11" s="25">
        <v>1010</v>
      </c>
      <c r="T11" s="25">
        <v>217</v>
      </c>
      <c r="U11" s="25">
        <v>2370</v>
      </c>
      <c r="V11" s="25">
        <v>285</v>
      </c>
      <c r="W11" s="25">
        <v>100</v>
      </c>
      <c r="X11" s="25">
        <v>72</v>
      </c>
      <c r="Y11" s="25">
        <v>37552</v>
      </c>
      <c r="Z11" s="25">
        <v>921</v>
      </c>
      <c r="AA11" s="25">
        <v>27226</v>
      </c>
      <c r="AB11" s="25">
        <v>924</v>
      </c>
      <c r="AC11" s="25">
        <v>25627</v>
      </c>
      <c r="AD11" s="25">
        <v>925</v>
      </c>
      <c r="AE11" s="25">
        <v>1599</v>
      </c>
      <c r="AF11" s="25">
        <v>212</v>
      </c>
      <c r="AG11" s="25">
        <v>2226</v>
      </c>
      <c r="AH11" s="25">
        <v>293</v>
      </c>
      <c r="AI11" s="25">
        <v>3043</v>
      </c>
      <c r="AJ11" s="25">
        <v>342</v>
      </c>
      <c r="AK11" s="25">
        <v>3199</v>
      </c>
      <c r="AL11" s="25">
        <v>328</v>
      </c>
      <c r="AM11" s="25">
        <v>736</v>
      </c>
      <c r="AN11" s="25">
        <v>172</v>
      </c>
      <c r="AO11" s="25">
        <v>1054</v>
      </c>
      <c r="AP11" s="25">
        <v>196</v>
      </c>
      <c r="AQ11" s="25">
        <v>68</v>
      </c>
      <c r="AR11" s="25">
        <v>60</v>
      </c>
      <c r="AS11" s="25">
        <v>6375</v>
      </c>
      <c r="AT11" s="25">
        <v>515</v>
      </c>
      <c r="AU11" s="25">
        <v>4307</v>
      </c>
      <c r="AV11" s="25">
        <v>394</v>
      </c>
      <c r="AW11" s="25">
        <v>4014</v>
      </c>
      <c r="AX11" s="25">
        <v>385</v>
      </c>
      <c r="AY11" s="25">
        <v>293</v>
      </c>
      <c r="AZ11" s="25">
        <v>97</v>
      </c>
      <c r="BA11" s="25">
        <v>253</v>
      </c>
      <c r="BB11" s="25">
        <v>87</v>
      </c>
      <c r="BC11" s="25">
        <v>589</v>
      </c>
      <c r="BD11" s="25">
        <v>166</v>
      </c>
      <c r="BE11" s="25">
        <v>782</v>
      </c>
      <c r="BF11" s="25">
        <v>178</v>
      </c>
      <c r="BG11" s="25">
        <v>198</v>
      </c>
      <c r="BH11" s="25">
        <v>83</v>
      </c>
      <c r="BI11" s="25">
        <v>244</v>
      </c>
      <c r="BJ11" s="25">
        <v>90</v>
      </c>
      <c r="BK11" s="25">
        <v>2</v>
      </c>
      <c r="BL11" s="25">
        <v>3</v>
      </c>
      <c r="BM11" s="25">
        <v>1051</v>
      </c>
      <c r="BN11" s="25">
        <v>253</v>
      </c>
      <c r="BO11" s="25">
        <v>564</v>
      </c>
      <c r="BP11" s="25">
        <v>201</v>
      </c>
      <c r="BQ11" s="25">
        <v>557</v>
      </c>
      <c r="BR11" s="25">
        <v>201</v>
      </c>
      <c r="BS11" s="25">
        <v>7</v>
      </c>
      <c r="BT11" s="25">
        <v>10</v>
      </c>
      <c r="BU11" s="25">
        <v>56</v>
      </c>
      <c r="BV11" s="25">
        <v>47</v>
      </c>
      <c r="BW11" s="25">
        <v>90</v>
      </c>
      <c r="BX11" s="25">
        <v>75</v>
      </c>
      <c r="BY11" s="25">
        <v>264</v>
      </c>
      <c r="BZ11" s="25">
        <v>134</v>
      </c>
      <c r="CA11" s="25">
        <v>27</v>
      </c>
      <c r="CB11" s="25">
        <v>26</v>
      </c>
      <c r="CC11" s="25">
        <v>50</v>
      </c>
      <c r="CD11" s="25">
        <v>46</v>
      </c>
      <c r="CE11" s="25">
        <v>0</v>
      </c>
      <c r="CF11" s="25">
        <v>89</v>
      </c>
      <c r="CG11" s="25">
        <v>2541</v>
      </c>
      <c r="CH11" s="25">
        <v>433</v>
      </c>
      <c r="CI11" s="25">
        <v>966</v>
      </c>
      <c r="CJ11" s="25">
        <v>266</v>
      </c>
      <c r="CK11" s="25">
        <v>865</v>
      </c>
      <c r="CL11" s="25">
        <v>253</v>
      </c>
      <c r="CM11" s="25">
        <v>101</v>
      </c>
      <c r="CN11" s="25">
        <v>51</v>
      </c>
      <c r="CO11" s="25">
        <v>261</v>
      </c>
      <c r="CP11" s="25">
        <v>102</v>
      </c>
      <c r="CQ11" s="25">
        <v>155</v>
      </c>
      <c r="CR11" s="25">
        <v>65</v>
      </c>
      <c r="CS11" s="25">
        <v>1088</v>
      </c>
      <c r="CT11" s="25">
        <v>260</v>
      </c>
      <c r="CU11" s="25">
        <v>3</v>
      </c>
      <c r="CV11" s="25">
        <v>5</v>
      </c>
      <c r="CW11" s="25">
        <v>54</v>
      </c>
      <c r="CX11" s="25">
        <v>29</v>
      </c>
      <c r="CY11" s="25">
        <v>14</v>
      </c>
      <c r="CZ11" s="25">
        <v>16</v>
      </c>
      <c r="DA11" s="25">
        <v>1852</v>
      </c>
      <c r="DB11" s="25">
        <v>322</v>
      </c>
      <c r="DC11" s="25">
        <v>1138</v>
      </c>
      <c r="DD11" s="25">
        <v>251</v>
      </c>
      <c r="DE11" s="25">
        <v>1086</v>
      </c>
      <c r="DF11" s="25">
        <v>246</v>
      </c>
      <c r="DG11" s="25">
        <v>52</v>
      </c>
      <c r="DH11" s="25">
        <v>32</v>
      </c>
      <c r="DI11" s="25">
        <v>74</v>
      </c>
      <c r="DJ11" s="25">
        <v>44</v>
      </c>
      <c r="DK11" s="25">
        <v>78</v>
      </c>
      <c r="DL11" s="25">
        <v>39</v>
      </c>
      <c r="DM11" s="25">
        <v>405</v>
      </c>
      <c r="DN11" s="25">
        <v>133</v>
      </c>
      <c r="DO11" s="25">
        <v>26</v>
      </c>
      <c r="DP11" s="25">
        <v>23</v>
      </c>
      <c r="DQ11" s="25">
        <v>131</v>
      </c>
      <c r="DR11" s="25">
        <v>85</v>
      </c>
      <c r="DS11" s="25">
        <v>0</v>
      </c>
      <c r="DT11" s="25">
        <v>89</v>
      </c>
      <c r="DU11" s="25">
        <v>2364</v>
      </c>
      <c r="DV11" s="25">
        <v>305</v>
      </c>
      <c r="DW11" s="25">
        <v>1280</v>
      </c>
      <c r="DX11" s="25">
        <v>195</v>
      </c>
      <c r="DY11" s="25">
        <v>946</v>
      </c>
      <c r="DZ11" s="25">
        <v>176</v>
      </c>
      <c r="EA11" s="25">
        <v>334</v>
      </c>
      <c r="EB11" s="25">
        <v>101</v>
      </c>
      <c r="EC11" s="25">
        <v>52</v>
      </c>
      <c r="ED11" s="25">
        <v>41</v>
      </c>
      <c r="EE11" s="25">
        <v>25</v>
      </c>
      <c r="EF11" s="25">
        <v>23</v>
      </c>
      <c r="EG11" s="25">
        <v>134</v>
      </c>
      <c r="EH11" s="25">
        <v>123</v>
      </c>
      <c r="EI11" s="25">
        <v>20</v>
      </c>
      <c r="EJ11" s="25">
        <v>23</v>
      </c>
      <c r="EK11" s="25">
        <v>837</v>
      </c>
      <c r="EL11" s="25">
        <v>162</v>
      </c>
      <c r="EM11" s="25">
        <v>16</v>
      </c>
      <c r="EN11" s="25">
        <v>14</v>
      </c>
    </row>
    <row r="12" spans="1:144" x14ac:dyDescent="0.25">
      <c r="A12" s="19">
        <f t="shared" si="8"/>
        <v>7</v>
      </c>
      <c r="B12" s="20" t="str">
        <f t="shared" si="9"/>
        <v>Carbon</v>
      </c>
      <c r="C12" s="24" t="s">
        <v>294</v>
      </c>
      <c r="D12" s="24" t="s">
        <v>295</v>
      </c>
      <c r="E12" s="25">
        <v>8651</v>
      </c>
      <c r="F12" s="25">
        <v>353</v>
      </c>
      <c r="G12" s="25">
        <v>6062</v>
      </c>
      <c r="H12" s="25">
        <v>346</v>
      </c>
      <c r="I12" s="25">
        <v>5805</v>
      </c>
      <c r="J12" s="25">
        <v>341</v>
      </c>
      <c r="K12" s="25">
        <v>257</v>
      </c>
      <c r="L12" s="25">
        <v>104</v>
      </c>
      <c r="M12" s="25">
        <v>374</v>
      </c>
      <c r="N12" s="25">
        <v>103</v>
      </c>
      <c r="O12" s="25">
        <v>707</v>
      </c>
      <c r="P12" s="25">
        <v>146</v>
      </c>
      <c r="Q12" s="25">
        <v>770</v>
      </c>
      <c r="R12" s="25">
        <v>147</v>
      </c>
      <c r="S12" s="25">
        <v>154</v>
      </c>
      <c r="T12" s="25">
        <v>67</v>
      </c>
      <c r="U12" s="25">
        <v>580</v>
      </c>
      <c r="V12" s="25">
        <v>136</v>
      </c>
      <c r="W12" s="25">
        <v>4</v>
      </c>
      <c r="X12" s="25">
        <v>5</v>
      </c>
      <c r="Y12" s="25">
        <v>6705</v>
      </c>
      <c r="Z12" s="25">
        <v>358</v>
      </c>
      <c r="AA12" s="25">
        <v>4609</v>
      </c>
      <c r="AB12" s="25">
        <v>340</v>
      </c>
      <c r="AC12" s="25">
        <v>4381</v>
      </c>
      <c r="AD12" s="25">
        <v>337</v>
      </c>
      <c r="AE12" s="25">
        <v>228</v>
      </c>
      <c r="AF12" s="25">
        <v>95</v>
      </c>
      <c r="AG12" s="25">
        <v>303</v>
      </c>
      <c r="AH12" s="25">
        <v>87</v>
      </c>
      <c r="AI12" s="25">
        <v>677</v>
      </c>
      <c r="AJ12" s="25">
        <v>138</v>
      </c>
      <c r="AK12" s="25">
        <v>596</v>
      </c>
      <c r="AL12" s="25">
        <v>117</v>
      </c>
      <c r="AM12" s="25">
        <v>140</v>
      </c>
      <c r="AN12" s="25">
        <v>65</v>
      </c>
      <c r="AO12" s="25">
        <v>376</v>
      </c>
      <c r="AP12" s="25">
        <v>115</v>
      </c>
      <c r="AQ12" s="25">
        <v>4</v>
      </c>
      <c r="AR12" s="25">
        <v>5</v>
      </c>
      <c r="AS12" s="25">
        <v>1332</v>
      </c>
      <c r="AT12" s="25">
        <v>229</v>
      </c>
      <c r="AU12" s="25">
        <v>1088</v>
      </c>
      <c r="AV12" s="25">
        <v>197</v>
      </c>
      <c r="AW12" s="25">
        <v>1088</v>
      </c>
      <c r="AX12" s="25">
        <v>197</v>
      </c>
      <c r="AY12" s="25">
        <v>0</v>
      </c>
      <c r="AZ12" s="25">
        <v>89</v>
      </c>
      <c r="BA12" s="25">
        <v>22</v>
      </c>
      <c r="BB12" s="25">
        <v>23</v>
      </c>
      <c r="BC12" s="25">
        <v>14</v>
      </c>
      <c r="BD12" s="25">
        <v>14</v>
      </c>
      <c r="BE12" s="25">
        <v>128</v>
      </c>
      <c r="BF12" s="25">
        <v>60</v>
      </c>
      <c r="BG12" s="25">
        <v>14</v>
      </c>
      <c r="BH12" s="25">
        <v>18</v>
      </c>
      <c r="BI12" s="25">
        <v>66</v>
      </c>
      <c r="BJ12" s="25">
        <v>38</v>
      </c>
      <c r="BK12" s="25">
        <v>0</v>
      </c>
      <c r="BL12" s="25">
        <v>89</v>
      </c>
      <c r="BM12" s="25">
        <v>40</v>
      </c>
      <c r="BN12" s="25">
        <v>36</v>
      </c>
      <c r="BO12" s="25">
        <v>32</v>
      </c>
      <c r="BP12" s="25">
        <v>35</v>
      </c>
      <c r="BQ12" s="25">
        <v>32</v>
      </c>
      <c r="BR12" s="25">
        <v>35</v>
      </c>
      <c r="BS12" s="25">
        <v>0</v>
      </c>
      <c r="BT12" s="25">
        <v>89</v>
      </c>
      <c r="BU12" s="25">
        <v>4</v>
      </c>
      <c r="BV12" s="25">
        <v>6</v>
      </c>
      <c r="BW12" s="25">
        <v>4</v>
      </c>
      <c r="BX12" s="25">
        <v>6</v>
      </c>
      <c r="BY12" s="25">
        <v>0</v>
      </c>
      <c r="BZ12" s="25">
        <v>89</v>
      </c>
      <c r="CA12" s="25">
        <v>0</v>
      </c>
      <c r="CB12" s="25">
        <v>89</v>
      </c>
      <c r="CC12" s="25">
        <v>0</v>
      </c>
      <c r="CD12" s="25">
        <v>89</v>
      </c>
      <c r="CE12" s="25">
        <v>0</v>
      </c>
      <c r="CF12" s="25">
        <v>89</v>
      </c>
      <c r="CG12" s="25">
        <v>201</v>
      </c>
      <c r="CH12" s="25">
        <v>89</v>
      </c>
      <c r="CI12" s="25">
        <v>96</v>
      </c>
      <c r="CJ12" s="25">
        <v>63</v>
      </c>
      <c r="CK12" s="25">
        <v>69</v>
      </c>
      <c r="CL12" s="25">
        <v>56</v>
      </c>
      <c r="CM12" s="25">
        <v>27</v>
      </c>
      <c r="CN12" s="25">
        <v>32</v>
      </c>
      <c r="CO12" s="25">
        <v>44</v>
      </c>
      <c r="CP12" s="25">
        <v>49</v>
      </c>
      <c r="CQ12" s="25">
        <v>8</v>
      </c>
      <c r="CR12" s="25">
        <v>14</v>
      </c>
      <c r="CS12" s="25">
        <v>37</v>
      </c>
      <c r="CT12" s="25">
        <v>46</v>
      </c>
      <c r="CU12" s="25">
        <v>0</v>
      </c>
      <c r="CV12" s="25">
        <v>89</v>
      </c>
      <c r="CW12" s="25">
        <v>16</v>
      </c>
      <c r="CX12" s="25">
        <v>18</v>
      </c>
      <c r="CY12" s="25">
        <v>0</v>
      </c>
      <c r="CZ12" s="25">
        <v>89</v>
      </c>
      <c r="DA12" s="25">
        <v>142</v>
      </c>
      <c r="DB12" s="25">
        <v>151</v>
      </c>
      <c r="DC12" s="25">
        <v>122</v>
      </c>
      <c r="DD12" s="25">
        <v>149</v>
      </c>
      <c r="DE12" s="25">
        <v>122</v>
      </c>
      <c r="DF12" s="25">
        <v>149</v>
      </c>
      <c r="DG12" s="25">
        <v>0</v>
      </c>
      <c r="DH12" s="25">
        <v>89</v>
      </c>
      <c r="DI12" s="25">
        <v>0</v>
      </c>
      <c r="DJ12" s="25">
        <v>89</v>
      </c>
      <c r="DK12" s="25">
        <v>4</v>
      </c>
      <c r="DL12" s="25">
        <v>6</v>
      </c>
      <c r="DM12" s="25">
        <v>0</v>
      </c>
      <c r="DN12" s="25">
        <v>89</v>
      </c>
      <c r="DO12" s="25">
        <v>0</v>
      </c>
      <c r="DP12" s="25">
        <v>89</v>
      </c>
      <c r="DQ12" s="25">
        <v>16</v>
      </c>
      <c r="DR12" s="25">
        <v>19</v>
      </c>
      <c r="DS12" s="25">
        <v>0</v>
      </c>
      <c r="DT12" s="25">
        <v>89</v>
      </c>
      <c r="DU12" s="25">
        <v>231</v>
      </c>
      <c r="DV12" s="25">
        <v>95</v>
      </c>
      <c r="DW12" s="25">
        <v>115</v>
      </c>
      <c r="DX12" s="25">
        <v>52</v>
      </c>
      <c r="DY12" s="25">
        <v>113</v>
      </c>
      <c r="DZ12" s="25">
        <v>52</v>
      </c>
      <c r="EA12" s="25">
        <v>2</v>
      </c>
      <c r="EB12" s="25">
        <v>4</v>
      </c>
      <c r="EC12" s="25">
        <v>1</v>
      </c>
      <c r="ED12" s="25">
        <v>3</v>
      </c>
      <c r="EE12" s="25">
        <v>0</v>
      </c>
      <c r="EF12" s="25">
        <v>89</v>
      </c>
      <c r="EG12" s="25">
        <v>9</v>
      </c>
      <c r="EH12" s="25">
        <v>16</v>
      </c>
      <c r="EI12" s="25">
        <v>0</v>
      </c>
      <c r="EJ12" s="25">
        <v>89</v>
      </c>
      <c r="EK12" s="25">
        <v>106</v>
      </c>
      <c r="EL12" s="25">
        <v>59</v>
      </c>
      <c r="EM12" s="25">
        <v>0</v>
      </c>
      <c r="EN12" s="25">
        <v>89</v>
      </c>
    </row>
    <row r="13" spans="1:144" x14ac:dyDescent="0.25">
      <c r="A13" s="19">
        <f t="shared" si="8"/>
        <v>9</v>
      </c>
      <c r="B13" s="20" t="str">
        <f t="shared" si="9"/>
        <v>Daggett</v>
      </c>
      <c r="C13" s="24" t="s">
        <v>296</v>
      </c>
      <c r="D13" s="24" t="s">
        <v>297</v>
      </c>
      <c r="E13" s="25">
        <v>344</v>
      </c>
      <c r="F13" s="25">
        <v>83</v>
      </c>
      <c r="G13" s="25">
        <v>199</v>
      </c>
      <c r="H13" s="25">
        <v>63</v>
      </c>
      <c r="I13" s="25">
        <v>139</v>
      </c>
      <c r="J13" s="25">
        <v>48</v>
      </c>
      <c r="K13" s="25">
        <v>60</v>
      </c>
      <c r="L13" s="25">
        <v>46</v>
      </c>
      <c r="M13" s="25">
        <v>5</v>
      </c>
      <c r="N13" s="25">
        <v>7</v>
      </c>
      <c r="O13" s="25">
        <v>60</v>
      </c>
      <c r="P13" s="25">
        <v>32</v>
      </c>
      <c r="Q13" s="25">
        <v>20</v>
      </c>
      <c r="R13" s="25">
        <v>21</v>
      </c>
      <c r="S13" s="25">
        <v>29</v>
      </c>
      <c r="T13" s="25">
        <v>21</v>
      </c>
      <c r="U13" s="25">
        <v>31</v>
      </c>
      <c r="V13" s="25">
        <v>22</v>
      </c>
      <c r="W13" s="25">
        <v>0</v>
      </c>
      <c r="X13" s="25">
        <v>89</v>
      </c>
      <c r="Y13" s="25">
        <v>280</v>
      </c>
      <c r="Z13" s="25">
        <v>72</v>
      </c>
      <c r="AA13" s="25">
        <v>146</v>
      </c>
      <c r="AB13" s="25">
        <v>44</v>
      </c>
      <c r="AC13" s="25">
        <v>118</v>
      </c>
      <c r="AD13" s="25">
        <v>41</v>
      </c>
      <c r="AE13" s="25">
        <v>28</v>
      </c>
      <c r="AF13" s="25">
        <v>22</v>
      </c>
      <c r="AG13" s="25">
        <v>4</v>
      </c>
      <c r="AH13" s="25">
        <v>6</v>
      </c>
      <c r="AI13" s="25">
        <v>60</v>
      </c>
      <c r="AJ13" s="25">
        <v>32</v>
      </c>
      <c r="AK13" s="25">
        <v>20</v>
      </c>
      <c r="AL13" s="25">
        <v>21</v>
      </c>
      <c r="AM13" s="25">
        <v>26</v>
      </c>
      <c r="AN13" s="25">
        <v>20</v>
      </c>
      <c r="AO13" s="25">
        <v>24</v>
      </c>
      <c r="AP13" s="25">
        <v>23</v>
      </c>
      <c r="AQ13" s="25">
        <v>0</v>
      </c>
      <c r="AR13" s="25">
        <v>89</v>
      </c>
      <c r="AS13" s="25">
        <v>15</v>
      </c>
      <c r="AT13" s="25">
        <v>11</v>
      </c>
      <c r="AU13" s="25">
        <v>11</v>
      </c>
      <c r="AV13" s="25">
        <v>11</v>
      </c>
      <c r="AW13" s="25">
        <v>11</v>
      </c>
      <c r="AX13" s="25">
        <v>11</v>
      </c>
      <c r="AY13" s="25">
        <v>0</v>
      </c>
      <c r="AZ13" s="25">
        <v>89</v>
      </c>
      <c r="BA13" s="25">
        <v>1</v>
      </c>
      <c r="BB13" s="25">
        <v>3</v>
      </c>
      <c r="BC13" s="25">
        <v>0</v>
      </c>
      <c r="BD13" s="25">
        <v>89</v>
      </c>
      <c r="BE13" s="25">
        <v>0</v>
      </c>
      <c r="BF13" s="25">
        <v>89</v>
      </c>
      <c r="BG13" s="25">
        <v>3</v>
      </c>
      <c r="BH13" s="25">
        <v>5</v>
      </c>
      <c r="BI13" s="25">
        <v>0</v>
      </c>
      <c r="BJ13" s="25">
        <v>89</v>
      </c>
      <c r="BK13" s="25">
        <v>0</v>
      </c>
      <c r="BL13" s="25">
        <v>89</v>
      </c>
      <c r="BM13" s="25">
        <v>0</v>
      </c>
      <c r="BN13" s="25">
        <v>89</v>
      </c>
      <c r="BO13" s="25">
        <v>0</v>
      </c>
      <c r="BP13" s="25">
        <v>89</v>
      </c>
      <c r="BQ13" s="25">
        <v>0</v>
      </c>
      <c r="BR13" s="25">
        <v>89</v>
      </c>
      <c r="BS13" s="25">
        <v>0</v>
      </c>
      <c r="BT13" s="25">
        <v>89</v>
      </c>
      <c r="BU13" s="25">
        <v>0</v>
      </c>
      <c r="BV13" s="25">
        <v>89</v>
      </c>
      <c r="BW13" s="25">
        <v>0</v>
      </c>
      <c r="BX13" s="25">
        <v>89</v>
      </c>
      <c r="BY13" s="25">
        <v>0</v>
      </c>
      <c r="BZ13" s="25">
        <v>89</v>
      </c>
      <c r="CA13" s="25">
        <v>0</v>
      </c>
      <c r="CB13" s="25">
        <v>89</v>
      </c>
      <c r="CC13" s="25">
        <v>0</v>
      </c>
      <c r="CD13" s="25">
        <v>89</v>
      </c>
      <c r="CE13" s="25">
        <v>0</v>
      </c>
      <c r="CF13" s="25">
        <v>89</v>
      </c>
      <c r="CG13" s="25">
        <v>12</v>
      </c>
      <c r="CH13" s="25">
        <v>13</v>
      </c>
      <c r="CI13" s="25">
        <v>5</v>
      </c>
      <c r="CJ13" s="25">
        <v>7</v>
      </c>
      <c r="CK13" s="25">
        <v>5</v>
      </c>
      <c r="CL13" s="25">
        <v>7</v>
      </c>
      <c r="CM13" s="25">
        <v>0</v>
      </c>
      <c r="CN13" s="25">
        <v>89</v>
      </c>
      <c r="CO13" s="25">
        <v>0</v>
      </c>
      <c r="CP13" s="25">
        <v>89</v>
      </c>
      <c r="CQ13" s="25">
        <v>0</v>
      </c>
      <c r="CR13" s="25">
        <v>89</v>
      </c>
      <c r="CS13" s="25">
        <v>0</v>
      </c>
      <c r="CT13" s="25">
        <v>89</v>
      </c>
      <c r="CU13" s="25">
        <v>0</v>
      </c>
      <c r="CV13" s="25">
        <v>89</v>
      </c>
      <c r="CW13" s="25">
        <v>7</v>
      </c>
      <c r="CX13" s="25">
        <v>11</v>
      </c>
      <c r="CY13" s="25">
        <v>0</v>
      </c>
      <c r="CZ13" s="25">
        <v>89</v>
      </c>
      <c r="DA13" s="25">
        <v>0</v>
      </c>
      <c r="DB13" s="25">
        <v>89</v>
      </c>
      <c r="DC13" s="25">
        <v>0</v>
      </c>
      <c r="DD13" s="25">
        <v>89</v>
      </c>
      <c r="DE13" s="25">
        <v>0</v>
      </c>
      <c r="DF13" s="25">
        <v>89</v>
      </c>
      <c r="DG13" s="25">
        <v>0</v>
      </c>
      <c r="DH13" s="25">
        <v>89</v>
      </c>
      <c r="DI13" s="25">
        <v>0</v>
      </c>
      <c r="DJ13" s="25">
        <v>89</v>
      </c>
      <c r="DK13" s="25">
        <v>0</v>
      </c>
      <c r="DL13" s="25">
        <v>89</v>
      </c>
      <c r="DM13" s="25">
        <v>0</v>
      </c>
      <c r="DN13" s="25">
        <v>89</v>
      </c>
      <c r="DO13" s="25">
        <v>0</v>
      </c>
      <c r="DP13" s="25">
        <v>89</v>
      </c>
      <c r="DQ13" s="25">
        <v>0</v>
      </c>
      <c r="DR13" s="25">
        <v>89</v>
      </c>
      <c r="DS13" s="25">
        <v>0</v>
      </c>
      <c r="DT13" s="25">
        <v>89</v>
      </c>
      <c r="DU13" s="25">
        <v>37</v>
      </c>
      <c r="DV13" s="25">
        <v>43</v>
      </c>
      <c r="DW13" s="25">
        <v>37</v>
      </c>
      <c r="DX13" s="25">
        <v>43</v>
      </c>
      <c r="DY13" s="25">
        <v>5</v>
      </c>
      <c r="DZ13" s="25">
        <v>7</v>
      </c>
      <c r="EA13" s="25">
        <v>32</v>
      </c>
      <c r="EB13" s="25">
        <v>41</v>
      </c>
      <c r="EC13" s="25">
        <v>0</v>
      </c>
      <c r="ED13" s="25">
        <v>89</v>
      </c>
      <c r="EE13" s="25">
        <v>0</v>
      </c>
      <c r="EF13" s="25">
        <v>89</v>
      </c>
      <c r="EG13" s="25">
        <v>0</v>
      </c>
      <c r="EH13" s="25">
        <v>89</v>
      </c>
      <c r="EI13" s="25">
        <v>0</v>
      </c>
      <c r="EJ13" s="25">
        <v>89</v>
      </c>
      <c r="EK13" s="25">
        <v>0</v>
      </c>
      <c r="EL13" s="25">
        <v>89</v>
      </c>
      <c r="EM13" s="25">
        <v>0</v>
      </c>
      <c r="EN13" s="25">
        <v>89</v>
      </c>
    </row>
    <row r="14" spans="1:144" x14ac:dyDescent="0.25">
      <c r="A14" s="19">
        <f t="shared" si="8"/>
        <v>11</v>
      </c>
      <c r="B14" s="20" t="str">
        <f t="shared" si="9"/>
        <v>Davis</v>
      </c>
      <c r="C14" s="24" t="s">
        <v>298</v>
      </c>
      <c r="D14" s="24" t="s">
        <v>299</v>
      </c>
      <c r="E14" s="25">
        <v>137168</v>
      </c>
      <c r="F14" s="25">
        <v>1217</v>
      </c>
      <c r="G14" s="25">
        <v>92867</v>
      </c>
      <c r="H14" s="25">
        <v>1507</v>
      </c>
      <c r="I14" s="25">
        <v>87626</v>
      </c>
      <c r="J14" s="25">
        <v>1525</v>
      </c>
      <c r="K14" s="25">
        <v>5241</v>
      </c>
      <c r="L14" s="25">
        <v>439</v>
      </c>
      <c r="M14" s="25">
        <v>7984</v>
      </c>
      <c r="N14" s="25">
        <v>605</v>
      </c>
      <c r="O14" s="25">
        <v>10762</v>
      </c>
      <c r="P14" s="25">
        <v>701</v>
      </c>
      <c r="Q14" s="25">
        <v>6397</v>
      </c>
      <c r="R14" s="25">
        <v>497</v>
      </c>
      <c r="S14" s="25">
        <v>13101</v>
      </c>
      <c r="T14" s="25">
        <v>772</v>
      </c>
      <c r="U14" s="25">
        <v>5969</v>
      </c>
      <c r="V14" s="25">
        <v>437</v>
      </c>
      <c r="W14" s="25">
        <v>88</v>
      </c>
      <c r="X14" s="25">
        <v>54</v>
      </c>
      <c r="Y14" s="25">
        <v>108038</v>
      </c>
      <c r="Z14" s="25">
        <v>1586</v>
      </c>
      <c r="AA14" s="25">
        <v>74188</v>
      </c>
      <c r="AB14" s="25">
        <v>1483</v>
      </c>
      <c r="AC14" s="25">
        <v>70572</v>
      </c>
      <c r="AD14" s="25">
        <v>1428</v>
      </c>
      <c r="AE14" s="25">
        <v>3616</v>
      </c>
      <c r="AF14" s="25">
        <v>323</v>
      </c>
      <c r="AG14" s="25">
        <v>5781</v>
      </c>
      <c r="AH14" s="25">
        <v>501</v>
      </c>
      <c r="AI14" s="25">
        <v>9046</v>
      </c>
      <c r="AJ14" s="25">
        <v>651</v>
      </c>
      <c r="AK14" s="25">
        <v>4828</v>
      </c>
      <c r="AL14" s="25">
        <v>419</v>
      </c>
      <c r="AM14" s="25">
        <v>11341</v>
      </c>
      <c r="AN14" s="25">
        <v>712</v>
      </c>
      <c r="AO14" s="25">
        <v>2791</v>
      </c>
      <c r="AP14" s="25">
        <v>319</v>
      </c>
      <c r="AQ14" s="25">
        <v>63</v>
      </c>
      <c r="AR14" s="25">
        <v>50</v>
      </c>
      <c r="AS14" s="25">
        <v>14747</v>
      </c>
      <c r="AT14" s="25">
        <v>941</v>
      </c>
      <c r="AU14" s="25">
        <v>9923</v>
      </c>
      <c r="AV14" s="25">
        <v>746</v>
      </c>
      <c r="AW14" s="25">
        <v>9357</v>
      </c>
      <c r="AX14" s="25">
        <v>712</v>
      </c>
      <c r="AY14" s="25">
        <v>566</v>
      </c>
      <c r="AZ14" s="25">
        <v>178</v>
      </c>
      <c r="BA14" s="25">
        <v>1082</v>
      </c>
      <c r="BB14" s="25">
        <v>220</v>
      </c>
      <c r="BC14" s="25">
        <v>1106</v>
      </c>
      <c r="BD14" s="25">
        <v>202</v>
      </c>
      <c r="BE14" s="25">
        <v>824</v>
      </c>
      <c r="BF14" s="25">
        <v>177</v>
      </c>
      <c r="BG14" s="25">
        <v>1266</v>
      </c>
      <c r="BH14" s="25">
        <v>203</v>
      </c>
      <c r="BI14" s="25">
        <v>546</v>
      </c>
      <c r="BJ14" s="25">
        <v>174</v>
      </c>
      <c r="BK14" s="25">
        <v>0</v>
      </c>
      <c r="BL14" s="25">
        <v>89</v>
      </c>
      <c r="BM14" s="25">
        <v>3807</v>
      </c>
      <c r="BN14" s="25">
        <v>512</v>
      </c>
      <c r="BO14" s="25">
        <v>1993</v>
      </c>
      <c r="BP14" s="25">
        <v>421</v>
      </c>
      <c r="BQ14" s="25">
        <v>1993</v>
      </c>
      <c r="BR14" s="25">
        <v>421</v>
      </c>
      <c r="BS14" s="25">
        <v>0</v>
      </c>
      <c r="BT14" s="25">
        <v>89</v>
      </c>
      <c r="BU14" s="25">
        <v>920</v>
      </c>
      <c r="BV14" s="25">
        <v>206</v>
      </c>
      <c r="BW14" s="25">
        <v>176</v>
      </c>
      <c r="BX14" s="25">
        <v>83</v>
      </c>
      <c r="BY14" s="25">
        <v>519</v>
      </c>
      <c r="BZ14" s="25">
        <v>156</v>
      </c>
      <c r="CA14" s="25">
        <v>168</v>
      </c>
      <c r="CB14" s="25">
        <v>77</v>
      </c>
      <c r="CC14" s="25">
        <v>31</v>
      </c>
      <c r="CD14" s="25">
        <v>29</v>
      </c>
      <c r="CE14" s="25">
        <v>0</v>
      </c>
      <c r="CF14" s="25">
        <v>89</v>
      </c>
      <c r="CG14" s="25">
        <v>2037</v>
      </c>
      <c r="CH14" s="25">
        <v>338</v>
      </c>
      <c r="CI14" s="25">
        <v>1556</v>
      </c>
      <c r="CJ14" s="25">
        <v>310</v>
      </c>
      <c r="CK14" s="25">
        <v>1431</v>
      </c>
      <c r="CL14" s="25">
        <v>301</v>
      </c>
      <c r="CM14" s="25">
        <v>125</v>
      </c>
      <c r="CN14" s="25">
        <v>77</v>
      </c>
      <c r="CO14" s="25">
        <v>21</v>
      </c>
      <c r="CP14" s="25">
        <v>24</v>
      </c>
      <c r="CQ14" s="25">
        <v>201</v>
      </c>
      <c r="CR14" s="25">
        <v>82</v>
      </c>
      <c r="CS14" s="25">
        <v>0</v>
      </c>
      <c r="CT14" s="25">
        <v>89</v>
      </c>
      <c r="CU14" s="25">
        <v>77</v>
      </c>
      <c r="CV14" s="25">
        <v>58</v>
      </c>
      <c r="CW14" s="25">
        <v>182</v>
      </c>
      <c r="CX14" s="25">
        <v>74</v>
      </c>
      <c r="CY14" s="25">
        <v>0</v>
      </c>
      <c r="CZ14" s="25">
        <v>89</v>
      </c>
      <c r="DA14" s="25">
        <v>2071</v>
      </c>
      <c r="DB14" s="25">
        <v>292</v>
      </c>
      <c r="DC14" s="25">
        <v>1383</v>
      </c>
      <c r="DD14" s="25">
        <v>231</v>
      </c>
      <c r="DE14" s="25">
        <v>1254</v>
      </c>
      <c r="DF14" s="25">
        <v>226</v>
      </c>
      <c r="DG14" s="25">
        <v>129</v>
      </c>
      <c r="DH14" s="25">
        <v>52</v>
      </c>
      <c r="DI14" s="25">
        <v>47</v>
      </c>
      <c r="DJ14" s="25">
        <v>42</v>
      </c>
      <c r="DK14" s="25">
        <v>183</v>
      </c>
      <c r="DL14" s="25">
        <v>82</v>
      </c>
      <c r="DM14" s="25">
        <v>31</v>
      </c>
      <c r="DN14" s="25">
        <v>26</v>
      </c>
      <c r="DO14" s="25">
        <v>176</v>
      </c>
      <c r="DP14" s="25">
        <v>98</v>
      </c>
      <c r="DQ14" s="25">
        <v>251</v>
      </c>
      <c r="DR14" s="25">
        <v>145</v>
      </c>
      <c r="DS14" s="25">
        <v>0</v>
      </c>
      <c r="DT14" s="25">
        <v>89</v>
      </c>
      <c r="DU14" s="25">
        <v>6468</v>
      </c>
      <c r="DV14" s="25">
        <v>567</v>
      </c>
      <c r="DW14" s="25">
        <v>3824</v>
      </c>
      <c r="DX14" s="25">
        <v>396</v>
      </c>
      <c r="DY14" s="25">
        <v>3019</v>
      </c>
      <c r="DZ14" s="25">
        <v>387</v>
      </c>
      <c r="EA14" s="25">
        <v>805</v>
      </c>
      <c r="EB14" s="25">
        <v>159</v>
      </c>
      <c r="EC14" s="25">
        <v>133</v>
      </c>
      <c r="ED14" s="25">
        <v>72</v>
      </c>
      <c r="EE14" s="25">
        <v>50</v>
      </c>
      <c r="EF14" s="25">
        <v>44</v>
      </c>
      <c r="EG14" s="25">
        <v>195</v>
      </c>
      <c r="EH14" s="25">
        <v>107</v>
      </c>
      <c r="EI14" s="25">
        <v>73</v>
      </c>
      <c r="EJ14" s="25">
        <v>50</v>
      </c>
      <c r="EK14" s="25">
        <v>2168</v>
      </c>
      <c r="EL14" s="25">
        <v>292</v>
      </c>
      <c r="EM14" s="25">
        <v>25</v>
      </c>
      <c r="EN14" s="25">
        <v>29</v>
      </c>
    </row>
    <row r="15" spans="1:144" x14ac:dyDescent="0.25">
      <c r="A15" s="19">
        <f t="shared" si="8"/>
        <v>13</v>
      </c>
      <c r="B15" s="20" t="str">
        <f t="shared" si="9"/>
        <v>Duchesne</v>
      </c>
      <c r="C15" s="24" t="s">
        <v>300</v>
      </c>
      <c r="D15" s="24" t="s">
        <v>301</v>
      </c>
      <c r="E15" s="25">
        <v>7253</v>
      </c>
      <c r="F15" s="25">
        <v>330</v>
      </c>
      <c r="G15" s="25">
        <v>4903</v>
      </c>
      <c r="H15" s="25">
        <v>285</v>
      </c>
      <c r="I15" s="25">
        <v>4568</v>
      </c>
      <c r="J15" s="25">
        <v>295</v>
      </c>
      <c r="K15" s="25">
        <v>335</v>
      </c>
      <c r="L15" s="25">
        <v>88</v>
      </c>
      <c r="M15" s="25">
        <v>368</v>
      </c>
      <c r="N15" s="25">
        <v>115</v>
      </c>
      <c r="O15" s="25">
        <v>828</v>
      </c>
      <c r="P15" s="25">
        <v>150</v>
      </c>
      <c r="Q15" s="25">
        <v>422</v>
      </c>
      <c r="R15" s="25">
        <v>128</v>
      </c>
      <c r="S15" s="25">
        <v>206</v>
      </c>
      <c r="T15" s="25">
        <v>81</v>
      </c>
      <c r="U15" s="25">
        <v>496</v>
      </c>
      <c r="V15" s="25">
        <v>144</v>
      </c>
      <c r="W15" s="25">
        <v>30</v>
      </c>
      <c r="X15" s="25">
        <v>29</v>
      </c>
      <c r="Y15" s="25">
        <v>5881</v>
      </c>
      <c r="Z15" s="25">
        <v>335</v>
      </c>
      <c r="AA15" s="25">
        <v>3942</v>
      </c>
      <c r="AB15" s="25">
        <v>278</v>
      </c>
      <c r="AC15" s="25">
        <v>3676</v>
      </c>
      <c r="AD15" s="25">
        <v>279</v>
      </c>
      <c r="AE15" s="25">
        <v>266</v>
      </c>
      <c r="AF15" s="25">
        <v>79</v>
      </c>
      <c r="AG15" s="25">
        <v>332</v>
      </c>
      <c r="AH15" s="25">
        <v>112</v>
      </c>
      <c r="AI15" s="25">
        <v>716</v>
      </c>
      <c r="AJ15" s="25">
        <v>123</v>
      </c>
      <c r="AK15" s="25">
        <v>397</v>
      </c>
      <c r="AL15" s="25">
        <v>126</v>
      </c>
      <c r="AM15" s="25">
        <v>184</v>
      </c>
      <c r="AN15" s="25">
        <v>79</v>
      </c>
      <c r="AO15" s="25">
        <v>293</v>
      </c>
      <c r="AP15" s="25">
        <v>103</v>
      </c>
      <c r="AQ15" s="25">
        <v>17</v>
      </c>
      <c r="AR15" s="25">
        <v>20</v>
      </c>
      <c r="AS15" s="25">
        <v>776</v>
      </c>
      <c r="AT15" s="25">
        <v>173</v>
      </c>
      <c r="AU15" s="25">
        <v>611</v>
      </c>
      <c r="AV15" s="25">
        <v>164</v>
      </c>
      <c r="AW15" s="25">
        <v>588</v>
      </c>
      <c r="AX15" s="25">
        <v>155</v>
      </c>
      <c r="AY15" s="25">
        <v>23</v>
      </c>
      <c r="AZ15" s="25">
        <v>25</v>
      </c>
      <c r="BA15" s="25">
        <v>33</v>
      </c>
      <c r="BB15" s="25">
        <v>33</v>
      </c>
      <c r="BC15" s="25">
        <v>84</v>
      </c>
      <c r="BD15" s="25">
        <v>53</v>
      </c>
      <c r="BE15" s="25">
        <v>22</v>
      </c>
      <c r="BF15" s="25">
        <v>22</v>
      </c>
      <c r="BG15" s="25">
        <v>11</v>
      </c>
      <c r="BH15" s="25">
        <v>14</v>
      </c>
      <c r="BI15" s="25">
        <v>15</v>
      </c>
      <c r="BJ15" s="25">
        <v>17</v>
      </c>
      <c r="BK15" s="25">
        <v>0</v>
      </c>
      <c r="BL15" s="25">
        <v>89</v>
      </c>
      <c r="BM15" s="25">
        <v>19</v>
      </c>
      <c r="BN15" s="25">
        <v>21</v>
      </c>
      <c r="BO15" s="25">
        <v>5</v>
      </c>
      <c r="BP15" s="25">
        <v>7</v>
      </c>
      <c r="BQ15" s="25">
        <v>5</v>
      </c>
      <c r="BR15" s="25">
        <v>7</v>
      </c>
      <c r="BS15" s="25">
        <v>0</v>
      </c>
      <c r="BT15" s="25">
        <v>89</v>
      </c>
      <c r="BU15" s="25">
        <v>0</v>
      </c>
      <c r="BV15" s="25">
        <v>89</v>
      </c>
      <c r="BW15" s="25">
        <v>14</v>
      </c>
      <c r="BX15" s="25">
        <v>20</v>
      </c>
      <c r="BY15" s="25">
        <v>0</v>
      </c>
      <c r="BZ15" s="25">
        <v>89</v>
      </c>
      <c r="CA15" s="25">
        <v>0</v>
      </c>
      <c r="CB15" s="25">
        <v>89</v>
      </c>
      <c r="CC15" s="25">
        <v>0</v>
      </c>
      <c r="CD15" s="25">
        <v>89</v>
      </c>
      <c r="CE15" s="25">
        <v>0</v>
      </c>
      <c r="CF15" s="25">
        <v>89</v>
      </c>
      <c r="CG15" s="25">
        <v>188</v>
      </c>
      <c r="CH15" s="25">
        <v>75</v>
      </c>
      <c r="CI15" s="25">
        <v>145</v>
      </c>
      <c r="CJ15" s="25">
        <v>70</v>
      </c>
      <c r="CK15" s="25">
        <v>118</v>
      </c>
      <c r="CL15" s="25">
        <v>62</v>
      </c>
      <c r="CM15" s="25">
        <v>27</v>
      </c>
      <c r="CN15" s="25">
        <v>28</v>
      </c>
      <c r="CO15" s="25">
        <v>3</v>
      </c>
      <c r="CP15" s="25">
        <v>5</v>
      </c>
      <c r="CQ15" s="25">
        <v>12</v>
      </c>
      <c r="CR15" s="25">
        <v>11</v>
      </c>
      <c r="CS15" s="25">
        <v>0</v>
      </c>
      <c r="CT15" s="25">
        <v>89</v>
      </c>
      <c r="CU15" s="25">
        <v>11</v>
      </c>
      <c r="CV15" s="25">
        <v>14</v>
      </c>
      <c r="CW15" s="25">
        <v>17</v>
      </c>
      <c r="CX15" s="25">
        <v>16</v>
      </c>
      <c r="CY15" s="25">
        <v>0</v>
      </c>
      <c r="CZ15" s="25">
        <v>89</v>
      </c>
      <c r="DA15" s="25">
        <v>51</v>
      </c>
      <c r="DB15" s="25">
        <v>34</v>
      </c>
      <c r="DC15" s="25">
        <v>49</v>
      </c>
      <c r="DD15" s="25">
        <v>32</v>
      </c>
      <c r="DE15" s="25">
        <v>49</v>
      </c>
      <c r="DF15" s="25">
        <v>32</v>
      </c>
      <c r="DG15" s="25">
        <v>0</v>
      </c>
      <c r="DH15" s="25">
        <v>89</v>
      </c>
      <c r="DI15" s="25">
        <v>0</v>
      </c>
      <c r="DJ15" s="25">
        <v>89</v>
      </c>
      <c r="DK15" s="25">
        <v>2</v>
      </c>
      <c r="DL15" s="25">
        <v>5</v>
      </c>
      <c r="DM15" s="25">
        <v>0</v>
      </c>
      <c r="DN15" s="25">
        <v>89</v>
      </c>
      <c r="DO15" s="25">
        <v>0</v>
      </c>
      <c r="DP15" s="25">
        <v>89</v>
      </c>
      <c r="DQ15" s="25">
        <v>0</v>
      </c>
      <c r="DR15" s="25">
        <v>89</v>
      </c>
      <c r="DS15" s="25">
        <v>0</v>
      </c>
      <c r="DT15" s="25">
        <v>89</v>
      </c>
      <c r="DU15" s="25">
        <v>338</v>
      </c>
      <c r="DV15" s="25">
        <v>131</v>
      </c>
      <c r="DW15" s="25">
        <v>151</v>
      </c>
      <c r="DX15" s="25">
        <v>78</v>
      </c>
      <c r="DY15" s="25">
        <v>132</v>
      </c>
      <c r="DZ15" s="25">
        <v>74</v>
      </c>
      <c r="EA15" s="25">
        <v>19</v>
      </c>
      <c r="EB15" s="25">
        <v>22</v>
      </c>
      <c r="EC15" s="25">
        <v>0</v>
      </c>
      <c r="ED15" s="25">
        <v>89</v>
      </c>
      <c r="EE15" s="25">
        <v>0</v>
      </c>
      <c r="EF15" s="25">
        <v>89</v>
      </c>
      <c r="EG15" s="25">
        <v>3</v>
      </c>
      <c r="EH15" s="25">
        <v>6</v>
      </c>
      <c r="EI15" s="25">
        <v>0</v>
      </c>
      <c r="EJ15" s="25">
        <v>89</v>
      </c>
      <c r="EK15" s="25">
        <v>171</v>
      </c>
      <c r="EL15" s="25">
        <v>98</v>
      </c>
      <c r="EM15" s="25">
        <v>13</v>
      </c>
      <c r="EN15" s="25">
        <v>21</v>
      </c>
    </row>
    <row r="16" spans="1:144" x14ac:dyDescent="0.25">
      <c r="A16" s="19">
        <f t="shared" si="8"/>
        <v>15</v>
      </c>
      <c r="B16" s="20" t="str">
        <f t="shared" si="9"/>
        <v>Emery</v>
      </c>
      <c r="C16" s="24" t="s">
        <v>302</v>
      </c>
      <c r="D16" s="24" t="s">
        <v>303</v>
      </c>
      <c r="E16" s="25">
        <v>4469</v>
      </c>
      <c r="F16" s="25">
        <v>154</v>
      </c>
      <c r="G16" s="25">
        <v>3097</v>
      </c>
      <c r="H16" s="25">
        <v>185</v>
      </c>
      <c r="I16" s="25">
        <v>2935</v>
      </c>
      <c r="J16" s="25">
        <v>188</v>
      </c>
      <c r="K16" s="25">
        <v>162</v>
      </c>
      <c r="L16" s="25">
        <v>73</v>
      </c>
      <c r="M16" s="25">
        <v>183</v>
      </c>
      <c r="N16" s="25">
        <v>85</v>
      </c>
      <c r="O16" s="25">
        <v>576</v>
      </c>
      <c r="P16" s="25">
        <v>119</v>
      </c>
      <c r="Q16" s="25">
        <v>256</v>
      </c>
      <c r="R16" s="25">
        <v>66</v>
      </c>
      <c r="S16" s="25">
        <v>126</v>
      </c>
      <c r="T16" s="25">
        <v>44</v>
      </c>
      <c r="U16" s="25">
        <v>213</v>
      </c>
      <c r="V16" s="25">
        <v>57</v>
      </c>
      <c r="W16" s="25">
        <v>18</v>
      </c>
      <c r="X16" s="25">
        <v>17</v>
      </c>
      <c r="Y16" s="25">
        <v>3401</v>
      </c>
      <c r="Z16" s="25">
        <v>175</v>
      </c>
      <c r="AA16" s="25">
        <v>2394</v>
      </c>
      <c r="AB16" s="25">
        <v>185</v>
      </c>
      <c r="AC16" s="25">
        <v>2347</v>
      </c>
      <c r="AD16" s="25">
        <v>182</v>
      </c>
      <c r="AE16" s="25">
        <v>47</v>
      </c>
      <c r="AF16" s="25">
        <v>22</v>
      </c>
      <c r="AG16" s="25">
        <v>146</v>
      </c>
      <c r="AH16" s="25">
        <v>61</v>
      </c>
      <c r="AI16" s="25">
        <v>467</v>
      </c>
      <c r="AJ16" s="25">
        <v>110</v>
      </c>
      <c r="AK16" s="25">
        <v>194</v>
      </c>
      <c r="AL16" s="25">
        <v>57</v>
      </c>
      <c r="AM16" s="25">
        <v>81</v>
      </c>
      <c r="AN16" s="25">
        <v>39</v>
      </c>
      <c r="AO16" s="25">
        <v>114</v>
      </c>
      <c r="AP16" s="25">
        <v>44</v>
      </c>
      <c r="AQ16" s="25">
        <v>5</v>
      </c>
      <c r="AR16" s="25">
        <v>6</v>
      </c>
      <c r="AS16" s="25">
        <v>628</v>
      </c>
      <c r="AT16" s="25">
        <v>103</v>
      </c>
      <c r="AU16" s="25">
        <v>454</v>
      </c>
      <c r="AV16" s="25">
        <v>99</v>
      </c>
      <c r="AW16" s="25">
        <v>443</v>
      </c>
      <c r="AX16" s="25">
        <v>98</v>
      </c>
      <c r="AY16" s="25">
        <v>11</v>
      </c>
      <c r="AZ16" s="25">
        <v>8</v>
      </c>
      <c r="BA16" s="25">
        <v>35</v>
      </c>
      <c r="BB16" s="25">
        <v>40</v>
      </c>
      <c r="BC16" s="25">
        <v>56</v>
      </c>
      <c r="BD16" s="25">
        <v>26</v>
      </c>
      <c r="BE16" s="25">
        <v>51</v>
      </c>
      <c r="BF16" s="25">
        <v>25</v>
      </c>
      <c r="BG16" s="25">
        <v>23</v>
      </c>
      <c r="BH16" s="25">
        <v>24</v>
      </c>
      <c r="BI16" s="25">
        <v>9</v>
      </c>
      <c r="BJ16" s="25">
        <v>8</v>
      </c>
      <c r="BK16" s="25">
        <v>0</v>
      </c>
      <c r="BL16" s="25">
        <v>89</v>
      </c>
      <c r="BM16" s="25">
        <v>0</v>
      </c>
      <c r="BN16" s="25">
        <v>89</v>
      </c>
      <c r="BO16" s="25">
        <v>0</v>
      </c>
      <c r="BP16" s="25">
        <v>89</v>
      </c>
      <c r="BQ16" s="25">
        <v>0</v>
      </c>
      <c r="BR16" s="25">
        <v>89</v>
      </c>
      <c r="BS16" s="25">
        <v>0</v>
      </c>
      <c r="BT16" s="25">
        <v>89</v>
      </c>
      <c r="BU16" s="25">
        <v>0</v>
      </c>
      <c r="BV16" s="25">
        <v>89</v>
      </c>
      <c r="BW16" s="25">
        <v>0</v>
      </c>
      <c r="BX16" s="25">
        <v>89</v>
      </c>
      <c r="BY16" s="25">
        <v>0</v>
      </c>
      <c r="BZ16" s="25">
        <v>89</v>
      </c>
      <c r="CA16" s="25">
        <v>0</v>
      </c>
      <c r="CB16" s="25">
        <v>89</v>
      </c>
      <c r="CC16" s="25">
        <v>0</v>
      </c>
      <c r="CD16" s="25">
        <v>89</v>
      </c>
      <c r="CE16" s="25">
        <v>0</v>
      </c>
      <c r="CF16" s="25">
        <v>89</v>
      </c>
      <c r="CG16" s="25">
        <v>142</v>
      </c>
      <c r="CH16" s="25">
        <v>53</v>
      </c>
      <c r="CI16" s="25">
        <v>81</v>
      </c>
      <c r="CJ16" s="25">
        <v>49</v>
      </c>
      <c r="CK16" s="25">
        <v>57</v>
      </c>
      <c r="CL16" s="25">
        <v>37</v>
      </c>
      <c r="CM16" s="25">
        <v>24</v>
      </c>
      <c r="CN16" s="25">
        <v>33</v>
      </c>
      <c r="CO16" s="25">
        <v>2</v>
      </c>
      <c r="CP16" s="25">
        <v>4</v>
      </c>
      <c r="CQ16" s="25">
        <v>41</v>
      </c>
      <c r="CR16" s="25">
        <v>26</v>
      </c>
      <c r="CS16" s="25">
        <v>0</v>
      </c>
      <c r="CT16" s="25">
        <v>89</v>
      </c>
      <c r="CU16" s="25">
        <v>11</v>
      </c>
      <c r="CV16" s="25">
        <v>13</v>
      </c>
      <c r="CW16" s="25">
        <v>7</v>
      </c>
      <c r="CX16" s="25">
        <v>8</v>
      </c>
      <c r="CY16" s="25">
        <v>0</v>
      </c>
      <c r="CZ16" s="25">
        <v>89</v>
      </c>
      <c r="DA16" s="25">
        <v>27</v>
      </c>
      <c r="DB16" s="25">
        <v>19</v>
      </c>
      <c r="DC16" s="25">
        <v>25</v>
      </c>
      <c r="DD16" s="25">
        <v>18</v>
      </c>
      <c r="DE16" s="25">
        <v>22</v>
      </c>
      <c r="DF16" s="25">
        <v>17</v>
      </c>
      <c r="DG16" s="25">
        <v>3</v>
      </c>
      <c r="DH16" s="25">
        <v>4</v>
      </c>
      <c r="DI16" s="25">
        <v>0</v>
      </c>
      <c r="DJ16" s="25">
        <v>89</v>
      </c>
      <c r="DK16" s="25">
        <v>2</v>
      </c>
      <c r="DL16" s="25">
        <v>4</v>
      </c>
      <c r="DM16" s="25">
        <v>0</v>
      </c>
      <c r="DN16" s="25">
        <v>89</v>
      </c>
      <c r="DO16" s="25">
        <v>0</v>
      </c>
      <c r="DP16" s="25">
        <v>89</v>
      </c>
      <c r="DQ16" s="25">
        <v>0</v>
      </c>
      <c r="DR16" s="25">
        <v>89</v>
      </c>
      <c r="DS16" s="25">
        <v>0</v>
      </c>
      <c r="DT16" s="25">
        <v>89</v>
      </c>
      <c r="DU16" s="25">
        <v>271</v>
      </c>
      <c r="DV16" s="25">
        <v>99</v>
      </c>
      <c r="DW16" s="25">
        <v>143</v>
      </c>
      <c r="DX16" s="25">
        <v>78</v>
      </c>
      <c r="DY16" s="25">
        <v>66</v>
      </c>
      <c r="DZ16" s="25">
        <v>32</v>
      </c>
      <c r="EA16" s="25">
        <v>77</v>
      </c>
      <c r="EB16" s="25">
        <v>66</v>
      </c>
      <c r="EC16" s="25">
        <v>0</v>
      </c>
      <c r="ED16" s="25">
        <v>89</v>
      </c>
      <c r="EE16" s="25">
        <v>10</v>
      </c>
      <c r="EF16" s="25">
        <v>8</v>
      </c>
      <c r="EG16" s="25">
        <v>11</v>
      </c>
      <c r="EH16" s="25">
        <v>19</v>
      </c>
      <c r="EI16" s="25">
        <v>11</v>
      </c>
      <c r="EJ16" s="25">
        <v>13</v>
      </c>
      <c r="EK16" s="25">
        <v>83</v>
      </c>
      <c r="EL16" s="25">
        <v>45</v>
      </c>
      <c r="EM16" s="25">
        <v>13</v>
      </c>
      <c r="EN16" s="25">
        <v>15</v>
      </c>
    </row>
    <row r="17" spans="1:144" x14ac:dyDescent="0.25">
      <c r="A17" s="19">
        <f t="shared" si="8"/>
        <v>17</v>
      </c>
      <c r="B17" s="20" t="str">
        <f t="shared" si="9"/>
        <v>Garfield</v>
      </c>
      <c r="C17" s="24" t="s">
        <v>304</v>
      </c>
      <c r="D17" s="24" t="s">
        <v>305</v>
      </c>
      <c r="E17" s="25">
        <v>2486</v>
      </c>
      <c r="F17" s="25">
        <v>172</v>
      </c>
      <c r="G17" s="25">
        <v>1406</v>
      </c>
      <c r="H17" s="25">
        <v>189</v>
      </c>
      <c r="I17" s="25">
        <v>1281</v>
      </c>
      <c r="J17" s="25">
        <v>184</v>
      </c>
      <c r="K17" s="25">
        <v>125</v>
      </c>
      <c r="L17" s="25">
        <v>51</v>
      </c>
      <c r="M17" s="25">
        <v>150</v>
      </c>
      <c r="N17" s="25">
        <v>44</v>
      </c>
      <c r="O17" s="25">
        <v>346</v>
      </c>
      <c r="P17" s="25">
        <v>123</v>
      </c>
      <c r="Q17" s="25">
        <v>97</v>
      </c>
      <c r="R17" s="25">
        <v>44</v>
      </c>
      <c r="S17" s="25">
        <v>170</v>
      </c>
      <c r="T17" s="25">
        <v>61</v>
      </c>
      <c r="U17" s="25">
        <v>287</v>
      </c>
      <c r="V17" s="25">
        <v>130</v>
      </c>
      <c r="W17" s="25">
        <v>30</v>
      </c>
      <c r="X17" s="25">
        <v>23</v>
      </c>
      <c r="Y17" s="25">
        <v>1692</v>
      </c>
      <c r="Z17" s="25">
        <v>170</v>
      </c>
      <c r="AA17" s="25">
        <v>1010</v>
      </c>
      <c r="AB17" s="25">
        <v>178</v>
      </c>
      <c r="AC17" s="25">
        <v>944</v>
      </c>
      <c r="AD17" s="25">
        <v>180</v>
      </c>
      <c r="AE17" s="25">
        <v>66</v>
      </c>
      <c r="AF17" s="25">
        <v>35</v>
      </c>
      <c r="AG17" s="25">
        <v>139</v>
      </c>
      <c r="AH17" s="25">
        <v>43</v>
      </c>
      <c r="AI17" s="25">
        <v>216</v>
      </c>
      <c r="AJ17" s="25">
        <v>71</v>
      </c>
      <c r="AK17" s="25">
        <v>84</v>
      </c>
      <c r="AL17" s="25">
        <v>41</v>
      </c>
      <c r="AM17" s="25">
        <v>119</v>
      </c>
      <c r="AN17" s="25">
        <v>48</v>
      </c>
      <c r="AO17" s="25">
        <v>119</v>
      </c>
      <c r="AP17" s="25">
        <v>52</v>
      </c>
      <c r="AQ17" s="25">
        <v>5</v>
      </c>
      <c r="AR17" s="25">
        <v>7</v>
      </c>
      <c r="AS17" s="25">
        <v>281</v>
      </c>
      <c r="AT17" s="25">
        <v>80</v>
      </c>
      <c r="AU17" s="25">
        <v>178</v>
      </c>
      <c r="AV17" s="25">
        <v>62</v>
      </c>
      <c r="AW17" s="25">
        <v>174</v>
      </c>
      <c r="AX17" s="25">
        <v>62</v>
      </c>
      <c r="AY17" s="25">
        <v>4</v>
      </c>
      <c r="AZ17" s="25">
        <v>6</v>
      </c>
      <c r="BA17" s="25">
        <v>7</v>
      </c>
      <c r="BB17" s="25">
        <v>7</v>
      </c>
      <c r="BC17" s="25">
        <v>65</v>
      </c>
      <c r="BD17" s="25">
        <v>48</v>
      </c>
      <c r="BE17" s="25">
        <v>7</v>
      </c>
      <c r="BF17" s="25">
        <v>8</v>
      </c>
      <c r="BG17" s="25">
        <v>13</v>
      </c>
      <c r="BH17" s="25">
        <v>14</v>
      </c>
      <c r="BI17" s="25">
        <v>9</v>
      </c>
      <c r="BJ17" s="25">
        <v>10</v>
      </c>
      <c r="BK17" s="25">
        <v>2</v>
      </c>
      <c r="BL17" s="25">
        <v>3</v>
      </c>
      <c r="BM17" s="25">
        <v>9</v>
      </c>
      <c r="BN17" s="25">
        <v>18</v>
      </c>
      <c r="BO17" s="25">
        <v>8</v>
      </c>
      <c r="BP17" s="25">
        <v>16</v>
      </c>
      <c r="BQ17" s="25">
        <v>8</v>
      </c>
      <c r="BR17" s="25">
        <v>16</v>
      </c>
      <c r="BS17" s="25">
        <v>0</v>
      </c>
      <c r="BT17" s="25">
        <v>89</v>
      </c>
      <c r="BU17" s="25">
        <v>1</v>
      </c>
      <c r="BV17" s="25">
        <v>6</v>
      </c>
      <c r="BW17" s="25">
        <v>0</v>
      </c>
      <c r="BX17" s="25">
        <v>89</v>
      </c>
      <c r="BY17" s="25">
        <v>0</v>
      </c>
      <c r="BZ17" s="25">
        <v>89</v>
      </c>
      <c r="CA17" s="25">
        <v>0</v>
      </c>
      <c r="CB17" s="25">
        <v>89</v>
      </c>
      <c r="CC17" s="25">
        <v>0</v>
      </c>
      <c r="CD17" s="25">
        <v>89</v>
      </c>
      <c r="CE17" s="25">
        <v>0</v>
      </c>
      <c r="CF17" s="25">
        <v>89</v>
      </c>
      <c r="CG17" s="25">
        <v>232</v>
      </c>
      <c r="CH17" s="25">
        <v>93</v>
      </c>
      <c r="CI17" s="25">
        <v>101</v>
      </c>
      <c r="CJ17" s="25">
        <v>65</v>
      </c>
      <c r="CK17" s="25">
        <v>92</v>
      </c>
      <c r="CL17" s="25">
        <v>61</v>
      </c>
      <c r="CM17" s="25">
        <v>9</v>
      </c>
      <c r="CN17" s="25">
        <v>11</v>
      </c>
      <c r="CO17" s="25">
        <v>1</v>
      </c>
      <c r="CP17" s="25">
        <v>3</v>
      </c>
      <c r="CQ17" s="25">
        <v>30</v>
      </c>
      <c r="CR17" s="25">
        <v>29</v>
      </c>
      <c r="CS17" s="25">
        <v>0</v>
      </c>
      <c r="CT17" s="25">
        <v>89</v>
      </c>
      <c r="CU17" s="25">
        <v>36</v>
      </c>
      <c r="CV17" s="25">
        <v>30</v>
      </c>
      <c r="CW17" s="25">
        <v>60</v>
      </c>
      <c r="CX17" s="25">
        <v>96</v>
      </c>
      <c r="CY17" s="25">
        <v>4</v>
      </c>
      <c r="CZ17" s="25">
        <v>5</v>
      </c>
      <c r="DA17" s="25">
        <v>43</v>
      </c>
      <c r="DB17" s="25">
        <v>36</v>
      </c>
      <c r="DC17" s="25">
        <v>41</v>
      </c>
      <c r="DD17" s="25">
        <v>36</v>
      </c>
      <c r="DE17" s="25">
        <v>32</v>
      </c>
      <c r="DF17" s="25">
        <v>31</v>
      </c>
      <c r="DG17" s="25">
        <v>9</v>
      </c>
      <c r="DH17" s="25">
        <v>11</v>
      </c>
      <c r="DI17" s="25">
        <v>0</v>
      </c>
      <c r="DJ17" s="25">
        <v>89</v>
      </c>
      <c r="DK17" s="25">
        <v>0</v>
      </c>
      <c r="DL17" s="25">
        <v>89</v>
      </c>
      <c r="DM17" s="25">
        <v>0</v>
      </c>
      <c r="DN17" s="25">
        <v>89</v>
      </c>
      <c r="DO17" s="25">
        <v>2</v>
      </c>
      <c r="DP17" s="25">
        <v>3</v>
      </c>
      <c r="DQ17" s="25">
        <v>0</v>
      </c>
      <c r="DR17" s="25">
        <v>89</v>
      </c>
      <c r="DS17" s="25">
        <v>0</v>
      </c>
      <c r="DT17" s="25">
        <v>89</v>
      </c>
      <c r="DU17" s="25">
        <v>229</v>
      </c>
      <c r="DV17" s="25">
        <v>96</v>
      </c>
      <c r="DW17" s="25">
        <v>68</v>
      </c>
      <c r="DX17" s="25">
        <v>42</v>
      </c>
      <c r="DY17" s="25">
        <v>31</v>
      </c>
      <c r="DZ17" s="25">
        <v>25</v>
      </c>
      <c r="EA17" s="25">
        <v>37</v>
      </c>
      <c r="EB17" s="25">
        <v>30</v>
      </c>
      <c r="EC17" s="25">
        <v>2</v>
      </c>
      <c r="ED17" s="25">
        <v>4</v>
      </c>
      <c r="EE17" s="25">
        <v>35</v>
      </c>
      <c r="EF17" s="25">
        <v>71</v>
      </c>
      <c r="EG17" s="25">
        <v>6</v>
      </c>
      <c r="EH17" s="25">
        <v>13</v>
      </c>
      <c r="EI17" s="25">
        <v>0</v>
      </c>
      <c r="EJ17" s="25">
        <v>89</v>
      </c>
      <c r="EK17" s="25">
        <v>99</v>
      </c>
      <c r="EL17" s="25">
        <v>50</v>
      </c>
      <c r="EM17" s="25">
        <v>19</v>
      </c>
      <c r="EN17" s="25">
        <v>19</v>
      </c>
    </row>
    <row r="18" spans="1:144" x14ac:dyDescent="0.25">
      <c r="A18" s="19">
        <f t="shared" si="8"/>
        <v>19</v>
      </c>
      <c r="B18" s="20" t="str">
        <f t="shared" si="9"/>
        <v>Grand</v>
      </c>
      <c r="C18" s="24" t="s">
        <v>306</v>
      </c>
      <c r="D18" s="24" t="s">
        <v>307</v>
      </c>
      <c r="E18" s="25">
        <v>4274</v>
      </c>
      <c r="F18" s="25">
        <v>371</v>
      </c>
      <c r="G18" s="25">
        <v>2588</v>
      </c>
      <c r="H18" s="25">
        <v>329</v>
      </c>
      <c r="I18" s="25">
        <v>2354</v>
      </c>
      <c r="J18" s="25">
        <v>352</v>
      </c>
      <c r="K18" s="25">
        <v>234</v>
      </c>
      <c r="L18" s="25">
        <v>131</v>
      </c>
      <c r="M18" s="25">
        <v>249</v>
      </c>
      <c r="N18" s="25">
        <v>107</v>
      </c>
      <c r="O18" s="25">
        <v>461</v>
      </c>
      <c r="P18" s="25">
        <v>199</v>
      </c>
      <c r="Q18" s="25">
        <v>271</v>
      </c>
      <c r="R18" s="25">
        <v>138</v>
      </c>
      <c r="S18" s="25">
        <v>288</v>
      </c>
      <c r="T18" s="25">
        <v>181</v>
      </c>
      <c r="U18" s="25">
        <v>414</v>
      </c>
      <c r="V18" s="25">
        <v>176</v>
      </c>
      <c r="W18" s="25">
        <v>3</v>
      </c>
      <c r="X18" s="25">
        <v>7</v>
      </c>
      <c r="Y18" s="25">
        <v>3060</v>
      </c>
      <c r="Z18" s="25">
        <v>332</v>
      </c>
      <c r="AA18" s="25">
        <v>1853</v>
      </c>
      <c r="AB18" s="25">
        <v>284</v>
      </c>
      <c r="AC18" s="25">
        <v>1707</v>
      </c>
      <c r="AD18" s="25">
        <v>295</v>
      </c>
      <c r="AE18" s="25">
        <v>146</v>
      </c>
      <c r="AF18" s="25">
        <v>84</v>
      </c>
      <c r="AG18" s="25">
        <v>93</v>
      </c>
      <c r="AH18" s="25">
        <v>64</v>
      </c>
      <c r="AI18" s="25">
        <v>319</v>
      </c>
      <c r="AJ18" s="25">
        <v>166</v>
      </c>
      <c r="AK18" s="25">
        <v>264</v>
      </c>
      <c r="AL18" s="25">
        <v>138</v>
      </c>
      <c r="AM18" s="25">
        <v>227</v>
      </c>
      <c r="AN18" s="25">
        <v>148</v>
      </c>
      <c r="AO18" s="25">
        <v>304</v>
      </c>
      <c r="AP18" s="25">
        <v>146</v>
      </c>
      <c r="AQ18" s="25">
        <v>0</v>
      </c>
      <c r="AR18" s="25">
        <v>89</v>
      </c>
      <c r="AS18" s="25">
        <v>436</v>
      </c>
      <c r="AT18" s="25">
        <v>172</v>
      </c>
      <c r="AU18" s="25">
        <v>278</v>
      </c>
      <c r="AV18" s="25">
        <v>148</v>
      </c>
      <c r="AW18" s="25">
        <v>238</v>
      </c>
      <c r="AX18" s="25">
        <v>135</v>
      </c>
      <c r="AY18" s="25">
        <v>40</v>
      </c>
      <c r="AZ18" s="25">
        <v>61</v>
      </c>
      <c r="BA18" s="25">
        <v>4</v>
      </c>
      <c r="BB18" s="25">
        <v>8</v>
      </c>
      <c r="BC18" s="25">
        <v>46</v>
      </c>
      <c r="BD18" s="25">
        <v>45</v>
      </c>
      <c r="BE18" s="25">
        <v>7</v>
      </c>
      <c r="BF18" s="25">
        <v>13</v>
      </c>
      <c r="BG18" s="25">
        <v>32</v>
      </c>
      <c r="BH18" s="25">
        <v>37</v>
      </c>
      <c r="BI18" s="25">
        <v>66</v>
      </c>
      <c r="BJ18" s="25">
        <v>60</v>
      </c>
      <c r="BK18" s="25">
        <v>3</v>
      </c>
      <c r="BL18" s="25">
        <v>7</v>
      </c>
      <c r="BM18" s="25">
        <v>17</v>
      </c>
      <c r="BN18" s="25">
        <v>32</v>
      </c>
      <c r="BO18" s="25">
        <v>0</v>
      </c>
      <c r="BP18" s="25">
        <v>89</v>
      </c>
      <c r="BQ18" s="25">
        <v>0</v>
      </c>
      <c r="BR18" s="25">
        <v>89</v>
      </c>
      <c r="BS18" s="25">
        <v>0</v>
      </c>
      <c r="BT18" s="25">
        <v>89</v>
      </c>
      <c r="BU18" s="25">
        <v>17</v>
      </c>
      <c r="BV18" s="25">
        <v>32</v>
      </c>
      <c r="BW18" s="25">
        <v>0</v>
      </c>
      <c r="BX18" s="25">
        <v>89</v>
      </c>
      <c r="BY18" s="25">
        <v>0</v>
      </c>
      <c r="BZ18" s="25">
        <v>89</v>
      </c>
      <c r="CA18" s="25">
        <v>0</v>
      </c>
      <c r="CB18" s="25">
        <v>89</v>
      </c>
      <c r="CC18" s="25">
        <v>0</v>
      </c>
      <c r="CD18" s="25">
        <v>89</v>
      </c>
      <c r="CE18" s="25">
        <v>0</v>
      </c>
      <c r="CF18" s="25">
        <v>89</v>
      </c>
      <c r="CG18" s="25">
        <v>237</v>
      </c>
      <c r="CH18" s="25">
        <v>101</v>
      </c>
      <c r="CI18" s="25">
        <v>164</v>
      </c>
      <c r="CJ18" s="25">
        <v>92</v>
      </c>
      <c r="CK18" s="25">
        <v>142</v>
      </c>
      <c r="CL18" s="25">
        <v>85</v>
      </c>
      <c r="CM18" s="25">
        <v>22</v>
      </c>
      <c r="CN18" s="25">
        <v>38</v>
      </c>
      <c r="CO18" s="25">
        <v>25</v>
      </c>
      <c r="CP18" s="25">
        <v>32</v>
      </c>
      <c r="CQ18" s="25">
        <v>48</v>
      </c>
      <c r="CR18" s="25">
        <v>52</v>
      </c>
      <c r="CS18" s="25">
        <v>0</v>
      </c>
      <c r="CT18" s="25">
        <v>89</v>
      </c>
      <c r="CU18" s="25">
        <v>0</v>
      </c>
      <c r="CV18" s="25">
        <v>89</v>
      </c>
      <c r="CW18" s="25">
        <v>0</v>
      </c>
      <c r="CX18" s="25">
        <v>89</v>
      </c>
      <c r="CY18" s="25">
        <v>0</v>
      </c>
      <c r="CZ18" s="25">
        <v>89</v>
      </c>
      <c r="DA18" s="25">
        <v>368</v>
      </c>
      <c r="DB18" s="25">
        <v>139</v>
      </c>
      <c r="DC18" s="25">
        <v>206</v>
      </c>
      <c r="DD18" s="25">
        <v>109</v>
      </c>
      <c r="DE18" s="25">
        <v>199</v>
      </c>
      <c r="DF18" s="25">
        <v>107</v>
      </c>
      <c r="DG18" s="25">
        <v>7</v>
      </c>
      <c r="DH18" s="25">
        <v>14</v>
      </c>
      <c r="DI18" s="25">
        <v>73</v>
      </c>
      <c r="DJ18" s="25">
        <v>59</v>
      </c>
      <c r="DK18" s="25">
        <v>47</v>
      </c>
      <c r="DL18" s="25">
        <v>49</v>
      </c>
      <c r="DM18" s="25">
        <v>0</v>
      </c>
      <c r="DN18" s="25">
        <v>89</v>
      </c>
      <c r="DO18" s="25">
        <v>29</v>
      </c>
      <c r="DP18" s="25">
        <v>47</v>
      </c>
      <c r="DQ18" s="25">
        <v>13</v>
      </c>
      <c r="DR18" s="25">
        <v>22</v>
      </c>
      <c r="DS18" s="25">
        <v>0</v>
      </c>
      <c r="DT18" s="25">
        <v>89</v>
      </c>
      <c r="DU18" s="25">
        <v>156</v>
      </c>
      <c r="DV18" s="25">
        <v>95</v>
      </c>
      <c r="DW18" s="25">
        <v>87</v>
      </c>
      <c r="DX18" s="25">
        <v>86</v>
      </c>
      <c r="DY18" s="25">
        <v>68</v>
      </c>
      <c r="DZ18" s="25">
        <v>84</v>
      </c>
      <c r="EA18" s="25">
        <v>19</v>
      </c>
      <c r="EB18" s="25">
        <v>21</v>
      </c>
      <c r="EC18" s="25">
        <v>37</v>
      </c>
      <c r="ED18" s="25">
        <v>40</v>
      </c>
      <c r="EE18" s="25">
        <v>1</v>
      </c>
      <c r="EF18" s="25">
        <v>5</v>
      </c>
      <c r="EG18" s="25">
        <v>0</v>
      </c>
      <c r="EH18" s="25">
        <v>89</v>
      </c>
      <c r="EI18" s="25">
        <v>0</v>
      </c>
      <c r="EJ18" s="25">
        <v>89</v>
      </c>
      <c r="EK18" s="25">
        <v>31</v>
      </c>
      <c r="EL18" s="25">
        <v>34</v>
      </c>
      <c r="EM18" s="25">
        <v>0</v>
      </c>
      <c r="EN18" s="25">
        <v>89</v>
      </c>
    </row>
    <row r="19" spans="1:144" x14ac:dyDescent="0.25">
      <c r="A19" s="19">
        <f t="shared" si="8"/>
        <v>21</v>
      </c>
      <c r="B19" s="20" t="str">
        <f t="shared" si="9"/>
        <v>Iron</v>
      </c>
      <c r="C19" s="24" t="s">
        <v>308</v>
      </c>
      <c r="D19" s="24" t="s">
        <v>309</v>
      </c>
      <c r="E19" s="25">
        <v>18477</v>
      </c>
      <c r="F19" s="25">
        <v>747</v>
      </c>
      <c r="G19" s="25">
        <v>12394</v>
      </c>
      <c r="H19" s="25">
        <v>703</v>
      </c>
      <c r="I19" s="25">
        <v>11400</v>
      </c>
      <c r="J19" s="25">
        <v>697</v>
      </c>
      <c r="K19" s="25">
        <v>994</v>
      </c>
      <c r="L19" s="25">
        <v>214</v>
      </c>
      <c r="M19" s="25">
        <v>873</v>
      </c>
      <c r="N19" s="25">
        <v>214</v>
      </c>
      <c r="O19" s="25">
        <v>1566</v>
      </c>
      <c r="P19" s="25">
        <v>280</v>
      </c>
      <c r="Q19" s="25">
        <v>1843</v>
      </c>
      <c r="R19" s="25">
        <v>402</v>
      </c>
      <c r="S19" s="25">
        <v>546</v>
      </c>
      <c r="T19" s="25">
        <v>161</v>
      </c>
      <c r="U19" s="25">
        <v>1218</v>
      </c>
      <c r="V19" s="25">
        <v>228</v>
      </c>
      <c r="W19" s="25">
        <v>37</v>
      </c>
      <c r="X19" s="25">
        <v>45</v>
      </c>
      <c r="Y19" s="25">
        <v>13512</v>
      </c>
      <c r="Z19" s="25">
        <v>651</v>
      </c>
      <c r="AA19" s="25">
        <v>9303</v>
      </c>
      <c r="AB19" s="25">
        <v>586</v>
      </c>
      <c r="AC19" s="25">
        <v>8614</v>
      </c>
      <c r="AD19" s="25">
        <v>561</v>
      </c>
      <c r="AE19" s="25">
        <v>689</v>
      </c>
      <c r="AF19" s="25">
        <v>188</v>
      </c>
      <c r="AG19" s="25">
        <v>598</v>
      </c>
      <c r="AH19" s="25">
        <v>148</v>
      </c>
      <c r="AI19" s="25">
        <v>1402</v>
      </c>
      <c r="AJ19" s="25">
        <v>267</v>
      </c>
      <c r="AK19" s="25">
        <v>1262</v>
      </c>
      <c r="AL19" s="25">
        <v>286</v>
      </c>
      <c r="AM19" s="25">
        <v>398</v>
      </c>
      <c r="AN19" s="25">
        <v>128</v>
      </c>
      <c r="AO19" s="25">
        <v>515</v>
      </c>
      <c r="AP19" s="25">
        <v>149</v>
      </c>
      <c r="AQ19" s="25">
        <v>34</v>
      </c>
      <c r="AR19" s="25">
        <v>44</v>
      </c>
      <c r="AS19" s="25">
        <v>2795</v>
      </c>
      <c r="AT19" s="25">
        <v>444</v>
      </c>
      <c r="AU19" s="25">
        <v>2016</v>
      </c>
      <c r="AV19" s="25">
        <v>380</v>
      </c>
      <c r="AW19" s="25">
        <v>1870</v>
      </c>
      <c r="AX19" s="25">
        <v>368</v>
      </c>
      <c r="AY19" s="25">
        <v>146</v>
      </c>
      <c r="AZ19" s="25">
        <v>87</v>
      </c>
      <c r="BA19" s="25">
        <v>102</v>
      </c>
      <c r="BB19" s="25">
        <v>77</v>
      </c>
      <c r="BC19" s="25">
        <v>120</v>
      </c>
      <c r="BD19" s="25">
        <v>66</v>
      </c>
      <c r="BE19" s="25">
        <v>277</v>
      </c>
      <c r="BF19" s="25">
        <v>119</v>
      </c>
      <c r="BG19" s="25">
        <v>89</v>
      </c>
      <c r="BH19" s="25">
        <v>74</v>
      </c>
      <c r="BI19" s="25">
        <v>188</v>
      </c>
      <c r="BJ19" s="25">
        <v>86</v>
      </c>
      <c r="BK19" s="25">
        <v>3</v>
      </c>
      <c r="BL19" s="25">
        <v>4</v>
      </c>
      <c r="BM19" s="25">
        <v>34</v>
      </c>
      <c r="BN19" s="25">
        <v>33</v>
      </c>
      <c r="BO19" s="25">
        <v>23</v>
      </c>
      <c r="BP19" s="25">
        <v>26</v>
      </c>
      <c r="BQ19" s="25">
        <v>23</v>
      </c>
      <c r="BR19" s="25">
        <v>26</v>
      </c>
      <c r="BS19" s="25">
        <v>0</v>
      </c>
      <c r="BT19" s="25">
        <v>89</v>
      </c>
      <c r="BU19" s="25">
        <v>0</v>
      </c>
      <c r="BV19" s="25">
        <v>89</v>
      </c>
      <c r="BW19" s="25">
        <v>0</v>
      </c>
      <c r="BX19" s="25">
        <v>89</v>
      </c>
      <c r="BY19" s="25">
        <v>11</v>
      </c>
      <c r="BZ19" s="25">
        <v>18</v>
      </c>
      <c r="CA19" s="25">
        <v>0</v>
      </c>
      <c r="CB19" s="25">
        <v>89</v>
      </c>
      <c r="CC19" s="25">
        <v>0</v>
      </c>
      <c r="CD19" s="25">
        <v>89</v>
      </c>
      <c r="CE19" s="25">
        <v>0</v>
      </c>
      <c r="CF19" s="25">
        <v>89</v>
      </c>
      <c r="CG19" s="25">
        <v>1073</v>
      </c>
      <c r="CH19" s="25">
        <v>298</v>
      </c>
      <c r="CI19" s="25">
        <v>569</v>
      </c>
      <c r="CJ19" s="25">
        <v>184</v>
      </c>
      <c r="CK19" s="25">
        <v>522</v>
      </c>
      <c r="CL19" s="25">
        <v>178</v>
      </c>
      <c r="CM19" s="25">
        <v>47</v>
      </c>
      <c r="CN19" s="25">
        <v>50</v>
      </c>
      <c r="CO19" s="25">
        <v>161</v>
      </c>
      <c r="CP19" s="25">
        <v>148</v>
      </c>
      <c r="CQ19" s="25">
        <v>14</v>
      </c>
      <c r="CR19" s="25">
        <v>18</v>
      </c>
      <c r="CS19" s="25">
        <v>205</v>
      </c>
      <c r="CT19" s="25">
        <v>183</v>
      </c>
      <c r="CU19" s="25">
        <v>32</v>
      </c>
      <c r="CV19" s="25">
        <v>37</v>
      </c>
      <c r="CW19" s="25">
        <v>92</v>
      </c>
      <c r="CX19" s="25">
        <v>73</v>
      </c>
      <c r="CY19" s="25">
        <v>0</v>
      </c>
      <c r="CZ19" s="25">
        <v>89</v>
      </c>
      <c r="DA19" s="25">
        <v>354</v>
      </c>
      <c r="DB19" s="25">
        <v>119</v>
      </c>
      <c r="DC19" s="25">
        <v>230</v>
      </c>
      <c r="DD19" s="25">
        <v>99</v>
      </c>
      <c r="DE19" s="25">
        <v>207</v>
      </c>
      <c r="DF19" s="25">
        <v>91</v>
      </c>
      <c r="DG19" s="25">
        <v>23</v>
      </c>
      <c r="DH19" s="25">
        <v>30</v>
      </c>
      <c r="DI19" s="25">
        <v>10</v>
      </c>
      <c r="DJ19" s="25">
        <v>13</v>
      </c>
      <c r="DK19" s="25">
        <v>30</v>
      </c>
      <c r="DL19" s="25">
        <v>29</v>
      </c>
      <c r="DM19" s="25">
        <v>53</v>
      </c>
      <c r="DN19" s="25">
        <v>39</v>
      </c>
      <c r="DO19" s="25">
        <v>27</v>
      </c>
      <c r="DP19" s="25">
        <v>29</v>
      </c>
      <c r="DQ19" s="25">
        <v>4</v>
      </c>
      <c r="DR19" s="25">
        <v>7</v>
      </c>
      <c r="DS19" s="25">
        <v>0</v>
      </c>
      <c r="DT19" s="25">
        <v>89</v>
      </c>
      <c r="DU19" s="25">
        <v>709</v>
      </c>
      <c r="DV19" s="25">
        <v>208</v>
      </c>
      <c r="DW19" s="25">
        <v>253</v>
      </c>
      <c r="DX19" s="25">
        <v>119</v>
      </c>
      <c r="DY19" s="25">
        <v>164</v>
      </c>
      <c r="DZ19" s="25">
        <v>87</v>
      </c>
      <c r="EA19" s="25">
        <v>89</v>
      </c>
      <c r="EB19" s="25">
        <v>59</v>
      </c>
      <c r="EC19" s="25">
        <v>2</v>
      </c>
      <c r="ED19" s="25">
        <v>5</v>
      </c>
      <c r="EE19" s="25">
        <v>0</v>
      </c>
      <c r="EF19" s="25">
        <v>89</v>
      </c>
      <c r="EG19" s="25">
        <v>35</v>
      </c>
      <c r="EH19" s="25">
        <v>30</v>
      </c>
      <c r="EI19" s="25">
        <v>0</v>
      </c>
      <c r="EJ19" s="25">
        <v>89</v>
      </c>
      <c r="EK19" s="25">
        <v>419</v>
      </c>
      <c r="EL19" s="25">
        <v>138</v>
      </c>
      <c r="EM19" s="25">
        <v>0</v>
      </c>
      <c r="EN19" s="25">
        <v>89</v>
      </c>
    </row>
    <row r="20" spans="1:144" x14ac:dyDescent="0.25">
      <c r="A20" s="19">
        <f t="shared" si="8"/>
        <v>23</v>
      </c>
      <c r="B20" s="20" t="str">
        <f t="shared" si="9"/>
        <v>Juab</v>
      </c>
      <c r="C20" s="24" t="s">
        <v>310</v>
      </c>
      <c r="D20" s="24" t="s">
        <v>311</v>
      </c>
      <c r="E20" s="25">
        <v>4279</v>
      </c>
      <c r="F20" s="25">
        <v>210</v>
      </c>
      <c r="G20" s="25">
        <v>3146</v>
      </c>
      <c r="H20" s="25">
        <v>206</v>
      </c>
      <c r="I20" s="25">
        <v>2991</v>
      </c>
      <c r="J20" s="25">
        <v>209</v>
      </c>
      <c r="K20" s="25">
        <v>155</v>
      </c>
      <c r="L20" s="25">
        <v>69</v>
      </c>
      <c r="M20" s="25">
        <v>190</v>
      </c>
      <c r="N20" s="25">
        <v>60</v>
      </c>
      <c r="O20" s="25">
        <v>404</v>
      </c>
      <c r="P20" s="25">
        <v>103</v>
      </c>
      <c r="Q20" s="25">
        <v>274</v>
      </c>
      <c r="R20" s="25">
        <v>73</v>
      </c>
      <c r="S20" s="25">
        <v>76</v>
      </c>
      <c r="T20" s="25">
        <v>49</v>
      </c>
      <c r="U20" s="25">
        <v>189</v>
      </c>
      <c r="V20" s="25">
        <v>82</v>
      </c>
      <c r="W20" s="25">
        <v>0</v>
      </c>
      <c r="X20" s="25">
        <v>89</v>
      </c>
      <c r="Y20" s="25">
        <v>3131</v>
      </c>
      <c r="Z20" s="25">
        <v>240</v>
      </c>
      <c r="AA20" s="25">
        <v>2257</v>
      </c>
      <c r="AB20" s="25">
        <v>223</v>
      </c>
      <c r="AC20" s="25">
        <v>2147</v>
      </c>
      <c r="AD20" s="25">
        <v>231</v>
      </c>
      <c r="AE20" s="25">
        <v>110</v>
      </c>
      <c r="AF20" s="25">
        <v>56</v>
      </c>
      <c r="AG20" s="25">
        <v>143</v>
      </c>
      <c r="AH20" s="25">
        <v>51</v>
      </c>
      <c r="AI20" s="25">
        <v>295</v>
      </c>
      <c r="AJ20" s="25">
        <v>83</v>
      </c>
      <c r="AK20" s="25">
        <v>264</v>
      </c>
      <c r="AL20" s="25">
        <v>73</v>
      </c>
      <c r="AM20" s="25">
        <v>53</v>
      </c>
      <c r="AN20" s="25">
        <v>48</v>
      </c>
      <c r="AO20" s="25">
        <v>119</v>
      </c>
      <c r="AP20" s="25">
        <v>65</v>
      </c>
      <c r="AQ20" s="25">
        <v>0</v>
      </c>
      <c r="AR20" s="25">
        <v>89</v>
      </c>
      <c r="AS20" s="25">
        <v>766</v>
      </c>
      <c r="AT20" s="25">
        <v>146</v>
      </c>
      <c r="AU20" s="25">
        <v>609</v>
      </c>
      <c r="AV20" s="25">
        <v>131</v>
      </c>
      <c r="AW20" s="25">
        <v>601</v>
      </c>
      <c r="AX20" s="25">
        <v>127</v>
      </c>
      <c r="AY20" s="25">
        <v>8</v>
      </c>
      <c r="AZ20" s="25">
        <v>12</v>
      </c>
      <c r="BA20" s="25">
        <v>27</v>
      </c>
      <c r="BB20" s="25">
        <v>30</v>
      </c>
      <c r="BC20" s="25">
        <v>64</v>
      </c>
      <c r="BD20" s="25">
        <v>39</v>
      </c>
      <c r="BE20" s="25">
        <v>2</v>
      </c>
      <c r="BF20" s="25">
        <v>3</v>
      </c>
      <c r="BG20" s="25">
        <v>17</v>
      </c>
      <c r="BH20" s="25">
        <v>13</v>
      </c>
      <c r="BI20" s="25">
        <v>47</v>
      </c>
      <c r="BJ20" s="25">
        <v>34</v>
      </c>
      <c r="BK20" s="25">
        <v>0</v>
      </c>
      <c r="BL20" s="25">
        <v>89</v>
      </c>
      <c r="BM20" s="25">
        <v>17</v>
      </c>
      <c r="BN20" s="25">
        <v>13</v>
      </c>
      <c r="BO20" s="25">
        <v>3</v>
      </c>
      <c r="BP20" s="25">
        <v>4</v>
      </c>
      <c r="BQ20" s="25">
        <v>3</v>
      </c>
      <c r="BR20" s="25">
        <v>4</v>
      </c>
      <c r="BS20" s="25">
        <v>0</v>
      </c>
      <c r="BT20" s="25">
        <v>89</v>
      </c>
      <c r="BU20" s="25">
        <v>8</v>
      </c>
      <c r="BV20" s="25">
        <v>7</v>
      </c>
      <c r="BW20" s="25">
        <v>0</v>
      </c>
      <c r="BX20" s="25">
        <v>89</v>
      </c>
      <c r="BY20" s="25">
        <v>0</v>
      </c>
      <c r="BZ20" s="25">
        <v>89</v>
      </c>
      <c r="CA20" s="25">
        <v>6</v>
      </c>
      <c r="CB20" s="25">
        <v>9</v>
      </c>
      <c r="CC20" s="25">
        <v>0</v>
      </c>
      <c r="CD20" s="25">
        <v>89</v>
      </c>
      <c r="CE20" s="25">
        <v>0</v>
      </c>
      <c r="CF20" s="25">
        <v>89</v>
      </c>
      <c r="CG20" s="25">
        <v>75</v>
      </c>
      <c r="CH20" s="25">
        <v>32</v>
      </c>
      <c r="CI20" s="25">
        <v>52</v>
      </c>
      <c r="CJ20" s="25">
        <v>27</v>
      </c>
      <c r="CK20" s="25">
        <v>46</v>
      </c>
      <c r="CL20" s="25">
        <v>23</v>
      </c>
      <c r="CM20" s="25">
        <v>6</v>
      </c>
      <c r="CN20" s="25">
        <v>10</v>
      </c>
      <c r="CO20" s="25">
        <v>10</v>
      </c>
      <c r="CP20" s="25">
        <v>11</v>
      </c>
      <c r="CQ20" s="25">
        <v>5</v>
      </c>
      <c r="CR20" s="25">
        <v>8</v>
      </c>
      <c r="CS20" s="25">
        <v>8</v>
      </c>
      <c r="CT20" s="25">
        <v>11</v>
      </c>
      <c r="CU20" s="25">
        <v>0</v>
      </c>
      <c r="CV20" s="25">
        <v>89</v>
      </c>
      <c r="CW20" s="25">
        <v>0</v>
      </c>
      <c r="CX20" s="25">
        <v>89</v>
      </c>
      <c r="CY20" s="25">
        <v>0</v>
      </c>
      <c r="CZ20" s="25">
        <v>89</v>
      </c>
      <c r="DA20" s="25">
        <v>98</v>
      </c>
      <c r="DB20" s="25">
        <v>74</v>
      </c>
      <c r="DC20" s="25">
        <v>75</v>
      </c>
      <c r="DD20" s="25">
        <v>71</v>
      </c>
      <c r="DE20" s="25">
        <v>75</v>
      </c>
      <c r="DF20" s="25">
        <v>71</v>
      </c>
      <c r="DG20" s="25">
        <v>0</v>
      </c>
      <c r="DH20" s="25">
        <v>89</v>
      </c>
      <c r="DI20" s="25">
        <v>2</v>
      </c>
      <c r="DJ20" s="25">
        <v>4</v>
      </c>
      <c r="DK20" s="25">
        <v>21</v>
      </c>
      <c r="DL20" s="25">
        <v>26</v>
      </c>
      <c r="DM20" s="25">
        <v>0</v>
      </c>
      <c r="DN20" s="25">
        <v>89</v>
      </c>
      <c r="DO20" s="25">
        <v>0</v>
      </c>
      <c r="DP20" s="25">
        <v>89</v>
      </c>
      <c r="DQ20" s="25">
        <v>0</v>
      </c>
      <c r="DR20" s="25">
        <v>89</v>
      </c>
      <c r="DS20" s="25">
        <v>0</v>
      </c>
      <c r="DT20" s="25">
        <v>89</v>
      </c>
      <c r="DU20" s="25">
        <v>192</v>
      </c>
      <c r="DV20" s="25">
        <v>73</v>
      </c>
      <c r="DW20" s="25">
        <v>150</v>
      </c>
      <c r="DX20" s="25">
        <v>63</v>
      </c>
      <c r="DY20" s="25">
        <v>119</v>
      </c>
      <c r="DZ20" s="25">
        <v>55</v>
      </c>
      <c r="EA20" s="25">
        <v>31</v>
      </c>
      <c r="EB20" s="25">
        <v>27</v>
      </c>
      <c r="EC20" s="25">
        <v>0</v>
      </c>
      <c r="ED20" s="25">
        <v>89</v>
      </c>
      <c r="EE20" s="25">
        <v>19</v>
      </c>
      <c r="EF20" s="25">
        <v>25</v>
      </c>
      <c r="EG20" s="25">
        <v>0</v>
      </c>
      <c r="EH20" s="25">
        <v>89</v>
      </c>
      <c r="EI20" s="25">
        <v>0</v>
      </c>
      <c r="EJ20" s="25">
        <v>89</v>
      </c>
      <c r="EK20" s="25">
        <v>23</v>
      </c>
      <c r="EL20" s="25">
        <v>18</v>
      </c>
      <c r="EM20" s="25">
        <v>0</v>
      </c>
      <c r="EN20" s="25">
        <v>89</v>
      </c>
    </row>
    <row r="21" spans="1:144" x14ac:dyDescent="0.25">
      <c r="A21" s="19">
        <f t="shared" si="8"/>
        <v>25</v>
      </c>
      <c r="B21" s="20" t="str">
        <f t="shared" si="9"/>
        <v>Kane</v>
      </c>
      <c r="C21" s="24" t="s">
        <v>312</v>
      </c>
      <c r="D21" s="24" t="s">
        <v>313</v>
      </c>
      <c r="E21" s="25">
        <v>3381</v>
      </c>
      <c r="F21" s="25">
        <v>228</v>
      </c>
      <c r="G21" s="25">
        <v>1869</v>
      </c>
      <c r="H21" s="25">
        <v>219</v>
      </c>
      <c r="I21" s="25">
        <v>1609</v>
      </c>
      <c r="J21" s="25">
        <v>177</v>
      </c>
      <c r="K21" s="25">
        <v>260</v>
      </c>
      <c r="L21" s="25">
        <v>111</v>
      </c>
      <c r="M21" s="25">
        <v>438</v>
      </c>
      <c r="N21" s="25">
        <v>118</v>
      </c>
      <c r="O21" s="25">
        <v>378</v>
      </c>
      <c r="P21" s="25">
        <v>115</v>
      </c>
      <c r="Q21" s="25">
        <v>204</v>
      </c>
      <c r="R21" s="25">
        <v>104</v>
      </c>
      <c r="S21" s="25">
        <v>228</v>
      </c>
      <c r="T21" s="25">
        <v>121</v>
      </c>
      <c r="U21" s="25">
        <v>254</v>
      </c>
      <c r="V21" s="25">
        <v>88</v>
      </c>
      <c r="W21" s="25">
        <v>10</v>
      </c>
      <c r="X21" s="25">
        <v>13</v>
      </c>
      <c r="Y21" s="25">
        <v>2435</v>
      </c>
      <c r="Z21" s="25">
        <v>268</v>
      </c>
      <c r="AA21" s="25">
        <v>1267</v>
      </c>
      <c r="AB21" s="25">
        <v>195</v>
      </c>
      <c r="AC21" s="25">
        <v>1152</v>
      </c>
      <c r="AD21" s="25">
        <v>190</v>
      </c>
      <c r="AE21" s="25">
        <v>115</v>
      </c>
      <c r="AF21" s="25">
        <v>75</v>
      </c>
      <c r="AG21" s="25">
        <v>374</v>
      </c>
      <c r="AH21" s="25">
        <v>116</v>
      </c>
      <c r="AI21" s="25">
        <v>323</v>
      </c>
      <c r="AJ21" s="25">
        <v>110</v>
      </c>
      <c r="AK21" s="25">
        <v>162</v>
      </c>
      <c r="AL21" s="25">
        <v>99</v>
      </c>
      <c r="AM21" s="25">
        <v>225</v>
      </c>
      <c r="AN21" s="25">
        <v>121</v>
      </c>
      <c r="AO21" s="25">
        <v>84</v>
      </c>
      <c r="AP21" s="25">
        <v>43</v>
      </c>
      <c r="AQ21" s="25">
        <v>0</v>
      </c>
      <c r="AR21" s="25">
        <v>89</v>
      </c>
      <c r="AS21" s="25">
        <v>423</v>
      </c>
      <c r="AT21" s="25">
        <v>126</v>
      </c>
      <c r="AU21" s="25">
        <v>273</v>
      </c>
      <c r="AV21" s="25">
        <v>94</v>
      </c>
      <c r="AW21" s="25">
        <v>264</v>
      </c>
      <c r="AX21" s="25">
        <v>95</v>
      </c>
      <c r="AY21" s="25">
        <v>9</v>
      </c>
      <c r="AZ21" s="25">
        <v>13</v>
      </c>
      <c r="BA21" s="25">
        <v>62</v>
      </c>
      <c r="BB21" s="25">
        <v>43</v>
      </c>
      <c r="BC21" s="25">
        <v>28</v>
      </c>
      <c r="BD21" s="25">
        <v>28</v>
      </c>
      <c r="BE21" s="25">
        <v>40</v>
      </c>
      <c r="BF21" s="25">
        <v>40</v>
      </c>
      <c r="BG21" s="25">
        <v>0</v>
      </c>
      <c r="BH21" s="25">
        <v>89</v>
      </c>
      <c r="BI21" s="25">
        <v>20</v>
      </c>
      <c r="BJ21" s="25">
        <v>21</v>
      </c>
      <c r="BK21" s="25">
        <v>0</v>
      </c>
      <c r="BL21" s="25">
        <v>89</v>
      </c>
      <c r="BM21" s="25">
        <v>0</v>
      </c>
      <c r="BN21" s="25">
        <v>89</v>
      </c>
      <c r="BO21" s="25">
        <v>0</v>
      </c>
      <c r="BP21" s="25">
        <v>89</v>
      </c>
      <c r="BQ21" s="25">
        <v>0</v>
      </c>
      <c r="BR21" s="25">
        <v>89</v>
      </c>
      <c r="BS21" s="25">
        <v>0</v>
      </c>
      <c r="BT21" s="25">
        <v>89</v>
      </c>
      <c r="BU21" s="25">
        <v>0</v>
      </c>
      <c r="BV21" s="25">
        <v>89</v>
      </c>
      <c r="BW21" s="25">
        <v>0</v>
      </c>
      <c r="BX21" s="25">
        <v>89</v>
      </c>
      <c r="BY21" s="25">
        <v>0</v>
      </c>
      <c r="BZ21" s="25">
        <v>89</v>
      </c>
      <c r="CA21" s="25">
        <v>0</v>
      </c>
      <c r="CB21" s="25">
        <v>89</v>
      </c>
      <c r="CC21" s="25">
        <v>0</v>
      </c>
      <c r="CD21" s="25">
        <v>89</v>
      </c>
      <c r="CE21" s="25">
        <v>0</v>
      </c>
      <c r="CF21" s="25">
        <v>89</v>
      </c>
      <c r="CG21" s="25">
        <v>162</v>
      </c>
      <c r="CH21" s="25">
        <v>85</v>
      </c>
      <c r="CI21" s="25">
        <v>127</v>
      </c>
      <c r="CJ21" s="25">
        <v>77</v>
      </c>
      <c r="CK21" s="25">
        <v>95</v>
      </c>
      <c r="CL21" s="25">
        <v>70</v>
      </c>
      <c r="CM21" s="25">
        <v>32</v>
      </c>
      <c r="CN21" s="25">
        <v>35</v>
      </c>
      <c r="CO21" s="25">
        <v>0</v>
      </c>
      <c r="CP21" s="25">
        <v>89</v>
      </c>
      <c r="CQ21" s="25">
        <v>27</v>
      </c>
      <c r="CR21" s="25">
        <v>20</v>
      </c>
      <c r="CS21" s="25">
        <v>0</v>
      </c>
      <c r="CT21" s="25">
        <v>89</v>
      </c>
      <c r="CU21" s="25">
        <v>0</v>
      </c>
      <c r="CV21" s="25">
        <v>89</v>
      </c>
      <c r="CW21" s="25">
        <v>4</v>
      </c>
      <c r="CX21" s="25">
        <v>6</v>
      </c>
      <c r="CY21" s="25">
        <v>4</v>
      </c>
      <c r="CZ21" s="25">
        <v>7</v>
      </c>
      <c r="DA21" s="25">
        <v>122</v>
      </c>
      <c r="DB21" s="25">
        <v>83</v>
      </c>
      <c r="DC21" s="25">
        <v>107</v>
      </c>
      <c r="DD21" s="25">
        <v>82</v>
      </c>
      <c r="DE21" s="25">
        <v>29</v>
      </c>
      <c r="DF21" s="25">
        <v>25</v>
      </c>
      <c r="DG21" s="25">
        <v>78</v>
      </c>
      <c r="DH21" s="25">
        <v>80</v>
      </c>
      <c r="DI21" s="25">
        <v>2</v>
      </c>
      <c r="DJ21" s="25">
        <v>5</v>
      </c>
      <c r="DK21" s="25">
        <v>0</v>
      </c>
      <c r="DL21" s="25">
        <v>89</v>
      </c>
      <c r="DM21" s="25">
        <v>2</v>
      </c>
      <c r="DN21" s="25">
        <v>3</v>
      </c>
      <c r="DO21" s="25">
        <v>0</v>
      </c>
      <c r="DP21" s="25">
        <v>89</v>
      </c>
      <c r="DQ21" s="25">
        <v>11</v>
      </c>
      <c r="DR21" s="25">
        <v>14</v>
      </c>
      <c r="DS21" s="25">
        <v>0</v>
      </c>
      <c r="DT21" s="25">
        <v>89</v>
      </c>
      <c r="DU21" s="25">
        <v>239</v>
      </c>
      <c r="DV21" s="25">
        <v>94</v>
      </c>
      <c r="DW21" s="25">
        <v>95</v>
      </c>
      <c r="DX21" s="25">
        <v>71</v>
      </c>
      <c r="DY21" s="25">
        <v>69</v>
      </c>
      <c r="DZ21" s="25">
        <v>63</v>
      </c>
      <c r="EA21" s="25">
        <v>26</v>
      </c>
      <c r="EB21" s="25">
        <v>27</v>
      </c>
      <c r="EC21" s="25">
        <v>0</v>
      </c>
      <c r="ED21" s="25">
        <v>89</v>
      </c>
      <c r="EE21" s="25">
        <v>0</v>
      </c>
      <c r="EF21" s="25">
        <v>89</v>
      </c>
      <c r="EG21" s="25">
        <v>0</v>
      </c>
      <c r="EH21" s="25">
        <v>89</v>
      </c>
      <c r="EI21" s="25">
        <v>3</v>
      </c>
      <c r="EJ21" s="25">
        <v>4</v>
      </c>
      <c r="EK21" s="25">
        <v>135</v>
      </c>
      <c r="EL21" s="25">
        <v>79</v>
      </c>
      <c r="EM21" s="25">
        <v>6</v>
      </c>
      <c r="EN21" s="25">
        <v>11</v>
      </c>
    </row>
    <row r="22" spans="1:144" x14ac:dyDescent="0.25">
      <c r="A22" s="19">
        <f t="shared" si="8"/>
        <v>27</v>
      </c>
      <c r="B22" s="20" t="str">
        <f t="shared" si="9"/>
        <v>Millard</v>
      </c>
      <c r="C22" s="24" t="s">
        <v>314</v>
      </c>
      <c r="D22" s="24" t="s">
        <v>315</v>
      </c>
      <c r="E22" s="25">
        <v>4950</v>
      </c>
      <c r="F22" s="25">
        <v>224</v>
      </c>
      <c r="G22" s="25">
        <v>3346</v>
      </c>
      <c r="H22" s="25">
        <v>222</v>
      </c>
      <c r="I22" s="25">
        <v>3152</v>
      </c>
      <c r="J22" s="25">
        <v>225</v>
      </c>
      <c r="K22" s="25">
        <v>194</v>
      </c>
      <c r="L22" s="25">
        <v>61</v>
      </c>
      <c r="M22" s="25">
        <v>269</v>
      </c>
      <c r="N22" s="25">
        <v>88</v>
      </c>
      <c r="O22" s="25">
        <v>606</v>
      </c>
      <c r="P22" s="25">
        <v>123</v>
      </c>
      <c r="Q22" s="25">
        <v>218</v>
      </c>
      <c r="R22" s="25">
        <v>60</v>
      </c>
      <c r="S22" s="25">
        <v>106</v>
      </c>
      <c r="T22" s="25">
        <v>42</v>
      </c>
      <c r="U22" s="25">
        <v>376</v>
      </c>
      <c r="V22" s="25">
        <v>91</v>
      </c>
      <c r="W22" s="25">
        <v>29</v>
      </c>
      <c r="X22" s="25">
        <v>28</v>
      </c>
      <c r="Y22" s="25">
        <v>3753</v>
      </c>
      <c r="Z22" s="25">
        <v>215</v>
      </c>
      <c r="AA22" s="25">
        <v>2645</v>
      </c>
      <c r="AB22" s="25">
        <v>212</v>
      </c>
      <c r="AC22" s="25">
        <v>2517</v>
      </c>
      <c r="AD22" s="25">
        <v>212</v>
      </c>
      <c r="AE22" s="25">
        <v>128</v>
      </c>
      <c r="AF22" s="25">
        <v>49</v>
      </c>
      <c r="AG22" s="25">
        <v>194</v>
      </c>
      <c r="AH22" s="25">
        <v>72</v>
      </c>
      <c r="AI22" s="25">
        <v>500</v>
      </c>
      <c r="AJ22" s="25">
        <v>114</v>
      </c>
      <c r="AK22" s="25">
        <v>169</v>
      </c>
      <c r="AL22" s="25">
        <v>59</v>
      </c>
      <c r="AM22" s="25">
        <v>92</v>
      </c>
      <c r="AN22" s="25">
        <v>41</v>
      </c>
      <c r="AO22" s="25">
        <v>148</v>
      </c>
      <c r="AP22" s="25">
        <v>49</v>
      </c>
      <c r="AQ22" s="25">
        <v>5</v>
      </c>
      <c r="AR22" s="25">
        <v>6</v>
      </c>
      <c r="AS22" s="25">
        <v>813</v>
      </c>
      <c r="AT22" s="25">
        <v>156</v>
      </c>
      <c r="AU22" s="25">
        <v>529</v>
      </c>
      <c r="AV22" s="25">
        <v>113</v>
      </c>
      <c r="AW22" s="25">
        <v>525</v>
      </c>
      <c r="AX22" s="25">
        <v>114</v>
      </c>
      <c r="AY22" s="25">
        <v>4</v>
      </c>
      <c r="AZ22" s="25">
        <v>6</v>
      </c>
      <c r="BA22" s="25">
        <v>75</v>
      </c>
      <c r="BB22" s="25">
        <v>42</v>
      </c>
      <c r="BC22" s="25">
        <v>83</v>
      </c>
      <c r="BD22" s="25">
        <v>40</v>
      </c>
      <c r="BE22" s="25">
        <v>30</v>
      </c>
      <c r="BF22" s="25">
        <v>21</v>
      </c>
      <c r="BG22" s="25">
        <v>4</v>
      </c>
      <c r="BH22" s="25">
        <v>5</v>
      </c>
      <c r="BI22" s="25">
        <v>68</v>
      </c>
      <c r="BJ22" s="25">
        <v>29</v>
      </c>
      <c r="BK22" s="25">
        <v>24</v>
      </c>
      <c r="BL22" s="25">
        <v>27</v>
      </c>
      <c r="BM22" s="25">
        <v>12</v>
      </c>
      <c r="BN22" s="25">
        <v>14</v>
      </c>
      <c r="BO22" s="25">
        <v>9</v>
      </c>
      <c r="BP22" s="25">
        <v>13</v>
      </c>
      <c r="BQ22" s="25">
        <v>9</v>
      </c>
      <c r="BR22" s="25">
        <v>13</v>
      </c>
      <c r="BS22" s="25">
        <v>0</v>
      </c>
      <c r="BT22" s="25">
        <v>89</v>
      </c>
      <c r="BU22" s="25">
        <v>0</v>
      </c>
      <c r="BV22" s="25">
        <v>89</v>
      </c>
      <c r="BW22" s="25">
        <v>3</v>
      </c>
      <c r="BX22" s="25">
        <v>4</v>
      </c>
      <c r="BY22" s="25">
        <v>0</v>
      </c>
      <c r="BZ22" s="25">
        <v>89</v>
      </c>
      <c r="CA22" s="25">
        <v>0</v>
      </c>
      <c r="CB22" s="25">
        <v>89</v>
      </c>
      <c r="CC22" s="25">
        <v>0</v>
      </c>
      <c r="CD22" s="25">
        <v>89</v>
      </c>
      <c r="CE22" s="25">
        <v>0</v>
      </c>
      <c r="CF22" s="25">
        <v>89</v>
      </c>
      <c r="CG22" s="25">
        <v>132</v>
      </c>
      <c r="CH22" s="25">
        <v>50</v>
      </c>
      <c r="CI22" s="25">
        <v>51</v>
      </c>
      <c r="CJ22" s="25">
        <v>32</v>
      </c>
      <c r="CK22" s="25">
        <v>36</v>
      </c>
      <c r="CL22" s="25">
        <v>26</v>
      </c>
      <c r="CM22" s="25">
        <v>15</v>
      </c>
      <c r="CN22" s="25">
        <v>16</v>
      </c>
      <c r="CO22" s="25">
        <v>0</v>
      </c>
      <c r="CP22" s="25">
        <v>89</v>
      </c>
      <c r="CQ22" s="25">
        <v>8</v>
      </c>
      <c r="CR22" s="25">
        <v>12</v>
      </c>
      <c r="CS22" s="25">
        <v>7</v>
      </c>
      <c r="CT22" s="25">
        <v>8</v>
      </c>
      <c r="CU22" s="25">
        <v>8</v>
      </c>
      <c r="CV22" s="25">
        <v>10</v>
      </c>
      <c r="CW22" s="25">
        <v>58</v>
      </c>
      <c r="CX22" s="25">
        <v>41</v>
      </c>
      <c r="CY22" s="25">
        <v>0</v>
      </c>
      <c r="CZ22" s="25">
        <v>89</v>
      </c>
      <c r="DA22" s="25">
        <v>60</v>
      </c>
      <c r="DB22" s="25">
        <v>38</v>
      </c>
      <c r="DC22" s="25">
        <v>39</v>
      </c>
      <c r="DD22" s="25">
        <v>34</v>
      </c>
      <c r="DE22" s="25">
        <v>36</v>
      </c>
      <c r="DF22" s="25">
        <v>34</v>
      </c>
      <c r="DG22" s="25">
        <v>3</v>
      </c>
      <c r="DH22" s="25">
        <v>4</v>
      </c>
      <c r="DI22" s="25">
        <v>0</v>
      </c>
      <c r="DJ22" s="25">
        <v>89</v>
      </c>
      <c r="DK22" s="25">
        <v>12</v>
      </c>
      <c r="DL22" s="25">
        <v>9</v>
      </c>
      <c r="DM22" s="25">
        <v>9</v>
      </c>
      <c r="DN22" s="25">
        <v>14</v>
      </c>
      <c r="DO22" s="25">
        <v>0</v>
      </c>
      <c r="DP22" s="25">
        <v>89</v>
      </c>
      <c r="DQ22" s="25">
        <v>0</v>
      </c>
      <c r="DR22" s="25">
        <v>89</v>
      </c>
      <c r="DS22" s="25">
        <v>0</v>
      </c>
      <c r="DT22" s="25">
        <v>89</v>
      </c>
      <c r="DU22" s="25">
        <v>180</v>
      </c>
      <c r="DV22" s="25">
        <v>62</v>
      </c>
      <c r="DW22" s="25">
        <v>73</v>
      </c>
      <c r="DX22" s="25">
        <v>39</v>
      </c>
      <c r="DY22" s="25">
        <v>29</v>
      </c>
      <c r="DZ22" s="25">
        <v>25</v>
      </c>
      <c r="EA22" s="25">
        <v>44</v>
      </c>
      <c r="EB22" s="25">
        <v>28</v>
      </c>
      <c r="EC22" s="25">
        <v>0</v>
      </c>
      <c r="ED22" s="25">
        <v>89</v>
      </c>
      <c r="EE22" s="25">
        <v>0</v>
      </c>
      <c r="EF22" s="25">
        <v>89</v>
      </c>
      <c r="EG22" s="25">
        <v>3</v>
      </c>
      <c r="EH22" s="25">
        <v>5</v>
      </c>
      <c r="EI22" s="25">
        <v>2</v>
      </c>
      <c r="EJ22" s="25">
        <v>4</v>
      </c>
      <c r="EK22" s="25">
        <v>102</v>
      </c>
      <c r="EL22" s="25">
        <v>55</v>
      </c>
      <c r="EM22" s="25">
        <v>0</v>
      </c>
      <c r="EN22" s="25">
        <v>89</v>
      </c>
    </row>
    <row r="23" spans="1:144" x14ac:dyDescent="0.25">
      <c r="A23" s="19">
        <f t="shared" si="8"/>
        <v>29</v>
      </c>
      <c r="B23" s="20" t="str">
        <f t="shared" si="9"/>
        <v>Morgan</v>
      </c>
      <c r="C23" s="24" t="s">
        <v>316</v>
      </c>
      <c r="D23" s="24" t="s">
        <v>317</v>
      </c>
      <c r="E23" s="25">
        <v>4091</v>
      </c>
      <c r="F23" s="25">
        <v>199</v>
      </c>
      <c r="G23" s="25">
        <v>2751</v>
      </c>
      <c r="H23" s="25">
        <v>213</v>
      </c>
      <c r="I23" s="25">
        <v>2494</v>
      </c>
      <c r="J23" s="25">
        <v>225</v>
      </c>
      <c r="K23" s="25">
        <v>257</v>
      </c>
      <c r="L23" s="25">
        <v>92</v>
      </c>
      <c r="M23" s="25">
        <v>128</v>
      </c>
      <c r="N23" s="25">
        <v>58</v>
      </c>
      <c r="O23" s="25">
        <v>334</v>
      </c>
      <c r="P23" s="25">
        <v>92</v>
      </c>
      <c r="Q23" s="25">
        <v>178</v>
      </c>
      <c r="R23" s="25">
        <v>69</v>
      </c>
      <c r="S23" s="25">
        <v>433</v>
      </c>
      <c r="T23" s="25">
        <v>99</v>
      </c>
      <c r="U23" s="25">
        <v>267</v>
      </c>
      <c r="V23" s="25">
        <v>81</v>
      </c>
      <c r="W23" s="25">
        <v>0</v>
      </c>
      <c r="X23" s="25">
        <v>89</v>
      </c>
      <c r="Y23" s="25">
        <v>3371</v>
      </c>
      <c r="Z23" s="25">
        <v>227</v>
      </c>
      <c r="AA23" s="25">
        <v>2327</v>
      </c>
      <c r="AB23" s="25">
        <v>236</v>
      </c>
      <c r="AC23" s="25">
        <v>2112</v>
      </c>
      <c r="AD23" s="25">
        <v>238</v>
      </c>
      <c r="AE23" s="25">
        <v>215</v>
      </c>
      <c r="AF23" s="25">
        <v>84</v>
      </c>
      <c r="AG23" s="25">
        <v>111</v>
      </c>
      <c r="AH23" s="25">
        <v>55</v>
      </c>
      <c r="AI23" s="25">
        <v>267</v>
      </c>
      <c r="AJ23" s="25">
        <v>86</v>
      </c>
      <c r="AK23" s="25">
        <v>156</v>
      </c>
      <c r="AL23" s="25">
        <v>63</v>
      </c>
      <c r="AM23" s="25">
        <v>377</v>
      </c>
      <c r="AN23" s="25">
        <v>104</v>
      </c>
      <c r="AO23" s="25">
        <v>133</v>
      </c>
      <c r="AP23" s="25">
        <v>59</v>
      </c>
      <c r="AQ23" s="25">
        <v>0</v>
      </c>
      <c r="AR23" s="25">
        <v>89</v>
      </c>
      <c r="AS23" s="25">
        <v>394</v>
      </c>
      <c r="AT23" s="25">
        <v>115</v>
      </c>
      <c r="AU23" s="25">
        <v>265</v>
      </c>
      <c r="AV23" s="25">
        <v>91</v>
      </c>
      <c r="AW23" s="25">
        <v>243</v>
      </c>
      <c r="AX23" s="25">
        <v>86</v>
      </c>
      <c r="AY23" s="25">
        <v>22</v>
      </c>
      <c r="AZ23" s="25">
        <v>24</v>
      </c>
      <c r="BA23" s="25">
        <v>12</v>
      </c>
      <c r="BB23" s="25">
        <v>18</v>
      </c>
      <c r="BC23" s="25">
        <v>49</v>
      </c>
      <c r="BD23" s="25">
        <v>37</v>
      </c>
      <c r="BE23" s="25">
        <v>9</v>
      </c>
      <c r="BF23" s="25">
        <v>12</v>
      </c>
      <c r="BG23" s="25">
        <v>45</v>
      </c>
      <c r="BH23" s="25">
        <v>29</v>
      </c>
      <c r="BI23" s="25">
        <v>14</v>
      </c>
      <c r="BJ23" s="25">
        <v>24</v>
      </c>
      <c r="BK23" s="25">
        <v>0</v>
      </c>
      <c r="BL23" s="25">
        <v>89</v>
      </c>
      <c r="BM23" s="25">
        <v>36</v>
      </c>
      <c r="BN23" s="25">
        <v>30</v>
      </c>
      <c r="BO23" s="25">
        <v>12</v>
      </c>
      <c r="BP23" s="25">
        <v>20</v>
      </c>
      <c r="BQ23" s="25">
        <v>12</v>
      </c>
      <c r="BR23" s="25">
        <v>20</v>
      </c>
      <c r="BS23" s="25">
        <v>0</v>
      </c>
      <c r="BT23" s="25">
        <v>89</v>
      </c>
      <c r="BU23" s="25">
        <v>0</v>
      </c>
      <c r="BV23" s="25">
        <v>89</v>
      </c>
      <c r="BW23" s="25">
        <v>0</v>
      </c>
      <c r="BX23" s="25">
        <v>89</v>
      </c>
      <c r="BY23" s="25">
        <v>13</v>
      </c>
      <c r="BZ23" s="25">
        <v>13</v>
      </c>
      <c r="CA23" s="25">
        <v>11</v>
      </c>
      <c r="CB23" s="25">
        <v>19</v>
      </c>
      <c r="CC23" s="25">
        <v>0</v>
      </c>
      <c r="CD23" s="25">
        <v>89</v>
      </c>
      <c r="CE23" s="25">
        <v>0</v>
      </c>
      <c r="CF23" s="25">
        <v>89</v>
      </c>
      <c r="CG23" s="25">
        <v>74</v>
      </c>
      <c r="CH23" s="25">
        <v>42</v>
      </c>
      <c r="CI23" s="25">
        <v>42</v>
      </c>
      <c r="CJ23" s="25">
        <v>34</v>
      </c>
      <c r="CK23" s="25">
        <v>34</v>
      </c>
      <c r="CL23" s="25">
        <v>25</v>
      </c>
      <c r="CM23" s="25">
        <v>8</v>
      </c>
      <c r="CN23" s="25">
        <v>13</v>
      </c>
      <c r="CO23" s="25">
        <v>0</v>
      </c>
      <c r="CP23" s="25">
        <v>89</v>
      </c>
      <c r="CQ23" s="25">
        <v>6</v>
      </c>
      <c r="CR23" s="25">
        <v>10</v>
      </c>
      <c r="CS23" s="25">
        <v>0</v>
      </c>
      <c r="CT23" s="25">
        <v>89</v>
      </c>
      <c r="CU23" s="25">
        <v>0</v>
      </c>
      <c r="CV23" s="25">
        <v>89</v>
      </c>
      <c r="CW23" s="25">
        <v>26</v>
      </c>
      <c r="CX23" s="25">
        <v>21</v>
      </c>
      <c r="CY23" s="25">
        <v>0</v>
      </c>
      <c r="CZ23" s="25">
        <v>89</v>
      </c>
      <c r="DA23" s="25">
        <v>39</v>
      </c>
      <c r="DB23" s="25">
        <v>34</v>
      </c>
      <c r="DC23" s="25">
        <v>39</v>
      </c>
      <c r="DD23" s="25">
        <v>34</v>
      </c>
      <c r="DE23" s="25">
        <v>39</v>
      </c>
      <c r="DF23" s="25">
        <v>34</v>
      </c>
      <c r="DG23" s="25">
        <v>0</v>
      </c>
      <c r="DH23" s="25">
        <v>89</v>
      </c>
      <c r="DI23" s="25">
        <v>0</v>
      </c>
      <c r="DJ23" s="25">
        <v>89</v>
      </c>
      <c r="DK23" s="25">
        <v>0</v>
      </c>
      <c r="DL23" s="25">
        <v>89</v>
      </c>
      <c r="DM23" s="25">
        <v>0</v>
      </c>
      <c r="DN23" s="25">
        <v>89</v>
      </c>
      <c r="DO23" s="25">
        <v>0</v>
      </c>
      <c r="DP23" s="25">
        <v>89</v>
      </c>
      <c r="DQ23" s="25">
        <v>0</v>
      </c>
      <c r="DR23" s="25">
        <v>89</v>
      </c>
      <c r="DS23" s="25">
        <v>0</v>
      </c>
      <c r="DT23" s="25">
        <v>89</v>
      </c>
      <c r="DU23" s="25">
        <v>177</v>
      </c>
      <c r="DV23" s="25">
        <v>71</v>
      </c>
      <c r="DW23" s="25">
        <v>66</v>
      </c>
      <c r="DX23" s="25">
        <v>56</v>
      </c>
      <c r="DY23" s="25">
        <v>54</v>
      </c>
      <c r="DZ23" s="25">
        <v>59</v>
      </c>
      <c r="EA23" s="25">
        <v>12</v>
      </c>
      <c r="EB23" s="25">
        <v>15</v>
      </c>
      <c r="EC23" s="25">
        <v>5</v>
      </c>
      <c r="ED23" s="25">
        <v>8</v>
      </c>
      <c r="EE23" s="25">
        <v>12</v>
      </c>
      <c r="EF23" s="25">
        <v>15</v>
      </c>
      <c r="EG23" s="25">
        <v>0</v>
      </c>
      <c r="EH23" s="25">
        <v>89</v>
      </c>
      <c r="EI23" s="25">
        <v>0</v>
      </c>
      <c r="EJ23" s="25">
        <v>89</v>
      </c>
      <c r="EK23" s="25">
        <v>94</v>
      </c>
      <c r="EL23" s="25">
        <v>47</v>
      </c>
      <c r="EM23" s="25">
        <v>0</v>
      </c>
      <c r="EN23" s="25">
        <v>89</v>
      </c>
    </row>
    <row r="24" spans="1:144" x14ac:dyDescent="0.25">
      <c r="A24" s="19">
        <f t="shared" si="8"/>
        <v>31</v>
      </c>
      <c r="B24" s="20" t="str">
        <f t="shared" si="9"/>
        <v>Piute</v>
      </c>
      <c r="C24" s="24" t="s">
        <v>318</v>
      </c>
      <c r="D24" s="24" t="s">
        <v>319</v>
      </c>
      <c r="E24" s="25">
        <v>585</v>
      </c>
      <c r="F24" s="25">
        <v>88</v>
      </c>
      <c r="G24" s="25">
        <v>318</v>
      </c>
      <c r="H24" s="25">
        <v>65</v>
      </c>
      <c r="I24" s="25">
        <v>294</v>
      </c>
      <c r="J24" s="25">
        <v>63</v>
      </c>
      <c r="K24" s="25">
        <v>24</v>
      </c>
      <c r="L24" s="25">
        <v>16</v>
      </c>
      <c r="M24" s="25">
        <v>13</v>
      </c>
      <c r="N24" s="25">
        <v>10</v>
      </c>
      <c r="O24" s="25">
        <v>99</v>
      </c>
      <c r="P24" s="25">
        <v>42</v>
      </c>
      <c r="Q24" s="25">
        <v>95</v>
      </c>
      <c r="R24" s="25">
        <v>40</v>
      </c>
      <c r="S24" s="25">
        <v>7</v>
      </c>
      <c r="T24" s="25">
        <v>6</v>
      </c>
      <c r="U24" s="25">
        <v>53</v>
      </c>
      <c r="V24" s="25">
        <v>22</v>
      </c>
      <c r="W24" s="25">
        <v>0</v>
      </c>
      <c r="X24" s="25">
        <v>89</v>
      </c>
      <c r="Y24" s="25">
        <v>451</v>
      </c>
      <c r="Z24" s="25">
        <v>70</v>
      </c>
      <c r="AA24" s="25">
        <v>242</v>
      </c>
      <c r="AB24" s="25">
        <v>54</v>
      </c>
      <c r="AC24" s="25">
        <v>218</v>
      </c>
      <c r="AD24" s="25">
        <v>53</v>
      </c>
      <c r="AE24" s="25">
        <v>24</v>
      </c>
      <c r="AF24" s="25">
        <v>16</v>
      </c>
      <c r="AG24" s="25">
        <v>11</v>
      </c>
      <c r="AH24" s="25">
        <v>10</v>
      </c>
      <c r="AI24" s="25">
        <v>87</v>
      </c>
      <c r="AJ24" s="25">
        <v>38</v>
      </c>
      <c r="AK24" s="25">
        <v>86</v>
      </c>
      <c r="AL24" s="25">
        <v>39</v>
      </c>
      <c r="AM24" s="25">
        <v>7</v>
      </c>
      <c r="AN24" s="25">
        <v>6</v>
      </c>
      <c r="AO24" s="25">
        <v>18</v>
      </c>
      <c r="AP24" s="25">
        <v>9</v>
      </c>
      <c r="AQ24" s="25">
        <v>0</v>
      </c>
      <c r="AR24" s="25">
        <v>89</v>
      </c>
      <c r="AS24" s="25">
        <v>60</v>
      </c>
      <c r="AT24" s="25">
        <v>26</v>
      </c>
      <c r="AU24" s="25">
        <v>46</v>
      </c>
      <c r="AV24" s="25">
        <v>22</v>
      </c>
      <c r="AW24" s="25">
        <v>46</v>
      </c>
      <c r="AX24" s="25">
        <v>22</v>
      </c>
      <c r="AY24" s="25">
        <v>0</v>
      </c>
      <c r="AZ24" s="25">
        <v>89</v>
      </c>
      <c r="BA24" s="25">
        <v>2</v>
      </c>
      <c r="BB24" s="25">
        <v>2</v>
      </c>
      <c r="BC24" s="25">
        <v>3</v>
      </c>
      <c r="BD24" s="25">
        <v>4</v>
      </c>
      <c r="BE24" s="25">
        <v>7</v>
      </c>
      <c r="BF24" s="25">
        <v>10</v>
      </c>
      <c r="BG24" s="25">
        <v>0</v>
      </c>
      <c r="BH24" s="25">
        <v>89</v>
      </c>
      <c r="BI24" s="25">
        <v>2</v>
      </c>
      <c r="BJ24" s="25">
        <v>3</v>
      </c>
      <c r="BK24" s="25">
        <v>0</v>
      </c>
      <c r="BL24" s="25">
        <v>89</v>
      </c>
      <c r="BM24" s="25">
        <v>0</v>
      </c>
      <c r="BN24" s="25">
        <v>89</v>
      </c>
      <c r="BO24" s="25">
        <v>0</v>
      </c>
      <c r="BP24" s="25">
        <v>89</v>
      </c>
      <c r="BQ24" s="25">
        <v>0</v>
      </c>
      <c r="BR24" s="25">
        <v>89</v>
      </c>
      <c r="BS24" s="25">
        <v>0</v>
      </c>
      <c r="BT24" s="25">
        <v>89</v>
      </c>
      <c r="BU24" s="25">
        <v>0</v>
      </c>
      <c r="BV24" s="25">
        <v>89</v>
      </c>
      <c r="BW24" s="25">
        <v>0</v>
      </c>
      <c r="BX24" s="25">
        <v>89</v>
      </c>
      <c r="BY24" s="25">
        <v>0</v>
      </c>
      <c r="BZ24" s="25">
        <v>89</v>
      </c>
      <c r="CA24" s="25">
        <v>0</v>
      </c>
      <c r="CB24" s="25">
        <v>89</v>
      </c>
      <c r="CC24" s="25">
        <v>0</v>
      </c>
      <c r="CD24" s="25">
        <v>89</v>
      </c>
      <c r="CE24" s="25">
        <v>0</v>
      </c>
      <c r="CF24" s="25">
        <v>89</v>
      </c>
      <c r="CG24" s="25">
        <v>30</v>
      </c>
      <c r="CH24" s="25">
        <v>17</v>
      </c>
      <c r="CI24" s="25">
        <v>11</v>
      </c>
      <c r="CJ24" s="25">
        <v>12</v>
      </c>
      <c r="CK24" s="25">
        <v>11</v>
      </c>
      <c r="CL24" s="25">
        <v>12</v>
      </c>
      <c r="CM24" s="25">
        <v>0</v>
      </c>
      <c r="CN24" s="25">
        <v>89</v>
      </c>
      <c r="CO24" s="25">
        <v>0</v>
      </c>
      <c r="CP24" s="25">
        <v>89</v>
      </c>
      <c r="CQ24" s="25">
        <v>5</v>
      </c>
      <c r="CR24" s="25">
        <v>6</v>
      </c>
      <c r="CS24" s="25">
        <v>2</v>
      </c>
      <c r="CT24" s="25">
        <v>2</v>
      </c>
      <c r="CU24" s="25">
        <v>0</v>
      </c>
      <c r="CV24" s="25">
        <v>89</v>
      </c>
      <c r="CW24" s="25">
        <v>12</v>
      </c>
      <c r="CX24" s="25">
        <v>11</v>
      </c>
      <c r="CY24" s="25">
        <v>0</v>
      </c>
      <c r="CZ24" s="25">
        <v>89</v>
      </c>
      <c r="DA24" s="25">
        <v>6</v>
      </c>
      <c r="DB24" s="25">
        <v>7</v>
      </c>
      <c r="DC24" s="25">
        <v>2</v>
      </c>
      <c r="DD24" s="25">
        <v>5</v>
      </c>
      <c r="DE24" s="25">
        <v>2</v>
      </c>
      <c r="DF24" s="25">
        <v>5</v>
      </c>
      <c r="DG24" s="25">
        <v>0</v>
      </c>
      <c r="DH24" s="25">
        <v>89</v>
      </c>
      <c r="DI24" s="25">
        <v>0</v>
      </c>
      <c r="DJ24" s="25">
        <v>89</v>
      </c>
      <c r="DK24" s="25">
        <v>0</v>
      </c>
      <c r="DL24" s="25">
        <v>89</v>
      </c>
      <c r="DM24" s="25">
        <v>0</v>
      </c>
      <c r="DN24" s="25">
        <v>89</v>
      </c>
      <c r="DO24" s="25">
        <v>0</v>
      </c>
      <c r="DP24" s="25">
        <v>89</v>
      </c>
      <c r="DQ24" s="25">
        <v>4</v>
      </c>
      <c r="DR24" s="25">
        <v>5</v>
      </c>
      <c r="DS24" s="25">
        <v>0</v>
      </c>
      <c r="DT24" s="25">
        <v>89</v>
      </c>
      <c r="DU24" s="25">
        <v>38</v>
      </c>
      <c r="DV24" s="25">
        <v>25</v>
      </c>
      <c r="DW24" s="25">
        <v>17</v>
      </c>
      <c r="DX24" s="25">
        <v>14</v>
      </c>
      <c r="DY24" s="25">
        <v>17</v>
      </c>
      <c r="DZ24" s="25">
        <v>14</v>
      </c>
      <c r="EA24" s="25">
        <v>0</v>
      </c>
      <c r="EB24" s="25">
        <v>89</v>
      </c>
      <c r="EC24" s="25">
        <v>0</v>
      </c>
      <c r="ED24" s="25">
        <v>89</v>
      </c>
      <c r="EE24" s="25">
        <v>4</v>
      </c>
      <c r="EF24" s="25">
        <v>6</v>
      </c>
      <c r="EG24" s="25">
        <v>0</v>
      </c>
      <c r="EH24" s="25">
        <v>89</v>
      </c>
      <c r="EI24" s="25">
        <v>0</v>
      </c>
      <c r="EJ24" s="25">
        <v>89</v>
      </c>
      <c r="EK24" s="25">
        <v>17</v>
      </c>
      <c r="EL24" s="25">
        <v>12</v>
      </c>
      <c r="EM24" s="25">
        <v>0</v>
      </c>
      <c r="EN24" s="25">
        <v>89</v>
      </c>
    </row>
    <row r="25" spans="1:144" x14ac:dyDescent="0.25">
      <c r="A25" s="19">
        <f t="shared" si="8"/>
        <v>33</v>
      </c>
      <c r="B25" s="20" t="str">
        <f t="shared" si="9"/>
        <v>Rich</v>
      </c>
      <c r="C25" s="24" t="s">
        <v>320</v>
      </c>
      <c r="D25" s="24" t="s">
        <v>321</v>
      </c>
      <c r="E25" s="25">
        <v>958</v>
      </c>
      <c r="F25" s="25">
        <v>101</v>
      </c>
      <c r="G25" s="25">
        <v>530</v>
      </c>
      <c r="H25" s="25">
        <v>87</v>
      </c>
      <c r="I25" s="25">
        <v>437</v>
      </c>
      <c r="J25" s="25">
        <v>73</v>
      </c>
      <c r="K25" s="25">
        <v>93</v>
      </c>
      <c r="L25" s="25">
        <v>46</v>
      </c>
      <c r="M25" s="25">
        <v>56</v>
      </c>
      <c r="N25" s="25">
        <v>28</v>
      </c>
      <c r="O25" s="25">
        <v>153</v>
      </c>
      <c r="P25" s="25">
        <v>46</v>
      </c>
      <c r="Q25" s="25">
        <v>62</v>
      </c>
      <c r="R25" s="25">
        <v>23</v>
      </c>
      <c r="S25" s="25">
        <v>19</v>
      </c>
      <c r="T25" s="25">
        <v>13</v>
      </c>
      <c r="U25" s="25">
        <v>118</v>
      </c>
      <c r="V25" s="25">
        <v>46</v>
      </c>
      <c r="W25" s="25">
        <v>20</v>
      </c>
      <c r="X25" s="25">
        <v>22</v>
      </c>
      <c r="Y25" s="25">
        <v>646</v>
      </c>
      <c r="Z25" s="25">
        <v>104</v>
      </c>
      <c r="AA25" s="25">
        <v>351</v>
      </c>
      <c r="AB25" s="25">
        <v>77</v>
      </c>
      <c r="AC25" s="25">
        <v>316</v>
      </c>
      <c r="AD25" s="25">
        <v>72</v>
      </c>
      <c r="AE25" s="25">
        <v>35</v>
      </c>
      <c r="AF25" s="25">
        <v>23</v>
      </c>
      <c r="AG25" s="25">
        <v>41</v>
      </c>
      <c r="AH25" s="25">
        <v>25</v>
      </c>
      <c r="AI25" s="25">
        <v>144</v>
      </c>
      <c r="AJ25" s="25">
        <v>44</v>
      </c>
      <c r="AK25" s="25">
        <v>45</v>
      </c>
      <c r="AL25" s="25">
        <v>17</v>
      </c>
      <c r="AM25" s="25">
        <v>19</v>
      </c>
      <c r="AN25" s="25">
        <v>13</v>
      </c>
      <c r="AO25" s="25">
        <v>46</v>
      </c>
      <c r="AP25" s="25">
        <v>20</v>
      </c>
      <c r="AQ25" s="25">
        <v>0</v>
      </c>
      <c r="AR25" s="25">
        <v>89</v>
      </c>
      <c r="AS25" s="25">
        <v>97</v>
      </c>
      <c r="AT25" s="25">
        <v>36</v>
      </c>
      <c r="AU25" s="25">
        <v>76</v>
      </c>
      <c r="AV25" s="25">
        <v>32</v>
      </c>
      <c r="AW25" s="25">
        <v>74</v>
      </c>
      <c r="AX25" s="25">
        <v>32</v>
      </c>
      <c r="AY25" s="25">
        <v>2</v>
      </c>
      <c r="AZ25" s="25">
        <v>3</v>
      </c>
      <c r="BA25" s="25">
        <v>4</v>
      </c>
      <c r="BB25" s="25">
        <v>7</v>
      </c>
      <c r="BC25" s="25">
        <v>4</v>
      </c>
      <c r="BD25" s="25">
        <v>5</v>
      </c>
      <c r="BE25" s="25">
        <v>0</v>
      </c>
      <c r="BF25" s="25">
        <v>89</v>
      </c>
      <c r="BG25" s="25">
        <v>0</v>
      </c>
      <c r="BH25" s="25">
        <v>89</v>
      </c>
      <c r="BI25" s="25">
        <v>13</v>
      </c>
      <c r="BJ25" s="25">
        <v>11</v>
      </c>
      <c r="BK25" s="25">
        <v>0</v>
      </c>
      <c r="BL25" s="25">
        <v>89</v>
      </c>
      <c r="BM25" s="25">
        <v>3</v>
      </c>
      <c r="BN25" s="25">
        <v>4</v>
      </c>
      <c r="BO25" s="25">
        <v>0</v>
      </c>
      <c r="BP25" s="25">
        <v>89</v>
      </c>
      <c r="BQ25" s="25">
        <v>0</v>
      </c>
      <c r="BR25" s="25">
        <v>89</v>
      </c>
      <c r="BS25" s="25">
        <v>0</v>
      </c>
      <c r="BT25" s="25">
        <v>89</v>
      </c>
      <c r="BU25" s="25">
        <v>3</v>
      </c>
      <c r="BV25" s="25">
        <v>4</v>
      </c>
      <c r="BW25" s="25">
        <v>0</v>
      </c>
      <c r="BX25" s="25">
        <v>89</v>
      </c>
      <c r="BY25" s="25">
        <v>0</v>
      </c>
      <c r="BZ25" s="25">
        <v>89</v>
      </c>
      <c r="CA25" s="25">
        <v>0</v>
      </c>
      <c r="CB25" s="25">
        <v>89</v>
      </c>
      <c r="CC25" s="25">
        <v>0</v>
      </c>
      <c r="CD25" s="25">
        <v>89</v>
      </c>
      <c r="CE25" s="25">
        <v>0</v>
      </c>
      <c r="CF25" s="25">
        <v>89</v>
      </c>
      <c r="CG25" s="25">
        <v>60</v>
      </c>
      <c r="CH25" s="25">
        <v>23</v>
      </c>
      <c r="CI25" s="25">
        <v>37</v>
      </c>
      <c r="CJ25" s="25">
        <v>22</v>
      </c>
      <c r="CK25" s="25">
        <v>27</v>
      </c>
      <c r="CL25" s="25">
        <v>20</v>
      </c>
      <c r="CM25" s="25">
        <v>10</v>
      </c>
      <c r="CN25" s="25">
        <v>12</v>
      </c>
      <c r="CO25" s="25">
        <v>0</v>
      </c>
      <c r="CP25" s="25">
        <v>89</v>
      </c>
      <c r="CQ25" s="25">
        <v>3</v>
      </c>
      <c r="CR25" s="25">
        <v>5</v>
      </c>
      <c r="CS25" s="25">
        <v>17</v>
      </c>
      <c r="CT25" s="25">
        <v>14</v>
      </c>
      <c r="CU25" s="25">
        <v>0</v>
      </c>
      <c r="CV25" s="25">
        <v>89</v>
      </c>
      <c r="CW25" s="25">
        <v>3</v>
      </c>
      <c r="CX25" s="25">
        <v>4</v>
      </c>
      <c r="CY25" s="25">
        <v>0</v>
      </c>
      <c r="CZ25" s="25">
        <v>89</v>
      </c>
      <c r="DA25" s="25">
        <v>36</v>
      </c>
      <c r="DB25" s="25">
        <v>39</v>
      </c>
      <c r="DC25" s="25">
        <v>8</v>
      </c>
      <c r="DD25" s="25">
        <v>13</v>
      </c>
      <c r="DE25" s="25">
        <v>8</v>
      </c>
      <c r="DF25" s="25">
        <v>13</v>
      </c>
      <c r="DG25" s="25">
        <v>0</v>
      </c>
      <c r="DH25" s="25">
        <v>89</v>
      </c>
      <c r="DI25" s="25">
        <v>0</v>
      </c>
      <c r="DJ25" s="25">
        <v>89</v>
      </c>
      <c r="DK25" s="25">
        <v>0</v>
      </c>
      <c r="DL25" s="25">
        <v>89</v>
      </c>
      <c r="DM25" s="25">
        <v>0</v>
      </c>
      <c r="DN25" s="25">
        <v>89</v>
      </c>
      <c r="DO25" s="25">
        <v>0</v>
      </c>
      <c r="DP25" s="25">
        <v>89</v>
      </c>
      <c r="DQ25" s="25">
        <v>28</v>
      </c>
      <c r="DR25" s="25">
        <v>37</v>
      </c>
      <c r="DS25" s="25">
        <v>0</v>
      </c>
      <c r="DT25" s="25">
        <v>89</v>
      </c>
      <c r="DU25" s="25">
        <v>116</v>
      </c>
      <c r="DV25" s="25">
        <v>52</v>
      </c>
      <c r="DW25" s="25">
        <v>58</v>
      </c>
      <c r="DX25" s="25">
        <v>43</v>
      </c>
      <c r="DY25" s="25">
        <v>12</v>
      </c>
      <c r="DZ25" s="25">
        <v>12</v>
      </c>
      <c r="EA25" s="25">
        <v>46</v>
      </c>
      <c r="EB25" s="25">
        <v>41</v>
      </c>
      <c r="EC25" s="25">
        <v>8</v>
      </c>
      <c r="ED25" s="25">
        <v>13</v>
      </c>
      <c r="EE25" s="25">
        <v>2</v>
      </c>
      <c r="EF25" s="25">
        <v>4</v>
      </c>
      <c r="EG25" s="25">
        <v>0</v>
      </c>
      <c r="EH25" s="25">
        <v>89</v>
      </c>
      <c r="EI25" s="25">
        <v>0</v>
      </c>
      <c r="EJ25" s="25">
        <v>89</v>
      </c>
      <c r="EK25" s="25">
        <v>28</v>
      </c>
      <c r="EL25" s="25">
        <v>21</v>
      </c>
      <c r="EM25" s="25">
        <v>20</v>
      </c>
      <c r="EN25" s="25">
        <v>22</v>
      </c>
    </row>
    <row r="26" spans="1:144" x14ac:dyDescent="0.25">
      <c r="A26" s="19">
        <f t="shared" si="8"/>
        <v>35</v>
      </c>
      <c r="B26" s="20" t="str">
        <f t="shared" si="9"/>
        <v>Salt Lake</v>
      </c>
      <c r="C26" s="24" t="s">
        <v>322</v>
      </c>
      <c r="D26" s="24" t="s">
        <v>323</v>
      </c>
      <c r="E26" s="25">
        <v>494348</v>
      </c>
      <c r="F26" s="25">
        <v>2382</v>
      </c>
      <c r="G26" s="25">
        <v>369375</v>
      </c>
      <c r="H26" s="25">
        <v>2927</v>
      </c>
      <c r="I26" s="25">
        <v>349805</v>
      </c>
      <c r="J26" s="25">
        <v>3062</v>
      </c>
      <c r="K26" s="25">
        <v>19570</v>
      </c>
      <c r="L26" s="25">
        <v>901</v>
      </c>
      <c r="M26" s="25">
        <v>33134</v>
      </c>
      <c r="N26" s="25">
        <v>1202</v>
      </c>
      <c r="O26" s="25">
        <v>28042</v>
      </c>
      <c r="P26" s="25">
        <v>909</v>
      </c>
      <c r="Q26" s="25">
        <v>28616</v>
      </c>
      <c r="R26" s="25">
        <v>1228</v>
      </c>
      <c r="S26" s="25">
        <v>10898</v>
      </c>
      <c r="T26" s="25">
        <v>710</v>
      </c>
      <c r="U26" s="25">
        <v>23815</v>
      </c>
      <c r="V26" s="25">
        <v>1046</v>
      </c>
      <c r="W26" s="25">
        <v>468</v>
      </c>
      <c r="X26" s="25">
        <v>136</v>
      </c>
      <c r="Y26" s="25">
        <v>378228</v>
      </c>
      <c r="Z26" s="25">
        <v>3128</v>
      </c>
      <c r="AA26" s="25">
        <v>287656</v>
      </c>
      <c r="AB26" s="25">
        <v>3111</v>
      </c>
      <c r="AC26" s="25">
        <v>273893</v>
      </c>
      <c r="AD26" s="25">
        <v>3146</v>
      </c>
      <c r="AE26" s="25">
        <v>13763</v>
      </c>
      <c r="AF26" s="25">
        <v>876</v>
      </c>
      <c r="AG26" s="25">
        <v>24898</v>
      </c>
      <c r="AH26" s="25">
        <v>1131</v>
      </c>
      <c r="AI26" s="25">
        <v>23006</v>
      </c>
      <c r="AJ26" s="25">
        <v>853</v>
      </c>
      <c r="AK26" s="25">
        <v>21341</v>
      </c>
      <c r="AL26" s="25">
        <v>1040</v>
      </c>
      <c r="AM26" s="25">
        <v>8357</v>
      </c>
      <c r="AN26" s="25">
        <v>620</v>
      </c>
      <c r="AO26" s="25">
        <v>12801</v>
      </c>
      <c r="AP26" s="25">
        <v>865</v>
      </c>
      <c r="AQ26" s="25">
        <v>169</v>
      </c>
      <c r="AR26" s="25">
        <v>76</v>
      </c>
      <c r="AS26" s="25">
        <v>57793</v>
      </c>
      <c r="AT26" s="25">
        <v>2064</v>
      </c>
      <c r="AU26" s="25">
        <v>44561</v>
      </c>
      <c r="AV26" s="25">
        <v>1752</v>
      </c>
      <c r="AW26" s="25">
        <v>42884</v>
      </c>
      <c r="AX26" s="25">
        <v>1776</v>
      </c>
      <c r="AY26" s="25">
        <v>1677</v>
      </c>
      <c r="AZ26" s="25">
        <v>263</v>
      </c>
      <c r="BA26" s="25">
        <v>3509</v>
      </c>
      <c r="BB26" s="25">
        <v>407</v>
      </c>
      <c r="BC26" s="25">
        <v>3012</v>
      </c>
      <c r="BD26" s="25">
        <v>375</v>
      </c>
      <c r="BE26" s="25">
        <v>2999</v>
      </c>
      <c r="BF26" s="25">
        <v>377</v>
      </c>
      <c r="BG26" s="25">
        <v>1488</v>
      </c>
      <c r="BH26" s="25">
        <v>251</v>
      </c>
      <c r="BI26" s="25">
        <v>2039</v>
      </c>
      <c r="BJ26" s="25">
        <v>329</v>
      </c>
      <c r="BK26" s="25">
        <v>185</v>
      </c>
      <c r="BL26" s="25">
        <v>85</v>
      </c>
      <c r="BM26" s="25">
        <v>16132</v>
      </c>
      <c r="BN26" s="25">
        <v>859</v>
      </c>
      <c r="BO26" s="25">
        <v>10210</v>
      </c>
      <c r="BP26" s="25">
        <v>778</v>
      </c>
      <c r="BQ26" s="25">
        <v>10173</v>
      </c>
      <c r="BR26" s="25">
        <v>778</v>
      </c>
      <c r="BS26" s="25">
        <v>37</v>
      </c>
      <c r="BT26" s="25">
        <v>31</v>
      </c>
      <c r="BU26" s="25">
        <v>2181</v>
      </c>
      <c r="BV26" s="25">
        <v>291</v>
      </c>
      <c r="BW26" s="25">
        <v>610</v>
      </c>
      <c r="BX26" s="25">
        <v>147</v>
      </c>
      <c r="BY26" s="25">
        <v>2390</v>
      </c>
      <c r="BZ26" s="25">
        <v>324</v>
      </c>
      <c r="CA26" s="25">
        <v>503</v>
      </c>
      <c r="CB26" s="25">
        <v>169</v>
      </c>
      <c r="CC26" s="25">
        <v>226</v>
      </c>
      <c r="CD26" s="25">
        <v>95</v>
      </c>
      <c r="CE26" s="25">
        <v>12</v>
      </c>
      <c r="CF26" s="25">
        <v>20</v>
      </c>
      <c r="CG26" s="25">
        <v>11277</v>
      </c>
      <c r="CH26" s="25">
        <v>775</v>
      </c>
      <c r="CI26" s="25">
        <v>7951</v>
      </c>
      <c r="CJ26" s="25">
        <v>688</v>
      </c>
      <c r="CK26" s="25">
        <v>7577</v>
      </c>
      <c r="CL26" s="25">
        <v>647</v>
      </c>
      <c r="CM26" s="25">
        <v>374</v>
      </c>
      <c r="CN26" s="25">
        <v>151</v>
      </c>
      <c r="CO26" s="25">
        <v>1005</v>
      </c>
      <c r="CP26" s="25">
        <v>235</v>
      </c>
      <c r="CQ26" s="25">
        <v>667</v>
      </c>
      <c r="CR26" s="25">
        <v>162</v>
      </c>
      <c r="CS26" s="25">
        <v>867</v>
      </c>
      <c r="CT26" s="25">
        <v>207</v>
      </c>
      <c r="CU26" s="25">
        <v>132</v>
      </c>
      <c r="CV26" s="25">
        <v>78</v>
      </c>
      <c r="CW26" s="25">
        <v>655</v>
      </c>
      <c r="CX26" s="25">
        <v>179</v>
      </c>
      <c r="CY26" s="25">
        <v>0</v>
      </c>
      <c r="CZ26" s="25">
        <v>89</v>
      </c>
      <c r="DA26" s="25">
        <v>9410</v>
      </c>
      <c r="DB26" s="25">
        <v>744</v>
      </c>
      <c r="DC26" s="25">
        <v>7190</v>
      </c>
      <c r="DD26" s="25">
        <v>702</v>
      </c>
      <c r="DE26" s="25">
        <v>6877</v>
      </c>
      <c r="DF26" s="25">
        <v>694</v>
      </c>
      <c r="DG26" s="25">
        <v>313</v>
      </c>
      <c r="DH26" s="25">
        <v>119</v>
      </c>
      <c r="DI26" s="25">
        <v>583</v>
      </c>
      <c r="DJ26" s="25">
        <v>137</v>
      </c>
      <c r="DK26" s="25">
        <v>546</v>
      </c>
      <c r="DL26" s="25">
        <v>157</v>
      </c>
      <c r="DM26" s="25">
        <v>601</v>
      </c>
      <c r="DN26" s="25">
        <v>169</v>
      </c>
      <c r="DO26" s="25">
        <v>258</v>
      </c>
      <c r="DP26" s="25">
        <v>109</v>
      </c>
      <c r="DQ26" s="25">
        <v>232</v>
      </c>
      <c r="DR26" s="25">
        <v>91</v>
      </c>
      <c r="DS26" s="25">
        <v>0</v>
      </c>
      <c r="DT26" s="25">
        <v>89</v>
      </c>
      <c r="DU26" s="25">
        <v>21508</v>
      </c>
      <c r="DV26" s="25">
        <v>924</v>
      </c>
      <c r="DW26" s="25">
        <v>11807</v>
      </c>
      <c r="DX26" s="25">
        <v>702</v>
      </c>
      <c r="DY26" s="25">
        <v>8401</v>
      </c>
      <c r="DZ26" s="25">
        <v>551</v>
      </c>
      <c r="EA26" s="25">
        <v>3406</v>
      </c>
      <c r="EB26" s="25">
        <v>449</v>
      </c>
      <c r="EC26" s="25">
        <v>958</v>
      </c>
      <c r="ED26" s="25">
        <v>224</v>
      </c>
      <c r="EE26" s="25">
        <v>201</v>
      </c>
      <c r="EF26" s="25">
        <v>79</v>
      </c>
      <c r="EG26" s="25">
        <v>418</v>
      </c>
      <c r="EH26" s="25">
        <v>116</v>
      </c>
      <c r="EI26" s="25">
        <v>160</v>
      </c>
      <c r="EJ26" s="25">
        <v>76</v>
      </c>
      <c r="EK26" s="25">
        <v>7862</v>
      </c>
      <c r="EL26" s="25">
        <v>570</v>
      </c>
      <c r="EM26" s="25">
        <v>102</v>
      </c>
      <c r="EN26" s="25">
        <v>52</v>
      </c>
    </row>
    <row r="27" spans="1:144" x14ac:dyDescent="0.25">
      <c r="A27" s="19">
        <f t="shared" si="8"/>
        <v>37</v>
      </c>
      <c r="B27" s="20" t="str">
        <f t="shared" si="9"/>
        <v>San Juan</v>
      </c>
      <c r="C27" s="24" t="s">
        <v>324</v>
      </c>
      <c r="D27" s="24" t="s">
        <v>325</v>
      </c>
      <c r="E27" s="25">
        <v>4746</v>
      </c>
      <c r="F27" s="25">
        <v>249</v>
      </c>
      <c r="G27" s="25">
        <v>2850</v>
      </c>
      <c r="H27" s="25">
        <v>209</v>
      </c>
      <c r="I27" s="25">
        <v>2602</v>
      </c>
      <c r="J27" s="25">
        <v>213</v>
      </c>
      <c r="K27" s="25">
        <v>248</v>
      </c>
      <c r="L27" s="25">
        <v>74</v>
      </c>
      <c r="M27" s="25">
        <v>184</v>
      </c>
      <c r="N27" s="25">
        <v>52</v>
      </c>
      <c r="O27" s="25">
        <v>850</v>
      </c>
      <c r="P27" s="25">
        <v>124</v>
      </c>
      <c r="Q27" s="25">
        <v>402</v>
      </c>
      <c r="R27" s="25">
        <v>90</v>
      </c>
      <c r="S27" s="25">
        <v>219</v>
      </c>
      <c r="T27" s="25">
        <v>91</v>
      </c>
      <c r="U27" s="25">
        <v>226</v>
      </c>
      <c r="V27" s="25">
        <v>78</v>
      </c>
      <c r="W27" s="25">
        <v>15</v>
      </c>
      <c r="X27" s="25">
        <v>23</v>
      </c>
      <c r="Y27" s="25">
        <v>3310</v>
      </c>
      <c r="Z27" s="25">
        <v>245</v>
      </c>
      <c r="AA27" s="25">
        <v>2027</v>
      </c>
      <c r="AB27" s="25">
        <v>219</v>
      </c>
      <c r="AC27" s="25">
        <v>1884</v>
      </c>
      <c r="AD27" s="25">
        <v>210</v>
      </c>
      <c r="AE27" s="25">
        <v>143</v>
      </c>
      <c r="AF27" s="25">
        <v>48</v>
      </c>
      <c r="AG27" s="25">
        <v>152</v>
      </c>
      <c r="AH27" s="25">
        <v>52</v>
      </c>
      <c r="AI27" s="25">
        <v>627</v>
      </c>
      <c r="AJ27" s="25">
        <v>110</v>
      </c>
      <c r="AK27" s="25">
        <v>274</v>
      </c>
      <c r="AL27" s="25">
        <v>74</v>
      </c>
      <c r="AM27" s="25">
        <v>188</v>
      </c>
      <c r="AN27" s="25">
        <v>81</v>
      </c>
      <c r="AO27" s="25">
        <v>42</v>
      </c>
      <c r="AP27" s="25">
        <v>35</v>
      </c>
      <c r="AQ27" s="25">
        <v>0</v>
      </c>
      <c r="AR27" s="25">
        <v>89</v>
      </c>
      <c r="AS27" s="25">
        <v>684</v>
      </c>
      <c r="AT27" s="25">
        <v>182</v>
      </c>
      <c r="AU27" s="25">
        <v>476</v>
      </c>
      <c r="AV27" s="25">
        <v>148</v>
      </c>
      <c r="AW27" s="25">
        <v>466</v>
      </c>
      <c r="AX27" s="25">
        <v>151</v>
      </c>
      <c r="AY27" s="25">
        <v>10</v>
      </c>
      <c r="AZ27" s="25">
        <v>14</v>
      </c>
      <c r="BA27" s="25">
        <v>7</v>
      </c>
      <c r="BB27" s="25">
        <v>11</v>
      </c>
      <c r="BC27" s="25">
        <v>115</v>
      </c>
      <c r="BD27" s="25">
        <v>62</v>
      </c>
      <c r="BE27" s="25">
        <v>29</v>
      </c>
      <c r="BF27" s="25">
        <v>25</v>
      </c>
      <c r="BG27" s="25">
        <v>21</v>
      </c>
      <c r="BH27" s="25">
        <v>31</v>
      </c>
      <c r="BI27" s="25">
        <v>36</v>
      </c>
      <c r="BJ27" s="25">
        <v>36</v>
      </c>
      <c r="BK27" s="25">
        <v>0</v>
      </c>
      <c r="BL27" s="25">
        <v>89</v>
      </c>
      <c r="BM27" s="25">
        <v>17</v>
      </c>
      <c r="BN27" s="25">
        <v>12</v>
      </c>
      <c r="BO27" s="25">
        <v>14</v>
      </c>
      <c r="BP27" s="25">
        <v>11</v>
      </c>
      <c r="BQ27" s="25">
        <v>14</v>
      </c>
      <c r="BR27" s="25">
        <v>11</v>
      </c>
      <c r="BS27" s="25">
        <v>0</v>
      </c>
      <c r="BT27" s="25">
        <v>89</v>
      </c>
      <c r="BU27" s="25">
        <v>0</v>
      </c>
      <c r="BV27" s="25">
        <v>89</v>
      </c>
      <c r="BW27" s="25">
        <v>0</v>
      </c>
      <c r="BX27" s="25">
        <v>89</v>
      </c>
      <c r="BY27" s="25">
        <v>3</v>
      </c>
      <c r="BZ27" s="25">
        <v>5</v>
      </c>
      <c r="CA27" s="25">
        <v>0</v>
      </c>
      <c r="CB27" s="25">
        <v>89</v>
      </c>
      <c r="CC27" s="25">
        <v>0</v>
      </c>
      <c r="CD27" s="25">
        <v>89</v>
      </c>
      <c r="CE27" s="25">
        <v>0</v>
      </c>
      <c r="CF27" s="25">
        <v>89</v>
      </c>
      <c r="CG27" s="25">
        <v>340</v>
      </c>
      <c r="CH27" s="25">
        <v>100</v>
      </c>
      <c r="CI27" s="25">
        <v>170</v>
      </c>
      <c r="CJ27" s="25">
        <v>78</v>
      </c>
      <c r="CK27" s="25">
        <v>127</v>
      </c>
      <c r="CL27" s="25">
        <v>68</v>
      </c>
      <c r="CM27" s="25">
        <v>43</v>
      </c>
      <c r="CN27" s="25">
        <v>38</v>
      </c>
      <c r="CO27" s="25">
        <v>3</v>
      </c>
      <c r="CP27" s="25">
        <v>5</v>
      </c>
      <c r="CQ27" s="25">
        <v>92</v>
      </c>
      <c r="CR27" s="25">
        <v>62</v>
      </c>
      <c r="CS27" s="25">
        <v>59</v>
      </c>
      <c r="CT27" s="25">
        <v>34</v>
      </c>
      <c r="CU27" s="25">
        <v>5</v>
      </c>
      <c r="CV27" s="25">
        <v>7</v>
      </c>
      <c r="CW27" s="25">
        <v>11</v>
      </c>
      <c r="CX27" s="25">
        <v>14</v>
      </c>
      <c r="CY27" s="25">
        <v>0</v>
      </c>
      <c r="CZ27" s="25">
        <v>89</v>
      </c>
      <c r="DA27" s="25">
        <v>58</v>
      </c>
      <c r="DB27" s="25">
        <v>37</v>
      </c>
      <c r="DC27" s="25">
        <v>24</v>
      </c>
      <c r="DD27" s="25">
        <v>21</v>
      </c>
      <c r="DE27" s="25">
        <v>24</v>
      </c>
      <c r="DF27" s="25">
        <v>21</v>
      </c>
      <c r="DG27" s="25">
        <v>0</v>
      </c>
      <c r="DH27" s="25">
        <v>89</v>
      </c>
      <c r="DI27" s="25">
        <v>6</v>
      </c>
      <c r="DJ27" s="25">
        <v>9</v>
      </c>
      <c r="DK27" s="25">
        <v>12</v>
      </c>
      <c r="DL27" s="25">
        <v>18</v>
      </c>
      <c r="DM27" s="25">
        <v>11</v>
      </c>
      <c r="DN27" s="25">
        <v>15</v>
      </c>
      <c r="DO27" s="25">
        <v>5</v>
      </c>
      <c r="DP27" s="25">
        <v>8</v>
      </c>
      <c r="DQ27" s="25">
        <v>0</v>
      </c>
      <c r="DR27" s="25">
        <v>89</v>
      </c>
      <c r="DS27" s="25">
        <v>0</v>
      </c>
      <c r="DT27" s="25">
        <v>89</v>
      </c>
      <c r="DU27" s="25">
        <v>337</v>
      </c>
      <c r="DV27" s="25">
        <v>76</v>
      </c>
      <c r="DW27" s="25">
        <v>139</v>
      </c>
      <c r="DX27" s="25">
        <v>52</v>
      </c>
      <c r="DY27" s="25">
        <v>87</v>
      </c>
      <c r="DZ27" s="25">
        <v>44</v>
      </c>
      <c r="EA27" s="25">
        <v>52</v>
      </c>
      <c r="EB27" s="25">
        <v>36</v>
      </c>
      <c r="EC27" s="25">
        <v>16</v>
      </c>
      <c r="ED27" s="25">
        <v>19</v>
      </c>
      <c r="EE27" s="25">
        <v>4</v>
      </c>
      <c r="EF27" s="25">
        <v>6</v>
      </c>
      <c r="EG27" s="25">
        <v>26</v>
      </c>
      <c r="EH27" s="25">
        <v>27</v>
      </c>
      <c r="EI27" s="25">
        <v>0</v>
      </c>
      <c r="EJ27" s="25">
        <v>89</v>
      </c>
      <c r="EK27" s="25">
        <v>137</v>
      </c>
      <c r="EL27" s="25">
        <v>60</v>
      </c>
      <c r="EM27" s="25">
        <v>15</v>
      </c>
      <c r="EN27" s="25">
        <v>23</v>
      </c>
    </row>
    <row r="28" spans="1:144" x14ac:dyDescent="0.25">
      <c r="A28" s="19">
        <f t="shared" si="8"/>
        <v>39</v>
      </c>
      <c r="B28" s="20" t="str">
        <f t="shared" si="9"/>
        <v>Sanpete</v>
      </c>
      <c r="C28" s="24" t="s">
        <v>326</v>
      </c>
      <c r="D28" s="24" t="s">
        <v>327</v>
      </c>
      <c r="E28" s="25">
        <v>10069</v>
      </c>
      <c r="F28" s="25">
        <v>508</v>
      </c>
      <c r="G28" s="25">
        <v>7033</v>
      </c>
      <c r="H28" s="25">
        <v>462</v>
      </c>
      <c r="I28" s="25">
        <v>6515</v>
      </c>
      <c r="J28" s="25">
        <v>477</v>
      </c>
      <c r="K28" s="25">
        <v>518</v>
      </c>
      <c r="L28" s="25">
        <v>166</v>
      </c>
      <c r="M28" s="25">
        <v>529</v>
      </c>
      <c r="N28" s="25">
        <v>95</v>
      </c>
      <c r="O28" s="25">
        <v>835</v>
      </c>
      <c r="P28" s="25">
        <v>150</v>
      </c>
      <c r="Q28" s="25">
        <v>862</v>
      </c>
      <c r="R28" s="25">
        <v>146</v>
      </c>
      <c r="S28" s="25">
        <v>135</v>
      </c>
      <c r="T28" s="25">
        <v>46</v>
      </c>
      <c r="U28" s="25">
        <v>655</v>
      </c>
      <c r="V28" s="25">
        <v>128</v>
      </c>
      <c r="W28" s="25">
        <v>20</v>
      </c>
      <c r="X28" s="25">
        <v>18</v>
      </c>
      <c r="Y28" s="25">
        <v>7118</v>
      </c>
      <c r="Z28" s="25">
        <v>439</v>
      </c>
      <c r="AA28" s="25">
        <v>4880</v>
      </c>
      <c r="AB28" s="25">
        <v>422</v>
      </c>
      <c r="AC28" s="25">
        <v>4584</v>
      </c>
      <c r="AD28" s="25">
        <v>415</v>
      </c>
      <c r="AE28" s="25">
        <v>296</v>
      </c>
      <c r="AF28" s="25">
        <v>124</v>
      </c>
      <c r="AG28" s="25">
        <v>393</v>
      </c>
      <c r="AH28" s="25">
        <v>75</v>
      </c>
      <c r="AI28" s="25">
        <v>723</v>
      </c>
      <c r="AJ28" s="25">
        <v>144</v>
      </c>
      <c r="AK28" s="25">
        <v>639</v>
      </c>
      <c r="AL28" s="25">
        <v>135</v>
      </c>
      <c r="AM28" s="25">
        <v>100</v>
      </c>
      <c r="AN28" s="25">
        <v>38</v>
      </c>
      <c r="AO28" s="25">
        <v>376</v>
      </c>
      <c r="AP28" s="25">
        <v>105</v>
      </c>
      <c r="AQ28" s="25">
        <v>7</v>
      </c>
      <c r="AR28" s="25">
        <v>9</v>
      </c>
      <c r="AS28" s="25">
        <v>1519</v>
      </c>
      <c r="AT28" s="25">
        <v>257</v>
      </c>
      <c r="AU28" s="25">
        <v>1234</v>
      </c>
      <c r="AV28" s="25">
        <v>252</v>
      </c>
      <c r="AW28" s="25">
        <v>1142</v>
      </c>
      <c r="AX28" s="25">
        <v>233</v>
      </c>
      <c r="AY28" s="25">
        <v>92</v>
      </c>
      <c r="AZ28" s="25">
        <v>94</v>
      </c>
      <c r="BA28" s="25">
        <v>28</v>
      </c>
      <c r="BB28" s="25">
        <v>20</v>
      </c>
      <c r="BC28" s="25">
        <v>81</v>
      </c>
      <c r="BD28" s="25">
        <v>46</v>
      </c>
      <c r="BE28" s="25">
        <v>105</v>
      </c>
      <c r="BF28" s="25">
        <v>54</v>
      </c>
      <c r="BG28" s="25">
        <v>27</v>
      </c>
      <c r="BH28" s="25">
        <v>37</v>
      </c>
      <c r="BI28" s="25">
        <v>37</v>
      </c>
      <c r="BJ28" s="25">
        <v>27</v>
      </c>
      <c r="BK28" s="25">
        <v>7</v>
      </c>
      <c r="BL28" s="25">
        <v>11</v>
      </c>
      <c r="BM28" s="25">
        <v>38</v>
      </c>
      <c r="BN28" s="25">
        <v>41</v>
      </c>
      <c r="BO28" s="25">
        <v>16</v>
      </c>
      <c r="BP28" s="25">
        <v>30</v>
      </c>
      <c r="BQ28" s="25">
        <v>16</v>
      </c>
      <c r="BR28" s="25">
        <v>30</v>
      </c>
      <c r="BS28" s="25">
        <v>0</v>
      </c>
      <c r="BT28" s="25">
        <v>89</v>
      </c>
      <c r="BU28" s="25">
        <v>19</v>
      </c>
      <c r="BV28" s="25">
        <v>28</v>
      </c>
      <c r="BW28" s="25">
        <v>0</v>
      </c>
      <c r="BX28" s="25">
        <v>89</v>
      </c>
      <c r="BY28" s="25">
        <v>0</v>
      </c>
      <c r="BZ28" s="25">
        <v>89</v>
      </c>
      <c r="CA28" s="25">
        <v>3</v>
      </c>
      <c r="CB28" s="25">
        <v>5</v>
      </c>
      <c r="CC28" s="25">
        <v>0</v>
      </c>
      <c r="CD28" s="25">
        <v>89</v>
      </c>
      <c r="CE28" s="25">
        <v>0</v>
      </c>
      <c r="CF28" s="25">
        <v>89</v>
      </c>
      <c r="CG28" s="25">
        <v>546</v>
      </c>
      <c r="CH28" s="25">
        <v>189</v>
      </c>
      <c r="CI28" s="25">
        <v>384</v>
      </c>
      <c r="CJ28" s="25">
        <v>172</v>
      </c>
      <c r="CK28" s="25">
        <v>370</v>
      </c>
      <c r="CL28" s="25">
        <v>169</v>
      </c>
      <c r="CM28" s="25">
        <v>14</v>
      </c>
      <c r="CN28" s="25">
        <v>12</v>
      </c>
      <c r="CO28" s="25">
        <v>56</v>
      </c>
      <c r="CP28" s="25">
        <v>38</v>
      </c>
      <c r="CQ28" s="25">
        <v>24</v>
      </c>
      <c r="CR28" s="25">
        <v>24</v>
      </c>
      <c r="CS28" s="25">
        <v>66</v>
      </c>
      <c r="CT28" s="25">
        <v>63</v>
      </c>
      <c r="CU28" s="25">
        <v>0</v>
      </c>
      <c r="CV28" s="25">
        <v>89</v>
      </c>
      <c r="CW28" s="25">
        <v>16</v>
      </c>
      <c r="CX28" s="25">
        <v>15</v>
      </c>
      <c r="CY28" s="25">
        <v>0</v>
      </c>
      <c r="CZ28" s="25">
        <v>89</v>
      </c>
      <c r="DA28" s="25">
        <v>243</v>
      </c>
      <c r="DB28" s="25">
        <v>85</v>
      </c>
      <c r="DC28" s="25">
        <v>180</v>
      </c>
      <c r="DD28" s="25">
        <v>79</v>
      </c>
      <c r="DE28" s="25">
        <v>178</v>
      </c>
      <c r="DF28" s="25">
        <v>79</v>
      </c>
      <c r="DG28" s="25">
        <v>2</v>
      </c>
      <c r="DH28" s="25">
        <v>4</v>
      </c>
      <c r="DI28" s="25">
        <v>5</v>
      </c>
      <c r="DJ28" s="25">
        <v>7</v>
      </c>
      <c r="DK28" s="25">
        <v>4</v>
      </c>
      <c r="DL28" s="25">
        <v>7</v>
      </c>
      <c r="DM28" s="25">
        <v>39</v>
      </c>
      <c r="DN28" s="25">
        <v>28</v>
      </c>
      <c r="DO28" s="25">
        <v>5</v>
      </c>
      <c r="DP28" s="25">
        <v>10</v>
      </c>
      <c r="DQ28" s="25">
        <v>10</v>
      </c>
      <c r="DR28" s="25">
        <v>11</v>
      </c>
      <c r="DS28" s="25">
        <v>0</v>
      </c>
      <c r="DT28" s="25">
        <v>89</v>
      </c>
      <c r="DU28" s="25">
        <v>605</v>
      </c>
      <c r="DV28" s="25">
        <v>144</v>
      </c>
      <c r="DW28" s="25">
        <v>339</v>
      </c>
      <c r="DX28" s="25">
        <v>116</v>
      </c>
      <c r="DY28" s="25">
        <v>225</v>
      </c>
      <c r="DZ28" s="25">
        <v>107</v>
      </c>
      <c r="EA28" s="25">
        <v>114</v>
      </c>
      <c r="EB28" s="25">
        <v>59</v>
      </c>
      <c r="EC28" s="25">
        <v>28</v>
      </c>
      <c r="ED28" s="25">
        <v>24</v>
      </c>
      <c r="EE28" s="25">
        <v>3</v>
      </c>
      <c r="EF28" s="25">
        <v>4</v>
      </c>
      <c r="EG28" s="25">
        <v>13</v>
      </c>
      <c r="EH28" s="25">
        <v>13</v>
      </c>
      <c r="EI28" s="25">
        <v>0</v>
      </c>
      <c r="EJ28" s="25">
        <v>89</v>
      </c>
      <c r="EK28" s="25">
        <v>216</v>
      </c>
      <c r="EL28" s="25">
        <v>82</v>
      </c>
      <c r="EM28" s="25">
        <v>6</v>
      </c>
      <c r="EN28" s="25">
        <v>10</v>
      </c>
    </row>
    <row r="29" spans="1:144" x14ac:dyDescent="0.25">
      <c r="A29" s="19">
        <f t="shared" si="8"/>
        <v>41</v>
      </c>
      <c r="B29" s="20" t="str">
        <f t="shared" si="9"/>
        <v>Sevier</v>
      </c>
      <c r="C29" s="24" t="s">
        <v>328</v>
      </c>
      <c r="D29" s="24" t="s">
        <v>329</v>
      </c>
      <c r="E29" s="25">
        <v>8199</v>
      </c>
      <c r="F29" s="25">
        <v>288</v>
      </c>
      <c r="G29" s="25">
        <v>5768</v>
      </c>
      <c r="H29" s="25">
        <v>296</v>
      </c>
      <c r="I29" s="25">
        <v>5360</v>
      </c>
      <c r="J29" s="25">
        <v>291</v>
      </c>
      <c r="K29" s="25">
        <v>408</v>
      </c>
      <c r="L29" s="25">
        <v>111</v>
      </c>
      <c r="M29" s="25">
        <v>258</v>
      </c>
      <c r="N29" s="25">
        <v>91</v>
      </c>
      <c r="O29" s="25">
        <v>606</v>
      </c>
      <c r="P29" s="25">
        <v>149</v>
      </c>
      <c r="Q29" s="25">
        <v>850</v>
      </c>
      <c r="R29" s="25">
        <v>157</v>
      </c>
      <c r="S29" s="25">
        <v>204</v>
      </c>
      <c r="T29" s="25">
        <v>59</v>
      </c>
      <c r="U29" s="25">
        <v>480</v>
      </c>
      <c r="V29" s="25">
        <v>107</v>
      </c>
      <c r="W29" s="25">
        <v>33</v>
      </c>
      <c r="X29" s="25">
        <v>41</v>
      </c>
      <c r="Y29" s="25">
        <v>6590</v>
      </c>
      <c r="Z29" s="25">
        <v>273</v>
      </c>
      <c r="AA29" s="25">
        <v>4838</v>
      </c>
      <c r="AB29" s="25">
        <v>276</v>
      </c>
      <c r="AC29" s="25">
        <v>4513</v>
      </c>
      <c r="AD29" s="25">
        <v>260</v>
      </c>
      <c r="AE29" s="25">
        <v>325</v>
      </c>
      <c r="AF29" s="25">
        <v>90</v>
      </c>
      <c r="AG29" s="25">
        <v>214</v>
      </c>
      <c r="AH29" s="25">
        <v>85</v>
      </c>
      <c r="AI29" s="25">
        <v>486</v>
      </c>
      <c r="AJ29" s="25">
        <v>137</v>
      </c>
      <c r="AK29" s="25">
        <v>654</v>
      </c>
      <c r="AL29" s="25">
        <v>130</v>
      </c>
      <c r="AM29" s="25">
        <v>172</v>
      </c>
      <c r="AN29" s="25">
        <v>52</v>
      </c>
      <c r="AO29" s="25">
        <v>195</v>
      </c>
      <c r="AP29" s="25">
        <v>70</v>
      </c>
      <c r="AQ29" s="25">
        <v>31</v>
      </c>
      <c r="AR29" s="25">
        <v>41</v>
      </c>
      <c r="AS29" s="25">
        <v>804</v>
      </c>
      <c r="AT29" s="25">
        <v>131</v>
      </c>
      <c r="AU29" s="25">
        <v>521</v>
      </c>
      <c r="AV29" s="25">
        <v>106</v>
      </c>
      <c r="AW29" s="25">
        <v>516</v>
      </c>
      <c r="AX29" s="25">
        <v>106</v>
      </c>
      <c r="AY29" s="25">
        <v>5</v>
      </c>
      <c r="AZ29" s="25">
        <v>9</v>
      </c>
      <c r="BA29" s="25">
        <v>22</v>
      </c>
      <c r="BB29" s="25">
        <v>21</v>
      </c>
      <c r="BC29" s="25">
        <v>77</v>
      </c>
      <c r="BD29" s="25">
        <v>37</v>
      </c>
      <c r="BE29" s="25">
        <v>138</v>
      </c>
      <c r="BF29" s="25">
        <v>53</v>
      </c>
      <c r="BG29" s="25">
        <v>20</v>
      </c>
      <c r="BH29" s="25">
        <v>19</v>
      </c>
      <c r="BI29" s="25">
        <v>24</v>
      </c>
      <c r="BJ29" s="25">
        <v>20</v>
      </c>
      <c r="BK29" s="25">
        <v>2</v>
      </c>
      <c r="BL29" s="25">
        <v>4</v>
      </c>
      <c r="BM29" s="25">
        <v>42</v>
      </c>
      <c r="BN29" s="25">
        <v>29</v>
      </c>
      <c r="BO29" s="25">
        <v>20</v>
      </c>
      <c r="BP29" s="25">
        <v>19</v>
      </c>
      <c r="BQ29" s="25">
        <v>20</v>
      </c>
      <c r="BR29" s="25">
        <v>19</v>
      </c>
      <c r="BS29" s="25">
        <v>0</v>
      </c>
      <c r="BT29" s="25">
        <v>89</v>
      </c>
      <c r="BU29" s="25">
        <v>0</v>
      </c>
      <c r="BV29" s="25">
        <v>89</v>
      </c>
      <c r="BW29" s="25">
        <v>11</v>
      </c>
      <c r="BX29" s="25">
        <v>16</v>
      </c>
      <c r="BY29" s="25">
        <v>0</v>
      </c>
      <c r="BZ29" s="25">
        <v>89</v>
      </c>
      <c r="CA29" s="25">
        <v>0</v>
      </c>
      <c r="CB29" s="25">
        <v>89</v>
      </c>
      <c r="CC29" s="25">
        <v>11</v>
      </c>
      <c r="CD29" s="25">
        <v>17</v>
      </c>
      <c r="CE29" s="25">
        <v>0</v>
      </c>
      <c r="CF29" s="25">
        <v>89</v>
      </c>
      <c r="CG29" s="25">
        <v>181</v>
      </c>
      <c r="CH29" s="25">
        <v>65</v>
      </c>
      <c r="CI29" s="25">
        <v>105</v>
      </c>
      <c r="CJ29" s="25">
        <v>57</v>
      </c>
      <c r="CK29" s="25">
        <v>81</v>
      </c>
      <c r="CL29" s="25">
        <v>41</v>
      </c>
      <c r="CM29" s="25">
        <v>24</v>
      </c>
      <c r="CN29" s="25">
        <v>37</v>
      </c>
      <c r="CO29" s="25">
        <v>7</v>
      </c>
      <c r="CP29" s="25">
        <v>7</v>
      </c>
      <c r="CQ29" s="25">
        <v>21</v>
      </c>
      <c r="CR29" s="25">
        <v>21</v>
      </c>
      <c r="CS29" s="25">
        <v>11</v>
      </c>
      <c r="CT29" s="25">
        <v>14</v>
      </c>
      <c r="CU29" s="25">
        <v>11</v>
      </c>
      <c r="CV29" s="25">
        <v>15</v>
      </c>
      <c r="CW29" s="25">
        <v>26</v>
      </c>
      <c r="CX29" s="25">
        <v>30</v>
      </c>
      <c r="CY29" s="25">
        <v>0</v>
      </c>
      <c r="CZ29" s="25">
        <v>89</v>
      </c>
      <c r="DA29" s="25">
        <v>132</v>
      </c>
      <c r="DB29" s="25">
        <v>74</v>
      </c>
      <c r="DC29" s="25">
        <v>98</v>
      </c>
      <c r="DD29" s="25">
        <v>61</v>
      </c>
      <c r="DE29" s="25">
        <v>84</v>
      </c>
      <c r="DF29" s="25">
        <v>54</v>
      </c>
      <c r="DG29" s="25">
        <v>14</v>
      </c>
      <c r="DH29" s="25">
        <v>21</v>
      </c>
      <c r="DI29" s="25">
        <v>6</v>
      </c>
      <c r="DJ29" s="25">
        <v>11</v>
      </c>
      <c r="DK29" s="25">
        <v>0</v>
      </c>
      <c r="DL29" s="25">
        <v>89</v>
      </c>
      <c r="DM29" s="25">
        <v>13</v>
      </c>
      <c r="DN29" s="25">
        <v>14</v>
      </c>
      <c r="DO29" s="25">
        <v>1</v>
      </c>
      <c r="DP29" s="25">
        <v>3</v>
      </c>
      <c r="DQ29" s="25">
        <v>14</v>
      </c>
      <c r="DR29" s="25">
        <v>13</v>
      </c>
      <c r="DS29" s="25">
        <v>0</v>
      </c>
      <c r="DT29" s="25">
        <v>89</v>
      </c>
      <c r="DU29" s="25">
        <v>450</v>
      </c>
      <c r="DV29" s="25">
        <v>116</v>
      </c>
      <c r="DW29" s="25">
        <v>186</v>
      </c>
      <c r="DX29" s="25">
        <v>82</v>
      </c>
      <c r="DY29" s="25">
        <v>146</v>
      </c>
      <c r="DZ29" s="25">
        <v>76</v>
      </c>
      <c r="EA29" s="25">
        <v>40</v>
      </c>
      <c r="EB29" s="25">
        <v>33</v>
      </c>
      <c r="EC29" s="25">
        <v>9</v>
      </c>
      <c r="ED29" s="25">
        <v>14</v>
      </c>
      <c r="EE29" s="25">
        <v>11</v>
      </c>
      <c r="EF29" s="25">
        <v>17</v>
      </c>
      <c r="EG29" s="25">
        <v>34</v>
      </c>
      <c r="EH29" s="25">
        <v>25</v>
      </c>
      <c r="EI29" s="25">
        <v>0</v>
      </c>
      <c r="EJ29" s="25">
        <v>89</v>
      </c>
      <c r="EK29" s="25">
        <v>210</v>
      </c>
      <c r="EL29" s="25">
        <v>85</v>
      </c>
      <c r="EM29" s="25">
        <v>0</v>
      </c>
      <c r="EN29" s="25">
        <v>89</v>
      </c>
    </row>
    <row r="30" spans="1:144" x14ac:dyDescent="0.25">
      <c r="A30" s="19">
        <f t="shared" si="8"/>
        <v>43</v>
      </c>
      <c r="B30" s="20" t="str">
        <f t="shared" si="9"/>
        <v>Summit</v>
      </c>
      <c r="C30" s="24" t="s">
        <v>330</v>
      </c>
      <c r="D30" s="24" t="s">
        <v>331</v>
      </c>
      <c r="E30" s="25">
        <v>18818</v>
      </c>
      <c r="F30" s="25">
        <v>564</v>
      </c>
      <c r="G30" s="25">
        <v>14142</v>
      </c>
      <c r="H30" s="25">
        <v>542</v>
      </c>
      <c r="I30" s="25">
        <v>12528</v>
      </c>
      <c r="J30" s="25">
        <v>545</v>
      </c>
      <c r="K30" s="25">
        <v>1614</v>
      </c>
      <c r="L30" s="25">
        <v>305</v>
      </c>
      <c r="M30" s="25">
        <v>1093</v>
      </c>
      <c r="N30" s="25">
        <v>298</v>
      </c>
      <c r="O30" s="25">
        <v>1272</v>
      </c>
      <c r="P30" s="25">
        <v>241</v>
      </c>
      <c r="Q30" s="25">
        <v>707</v>
      </c>
      <c r="R30" s="25">
        <v>195</v>
      </c>
      <c r="S30" s="25">
        <v>198</v>
      </c>
      <c r="T30" s="25">
        <v>90</v>
      </c>
      <c r="U30" s="25">
        <v>1373</v>
      </c>
      <c r="V30" s="25">
        <v>261</v>
      </c>
      <c r="W30" s="25">
        <v>33</v>
      </c>
      <c r="X30" s="25">
        <v>39</v>
      </c>
      <c r="Y30" s="25">
        <v>13828</v>
      </c>
      <c r="Z30" s="25">
        <v>636</v>
      </c>
      <c r="AA30" s="25">
        <v>10720</v>
      </c>
      <c r="AB30" s="25">
        <v>608</v>
      </c>
      <c r="AC30" s="25">
        <v>9849</v>
      </c>
      <c r="AD30" s="25">
        <v>567</v>
      </c>
      <c r="AE30" s="25">
        <v>871</v>
      </c>
      <c r="AF30" s="25">
        <v>193</v>
      </c>
      <c r="AG30" s="25">
        <v>838</v>
      </c>
      <c r="AH30" s="25">
        <v>260</v>
      </c>
      <c r="AI30" s="25">
        <v>1047</v>
      </c>
      <c r="AJ30" s="25">
        <v>197</v>
      </c>
      <c r="AK30" s="25">
        <v>496</v>
      </c>
      <c r="AL30" s="25">
        <v>149</v>
      </c>
      <c r="AM30" s="25">
        <v>137</v>
      </c>
      <c r="AN30" s="25">
        <v>73</v>
      </c>
      <c r="AO30" s="25">
        <v>586</v>
      </c>
      <c r="AP30" s="25">
        <v>192</v>
      </c>
      <c r="AQ30" s="25">
        <v>4</v>
      </c>
      <c r="AR30" s="25">
        <v>6</v>
      </c>
      <c r="AS30" s="25">
        <v>1660</v>
      </c>
      <c r="AT30" s="25">
        <v>322</v>
      </c>
      <c r="AU30" s="25">
        <v>1176</v>
      </c>
      <c r="AV30" s="25">
        <v>289</v>
      </c>
      <c r="AW30" s="25">
        <v>949</v>
      </c>
      <c r="AX30" s="25">
        <v>267</v>
      </c>
      <c r="AY30" s="25">
        <v>227</v>
      </c>
      <c r="AZ30" s="25">
        <v>123</v>
      </c>
      <c r="BA30" s="25">
        <v>161</v>
      </c>
      <c r="BB30" s="25">
        <v>102</v>
      </c>
      <c r="BC30" s="25">
        <v>98</v>
      </c>
      <c r="BD30" s="25">
        <v>69</v>
      </c>
      <c r="BE30" s="25">
        <v>73</v>
      </c>
      <c r="BF30" s="25">
        <v>42</v>
      </c>
      <c r="BG30" s="25">
        <v>49</v>
      </c>
      <c r="BH30" s="25">
        <v>49</v>
      </c>
      <c r="BI30" s="25">
        <v>99</v>
      </c>
      <c r="BJ30" s="25">
        <v>44</v>
      </c>
      <c r="BK30" s="25">
        <v>4</v>
      </c>
      <c r="BL30" s="25">
        <v>7</v>
      </c>
      <c r="BM30" s="25">
        <v>337</v>
      </c>
      <c r="BN30" s="25">
        <v>174</v>
      </c>
      <c r="BO30" s="25">
        <v>270</v>
      </c>
      <c r="BP30" s="25">
        <v>163</v>
      </c>
      <c r="BQ30" s="25">
        <v>270</v>
      </c>
      <c r="BR30" s="25">
        <v>163</v>
      </c>
      <c r="BS30" s="25">
        <v>0</v>
      </c>
      <c r="BT30" s="25">
        <v>89</v>
      </c>
      <c r="BU30" s="25">
        <v>21</v>
      </c>
      <c r="BV30" s="25">
        <v>31</v>
      </c>
      <c r="BW30" s="25">
        <v>39</v>
      </c>
      <c r="BX30" s="25">
        <v>46</v>
      </c>
      <c r="BY30" s="25">
        <v>0</v>
      </c>
      <c r="BZ30" s="25">
        <v>89</v>
      </c>
      <c r="CA30" s="25">
        <v>0</v>
      </c>
      <c r="CB30" s="25">
        <v>89</v>
      </c>
      <c r="CC30" s="25">
        <v>7</v>
      </c>
      <c r="CD30" s="25">
        <v>15</v>
      </c>
      <c r="CE30" s="25">
        <v>0</v>
      </c>
      <c r="CF30" s="25">
        <v>89</v>
      </c>
      <c r="CG30" s="25">
        <v>300</v>
      </c>
      <c r="CH30" s="25">
        <v>130</v>
      </c>
      <c r="CI30" s="25">
        <v>246</v>
      </c>
      <c r="CJ30" s="25">
        <v>116</v>
      </c>
      <c r="CK30" s="25">
        <v>246</v>
      </c>
      <c r="CL30" s="25">
        <v>116</v>
      </c>
      <c r="CM30" s="25">
        <v>0</v>
      </c>
      <c r="CN30" s="25">
        <v>89</v>
      </c>
      <c r="CO30" s="25">
        <v>25</v>
      </c>
      <c r="CP30" s="25">
        <v>39</v>
      </c>
      <c r="CQ30" s="25">
        <v>0</v>
      </c>
      <c r="CR30" s="25">
        <v>89</v>
      </c>
      <c r="CS30" s="25">
        <v>16</v>
      </c>
      <c r="CT30" s="25">
        <v>20</v>
      </c>
      <c r="CU30" s="25">
        <v>4</v>
      </c>
      <c r="CV30" s="25">
        <v>5</v>
      </c>
      <c r="CW30" s="25">
        <v>9</v>
      </c>
      <c r="CX30" s="25">
        <v>9</v>
      </c>
      <c r="CY30" s="25">
        <v>0</v>
      </c>
      <c r="CZ30" s="25">
        <v>89</v>
      </c>
      <c r="DA30" s="25">
        <v>603</v>
      </c>
      <c r="DB30" s="25">
        <v>299</v>
      </c>
      <c r="DC30" s="25">
        <v>524</v>
      </c>
      <c r="DD30" s="25">
        <v>291</v>
      </c>
      <c r="DE30" s="25">
        <v>415</v>
      </c>
      <c r="DF30" s="25">
        <v>273</v>
      </c>
      <c r="DG30" s="25">
        <v>109</v>
      </c>
      <c r="DH30" s="25">
        <v>98</v>
      </c>
      <c r="DI30" s="25">
        <v>9</v>
      </c>
      <c r="DJ30" s="25">
        <v>16</v>
      </c>
      <c r="DK30" s="25">
        <v>17</v>
      </c>
      <c r="DL30" s="25">
        <v>27</v>
      </c>
      <c r="DM30" s="25">
        <v>11</v>
      </c>
      <c r="DN30" s="25">
        <v>17</v>
      </c>
      <c r="DO30" s="25">
        <v>0</v>
      </c>
      <c r="DP30" s="25">
        <v>89</v>
      </c>
      <c r="DQ30" s="25">
        <v>20</v>
      </c>
      <c r="DR30" s="25">
        <v>24</v>
      </c>
      <c r="DS30" s="25">
        <v>22</v>
      </c>
      <c r="DT30" s="25">
        <v>37</v>
      </c>
      <c r="DU30" s="25">
        <v>2090</v>
      </c>
      <c r="DV30" s="25">
        <v>335</v>
      </c>
      <c r="DW30" s="25">
        <v>1206</v>
      </c>
      <c r="DX30" s="25">
        <v>262</v>
      </c>
      <c r="DY30" s="25">
        <v>799</v>
      </c>
      <c r="DZ30" s="25">
        <v>209</v>
      </c>
      <c r="EA30" s="25">
        <v>407</v>
      </c>
      <c r="EB30" s="25">
        <v>160</v>
      </c>
      <c r="EC30" s="25">
        <v>39</v>
      </c>
      <c r="ED30" s="25">
        <v>36</v>
      </c>
      <c r="EE30" s="25">
        <v>71</v>
      </c>
      <c r="EF30" s="25">
        <v>102</v>
      </c>
      <c r="EG30" s="25">
        <v>111</v>
      </c>
      <c r="EH30" s="25">
        <v>142</v>
      </c>
      <c r="EI30" s="25">
        <v>8</v>
      </c>
      <c r="EJ30" s="25">
        <v>7</v>
      </c>
      <c r="EK30" s="25">
        <v>652</v>
      </c>
      <c r="EL30" s="25">
        <v>162</v>
      </c>
      <c r="EM30" s="25">
        <v>3</v>
      </c>
      <c r="EN30" s="25">
        <v>6</v>
      </c>
    </row>
    <row r="31" spans="1:144" x14ac:dyDescent="0.25">
      <c r="A31" s="19">
        <f t="shared" si="8"/>
        <v>45</v>
      </c>
      <c r="B31" s="20" t="str">
        <f t="shared" si="9"/>
        <v>Tooele</v>
      </c>
      <c r="C31" s="24" t="s">
        <v>332</v>
      </c>
      <c r="D31" s="24" t="s">
        <v>333</v>
      </c>
      <c r="E31" s="25">
        <v>24897</v>
      </c>
      <c r="F31" s="25">
        <v>608</v>
      </c>
      <c r="G31" s="25">
        <v>17191</v>
      </c>
      <c r="H31" s="25">
        <v>715</v>
      </c>
      <c r="I31" s="25">
        <v>16658</v>
      </c>
      <c r="J31" s="25">
        <v>734</v>
      </c>
      <c r="K31" s="25">
        <v>533</v>
      </c>
      <c r="L31" s="25">
        <v>200</v>
      </c>
      <c r="M31" s="25">
        <v>1128</v>
      </c>
      <c r="N31" s="25">
        <v>227</v>
      </c>
      <c r="O31" s="25">
        <v>1860</v>
      </c>
      <c r="P31" s="25">
        <v>294</v>
      </c>
      <c r="Q31" s="25">
        <v>1213</v>
      </c>
      <c r="R31" s="25">
        <v>274</v>
      </c>
      <c r="S31" s="25">
        <v>2608</v>
      </c>
      <c r="T31" s="25">
        <v>307</v>
      </c>
      <c r="U31" s="25">
        <v>867</v>
      </c>
      <c r="V31" s="25">
        <v>164</v>
      </c>
      <c r="W31" s="25">
        <v>30</v>
      </c>
      <c r="X31" s="25">
        <v>28</v>
      </c>
      <c r="Y31" s="25">
        <v>16763</v>
      </c>
      <c r="Z31" s="25">
        <v>649</v>
      </c>
      <c r="AA31" s="25">
        <v>11897</v>
      </c>
      <c r="AB31" s="25">
        <v>655</v>
      </c>
      <c r="AC31" s="25">
        <v>11586</v>
      </c>
      <c r="AD31" s="25">
        <v>679</v>
      </c>
      <c r="AE31" s="25">
        <v>311</v>
      </c>
      <c r="AF31" s="25">
        <v>120</v>
      </c>
      <c r="AG31" s="25">
        <v>842</v>
      </c>
      <c r="AH31" s="25">
        <v>183</v>
      </c>
      <c r="AI31" s="25">
        <v>1446</v>
      </c>
      <c r="AJ31" s="25">
        <v>248</v>
      </c>
      <c r="AK31" s="25">
        <v>733</v>
      </c>
      <c r="AL31" s="25">
        <v>214</v>
      </c>
      <c r="AM31" s="25">
        <v>1420</v>
      </c>
      <c r="AN31" s="25">
        <v>236</v>
      </c>
      <c r="AO31" s="25">
        <v>395</v>
      </c>
      <c r="AP31" s="25">
        <v>118</v>
      </c>
      <c r="AQ31" s="25">
        <v>30</v>
      </c>
      <c r="AR31" s="25">
        <v>28</v>
      </c>
      <c r="AS31" s="25">
        <v>5201</v>
      </c>
      <c r="AT31" s="25">
        <v>577</v>
      </c>
      <c r="AU31" s="25">
        <v>3565</v>
      </c>
      <c r="AV31" s="25">
        <v>505</v>
      </c>
      <c r="AW31" s="25">
        <v>3506</v>
      </c>
      <c r="AX31" s="25">
        <v>501</v>
      </c>
      <c r="AY31" s="25">
        <v>59</v>
      </c>
      <c r="AZ31" s="25">
        <v>57</v>
      </c>
      <c r="BA31" s="25">
        <v>178</v>
      </c>
      <c r="BB31" s="25">
        <v>101</v>
      </c>
      <c r="BC31" s="25">
        <v>248</v>
      </c>
      <c r="BD31" s="25">
        <v>116</v>
      </c>
      <c r="BE31" s="25">
        <v>380</v>
      </c>
      <c r="BF31" s="25">
        <v>183</v>
      </c>
      <c r="BG31" s="25">
        <v>730</v>
      </c>
      <c r="BH31" s="25">
        <v>148</v>
      </c>
      <c r="BI31" s="25">
        <v>100</v>
      </c>
      <c r="BJ31" s="25">
        <v>76</v>
      </c>
      <c r="BK31" s="25">
        <v>0</v>
      </c>
      <c r="BL31" s="25">
        <v>89</v>
      </c>
      <c r="BM31" s="25">
        <v>689</v>
      </c>
      <c r="BN31" s="25">
        <v>194</v>
      </c>
      <c r="BO31" s="25">
        <v>527</v>
      </c>
      <c r="BP31" s="25">
        <v>171</v>
      </c>
      <c r="BQ31" s="25">
        <v>527</v>
      </c>
      <c r="BR31" s="25">
        <v>171</v>
      </c>
      <c r="BS31" s="25">
        <v>0</v>
      </c>
      <c r="BT31" s="25">
        <v>89</v>
      </c>
      <c r="BU31" s="25">
        <v>62</v>
      </c>
      <c r="BV31" s="25">
        <v>53</v>
      </c>
      <c r="BW31" s="25">
        <v>13</v>
      </c>
      <c r="BX31" s="25">
        <v>21</v>
      </c>
      <c r="BY31" s="25">
        <v>64</v>
      </c>
      <c r="BZ31" s="25">
        <v>49</v>
      </c>
      <c r="CA31" s="25">
        <v>23</v>
      </c>
      <c r="CB31" s="25">
        <v>24</v>
      </c>
      <c r="CC31" s="25">
        <v>0</v>
      </c>
      <c r="CD31" s="25">
        <v>89</v>
      </c>
      <c r="CE31" s="25">
        <v>0</v>
      </c>
      <c r="CF31" s="25">
        <v>89</v>
      </c>
      <c r="CG31" s="25">
        <v>881</v>
      </c>
      <c r="CH31" s="25">
        <v>218</v>
      </c>
      <c r="CI31" s="25">
        <v>493</v>
      </c>
      <c r="CJ31" s="25">
        <v>153</v>
      </c>
      <c r="CK31" s="25">
        <v>468</v>
      </c>
      <c r="CL31" s="25">
        <v>152</v>
      </c>
      <c r="CM31" s="25">
        <v>25</v>
      </c>
      <c r="CN31" s="25">
        <v>25</v>
      </c>
      <c r="CO31" s="25">
        <v>3</v>
      </c>
      <c r="CP31" s="25">
        <v>5</v>
      </c>
      <c r="CQ31" s="25">
        <v>56</v>
      </c>
      <c r="CR31" s="25">
        <v>52</v>
      </c>
      <c r="CS31" s="25">
        <v>21</v>
      </c>
      <c r="CT31" s="25">
        <v>21</v>
      </c>
      <c r="CU31" s="25">
        <v>287</v>
      </c>
      <c r="CV31" s="25">
        <v>141</v>
      </c>
      <c r="CW31" s="25">
        <v>21</v>
      </c>
      <c r="CX31" s="25">
        <v>19</v>
      </c>
      <c r="CY31" s="25">
        <v>0</v>
      </c>
      <c r="CZ31" s="25">
        <v>89</v>
      </c>
      <c r="DA31" s="25">
        <v>395</v>
      </c>
      <c r="DB31" s="25">
        <v>135</v>
      </c>
      <c r="DC31" s="25">
        <v>261</v>
      </c>
      <c r="DD31" s="25">
        <v>96</v>
      </c>
      <c r="DE31" s="25">
        <v>260</v>
      </c>
      <c r="DF31" s="25">
        <v>96</v>
      </c>
      <c r="DG31" s="25">
        <v>1</v>
      </c>
      <c r="DH31" s="25">
        <v>2</v>
      </c>
      <c r="DI31" s="25">
        <v>15</v>
      </c>
      <c r="DJ31" s="25">
        <v>23</v>
      </c>
      <c r="DK31" s="25">
        <v>39</v>
      </c>
      <c r="DL31" s="25">
        <v>57</v>
      </c>
      <c r="DM31" s="25">
        <v>0</v>
      </c>
      <c r="DN31" s="25">
        <v>89</v>
      </c>
      <c r="DO31" s="25">
        <v>43</v>
      </c>
      <c r="DP31" s="25">
        <v>41</v>
      </c>
      <c r="DQ31" s="25">
        <v>37</v>
      </c>
      <c r="DR31" s="25">
        <v>56</v>
      </c>
      <c r="DS31" s="25">
        <v>0</v>
      </c>
      <c r="DT31" s="25">
        <v>89</v>
      </c>
      <c r="DU31" s="25">
        <v>968</v>
      </c>
      <c r="DV31" s="25">
        <v>186</v>
      </c>
      <c r="DW31" s="25">
        <v>448</v>
      </c>
      <c r="DX31" s="25">
        <v>133</v>
      </c>
      <c r="DY31" s="25">
        <v>311</v>
      </c>
      <c r="DZ31" s="25">
        <v>112</v>
      </c>
      <c r="EA31" s="25">
        <v>137</v>
      </c>
      <c r="EB31" s="25">
        <v>86</v>
      </c>
      <c r="EC31" s="25">
        <v>28</v>
      </c>
      <c r="ED31" s="25">
        <v>30</v>
      </c>
      <c r="EE31" s="25">
        <v>58</v>
      </c>
      <c r="EF31" s="25">
        <v>74</v>
      </c>
      <c r="EG31" s="25">
        <v>15</v>
      </c>
      <c r="EH31" s="25">
        <v>26</v>
      </c>
      <c r="EI31" s="25">
        <v>105</v>
      </c>
      <c r="EJ31" s="25">
        <v>35</v>
      </c>
      <c r="EK31" s="25">
        <v>314</v>
      </c>
      <c r="EL31" s="25">
        <v>104</v>
      </c>
      <c r="EM31" s="25">
        <v>0</v>
      </c>
      <c r="EN31" s="25">
        <v>89</v>
      </c>
    </row>
    <row r="32" spans="1:144" x14ac:dyDescent="0.25">
      <c r="A32" s="19">
        <f t="shared" si="8"/>
        <v>47</v>
      </c>
      <c r="B32" s="20" t="str">
        <f t="shared" si="9"/>
        <v>Uintah</v>
      </c>
      <c r="C32" s="24" t="s">
        <v>334</v>
      </c>
      <c r="D32" s="24" t="s">
        <v>335</v>
      </c>
      <c r="E32" s="25">
        <v>13670</v>
      </c>
      <c r="F32" s="25">
        <v>494</v>
      </c>
      <c r="G32" s="25">
        <v>9807</v>
      </c>
      <c r="H32" s="25">
        <v>458</v>
      </c>
      <c r="I32" s="25">
        <v>8948</v>
      </c>
      <c r="J32" s="25">
        <v>481</v>
      </c>
      <c r="K32" s="25">
        <v>859</v>
      </c>
      <c r="L32" s="25">
        <v>239</v>
      </c>
      <c r="M32" s="25">
        <v>495</v>
      </c>
      <c r="N32" s="25">
        <v>134</v>
      </c>
      <c r="O32" s="25">
        <v>1577</v>
      </c>
      <c r="P32" s="25">
        <v>288</v>
      </c>
      <c r="Q32" s="25">
        <v>601</v>
      </c>
      <c r="R32" s="25">
        <v>186</v>
      </c>
      <c r="S32" s="25">
        <v>417</v>
      </c>
      <c r="T32" s="25">
        <v>146</v>
      </c>
      <c r="U32" s="25">
        <v>728</v>
      </c>
      <c r="V32" s="25">
        <v>197</v>
      </c>
      <c r="W32" s="25">
        <v>45</v>
      </c>
      <c r="X32" s="25">
        <v>37</v>
      </c>
      <c r="Y32" s="25">
        <v>11134</v>
      </c>
      <c r="Z32" s="25">
        <v>463</v>
      </c>
      <c r="AA32" s="25">
        <v>7956</v>
      </c>
      <c r="AB32" s="25">
        <v>454</v>
      </c>
      <c r="AC32" s="25">
        <v>7358</v>
      </c>
      <c r="AD32" s="25">
        <v>436</v>
      </c>
      <c r="AE32" s="25">
        <v>598</v>
      </c>
      <c r="AF32" s="25">
        <v>220</v>
      </c>
      <c r="AG32" s="25">
        <v>391</v>
      </c>
      <c r="AH32" s="25">
        <v>124</v>
      </c>
      <c r="AI32" s="25">
        <v>1435</v>
      </c>
      <c r="AJ32" s="25">
        <v>280</v>
      </c>
      <c r="AK32" s="25">
        <v>507</v>
      </c>
      <c r="AL32" s="25">
        <v>153</v>
      </c>
      <c r="AM32" s="25">
        <v>336</v>
      </c>
      <c r="AN32" s="25">
        <v>132</v>
      </c>
      <c r="AO32" s="25">
        <v>495</v>
      </c>
      <c r="AP32" s="25">
        <v>165</v>
      </c>
      <c r="AQ32" s="25">
        <v>14</v>
      </c>
      <c r="AR32" s="25">
        <v>21</v>
      </c>
      <c r="AS32" s="25">
        <v>1617</v>
      </c>
      <c r="AT32" s="25">
        <v>308</v>
      </c>
      <c r="AU32" s="25">
        <v>1344</v>
      </c>
      <c r="AV32" s="25">
        <v>270</v>
      </c>
      <c r="AW32" s="25">
        <v>1250</v>
      </c>
      <c r="AX32" s="25">
        <v>276</v>
      </c>
      <c r="AY32" s="25">
        <v>94</v>
      </c>
      <c r="AZ32" s="25">
        <v>75</v>
      </c>
      <c r="BA32" s="25">
        <v>23</v>
      </c>
      <c r="BB32" s="25">
        <v>23</v>
      </c>
      <c r="BC32" s="25">
        <v>85</v>
      </c>
      <c r="BD32" s="25">
        <v>57</v>
      </c>
      <c r="BE32" s="25">
        <v>64</v>
      </c>
      <c r="BF32" s="25">
        <v>75</v>
      </c>
      <c r="BG32" s="25">
        <v>15</v>
      </c>
      <c r="BH32" s="25">
        <v>17</v>
      </c>
      <c r="BI32" s="25">
        <v>69</v>
      </c>
      <c r="BJ32" s="25">
        <v>57</v>
      </c>
      <c r="BK32" s="25">
        <v>17</v>
      </c>
      <c r="BL32" s="25">
        <v>30</v>
      </c>
      <c r="BM32" s="25">
        <v>36</v>
      </c>
      <c r="BN32" s="25">
        <v>34</v>
      </c>
      <c r="BO32" s="25">
        <v>16</v>
      </c>
      <c r="BP32" s="25">
        <v>19</v>
      </c>
      <c r="BQ32" s="25">
        <v>16</v>
      </c>
      <c r="BR32" s="25">
        <v>19</v>
      </c>
      <c r="BS32" s="25">
        <v>0</v>
      </c>
      <c r="BT32" s="25">
        <v>89</v>
      </c>
      <c r="BU32" s="25">
        <v>20</v>
      </c>
      <c r="BV32" s="25">
        <v>28</v>
      </c>
      <c r="BW32" s="25">
        <v>0</v>
      </c>
      <c r="BX32" s="25">
        <v>89</v>
      </c>
      <c r="BY32" s="25">
        <v>0</v>
      </c>
      <c r="BZ32" s="25">
        <v>89</v>
      </c>
      <c r="CA32" s="25">
        <v>0</v>
      </c>
      <c r="CB32" s="25">
        <v>89</v>
      </c>
      <c r="CC32" s="25">
        <v>0</v>
      </c>
      <c r="CD32" s="25">
        <v>89</v>
      </c>
      <c r="CE32" s="25">
        <v>0</v>
      </c>
      <c r="CF32" s="25">
        <v>89</v>
      </c>
      <c r="CG32" s="25">
        <v>171</v>
      </c>
      <c r="CH32" s="25">
        <v>104</v>
      </c>
      <c r="CI32" s="25">
        <v>115</v>
      </c>
      <c r="CJ32" s="25">
        <v>89</v>
      </c>
      <c r="CK32" s="25">
        <v>100</v>
      </c>
      <c r="CL32" s="25">
        <v>74</v>
      </c>
      <c r="CM32" s="25">
        <v>15</v>
      </c>
      <c r="CN32" s="25">
        <v>22</v>
      </c>
      <c r="CO32" s="25">
        <v>6</v>
      </c>
      <c r="CP32" s="25">
        <v>9</v>
      </c>
      <c r="CQ32" s="25">
        <v>19</v>
      </c>
      <c r="CR32" s="25">
        <v>22</v>
      </c>
      <c r="CS32" s="25">
        <v>0</v>
      </c>
      <c r="CT32" s="25">
        <v>89</v>
      </c>
      <c r="CU32" s="25">
        <v>11</v>
      </c>
      <c r="CV32" s="25">
        <v>17</v>
      </c>
      <c r="CW32" s="25">
        <v>20</v>
      </c>
      <c r="CX32" s="25">
        <v>32</v>
      </c>
      <c r="CY32" s="25">
        <v>0</v>
      </c>
      <c r="CZ32" s="25">
        <v>89</v>
      </c>
      <c r="DA32" s="25">
        <v>249</v>
      </c>
      <c r="DB32" s="25">
        <v>111</v>
      </c>
      <c r="DC32" s="25">
        <v>115</v>
      </c>
      <c r="DD32" s="25">
        <v>61</v>
      </c>
      <c r="DE32" s="25">
        <v>99</v>
      </c>
      <c r="DF32" s="25">
        <v>57</v>
      </c>
      <c r="DG32" s="25">
        <v>16</v>
      </c>
      <c r="DH32" s="25">
        <v>19</v>
      </c>
      <c r="DI32" s="25">
        <v>32</v>
      </c>
      <c r="DJ32" s="25">
        <v>31</v>
      </c>
      <c r="DK32" s="25">
        <v>33</v>
      </c>
      <c r="DL32" s="25">
        <v>55</v>
      </c>
      <c r="DM32" s="25">
        <v>9</v>
      </c>
      <c r="DN32" s="25">
        <v>15</v>
      </c>
      <c r="DO32" s="25">
        <v>55</v>
      </c>
      <c r="DP32" s="25">
        <v>64</v>
      </c>
      <c r="DQ32" s="25">
        <v>5</v>
      </c>
      <c r="DR32" s="25">
        <v>7</v>
      </c>
      <c r="DS32" s="25">
        <v>0</v>
      </c>
      <c r="DT32" s="25">
        <v>89</v>
      </c>
      <c r="DU32" s="25">
        <v>463</v>
      </c>
      <c r="DV32" s="25">
        <v>122</v>
      </c>
      <c r="DW32" s="25">
        <v>261</v>
      </c>
      <c r="DX32" s="25">
        <v>102</v>
      </c>
      <c r="DY32" s="25">
        <v>125</v>
      </c>
      <c r="DZ32" s="25">
        <v>69</v>
      </c>
      <c r="EA32" s="25">
        <v>136</v>
      </c>
      <c r="EB32" s="25">
        <v>80</v>
      </c>
      <c r="EC32" s="25">
        <v>23</v>
      </c>
      <c r="ED32" s="25">
        <v>26</v>
      </c>
      <c r="EE32" s="25">
        <v>5</v>
      </c>
      <c r="EF32" s="25">
        <v>8</v>
      </c>
      <c r="EG32" s="25">
        <v>21</v>
      </c>
      <c r="EH32" s="25">
        <v>26</v>
      </c>
      <c r="EI32" s="25">
        <v>0</v>
      </c>
      <c r="EJ32" s="25">
        <v>89</v>
      </c>
      <c r="EK32" s="25">
        <v>139</v>
      </c>
      <c r="EL32" s="25">
        <v>74</v>
      </c>
      <c r="EM32" s="25">
        <v>14</v>
      </c>
      <c r="EN32" s="25">
        <v>24</v>
      </c>
    </row>
    <row r="33" spans="1:144" x14ac:dyDescent="0.25">
      <c r="A33" s="19">
        <f t="shared" si="8"/>
        <v>49</v>
      </c>
      <c r="B33" s="20" t="str">
        <f t="shared" si="9"/>
        <v>Utah</v>
      </c>
      <c r="C33" s="24" t="s">
        <v>336</v>
      </c>
      <c r="D33" s="24" t="s">
        <v>337</v>
      </c>
      <c r="E33" s="25">
        <v>214619</v>
      </c>
      <c r="F33" s="25">
        <v>1741</v>
      </c>
      <c r="G33" s="25">
        <v>152403</v>
      </c>
      <c r="H33" s="25">
        <v>2016</v>
      </c>
      <c r="I33" s="25">
        <v>141951</v>
      </c>
      <c r="J33" s="25">
        <v>2110</v>
      </c>
      <c r="K33" s="25">
        <v>10452</v>
      </c>
      <c r="L33" s="25">
        <v>687</v>
      </c>
      <c r="M33" s="25">
        <v>22996</v>
      </c>
      <c r="N33" s="25">
        <v>1221</v>
      </c>
      <c r="O33" s="25">
        <v>14508</v>
      </c>
      <c r="P33" s="25">
        <v>865</v>
      </c>
      <c r="Q33" s="25">
        <v>10333</v>
      </c>
      <c r="R33" s="25">
        <v>668</v>
      </c>
      <c r="S33" s="25">
        <v>3223</v>
      </c>
      <c r="T33" s="25">
        <v>402</v>
      </c>
      <c r="U33" s="25">
        <v>10810</v>
      </c>
      <c r="V33" s="25">
        <v>725</v>
      </c>
      <c r="W33" s="25">
        <v>346</v>
      </c>
      <c r="X33" s="25">
        <v>99</v>
      </c>
      <c r="Y33" s="25">
        <v>155267</v>
      </c>
      <c r="Z33" s="25">
        <v>1989</v>
      </c>
      <c r="AA33" s="25">
        <v>113901</v>
      </c>
      <c r="AB33" s="25">
        <v>1834</v>
      </c>
      <c r="AC33" s="25">
        <v>107223</v>
      </c>
      <c r="AD33" s="25">
        <v>1775</v>
      </c>
      <c r="AE33" s="25">
        <v>6678</v>
      </c>
      <c r="AF33" s="25">
        <v>573</v>
      </c>
      <c r="AG33" s="25">
        <v>13851</v>
      </c>
      <c r="AH33" s="25">
        <v>844</v>
      </c>
      <c r="AI33" s="25">
        <v>12059</v>
      </c>
      <c r="AJ33" s="25">
        <v>794</v>
      </c>
      <c r="AK33" s="25">
        <v>7952</v>
      </c>
      <c r="AL33" s="25">
        <v>631</v>
      </c>
      <c r="AM33" s="25">
        <v>2454</v>
      </c>
      <c r="AN33" s="25">
        <v>375</v>
      </c>
      <c r="AO33" s="25">
        <v>4866</v>
      </c>
      <c r="AP33" s="25">
        <v>492</v>
      </c>
      <c r="AQ33" s="25">
        <v>184</v>
      </c>
      <c r="AR33" s="25">
        <v>78</v>
      </c>
      <c r="AS33" s="25">
        <v>27262</v>
      </c>
      <c r="AT33" s="25">
        <v>1432</v>
      </c>
      <c r="AU33" s="25">
        <v>20238</v>
      </c>
      <c r="AV33" s="25">
        <v>1289</v>
      </c>
      <c r="AW33" s="25">
        <v>18970</v>
      </c>
      <c r="AX33" s="25">
        <v>1257</v>
      </c>
      <c r="AY33" s="25">
        <v>1268</v>
      </c>
      <c r="AZ33" s="25">
        <v>250</v>
      </c>
      <c r="BA33" s="25">
        <v>2697</v>
      </c>
      <c r="BB33" s="25">
        <v>388</v>
      </c>
      <c r="BC33" s="25">
        <v>1390</v>
      </c>
      <c r="BD33" s="25">
        <v>273</v>
      </c>
      <c r="BE33" s="25">
        <v>1260</v>
      </c>
      <c r="BF33" s="25">
        <v>199</v>
      </c>
      <c r="BG33" s="25">
        <v>536</v>
      </c>
      <c r="BH33" s="25">
        <v>164</v>
      </c>
      <c r="BI33" s="25">
        <v>1046</v>
      </c>
      <c r="BJ33" s="25">
        <v>287</v>
      </c>
      <c r="BK33" s="25">
        <v>95</v>
      </c>
      <c r="BL33" s="25">
        <v>47</v>
      </c>
      <c r="BM33" s="25">
        <v>4315</v>
      </c>
      <c r="BN33" s="25">
        <v>487</v>
      </c>
      <c r="BO33" s="25">
        <v>2778</v>
      </c>
      <c r="BP33" s="25">
        <v>385</v>
      </c>
      <c r="BQ33" s="25">
        <v>2724</v>
      </c>
      <c r="BR33" s="25">
        <v>388</v>
      </c>
      <c r="BS33" s="25">
        <v>54</v>
      </c>
      <c r="BT33" s="25">
        <v>41</v>
      </c>
      <c r="BU33" s="25">
        <v>837</v>
      </c>
      <c r="BV33" s="25">
        <v>222</v>
      </c>
      <c r="BW33" s="25">
        <v>226</v>
      </c>
      <c r="BX33" s="25">
        <v>125</v>
      </c>
      <c r="BY33" s="25">
        <v>396</v>
      </c>
      <c r="BZ33" s="25">
        <v>128</v>
      </c>
      <c r="CA33" s="25">
        <v>37</v>
      </c>
      <c r="CB33" s="25">
        <v>32</v>
      </c>
      <c r="CC33" s="25">
        <v>41</v>
      </c>
      <c r="CD33" s="25">
        <v>45</v>
      </c>
      <c r="CE33" s="25">
        <v>0</v>
      </c>
      <c r="CF33" s="25">
        <v>89</v>
      </c>
      <c r="CG33" s="25">
        <v>10386</v>
      </c>
      <c r="CH33" s="25">
        <v>805</v>
      </c>
      <c r="CI33" s="25">
        <v>5329</v>
      </c>
      <c r="CJ33" s="25">
        <v>541</v>
      </c>
      <c r="CK33" s="25">
        <v>5062</v>
      </c>
      <c r="CL33" s="25">
        <v>535</v>
      </c>
      <c r="CM33" s="25">
        <v>267</v>
      </c>
      <c r="CN33" s="25">
        <v>114</v>
      </c>
      <c r="CO33" s="25">
        <v>3848</v>
      </c>
      <c r="CP33" s="25">
        <v>504</v>
      </c>
      <c r="CQ33" s="25">
        <v>469</v>
      </c>
      <c r="CR33" s="25">
        <v>136</v>
      </c>
      <c r="CS33" s="25">
        <v>241</v>
      </c>
      <c r="CT33" s="25">
        <v>87</v>
      </c>
      <c r="CU33" s="25">
        <v>22</v>
      </c>
      <c r="CV33" s="25">
        <v>25</v>
      </c>
      <c r="CW33" s="25">
        <v>462</v>
      </c>
      <c r="CX33" s="25">
        <v>142</v>
      </c>
      <c r="CY33" s="25">
        <v>15</v>
      </c>
      <c r="CZ33" s="25">
        <v>24</v>
      </c>
      <c r="DA33" s="25">
        <v>4340</v>
      </c>
      <c r="DB33" s="25">
        <v>474</v>
      </c>
      <c r="DC33" s="25">
        <v>2704</v>
      </c>
      <c r="DD33" s="25">
        <v>350</v>
      </c>
      <c r="DE33" s="25">
        <v>2584</v>
      </c>
      <c r="DF33" s="25">
        <v>342</v>
      </c>
      <c r="DG33" s="25">
        <v>120</v>
      </c>
      <c r="DH33" s="25">
        <v>71</v>
      </c>
      <c r="DI33" s="25">
        <v>989</v>
      </c>
      <c r="DJ33" s="25">
        <v>212</v>
      </c>
      <c r="DK33" s="25">
        <v>146</v>
      </c>
      <c r="DL33" s="25">
        <v>89</v>
      </c>
      <c r="DM33" s="25">
        <v>286</v>
      </c>
      <c r="DN33" s="25">
        <v>118</v>
      </c>
      <c r="DO33" s="25">
        <v>110</v>
      </c>
      <c r="DP33" s="25">
        <v>64</v>
      </c>
      <c r="DQ33" s="25">
        <v>105</v>
      </c>
      <c r="DR33" s="25">
        <v>52</v>
      </c>
      <c r="DS33" s="25">
        <v>0</v>
      </c>
      <c r="DT33" s="25">
        <v>89</v>
      </c>
      <c r="DU33" s="25">
        <v>13049</v>
      </c>
      <c r="DV33" s="25">
        <v>821</v>
      </c>
      <c r="DW33" s="25">
        <v>7453</v>
      </c>
      <c r="DX33" s="25">
        <v>526</v>
      </c>
      <c r="DY33" s="25">
        <v>5388</v>
      </c>
      <c r="DZ33" s="25">
        <v>487</v>
      </c>
      <c r="EA33" s="25">
        <v>2065</v>
      </c>
      <c r="EB33" s="25">
        <v>236</v>
      </c>
      <c r="EC33" s="25">
        <v>774</v>
      </c>
      <c r="ED33" s="25">
        <v>191</v>
      </c>
      <c r="EE33" s="25">
        <v>218</v>
      </c>
      <c r="EF33" s="25">
        <v>102</v>
      </c>
      <c r="EG33" s="25">
        <v>198</v>
      </c>
      <c r="EH33" s="25">
        <v>90</v>
      </c>
      <c r="EI33" s="25">
        <v>64</v>
      </c>
      <c r="EJ33" s="25">
        <v>45</v>
      </c>
      <c r="EK33" s="25">
        <v>4290</v>
      </c>
      <c r="EL33" s="25">
        <v>457</v>
      </c>
      <c r="EM33" s="25">
        <v>52</v>
      </c>
      <c r="EN33" s="25">
        <v>51</v>
      </c>
    </row>
    <row r="34" spans="1:144" x14ac:dyDescent="0.25">
      <c r="A34" s="19">
        <f t="shared" si="8"/>
        <v>51</v>
      </c>
      <c r="B34" s="20" t="str">
        <f t="shared" si="9"/>
        <v>Wasatch</v>
      </c>
      <c r="C34" s="24" t="s">
        <v>338</v>
      </c>
      <c r="D34" s="24" t="s">
        <v>339</v>
      </c>
      <c r="E34" s="25">
        <v>10617</v>
      </c>
      <c r="F34" s="25">
        <v>346</v>
      </c>
      <c r="G34" s="25">
        <v>7630</v>
      </c>
      <c r="H34" s="25">
        <v>400</v>
      </c>
      <c r="I34" s="25">
        <v>6506</v>
      </c>
      <c r="J34" s="25">
        <v>357</v>
      </c>
      <c r="K34" s="25">
        <v>1124</v>
      </c>
      <c r="L34" s="25">
        <v>267</v>
      </c>
      <c r="M34" s="25">
        <v>524</v>
      </c>
      <c r="N34" s="25">
        <v>219</v>
      </c>
      <c r="O34" s="25">
        <v>1060</v>
      </c>
      <c r="P34" s="25">
        <v>235</v>
      </c>
      <c r="Q34" s="25">
        <v>365</v>
      </c>
      <c r="R34" s="25">
        <v>130</v>
      </c>
      <c r="S34" s="25">
        <v>177</v>
      </c>
      <c r="T34" s="25">
        <v>111</v>
      </c>
      <c r="U34" s="25">
        <v>829</v>
      </c>
      <c r="V34" s="25">
        <v>202</v>
      </c>
      <c r="W34" s="25">
        <v>32</v>
      </c>
      <c r="X34" s="25">
        <v>38</v>
      </c>
      <c r="Y34" s="25">
        <v>8065</v>
      </c>
      <c r="Z34" s="25">
        <v>424</v>
      </c>
      <c r="AA34" s="25">
        <v>5770</v>
      </c>
      <c r="AB34" s="25">
        <v>388</v>
      </c>
      <c r="AC34" s="25">
        <v>5032</v>
      </c>
      <c r="AD34" s="25">
        <v>381</v>
      </c>
      <c r="AE34" s="25">
        <v>738</v>
      </c>
      <c r="AF34" s="25">
        <v>215</v>
      </c>
      <c r="AG34" s="25">
        <v>432</v>
      </c>
      <c r="AH34" s="25">
        <v>209</v>
      </c>
      <c r="AI34" s="25">
        <v>916</v>
      </c>
      <c r="AJ34" s="25">
        <v>210</v>
      </c>
      <c r="AK34" s="25">
        <v>292</v>
      </c>
      <c r="AL34" s="25">
        <v>122</v>
      </c>
      <c r="AM34" s="25">
        <v>170</v>
      </c>
      <c r="AN34" s="25">
        <v>110</v>
      </c>
      <c r="AO34" s="25">
        <v>485</v>
      </c>
      <c r="AP34" s="25">
        <v>164</v>
      </c>
      <c r="AQ34" s="25">
        <v>0</v>
      </c>
      <c r="AR34" s="25">
        <v>89</v>
      </c>
      <c r="AS34" s="25">
        <v>1312</v>
      </c>
      <c r="AT34" s="25">
        <v>265</v>
      </c>
      <c r="AU34" s="25">
        <v>1066</v>
      </c>
      <c r="AV34" s="25">
        <v>253</v>
      </c>
      <c r="AW34" s="25">
        <v>938</v>
      </c>
      <c r="AX34" s="25">
        <v>221</v>
      </c>
      <c r="AY34" s="25">
        <v>128</v>
      </c>
      <c r="AZ34" s="25">
        <v>83</v>
      </c>
      <c r="BA34" s="25">
        <v>37</v>
      </c>
      <c r="BB34" s="25">
        <v>27</v>
      </c>
      <c r="BC34" s="25">
        <v>77</v>
      </c>
      <c r="BD34" s="25">
        <v>53</v>
      </c>
      <c r="BE34" s="25">
        <v>61</v>
      </c>
      <c r="BF34" s="25">
        <v>50</v>
      </c>
      <c r="BG34" s="25">
        <v>0</v>
      </c>
      <c r="BH34" s="25">
        <v>89</v>
      </c>
      <c r="BI34" s="25">
        <v>63</v>
      </c>
      <c r="BJ34" s="25">
        <v>49</v>
      </c>
      <c r="BK34" s="25">
        <v>8</v>
      </c>
      <c r="BL34" s="25">
        <v>11</v>
      </c>
      <c r="BM34" s="25">
        <v>68</v>
      </c>
      <c r="BN34" s="25">
        <v>58</v>
      </c>
      <c r="BO34" s="25">
        <v>68</v>
      </c>
      <c r="BP34" s="25">
        <v>58</v>
      </c>
      <c r="BQ34" s="25">
        <v>68</v>
      </c>
      <c r="BR34" s="25">
        <v>58</v>
      </c>
      <c r="BS34" s="25">
        <v>0</v>
      </c>
      <c r="BT34" s="25">
        <v>89</v>
      </c>
      <c r="BU34" s="25">
        <v>0</v>
      </c>
      <c r="BV34" s="25">
        <v>89</v>
      </c>
      <c r="BW34" s="25">
        <v>0</v>
      </c>
      <c r="BX34" s="25">
        <v>89</v>
      </c>
      <c r="BY34" s="25">
        <v>0</v>
      </c>
      <c r="BZ34" s="25">
        <v>89</v>
      </c>
      <c r="CA34" s="25">
        <v>0</v>
      </c>
      <c r="CB34" s="25">
        <v>89</v>
      </c>
      <c r="CC34" s="25">
        <v>0</v>
      </c>
      <c r="CD34" s="25">
        <v>89</v>
      </c>
      <c r="CE34" s="25">
        <v>0</v>
      </c>
      <c r="CF34" s="25">
        <v>89</v>
      </c>
      <c r="CG34" s="25">
        <v>170</v>
      </c>
      <c r="CH34" s="25">
        <v>92</v>
      </c>
      <c r="CI34" s="25">
        <v>113</v>
      </c>
      <c r="CJ34" s="25">
        <v>78</v>
      </c>
      <c r="CK34" s="25">
        <v>108</v>
      </c>
      <c r="CL34" s="25">
        <v>77</v>
      </c>
      <c r="CM34" s="25">
        <v>5</v>
      </c>
      <c r="CN34" s="25">
        <v>9</v>
      </c>
      <c r="CO34" s="25">
        <v>0</v>
      </c>
      <c r="CP34" s="25">
        <v>89</v>
      </c>
      <c r="CQ34" s="25">
        <v>14</v>
      </c>
      <c r="CR34" s="25">
        <v>23</v>
      </c>
      <c r="CS34" s="25">
        <v>12</v>
      </c>
      <c r="CT34" s="25">
        <v>19</v>
      </c>
      <c r="CU34" s="25">
        <v>0</v>
      </c>
      <c r="CV34" s="25">
        <v>89</v>
      </c>
      <c r="CW34" s="25">
        <v>31</v>
      </c>
      <c r="CX34" s="25">
        <v>29</v>
      </c>
      <c r="CY34" s="25">
        <v>0</v>
      </c>
      <c r="CZ34" s="25">
        <v>89</v>
      </c>
      <c r="DA34" s="25">
        <v>198</v>
      </c>
      <c r="DB34" s="25">
        <v>91</v>
      </c>
      <c r="DC34" s="25">
        <v>159</v>
      </c>
      <c r="DD34" s="25">
        <v>89</v>
      </c>
      <c r="DE34" s="25">
        <v>143</v>
      </c>
      <c r="DF34" s="25">
        <v>83</v>
      </c>
      <c r="DG34" s="25">
        <v>16</v>
      </c>
      <c r="DH34" s="25">
        <v>22</v>
      </c>
      <c r="DI34" s="25">
        <v>0</v>
      </c>
      <c r="DJ34" s="25">
        <v>89</v>
      </c>
      <c r="DK34" s="25">
        <v>30</v>
      </c>
      <c r="DL34" s="25">
        <v>31</v>
      </c>
      <c r="DM34" s="25">
        <v>0</v>
      </c>
      <c r="DN34" s="25">
        <v>89</v>
      </c>
      <c r="DO34" s="25">
        <v>4</v>
      </c>
      <c r="DP34" s="25">
        <v>7</v>
      </c>
      <c r="DQ34" s="25">
        <v>5</v>
      </c>
      <c r="DR34" s="25">
        <v>9</v>
      </c>
      <c r="DS34" s="25">
        <v>0</v>
      </c>
      <c r="DT34" s="25">
        <v>89</v>
      </c>
      <c r="DU34" s="25">
        <v>804</v>
      </c>
      <c r="DV34" s="25">
        <v>193</v>
      </c>
      <c r="DW34" s="25">
        <v>454</v>
      </c>
      <c r="DX34" s="25">
        <v>160</v>
      </c>
      <c r="DY34" s="25">
        <v>217</v>
      </c>
      <c r="DZ34" s="25">
        <v>82</v>
      </c>
      <c r="EA34" s="25">
        <v>237</v>
      </c>
      <c r="EB34" s="25">
        <v>117</v>
      </c>
      <c r="EC34" s="25">
        <v>55</v>
      </c>
      <c r="ED34" s="25">
        <v>50</v>
      </c>
      <c r="EE34" s="25">
        <v>23</v>
      </c>
      <c r="EF34" s="25">
        <v>36</v>
      </c>
      <c r="EG34" s="25">
        <v>0</v>
      </c>
      <c r="EH34" s="25">
        <v>89</v>
      </c>
      <c r="EI34" s="25">
        <v>3</v>
      </c>
      <c r="EJ34" s="25">
        <v>5</v>
      </c>
      <c r="EK34" s="25">
        <v>245</v>
      </c>
      <c r="EL34" s="25">
        <v>99</v>
      </c>
      <c r="EM34" s="25">
        <v>24</v>
      </c>
      <c r="EN34" s="25">
        <v>36</v>
      </c>
    </row>
    <row r="35" spans="1:144" x14ac:dyDescent="0.25">
      <c r="A35" s="19">
        <f t="shared" si="8"/>
        <v>53</v>
      </c>
      <c r="B35" s="20" t="str">
        <f t="shared" si="9"/>
        <v>Washington</v>
      </c>
      <c r="C35" s="24" t="s">
        <v>340</v>
      </c>
      <c r="D35" s="24" t="s">
        <v>341</v>
      </c>
      <c r="E35" s="25">
        <v>52713</v>
      </c>
      <c r="F35" s="25">
        <v>1046</v>
      </c>
      <c r="G35" s="25">
        <v>38307</v>
      </c>
      <c r="H35" s="25">
        <v>1103</v>
      </c>
      <c r="I35" s="25">
        <v>34902</v>
      </c>
      <c r="J35" s="25">
        <v>1079</v>
      </c>
      <c r="K35" s="25">
        <v>3405</v>
      </c>
      <c r="L35" s="25">
        <v>441</v>
      </c>
      <c r="M35" s="25">
        <v>3770</v>
      </c>
      <c r="N35" s="25">
        <v>403</v>
      </c>
      <c r="O35" s="25">
        <v>3811</v>
      </c>
      <c r="P35" s="25">
        <v>479</v>
      </c>
      <c r="Q35" s="25">
        <v>2004</v>
      </c>
      <c r="R35" s="25">
        <v>341</v>
      </c>
      <c r="S35" s="25">
        <v>867</v>
      </c>
      <c r="T35" s="25">
        <v>274</v>
      </c>
      <c r="U35" s="25">
        <v>3819</v>
      </c>
      <c r="V35" s="25">
        <v>431</v>
      </c>
      <c r="W35" s="25">
        <v>135</v>
      </c>
      <c r="X35" s="25">
        <v>75</v>
      </c>
      <c r="Y35" s="25">
        <v>40993</v>
      </c>
      <c r="Z35" s="25">
        <v>1148</v>
      </c>
      <c r="AA35" s="25">
        <v>30335</v>
      </c>
      <c r="AB35" s="25">
        <v>1132</v>
      </c>
      <c r="AC35" s="25">
        <v>27988</v>
      </c>
      <c r="AD35" s="25">
        <v>1112</v>
      </c>
      <c r="AE35" s="25">
        <v>2347</v>
      </c>
      <c r="AF35" s="25">
        <v>388</v>
      </c>
      <c r="AG35" s="25">
        <v>3307</v>
      </c>
      <c r="AH35" s="25">
        <v>353</v>
      </c>
      <c r="AI35" s="25">
        <v>3131</v>
      </c>
      <c r="AJ35" s="25">
        <v>457</v>
      </c>
      <c r="AK35" s="25">
        <v>1471</v>
      </c>
      <c r="AL35" s="25">
        <v>318</v>
      </c>
      <c r="AM35" s="25">
        <v>636</v>
      </c>
      <c r="AN35" s="25">
        <v>225</v>
      </c>
      <c r="AO35" s="25">
        <v>2038</v>
      </c>
      <c r="AP35" s="25">
        <v>300</v>
      </c>
      <c r="AQ35" s="25">
        <v>75</v>
      </c>
      <c r="AR35" s="25">
        <v>54</v>
      </c>
      <c r="AS35" s="25">
        <v>6536</v>
      </c>
      <c r="AT35" s="25">
        <v>620</v>
      </c>
      <c r="AU35" s="25">
        <v>4824</v>
      </c>
      <c r="AV35" s="25">
        <v>551</v>
      </c>
      <c r="AW35" s="25">
        <v>4485</v>
      </c>
      <c r="AX35" s="25">
        <v>513</v>
      </c>
      <c r="AY35" s="25">
        <v>339</v>
      </c>
      <c r="AZ35" s="25">
        <v>135</v>
      </c>
      <c r="BA35" s="25">
        <v>249</v>
      </c>
      <c r="BB35" s="25">
        <v>99</v>
      </c>
      <c r="BC35" s="25">
        <v>513</v>
      </c>
      <c r="BD35" s="25">
        <v>163</v>
      </c>
      <c r="BE35" s="25">
        <v>360</v>
      </c>
      <c r="BF35" s="25">
        <v>127</v>
      </c>
      <c r="BG35" s="25">
        <v>85</v>
      </c>
      <c r="BH35" s="25">
        <v>46</v>
      </c>
      <c r="BI35" s="25">
        <v>465</v>
      </c>
      <c r="BJ35" s="25">
        <v>158</v>
      </c>
      <c r="BK35" s="25">
        <v>40</v>
      </c>
      <c r="BL35" s="25">
        <v>40</v>
      </c>
      <c r="BM35" s="25">
        <v>219</v>
      </c>
      <c r="BN35" s="25">
        <v>114</v>
      </c>
      <c r="BO35" s="25">
        <v>158</v>
      </c>
      <c r="BP35" s="25">
        <v>100</v>
      </c>
      <c r="BQ35" s="25">
        <v>147</v>
      </c>
      <c r="BR35" s="25">
        <v>98</v>
      </c>
      <c r="BS35" s="25">
        <v>11</v>
      </c>
      <c r="BT35" s="25">
        <v>19</v>
      </c>
      <c r="BU35" s="25">
        <v>21</v>
      </c>
      <c r="BV35" s="25">
        <v>33</v>
      </c>
      <c r="BW35" s="25">
        <v>3</v>
      </c>
      <c r="BX35" s="25">
        <v>5</v>
      </c>
      <c r="BY35" s="25">
        <v>18</v>
      </c>
      <c r="BZ35" s="25">
        <v>28</v>
      </c>
      <c r="CA35" s="25">
        <v>0</v>
      </c>
      <c r="CB35" s="25">
        <v>89</v>
      </c>
      <c r="CC35" s="25">
        <v>19</v>
      </c>
      <c r="CD35" s="25">
        <v>22</v>
      </c>
      <c r="CE35" s="25">
        <v>0</v>
      </c>
      <c r="CF35" s="25">
        <v>89</v>
      </c>
      <c r="CG35" s="25">
        <v>1413</v>
      </c>
      <c r="CH35" s="25">
        <v>294</v>
      </c>
      <c r="CI35" s="25">
        <v>986</v>
      </c>
      <c r="CJ35" s="25">
        <v>266</v>
      </c>
      <c r="CK35" s="25">
        <v>857</v>
      </c>
      <c r="CL35" s="25">
        <v>248</v>
      </c>
      <c r="CM35" s="25">
        <v>129</v>
      </c>
      <c r="CN35" s="25">
        <v>86</v>
      </c>
      <c r="CO35" s="25">
        <v>63</v>
      </c>
      <c r="CP35" s="25">
        <v>57</v>
      </c>
      <c r="CQ35" s="25">
        <v>83</v>
      </c>
      <c r="CR35" s="25">
        <v>54</v>
      </c>
      <c r="CS35" s="25">
        <v>29</v>
      </c>
      <c r="CT35" s="25">
        <v>34</v>
      </c>
      <c r="CU35" s="25">
        <v>83</v>
      </c>
      <c r="CV35" s="25">
        <v>96</v>
      </c>
      <c r="CW35" s="25">
        <v>169</v>
      </c>
      <c r="CX35" s="25">
        <v>85</v>
      </c>
      <c r="CY35" s="25">
        <v>0</v>
      </c>
      <c r="CZ35" s="25">
        <v>89</v>
      </c>
      <c r="DA35" s="25">
        <v>936</v>
      </c>
      <c r="DB35" s="25">
        <v>201</v>
      </c>
      <c r="DC35" s="25">
        <v>647</v>
      </c>
      <c r="DD35" s="25">
        <v>169</v>
      </c>
      <c r="DE35" s="25">
        <v>596</v>
      </c>
      <c r="DF35" s="25">
        <v>159</v>
      </c>
      <c r="DG35" s="25">
        <v>51</v>
      </c>
      <c r="DH35" s="25">
        <v>57</v>
      </c>
      <c r="DI35" s="25">
        <v>74</v>
      </c>
      <c r="DJ35" s="25">
        <v>56</v>
      </c>
      <c r="DK35" s="25">
        <v>38</v>
      </c>
      <c r="DL35" s="25">
        <v>29</v>
      </c>
      <c r="DM35" s="25">
        <v>114</v>
      </c>
      <c r="DN35" s="25">
        <v>101</v>
      </c>
      <c r="DO35" s="25">
        <v>23</v>
      </c>
      <c r="DP35" s="25">
        <v>36</v>
      </c>
      <c r="DQ35" s="25">
        <v>40</v>
      </c>
      <c r="DR35" s="25">
        <v>35</v>
      </c>
      <c r="DS35" s="25">
        <v>0</v>
      </c>
      <c r="DT35" s="25">
        <v>89</v>
      </c>
      <c r="DU35" s="25">
        <v>2616</v>
      </c>
      <c r="DV35" s="25">
        <v>351</v>
      </c>
      <c r="DW35" s="25">
        <v>1357</v>
      </c>
      <c r="DX35" s="25">
        <v>260</v>
      </c>
      <c r="DY35" s="25">
        <v>829</v>
      </c>
      <c r="DZ35" s="25">
        <v>225</v>
      </c>
      <c r="EA35" s="25">
        <v>528</v>
      </c>
      <c r="EB35" s="25">
        <v>144</v>
      </c>
      <c r="EC35" s="25">
        <v>56</v>
      </c>
      <c r="ED35" s="25">
        <v>50</v>
      </c>
      <c r="EE35" s="25">
        <v>43</v>
      </c>
      <c r="EF35" s="25">
        <v>33</v>
      </c>
      <c r="EG35" s="25">
        <v>12</v>
      </c>
      <c r="EH35" s="25">
        <v>24</v>
      </c>
      <c r="EI35" s="25">
        <v>40</v>
      </c>
      <c r="EJ35" s="25">
        <v>48</v>
      </c>
      <c r="EK35" s="25">
        <v>1088</v>
      </c>
      <c r="EL35" s="25">
        <v>227</v>
      </c>
      <c r="EM35" s="25">
        <v>20</v>
      </c>
      <c r="EN35" s="25">
        <v>26</v>
      </c>
    </row>
    <row r="36" spans="1:144" x14ac:dyDescent="0.25">
      <c r="A36" s="19">
        <f t="shared" si="8"/>
        <v>55</v>
      </c>
      <c r="B36" s="20" t="str">
        <f t="shared" si="9"/>
        <v>Wayne</v>
      </c>
      <c r="C36" s="24" t="s">
        <v>342</v>
      </c>
      <c r="D36" s="24" t="s">
        <v>343</v>
      </c>
      <c r="E36" s="25">
        <v>1262</v>
      </c>
      <c r="F36" s="25">
        <v>93</v>
      </c>
      <c r="G36" s="25">
        <v>834</v>
      </c>
      <c r="H36" s="25">
        <v>110</v>
      </c>
      <c r="I36" s="25">
        <v>714</v>
      </c>
      <c r="J36" s="25">
        <v>116</v>
      </c>
      <c r="K36" s="25">
        <v>120</v>
      </c>
      <c r="L36" s="25">
        <v>43</v>
      </c>
      <c r="M36" s="25">
        <v>20</v>
      </c>
      <c r="N36" s="25">
        <v>14</v>
      </c>
      <c r="O36" s="25">
        <v>174</v>
      </c>
      <c r="P36" s="25">
        <v>85</v>
      </c>
      <c r="Q36" s="25">
        <v>30</v>
      </c>
      <c r="R36" s="25">
        <v>21</v>
      </c>
      <c r="S36" s="25">
        <v>113</v>
      </c>
      <c r="T36" s="25">
        <v>52</v>
      </c>
      <c r="U36" s="25">
        <v>88</v>
      </c>
      <c r="V36" s="25">
        <v>41</v>
      </c>
      <c r="W36" s="25">
        <v>3</v>
      </c>
      <c r="X36" s="25">
        <v>4</v>
      </c>
      <c r="Y36" s="25">
        <v>852</v>
      </c>
      <c r="Z36" s="25">
        <v>94</v>
      </c>
      <c r="AA36" s="25">
        <v>583</v>
      </c>
      <c r="AB36" s="25">
        <v>97</v>
      </c>
      <c r="AC36" s="25">
        <v>527</v>
      </c>
      <c r="AD36" s="25">
        <v>99</v>
      </c>
      <c r="AE36" s="25">
        <v>56</v>
      </c>
      <c r="AF36" s="25">
        <v>27</v>
      </c>
      <c r="AG36" s="25">
        <v>20</v>
      </c>
      <c r="AH36" s="25">
        <v>14</v>
      </c>
      <c r="AI36" s="25">
        <v>92</v>
      </c>
      <c r="AJ36" s="25">
        <v>38</v>
      </c>
      <c r="AK36" s="25">
        <v>25</v>
      </c>
      <c r="AL36" s="25">
        <v>19</v>
      </c>
      <c r="AM36" s="25">
        <v>84</v>
      </c>
      <c r="AN36" s="25">
        <v>41</v>
      </c>
      <c r="AO36" s="25">
        <v>48</v>
      </c>
      <c r="AP36" s="25">
        <v>30</v>
      </c>
      <c r="AQ36" s="25">
        <v>0</v>
      </c>
      <c r="AR36" s="25">
        <v>89</v>
      </c>
      <c r="AS36" s="25">
        <v>227</v>
      </c>
      <c r="AT36" s="25">
        <v>67</v>
      </c>
      <c r="AU36" s="25">
        <v>148</v>
      </c>
      <c r="AV36" s="25">
        <v>55</v>
      </c>
      <c r="AW36" s="25">
        <v>120</v>
      </c>
      <c r="AX36" s="25">
        <v>48</v>
      </c>
      <c r="AY36" s="25">
        <v>28</v>
      </c>
      <c r="AZ36" s="25">
        <v>26</v>
      </c>
      <c r="BA36" s="25">
        <v>0</v>
      </c>
      <c r="BB36" s="25">
        <v>89</v>
      </c>
      <c r="BC36" s="25">
        <v>55</v>
      </c>
      <c r="BD36" s="25">
        <v>63</v>
      </c>
      <c r="BE36" s="25">
        <v>3</v>
      </c>
      <c r="BF36" s="25">
        <v>4</v>
      </c>
      <c r="BG36" s="25">
        <v>17</v>
      </c>
      <c r="BH36" s="25">
        <v>18</v>
      </c>
      <c r="BI36" s="25">
        <v>4</v>
      </c>
      <c r="BJ36" s="25">
        <v>7</v>
      </c>
      <c r="BK36" s="25">
        <v>0</v>
      </c>
      <c r="BL36" s="25">
        <v>89</v>
      </c>
      <c r="BM36" s="25">
        <v>18</v>
      </c>
      <c r="BN36" s="25">
        <v>20</v>
      </c>
      <c r="BO36" s="25">
        <v>16</v>
      </c>
      <c r="BP36" s="25">
        <v>20</v>
      </c>
      <c r="BQ36" s="25">
        <v>0</v>
      </c>
      <c r="BR36" s="25">
        <v>89</v>
      </c>
      <c r="BS36" s="25">
        <v>16</v>
      </c>
      <c r="BT36" s="25">
        <v>20</v>
      </c>
      <c r="BU36" s="25">
        <v>0</v>
      </c>
      <c r="BV36" s="25">
        <v>89</v>
      </c>
      <c r="BW36" s="25">
        <v>0</v>
      </c>
      <c r="BX36" s="25">
        <v>89</v>
      </c>
      <c r="BY36" s="25">
        <v>0</v>
      </c>
      <c r="BZ36" s="25">
        <v>89</v>
      </c>
      <c r="CA36" s="25">
        <v>2</v>
      </c>
      <c r="CB36" s="25">
        <v>4</v>
      </c>
      <c r="CC36" s="25">
        <v>0</v>
      </c>
      <c r="CD36" s="25">
        <v>89</v>
      </c>
      <c r="CE36" s="25">
        <v>0</v>
      </c>
      <c r="CF36" s="25">
        <v>89</v>
      </c>
      <c r="CG36" s="25">
        <v>82</v>
      </c>
      <c r="CH36" s="25">
        <v>46</v>
      </c>
      <c r="CI36" s="25">
        <v>57</v>
      </c>
      <c r="CJ36" s="25">
        <v>37</v>
      </c>
      <c r="CK36" s="25">
        <v>48</v>
      </c>
      <c r="CL36" s="25">
        <v>36</v>
      </c>
      <c r="CM36" s="25">
        <v>9</v>
      </c>
      <c r="CN36" s="25">
        <v>15</v>
      </c>
      <c r="CO36" s="25">
        <v>0</v>
      </c>
      <c r="CP36" s="25">
        <v>89</v>
      </c>
      <c r="CQ36" s="25">
        <v>10</v>
      </c>
      <c r="CR36" s="25">
        <v>11</v>
      </c>
      <c r="CS36" s="25">
        <v>2</v>
      </c>
      <c r="CT36" s="25">
        <v>4</v>
      </c>
      <c r="CU36" s="25">
        <v>10</v>
      </c>
      <c r="CV36" s="25">
        <v>13</v>
      </c>
      <c r="CW36" s="25">
        <v>0</v>
      </c>
      <c r="CX36" s="25">
        <v>89</v>
      </c>
      <c r="CY36" s="25">
        <v>3</v>
      </c>
      <c r="CZ36" s="25">
        <v>4</v>
      </c>
      <c r="DA36" s="25">
        <v>17</v>
      </c>
      <c r="DB36" s="25">
        <v>22</v>
      </c>
      <c r="DC36" s="25">
        <v>0</v>
      </c>
      <c r="DD36" s="25">
        <v>89</v>
      </c>
      <c r="DE36" s="25">
        <v>0</v>
      </c>
      <c r="DF36" s="25">
        <v>89</v>
      </c>
      <c r="DG36" s="25">
        <v>0</v>
      </c>
      <c r="DH36" s="25">
        <v>89</v>
      </c>
      <c r="DI36" s="25">
        <v>0</v>
      </c>
      <c r="DJ36" s="25">
        <v>89</v>
      </c>
      <c r="DK36" s="25">
        <v>17</v>
      </c>
      <c r="DL36" s="25">
        <v>22</v>
      </c>
      <c r="DM36" s="25">
        <v>0</v>
      </c>
      <c r="DN36" s="25">
        <v>89</v>
      </c>
      <c r="DO36" s="25">
        <v>0</v>
      </c>
      <c r="DP36" s="25">
        <v>89</v>
      </c>
      <c r="DQ36" s="25">
        <v>0</v>
      </c>
      <c r="DR36" s="25">
        <v>89</v>
      </c>
      <c r="DS36" s="25">
        <v>0</v>
      </c>
      <c r="DT36" s="25">
        <v>89</v>
      </c>
      <c r="DU36" s="25">
        <v>66</v>
      </c>
      <c r="DV36" s="25">
        <v>33</v>
      </c>
      <c r="DW36" s="25">
        <v>30</v>
      </c>
      <c r="DX36" s="25">
        <v>21</v>
      </c>
      <c r="DY36" s="25">
        <v>19</v>
      </c>
      <c r="DZ36" s="25">
        <v>16</v>
      </c>
      <c r="EA36" s="25">
        <v>11</v>
      </c>
      <c r="EB36" s="25">
        <v>11</v>
      </c>
      <c r="EC36" s="25">
        <v>0</v>
      </c>
      <c r="ED36" s="25">
        <v>89</v>
      </c>
      <c r="EE36" s="25">
        <v>0</v>
      </c>
      <c r="EF36" s="25">
        <v>89</v>
      </c>
      <c r="EG36" s="25">
        <v>0</v>
      </c>
      <c r="EH36" s="25">
        <v>89</v>
      </c>
      <c r="EI36" s="25">
        <v>0</v>
      </c>
      <c r="EJ36" s="25">
        <v>89</v>
      </c>
      <c r="EK36" s="25">
        <v>36</v>
      </c>
      <c r="EL36" s="25">
        <v>20</v>
      </c>
      <c r="EM36" s="25">
        <v>0</v>
      </c>
      <c r="EN36" s="25">
        <v>89</v>
      </c>
    </row>
    <row r="37" spans="1:144" x14ac:dyDescent="0.25">
      <c r="A37" s="19">
        <f t="shared" si="8"/>
        <v>57</v>
      </c>
      <c r="B37" s="20" t="str">
        <f t="shared" si="9"/>
        <v>Weber</v>
      </c>
      <c r="C37" s="24" t="s">
        <v>344</v>
      </c>
      <c r="D37" s="24" t="s">
        <v>345</v>
      </c>
      <c r="E37" s="25">
        <v>103369</v>
      </c>
      <c r="F37" s="25">
        <v>1250</v>
      </c>
      <c r="G37" s="25">
        <v>71263</v>
      </c>
      <c r="H37" s="25">
        <v>1248</v>
      </c>
      <c r="I37" s="25">
        <v>67454</v>
      </c>
      <c r="J37" s="25">
        <v>1328</v>
      </c>
      <c r="K37" s="25">
        <v>3809</v>
      </c>
      <c r="L37" s="25">
        <v>463</v>
      </c>
      <c r="M37" s="25">
        <v>5105</v>
      </c>
      <c r="N37" s="25">
        <v>475</v>
      </c>
      <c r="O37" s="25">
        <v>7138</v>
      </c>
      <c r="P37" s="25">
        <v>627</v>
      </c>
      <c r="Q37" s="25">
        <v>4557</v>
      </c>
      <c r="R37" s="25">
        <v>463</v>
      </c>
      <c r="S37" s="25">
        <v>11491</v>
      </c>
      <c r="T37" s="25">
        <v>707</v>
      </c>
      <c r="U37" s="25">
        <v>3712</v>
      </c>
      <c r="V37" s="25">
        <v>367</v>
      </c>
      <c r="W37" s="25">
        <v>103</v>
      </c>
      <c r="X37" s="25">
        <v>52</v>
      </c>
      <c r="Y37" s="25">
        <v>82543</v>
      </c>
      <c r="Z37" s="25">
        <v>1451</v>
      </c>
      <c r="AA37" s="25">
        <v>56934</v>
      </c>
      <c r="AB37" s="25">
        <v>1453</v>
      </c>
      <c r="AC37" s="25">
        <v>54305</v>
      </c>
      <c r="AD37" s="25">
        <v>1509</v>
      </c>
      <c r="AE37" s="25">
        <v>2629</v>
      </c>
      <c r="AF37" s="25">
        <v>401</v>
      </c>
      <c r="AG37" s="25">
        <v>4052</v>
      </c>
      <c r="AH37" s="25">
        <v>441</v>
      </c>
      <c r="AI37" s="25">
        <v>6070</v>
      </c>
      <c r="AJ37" s="25">
        <v>563</v>
      </c>
      <c r="AK37" s="25">
        <v>3676</v>
      </c>
      <c r="AL37" s="25">
        <v>398</v>
      </c>
      <c r="AM37" s="25">
        <v>9804</v>
      </c>
      <c r="AN37" s="25">
        <v>643</v>
      </c>
      <c r="AO37" s="25">
        <v>1976</v>
      </c>
      <c r="AP37" s="25">
        <v>266</v>
      </c>
      <c r="AQ37" s="25">
        <v>31</v>
      </c>
      <c r="AR37" s="25">
        <v>29</v>
      </c>
      <c r="AS37" s="25">
        <v>12559</v>
      </c>
      <c r="AT37" s="25">
        <v>835</v>
      </c>
      <c r="AU37" s="25">
        <v>9383</v>
      </c>
      <c r="AV37" s="25">
        <v>707</v>
      </c>
      <c r="AW37" s="25">
        <v>8862</v>
      </c>
      <c r="AX37" s="25">
        <v>684</v>
      </c>
      <c r="AY37" s="25">
        <v>521</v>
      </c>
      <c r="AZ37" s="25">
        <v>157</v>
      </c>
      <c r="BA37" s="25">
        <v>529</v>
      </c>
      <c r="BB37" s="25">
        <v>161</v>
      </c>
      <c r="BC37" s="25">
        <v>594</v>
      </c>
      <c r="BD37" s="25">
        <v>185</v>
      </c>
      <c r="BE37" s="25">
        <v>433</v>
      </c>
      <c r="BF37" s="25">
        <v>127</v>
      </c>
      <c r="BG37" s="25">
        <v>1250</v>
      </c>
      <c r="BH37" s="25">
        <v>290</v>
      </c>
      <c r="BI37" s="25">
        <v>332</v>
      </c>
      <c r="BJ37" s="25">
        <v>111</v>
      </c>
      <c r="BK37" s="25">
        <v>38</v>
      </c>
      <c r="BL37" s="25">
        <v>34</v>
      </c>
      <c r="BM37" s="25">
        <v>1716</v>
      </c>
      <c r="BN37" s="25">
        <v>301</v>
      </c>
      <c r="BO37" s="25">
        <v>1068</v>
      </c>
      <c r="BP37" s="25">
        <v>247</v>
      </c>
      <c r="BQ37" s="25">
        <v>1068</v>
      </c>
      <c r="BR37" s="25">
        <v>247</v>
      </c>
      <c r="BS37" s="25">
        <v>0</v>
      </c>
      <c r="BT37" s="25">
        <v>89</v>
      </c>
      <c r="BU37" s="25">
        <v>216</v>
      </c>
      <c r="BV37" s="25">
        <v>100</v>
      </c>
      <c r="BW37" s="25">
        <v>76</v>
      </c>
      <c r="BX37" s="25">
        <v>47</v>
      </c>
      <c r="BY37" s="25">
        <v>227</v>
      </c>
      <c r="BZ37" s="25">
        <v>92</v>
      </c>
      <c r="CA37" s="25">
        <v>97</v>
      </c>
      <c r="CB37" s="25">
        <v>64</v>
      </c>
      <c r="CC37" s="25">
        <v>32</v>
      </c>
      <c r="CD37" s="25">
        <v>35</v>
      </c>
      <c r="CE37" s="25">
        <v>0</v>
      </c>
      <c r="CF37" s="25">
        <v>89</v>
      </c>
      <c r="CG37" s="25">
        <v>1642</v>
      </c>
      <c r="CH37" s="25">
        <v>287</v>
      </c>
      <c r="CI37" s="25">
        <v>1215</v>
      </c>
      <c r="CJ37" s="25">
        <v>272</v>
      </c>
      <c r="CK37" s="25">
        <v>1149</v>
      </c>
      <c r="CL37" s="25">
        <v>266</v>
      </c>
      <c r="CM37" s="25">
        <v>66</v>
      </c>
      <c r="CN37" s="25">
        <v>49</v>
      </c>
      <c r="CO37" s="25">
        <v>46</v>
      </c>
      <c r="CP37" s="25">
        <v>37</v>
      </c>
      <c r="CQ37" s="25">
        <v>198</v>
      </c>
      <c r="CR37" s="25">
        <v>82</v>
      </c>
      <c r="CS37" s="25">
        <v>73</v>
      </c>
      <c r="CT37" s="25">
        <v>52</v>
      </c>
      <c r="CU37" s="25">
        <v>70</v>
      </c>
      <c r="CV37" s="25">
        <v>66</v>
      </c>
      <c r="CW37" s="25">
        <v>33</v>
      </c>
      <c r="CX37" s="25">
        <v>31</v>
      </c>
      <c r="CY37" s="25">
        <v>7</v>
      </c>
      <c r="CZ37" s="25">
        <v>11</v>
      </c>
      <c r="DA37" s="25">
        <v>1370</v>
      </c>
      <c r="DB37" s="25">
        <v>275</v>
      </c>
      <c r="DC37" s="25">
        <v>726</v>
      </c>
      <c r="DD37" s="25">
        <v>194</v>
      </c>
      <c r="DE37" s="25">
        <v>715</v>
      </c>
      <c r="DF37" s="25">
        <v>192</v>
      </c>
      <c r="DG37" s="25">
        <v>11</v>
      </c>
      <c r="DH37" s="25">
        <v>17</v>
      </c>
      <c r="DI37" s="25">
        <v>96</v>
      </c>
      <c r="DJ37" s="25">
        <v>67</v>
      </c>
      <c r="DK37" s="25">
        <v>189</v>
      </c>
      <c r="DL37" s="25">
        <v>103</v>
      </c>
      <c r="DM37" s="25">
        <v>78</v>
      </c>
      <c r="DN37" s="25">
        <v>56</v>
      </c>
      <c r="DO37" s="25">
        <v>180</v>
      </c>
      <c r="DP37" s="25">
        <v>85</v>
      </c>
      <c r="DQ37" s="25">
        <v>93</v>
      </c>
      <c r="DR37" s="25">
        <v>70</v>
      </c>
      <c r="DS37" s="25">
        <v>8</v>
      </c>
      <c r="DT37" s="25">
        <v>13</v>
      </c>
      <c r="DU37" s="25">
        <v>3539</v>
      </c>
      <c r="DV37" s="25">
        <v>376</v>
      </c>
      <c r="DW37" s="25">
        <v>1937</v>
      </c>
      <c r="DX37" s="25">
        <v>291</v>
      </c>
      <c r="DY37" s="25">
        <v>1355</v>
      </c>
      <c r="DZ37" s="25">
        <v>263</v>
      </c>
      <c r="EA37" s="25">
        <v>582</v>
      </c>
      <c r="EB37" s="25">
        <v>140</v>
      </c>
      <c r="EC37" s="25">
        <v>166</v>
      </c>
      <c r="ED37" s="25">
        <v>89</v>
      </c>
      <c r="EE37" s="25">
        <v>11</v>
      </c>
      <c r="EF37" s="25">
        <v>12</v>
      </c>
      <c r="EG37" s="25">
        <v>70</v>
      </c>
      <c r="EH37" s="25">
        <v>44</v>
      </c>
      <c r="EI37" s="25">
        <v>90</v>
      </c>
      <c r="EJ37" s="25">
        <v>61</v>
      </c>
      <c r="EK37" s="25">
        <v>1246</v>
      </c>
      <c r="EL37" s="25">
        <v>254</v>
      </c>
      <c r="EM37" s="25">
        <v>19</v>
      </c>
      <c r="EN37" s="25">
        <v>27</v>
      </c>
    </row>
    <row r="39" spans="1:144" x14ac:dyDescent="0.25">
      <c r="A39" s="19">
        <f>VLOOKUP($C39, lu_GEOID, 2, FALSE)</f>
        <v>101</v>
      </c>
      <c r="B39" s="20" t="str">
        <f>VLOOKUP($C39, lu_GEOID, 3, FALSE)</f>
        <v>Wasatch Front</v>
      </c>
      <c r="C39" s="17" t="s">
        <v>401</v>
      </c>
      <c r="D39" s="21" t="str">
        <f>B39</f>
        <v>Wasatch Front</v>
      </c>
      <c r="E39" s="22">
        <f>E14 + E26 + E33 + E37</f>
        <v>949504</v>
      </c>
      <c r="F39" s="22">
        <f t="shared" ref="F39:BQ39" si="10">F14 + F26 + F33 + F37</f>
        <v>6590</v>
      </c>
      <c r="G39" s="22">
        <f t="shared" si="10"/>
        <v>685908</v>
      </c>
      <c r="H39" s="22">
        <f t="shared" si="10"/>
        <v>7698</v>
      </c>
      <c r="I39" s="22">
        <f t="shared" si="10"/>
        <v>646836</v>
      </c>
      <c r="J39" s="22">
        <f t="shared" si="10"/>
        <v>8025</v>
      </c>
      <c r="K39" s="22">
        <f t="shared" si="10"/>
        <v>39072</v>
      </c>
      <c r="L39" s="22">
        <f t="shared" si="10"/>
        <v>2490</v>
      </c>
      <c r="M39" s="22">
        <f t="shared" si="10"/>
        <v>69219</v>
      </c>
      <c r="N39" s="22">
        <f t="shared" si="10"/>
        <v>3503</v>
      </c>
      <c r="O39" s="22">
        <f t="shared" si="10"/>
        <v>60450</v>
      </c>
      <c r="P39" s="22">
        <f t="shared" si="10"/>
        <v>3102</v>
      </c>
      <c r="Q39" s="22">
        <f t="shared" si="10"/>
        <v>49903</v>
      </c>
      <c r="R39" s="22">
        <f t="shared" si="10"/>
        <v>2856</v>
      </c>
      <c r="S39" s="22">
        <f t="shared" si="10"/>
        <v>38713</v>
      </c>
      <c r="T39" s="22">
        <f t="shared" si="10"/>
        <v>2591</v>
      </c>
      <c r="U39" s="22">
        <f t="shared" si="10"/>
        <v>44306</v>
      </c>
      <c r="V39" s="22">
        <f t="shared" si="10"/>
        <v>2575</v>
      </c>
      <c r="W39" s="22">
        <f t="shared" si="10"/>
        <v>1005</v>
      </c>
      <c r="X39" s="22">
        <f t="shared" si="10"/>
        <v>341</v>
      </c>
      <c r="Y39" s="22">
        <f t="shared" si="10"/>
        <v>724076</v>
      </c>
      <c r="Z39" s="22">
        <f t="shared" si="10"/>
        <v>8154</v>
      </c>
      <c r="AA39" s="22">
        <f t="shared" si="10"/>
        <v>532679</v>
      </c>
      <c r="AB39" s="22">
        <f t="shared" si="10"/>
        <v>7881</v>
      </c>
      <c r="AC39" s="22">
        <f t="shared" si="10"/>
        <v>505993</v>
      </c>
      <c r="AD39" s="22">
        <f t="shared" si="10"/>
        <v>7858</v>
      </c>
      <c r="AE39" s="22">
        <f t="shared" si="10"/>
        <v>26686</v>
      </c>
      <c r="AF39" s="22">
        <f t="shared" si="10"/>
        <v>2173</v>
      </c>
      <c r="AG39" s="22">
        <f t="shared" si="10"/>
        <v>48582</v>
      </c>
      <c r="AH39" s="22">
        <f t="shared" si="10"/>
        <v>2917</v>
      </c>
      <c r="AI39" s="22">
        <f t="shared" si="10"/>
        <v>50181</v>
      </c>
      <c r="AJ39" s="22">
        <f t="shared" si="10"/>
        <v>2861</v>
      </c>
      <c r="AK39" s="22">
        <f t="shared" si="10"/>
        <v>37797</v>
      </c>
      <c r="AL39" s="22">
        <f t="shared" si="10"/>
        <v>2488</v>
      </c>
      <c r="AM39" s="22">
        <f t="shared" si="10"/>
        <v>31956</v>
      </c>
      <c r="AN39" s="22">
        <f t="shared" si="10"/>
        <v>2350</v>
      </c>
      <c r="AO39" s="22">
        <f t="shared" si="10"/>
        <v>22434</v>
      </c>
      <c r="AP39" s="22">
        <f t="shared" si="10"/>
        <v>1942</v>
      </c>
      <c r="AQ39" s="22">
        <f t="shared" si="10"/>
        <v>447</v>
      </c>
      <c r="AR39" s="22">
        <f t="shared" si="10"/>
        <v>233</v>
      </c>
      <c r="AS39" s="22">
        <f t="shared" si="10"/>
        <v>112361</v>
      </c>
      <c r="AT39" s="22">
        <f t="shared" si="10"/>
        <v>5272</v>
      </c>
      <c r="AU39" s="22">
        <f t="shared" si="10"/>
        <v>84105</v>
      </c>
      <c r="AV39" s="22">
        <f t="shared" si="10"/>
        <v>4494</v>
      </c>
      <c r="AW39" s="22">
        <f t="shared" si="10"/>
        <v>80073</v>
      </c>
      <c r="AX39" s="22">
        <f t="shared" si="10"/>
        <v>4429</v>
      </c>
      <c r="AY39" s="22">
        <f t="shared" si="10"/>
        <v>4032</v>
      </c>
      <c r="AZ39" s="22">
        <f t="shared" si="10"/>
        <v>848</v>
      </c>
      <c r="BA39" s="22">
        <f t="shared" si="10"/>
        <v>7817</v>
      </c>
      <c r="BB39" s="22">
        <f t="shared" si="10"/>
        <v>1176</v>
      </c>
      <c r="BC39" s="22">
        <f t="shared" si="10"/>
        <v>6102</v>
      </c>
      <c r="BD39" s="22">
        <f t="shared" si="10"/>
        <v>1035</v>
      </c>
      <c r="BE39" s="22">
        <f t="shared" si="10"/>
        <v>5516</v>
      </c>
      <c r="BF39" s="22">
        <f t="shared" si="10"/>
        <v>880</v>
      </c>
      <c r="BG39" s="22">
        <f t="shared" si="10"/>
        <v>4540</v>
      </c>
      <c r="BH39" s="22">
        <f t="shared" si="10"/>
        <v>908</v>
      </c>
      <c r="BI39" s="22">
        <f t="shared" si="10"/>
        <v>3963</v>
      </c>
      <c r="BJ39" s="22">
        <f t="shared" si="10"/>
        <v>901</v>
      </c>
      <c r="BK39" s="22">
        <f t="shared" si="10"/>
        <v>318</v>
      </c>
      <c r="BL39" s="22">
        <f t="shared" si="10"/>
        <v>255</v>
      </c>
      <c r="BM39" s="22">
        <f t="shared" si="10"/>
        <v>25970</v>
      </c>
      <c r="BN39" s="22">
        <f t="shared" si="10"/>
        <v>2159</v>
      </c>
      <c r="BO39" s="22">
        <f t="shared" si="10"/>
        <v>16049</v>
      </c>
      <c r="BP39" s="22">
        <f t="shared" si="10"/>
        <v>1831</v>
      </c>
      <c r="BQ39" s="22">
        <f t="shared" si="10"/>
        <v>15958</v>
      </c>
      <c r="BR39" s="22">
        <f t="shared" ref="BR39:EC39" si="11">BR14 + BR26 + BR33 + BR37</f>
        <v>1834</v>
      </c>
      <c r="BS39" s="22">
        <f t="shared" si="11"/>
        <v>91</v>
      </c>
      <c r="BT39" s="22">
        <f t="shared" si="11"/>
        <v>250</v>
      </c>
      <c r="BU39" s="22">
        <f t="shared" si="11"/>
        <v>4154</v>
      </c>
      <c r="BV39" s="22">
        <f t="shared" si="11"/>
        <v>819</v>
      </c>
      <c r="BW39" s="22">
        <f t="shared" si="11"/>
        <v>1088</v>
      </c>
      <c r="BX39" s="22">
        <f t="shared" si="11"/>
        <v>402</v>
      </c>
      <c r="BY39" s="22">
        <f t="shared" si="11"/>
        <v>3532</v>
      </c>
      <c r="BZ39" s="22">
        <f t="shared" si="11"/>
        <v>700</v>
      </c>
      <c r="CA39" s="22">
        <f t="shared" si="11"/>
        <v>805</v>
      </c>
      <c r="CB39" s="22">
        <f t="shared" si="11"/>
        <v>342</v>
      </c>
      <c r="CC39" s="22">
        <f t="shared" si="11"/>
        <v>330</v>
      </c>
      <c r="CD39" s="22">
        <f t="shared" si="11"/>
        <v>204</v>
      </c>
      <c r="CE39" s="22">
        <f t="shared" si="11"/>
        <v>12</v>
      </c>
      <c r="CF39" s="22">
        <f t="shared" si="11"/>
        <v>287</v>
      </c>
      <c r="CG39" s="22">
        <f t="shared" si="11"/>
        <v>25342</v>
      </c>
      <c r="CH39" s="22">
        <f t="shared" si="11"/>
        <v>2205</v>
      </c>
      <c r="CI39" s="22">
        <f t="shared" si="11"/>
        <v>16051</v>
      </c>
      <c r="CJ39" s="22">
        <f t="shared" si="11"/>
        <v>1811</v>
      </c>
      <c r="CK39" s="22">
        <f t="shared" si="11"/>
        <v>15219</v>
      </c>
      <c r="CL39" s="22">
        <f t="shared" si="11"/>
        <v>1749</v>
      </c>
      <c r="CM39" s="22">
        <f t="shared" si="11"/>
        <v>832</v>
      </c>
      <c r="CN39" s="22">
        <f t="shared" si="11"/>
        <v>391</v>
      </c>
      <c r="CO39" s="22">
        <f t="shared" si="11"/>
        <v>4920</v>
      </c>
      <c r="CP39" s="22">
        <f t="shared" si="11"/>
        <v>800</v>
      </c>
      <c r="CQ39" s="22">
        <f t="shared" si="11"/>
        <v>1535</v>
      </c>
      <c r="CR39" s="22">
        <f t="shared" si="11"/>
        <v>462</v>
      </c>
      <c r="CS39" s="22">
        <f t="shared" si="11"/>
        <v>1181</v>
      </c>
      <c r="CT39" s="22">
        <f t="shared" si="11"/>
        <v>435</v>
      </c>
      <c r="CU39" s="22">
        <f t="shared" si="11"/>
        <v>301</v>
      </c>
      <c r="CV39" s="22">
        <f t="shared" si="11"/>
        <v>227</v>
      </c>
      <c r="CW39" s="22">
        <f t="shared" si="11"/>
        <v>1332</v>
      </c>
      <c r="CX39" s="22">
        <f t="shared" si="11"/>
        <v>426</v>
      </c>
      <c r="CY39" s="22">
        <f t="shared" si="11"/>
        <v>22</v>
      </c>
      <c r="CZ39" s="22">
        <f t="shared" si="11"/>
        <v>213</v>
      </c>
      <c r="DA39" s="22">
        <f t="shared" si="11"/>
        <v>17191</v>
      </c>
      <c r="DB39" s="22">
        <f t="shared" si="11"/>
        <v>1785</v>
      </c>
      <c r="DC39" s="22">
        <f t="shared" si="11"/>
        <v>12003</v>
      </c>
      <c r="DD39" s="22">
        <f t="shared" si="11"/>
        <v>1477</v>
      </c>
      <c r="DE39" s="22">
        <f t="shared" si="11"/>
        <v>11430</v>
      </c>
      <c r="DF39" s="22">
        <f t="shared" si="11"/>
        <v>1454</v>
      </c>
      <c r="DG39" s="22">
        <f t="shared" si="11"/>
        <v>573</v>
      </c>
      <c r="DH39" s="22">
        <f t="shared" si="11"/>
        <v>259</v>
      </c>
      <c r="DI39" s="22">
        <f t="shared" si="11"/>
        <v>1715</v>
      </c>
      <c r="DJ39" s="22">
        <f t="shared" si="11"/>
        <v>458</v>
      </c>
      <c r="DK39" s="22">
        <f t="shared" si="11"/>
        <v>1064</v>
      </c>
      <c r="DL39" s="22">
        <f t="shared" si="11"/>
        <v>431</v>
      </c>
      <c r="DM39" s="22">
        <f t="shared" si="11"/>
        <v>996</v>
      </c>
      <c r="DN39" s="22">
        <f t="shared" si="11"/>
        <v>369</v>
      </c>
      <c r="DO39" s="22">
        <f t="shared" si="11"/>
        <v>724</v>
      </c>
      <c r="DP39" s="22">
        <f t="shared" si="11"/>
        <v>356</v>
      </c>
      <c r="DQ39" s="22">
        <f t="shared" si="11"/>
        <v>681</v>
      </c>
      <c r="DR39" s="22">
        <f t="shared" si="11"/>
        <v>358</v>
      </c>
      <c r="DS39" s="22">
        <f t="shared" si="11"/>
        <v>8</v>
      </c>
      <c r="DT39" s="22">
        <f t="shared" si="11"/>
        <v>280</v>
      </c>
      <c r="DU39" s="22">
        <f t="shared" si="11"/>
        <v>44564</v>
      </c>
      <c r="DV39" s="22">
        <f t="shared" si="11"/>
        <v>2688</v>
      </c>
      <c r="DW39" s="22">
        <f t="shared" si="11"/>
        <v>25021</v>
      </c>
      <c r="DX39" s="22">
        <f t="shared" si="11"/>
        <v>1915</v>
      </c>
      <c r="DY39" s="22">
        <f t="shared" si="11"/>
        <v>18163</v>
      </c>
      <c r="DZ39" s="22">
        <f t="shared" si="11"/>
        <v>1688</v>
      </c>
      <c r="EA39" s="22">
        <f t="shared" si="11"/>
        <v>6858</v>
      </c>
      <c r="EB39" s="22">
        <f t="shared" si="11"/>
        <v>984</v>
      </c>
      <c r="EC39" s="22">
        <f t="shared" si="11"/>
        <v>2031</v>
      </c>
      <c r="ED39" s="22">
        <f t="shared" ref="ED39:EN39" si="12">ED14 + ED26 + ED33 + ED37</f>
        <v>576</v>
      </c>
      <c r="EE39" s="22">
        <f t="shared" si="12"/>
        <v>480</v>
      </c>
      <c r="EF39" s="22">
        <f t="shared" si="12"/>
        <v>237</v>
      </c>
      <c r="EG39" s="22">
        <f t="shared" si="12"/>
        <v>881</v>
      </c>
      <c r="EH39" s="22">
        <f t="shared" si="12"/>
        <v>357</v>
      </c>
      <c r="EI39" s="22">
        <f t="shared" si="12"/>
        <v>387</v>
      </c>
      <c r="EJ39" s="22">
        <f t="shared" si="12"/>
        <v>232</v>
      </c>
      <c r="EK39" s="22">
        <f t="shared" si="12"/>
        <v>15566</v>
      </c>
      <c r="EL39" s="22">
        <f t="shared" si="12"/>
        <v>1573</v>
      </c>
      <c r="EM39" s="22">
        <f t="shared" si="12"/>
        <v>198</v>
      </c>
      <c r="EN39" s="22">
        <f t="shared" si="12"/>
        <v>159</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139893639</v>
      </c>
      <c r="F7" s="25">
        <v>138411</v>
      </c>
      <c r="G7" s="25">
        <v>98277526</v>
      </c>
      <c r="H7" s="25">
        <v>61557</v>
      </c>
      <c r="I7" s="25">
        <v>93369890</v>
      </c>
      <c r="J7" s="25">
        <v>68125</v>
      </c>
      <c r="K7" s="25">
        <v>4907636</v>
      </c>
      <c r="L7" s="25">
        <v>20249</v>
      </c>
      <c r="M7" s="25">
        <v>11137664</v>
      </c>
      <c r="N7" s="25">
        <v>55439</v>
      </c>
      <c r="O7" s="25">
        <v>10374001</v>
      </c>
      <c r="P7" s="25">
        <v>59633</v>
      </c>
      <c r="Q7" s="25">
        <v>6430459</v>
      </c>
      <c r="R7" s="25">
        <v>38216</v>
      </c>
      <c r="S7" s="25">
        <v>4844911</v>
      </c>
      <c r="T7" s="25">
        <v>28451</v>
      </c>
      <c r="U7" s="25">
        <v>8629253</v>
      </c>
      <c r="V7" s="25">
        <v>21936</v>
      </c>
      <c r="W7" s="25">
        <v>199825</v>
      </c>
      <c r="X7" s="25">
        <v>3397</v>
      </c>
      <c r="Y7" s="25">
        <v>106519805</v>
      </c>
      <c r="Z7" s="25">
        <v>114512</v>
      </c>
      <c r="AA7" s="25">
        <v>75846270</v>
      </c>
      <c r="AB7" s="25">
        <v>56755</v>
      </c>
      <c r="AC7" s="25">
        <v>72526034</v>
      </c>
      <c r="AD7" s="25">
        <v>60661</v>
      </c>
      <c r="AE7" s="25">
        <v>3320236</v>
      </c>
      <c r="AF7" s="25">
        <v>17257</v>
      </c>
      <c r="AG7" s="25">
        <v>8392115</v>
      </c>
      <c r="AH7" s="25">
        <v>40813</v>
      </c>
      <c r="AI7" s="25">
        <v>8551810</v>
      </c>
      <c r="AJ7" s="25">
        <v>44460</v>
      </c>
      <c r="AK7" s="25">
        <v>4965173</v>
      </c>
      <c r="AL7" s="25">
        <v>29494</v>
      </c>
      <c r="AM7" s="25">
        <v>3645822</v>
      </c>
      <c r="AN7" s="25">
        <v>22031</v>
      </c>
      <c r="AO7" s="25">
        <v>5017384</v>
      </c>
      <c r="AP7" s="25">
        <v>15942</v>
      </c>
      <c r="AQ7" s="25">
        <v>101231</v>
      </c>
      <c r="AR7" s="25">
        <v>2429</v>
      </c>
      <c r="AS7" s="25">
        <v>14032099</v>
      </c>
      <c r="AT7" s="25">
        <v>61424</v>
      </c>
      <c r="AU7" s="25">
        <v>9996105</v>
      </c>
      <c r="AV7" s="25">
        <v>31574</v>
      </c>
      <c r="AW7" s="25">
        <v>9533742</v>
      </c>
      <c r="AX7" s="25">
        <v>29018</v>
      </c>
      <c r="AY7" s="25">
        <v>462363</v>
      </c>
      <c r="AZ7" s="25">
        <v>6041</v>
      </c>
      <c r="BA7" s="25">
        <v>1069678</v>
      </c>
      <c r="BB7" s="25">
        <v>11768</v>
      </c>
      <c r="BC7" s="25">
        <v>946501</v>
      </c>
      <c r="BD7" s="25">
        <v>14522</v>
      </c>
      <c r="BE7" s="25">
        <v>656029</v>
      </c>
      <c r="BF7" s="25">
        <v>10184</v>
      </c>
      <c r="BG7" s="25">
        <v>461857</v>
      </c>
      <c r="BH7" s="25">
        <v>6096</v>
      </c>
      <c r="BI7" s="25">
        <v>868875</v>
      </c>
      <c r="BJ7" s="25">
        <v>7307</v>
      </c>
      <c r="BK7" s="25">
        <v>33054</v>
      </c>
      <c r="BL7" s="25">
        <v>1298</v>
      </c>
      <c r="BM7" s="25">
        <v>6967689</v>
      </c>
      <c r="BN7" s="25">
        <v>19769</v>
      </c>
      <c r="BO7" s="25">
        <v>5015703</v>
      </c>
      <c r="BP7" s="25">
        <v>20225</v>
      </c>
      <c r="BQ7" s="25">
        <v>4933054</v>
      </c>
      <c r="BR7" s="25">
        <v>20047</v>
      </c>
      <c r="BS7" s="25">
        <v>82649</v>
      </c>
      <c r="BT7" s="25">
        <v>2091</v>
      </c>
      <c r="BU7" s="25">
        <v>702461</v>
      </c>
      <c r="BV7" s="25">
        <v>6467</v>
      </c>
      <c r="BW7" s="25">
        <v>422493</v>
      </c>
      <c r="BX7" s="25">
        <v>4969</v>
      </c>
      <c r="BY7" s="25">
        <v>281654</v>
      </c>
      <c r="BZ7" s="25">
        <v>3803</v>
      </c>
      <c r="CA7" s="25">
        <v>299216</v>
      </c>
      <c r="CB7" s="25">
        <v>3980</v>
      </c>
      <c r="CC7" s="25">
        <v>242473</v>
      </c>
      <c r="CD7" s="25">
        <v>3807</v>
      </c>
      <c r="CE7" s="25">
        <v>3689</v>
      </c>
      <c r="CF7" s="25">
        <v>456</v>
      </c>
      <c r="CG7" s="25">
        <v>3938418</v>
      </c>
      <c r="CH7" s="25">
        <v>17554</v>
      </c>
      <c r="CI7" s="25">
        <v>2491848</v>
      </c>
      <c r="CJ7" s="25">
        <v>16593</v>
      </c>
      <c r="CK7" s="25">
        <v>2353308</v>
      </c>
      <c r="CL7" s="25">
        <v>15995</v>
      </c>
      <c r="CM7" s="25">
        <v>138540</v>
      </c>
      <c r="CN7" s="25">
        <v>2489</v>
      </c>
      <c r="CO7" s="25">
        <v>483890</v>
      </c>
      <c r="CP7" s="25">
        <v>4820</v>
      </c>
      <c r="CQ7" s="25">
        <v>209297</v>
      </c>
      <c r="CR7" s="25">
        <v>3171</v>
      </c>
      <c r="CS7" s="25">
        <v>254760</v>
      </c>
      <c r="CT7" s="25">
        <v>4038</v>
      </c>
      <c r="CU7" s="25">
        <v>186644</v>
      </c>
      <c r="CV7" s="25">
        <v>3856</v>
      </c>
      <c r="CW7" s="25">
        <v>300113</v>
      </c>
      <c r="CX7" s="25">
        <v>3879</v>
      </c>
      <c r="CY7" s="25">
        <v>11866</v>
      </c>
      <c r="CZ7" s="25">
        <v>737</v>
      </c>
      <c r="DA7" s="25">
        <v>2457999</v>
      </c>
      <c r="DB7" s="25">
        <v>14030</v>
      </c>
      <c r="DC7" s="25">
        <v>1762879</v>
      </c>
      <c r="DD7" s="25">
        <v>13849</v>
      </c>
      <c r="DE7" s="25">
        <v>1693253</v>
      </c>
      <c r="DF7" s="25">
        <v>13885</v>
      </c>
      <c r="DG7" s="25">
        <v>69626</v>
      </c>
      <c r="DH7" s="25">
        <v>1799</v>
      </c>
      <c r="DI7" s="25">
        <v>183405</v>
      </c>
      <c r="DJ7" s="25">
        <v>2997</v>
      </c>
      <c r="DK7" s="25">
        <v>127040</v>
      </c>
      <c r="DL7" s="25">
        <v>3017</v>
      </c>
      <c r="DM7" s="25">
        <v>122335</v>
      </c>
      <c r="DN7" s="25">
        <v>2669</v>
      </c>
      <c r="DO7" s="25">
        <v>87066</v>
      </c>
      <c r="DP7" s="25">
        <v>2224</v>
      </c>
      <c r="DQ7" s="25">
        <v>170655</v>
      </c>
      <c r="DR7" s="25">
        <v>3195</v>
      </c>
      <c r="DS7" s="25">
        <v>4619</v>
      </c>
      <c r="DT7" s="25">
        <v>532</v>
      </c>
      <c r="DU7" s="25">
        <v>5977629</v>
      </c>
      <c r="DV7" s="25">
        <v>16168</v>
      </c>
      <c r="DW7" s="25">
        <v>3164721</v>
      </c>
      <c r="DX7" s="25">
        <v>13098</v>
      </c>
      <c r="DY7" s="25">
        <v>2330499</v>
      </c>
      <c r="DZ7" s="25">
        <v>12328</v>
      </c>
      <c r="EA7" s="25">
        <v>834222</v>
      </c>
      <c r="EB7" s="25">
        <v>7490</v>
      </c>
      <c r="EC7" s="25">
        <v>306115</v>
      </c>
      <c r="ED7" s="25">
        <v>3897</v>
      </c>
      <c r="EE7" s="25">
        <v>116860</v>
      </c>
      <c r="EF7" s="25">
        <v>2193</v>
      </c>
      <c r="EG7" s="25">
        <v>150508</v>
      </c>
      <c r="EH7" s="25">
        <v>2572</v>
      </c>
      <c r="EI7" s="25">
        <v>164306</v>
      </c>
      <c r="EJ7" s="25">
        <v>3930</v>
      </c>
      <c r="EK7" s="25">
        <v>2029753</v>
      </c>
      <c r="EL7" s="25">
        <v>11536</v>
      </c>
      <c r="EM7" s="25">
        <v>45366</v>
      </c>
      <c r="EN7" s="25">
        <v>1627</v>
      </c>
    </row>
    <row r="8" spans="1:144" x14ac:dyDescent="0.25">
      <c r="A8" s="19">
        <f t="shared" si="8"/>
        <v>1049</v>
      </c>
      <c r="B8" s="20" t="str">
        <f t="shared" si="9"/>
        <v>State of Utah</v>
      </c>
      <c r="C8" s="24" t="s">
        <v>286</v>
      </c>
      <c r="D8" s="24" t="s">
        <v>287</v>
      </c>
      <c r="E8" s="25">
        <v>1249915</v>
      </c>
      <c r="F8" s="25">
        <v>3848</v>
      </c>
      <c r="G8" s="25">
        <v>896258</v>
      </c>
      <c r="H8" s="25">
        <v>4129</v>
      </c>
      <c r="I8" s="25">
        <v>843308</v>
      </c>
      <c r="J8" s="25">
        <v>4042</v>
      </c>
      <c r="K8" s="25">
        <v>52950</v>
      </c>
      <c r="L8" s="25">
        <v>1600</v>
      </c>
      <c r="M8" s="25">
        <v>87334</v>
      </c>
      <c r="N8" s="25">
        <v>1809</v>
      </c>
      <c r="O8" s="25">
        <v>84884</v>
      </c>
      <c r="P8" s="25">
        <v>1968</v>
      </c>
      <c r="Q8" s="25">
        <v>70962</v>
      </c>
      <c r="R8" s="25">
        <v>1637</v>
      </c>
      <c r="S8" s="25">
        <v>48345</v>
      </c>
      <c r="T8" s="25">
        <v>1542</v>
      </c>
      <c r="U8" s="25">
        <v>60613</v>
      </c>
      <c r="V8" s="25">
        <v>1633</v>
      </c>
      <c r="W8" s="25">
        <v>1519</v>
      </c>
      <c r="X8" s="25">
        <v>205</v>
      </c>
      <c r="Y8" s="25">
        <v>950837</v>
      </c>
      <c r="Z8" s="25">
        <v>4683</v>
      </c>
      <c r="AA8" s="25">
        <v>693953</v>
      </c>
      <c r="AB8" s="25">
        <v>4554</v>
      </c>
      <c r="AC8" s="25">
        <v>658469</v>
      </c>
      <c r="AD8" s="25">
        <v>4579</v>
      </c>
      <c r="AE8" s="25">
        <v>35484</v>
      </c>
      <c r="AF8" s="25">
        <v>1373</v>
      </c>
      <c r="AG8" s="25">
        <v>62950</v>
      </c>
      <c r="AH8" s="25">
        <v>1706</v>
      </c>
      <c r="AI8" s="25">
        <v>70458</v>
      </c>
      <c r="AJ8" s="25">
        <v>1593</v>
      </c>
      <c r="AK8" s="25">
        <v>53250</v>
      </c>
      <c r="AL8" s="25">
        <v>1547</v>
      </c>
      <c r="AM8" s="25">
        <v>38799</v>
      </c>
      <c r="AN8" s="25">
        <v>1250</v>
      </c>
      <c r="AO8" s="25">
        <v>30614</v>
      </c>
      <c r="AP8" s="25">
        <v>1228</v>
      </c>
      <c r="AQ8" s="25">
        <v>813</v>
      </c>
      <c r="AR8" s="25">
        <v>168</v>
      </c>
      <c r="AS8" s="25">
        <v>150584</v>
      </c>
      <c r="AT8" s="25">
        <v>3031</v>
      </c>
      <c r="AU8" s="25">
        <v>111573</v>
      </c>
      <c r="AV8" s="25">
        <v>2662</v>
      </c>
      <c r="AW8" s="25">
        <v>106056</v>
      </c>
      <c r="AX8" s="25">
        <v>2512</v>
      </c>
      <c r="AY8" s="25">
        <v>5517</v>
      </c>
      <c r="AZ8" s="25">
        <v>523</v>
      </c>
      <c r="BA8" s="25">
        <v>9657</v>
      </c>
      <c r="BB8" s="25">
        <v>603</v>
      </c>
      <c r="BC8" s="25">
        <v>8812</v>
      </c>
      <c r="BD8" s="25">
        <v>676</v>
      </c>
      <c r="BE8" s="25">
        <v>7945</v>
      </c>
      <c r="BF8" s="25">
        <v>561</v>
      </c>
      <c r="BG8" s="25">
        <v>6241</v>
      </c>
      <c r="BH8" s="25">
        <v>541</v>
      </c>
      <c r="BI8" s="25">
        <v>5998</v>
      </c>
      <c r="BJ8" s="25">
        <v>491</v>
      </c>
      <c r="BK8" s="25">
        <v>358</v>
      </c>
      <c r="BL8" s="25">
        <v>130</v>
      </c>
      <c r="BM8" s="25">
        <v>29804</v>
      </c>
      <c r="BN8" s="25">
        <v>1319</v>
      </c>
      <c r="BO8" s="25">
        <v>18610</v>
      </c>
      <c r="BP8" s="25">
        <v>1191</v>
      </c>
      <c r="BQ8" s="25">
        <v>18491</v>
      </c>
      <c r="BR8" s="25">
        <v>1201</v>
      </c>
      <c r="BS8" s="25">
        <v>119</v>
      </c>
      <c r="BT8" s="25">
        <v>57</v>
      </c>
      <c r="BU8" s="25">
        <v>4718</v>
      </c>
      <c r="BV8" s="25">
        <v>438</v>
      </c>
      <c r="BW8" s="25">
        <v>1203</v>
      </c>
      <c r="BX8" s="25">
        <v>229</v>
      </c>
      <c r="BY8" s="25">
        <v>3915</v>
      </c>
      <c r="BZ8" s="25">
        <v>417</v>
      </c>
      <c r="CA8" s="25">
        <v>970</v>
      </c>
      <c r="CB8" s="25">
        <v>208</v>
      </c>
      <c r="CC8" s="25">
        <v>388</v>
      </c>
      <c r="CD8" s="25">
        <v>138</v>
      </c>
      <c r="CE8" s="25">
        <v>0</v>
      </c>
      <c r="CF8" s="25">
        <v>27</v>
      </c>
      <c r="CG8" s="25">
        <v>34700</v>
      </c>
      <c r="CH8" s="25">
        <v>1495</v>
      </c>
      <c r="CI8" s="25">
        <v>21565</v>
      </c>
      <c r="CJ8" s="25">
        <v>1054</v>
      </c>
      <c r="CK8" s="25">
        <v>20101</v>
      </c>
      <c r="CL8" s="25">
        <v>1048</v>
      </c>
      <c r="CM8" s="25">
        <v>1464</v>
      </c>
      <c r="CN8" s="25">
        <v>268</v>
      </c>
      <c r="CO8" s="25">
        <v>5512</v>
      </c>
      <c r="CP8" s="25">
        <v>643</v>
      </c>
      <c r="CQ8" s="25">
        <v>2128</v>
      </c>
      <c r="CR8" s="25">
        <v>274</v>
      </c>
      <c r="CS8" s="25">
        <v>2722</v>
      </c>
      <c r="CT8" s="25">
        <v>436</v>
      </c>
      <c r="CU8" s="25">
        <v>774</v>
      </c>
      <c r="CV8" s="25">
        <v>182</v>
      </c>
      <c r="CW8" s="25">
        <v>1953</v>
      </c>
      <c r="CX8" s="25">
        <v>323</v>
      </c>
      <c r="CY8" s="25">
        <v>46</v>
      </c>
      <c r="CZ8" s="25">
        <v>29</v>
      </c>
      <c r="DA8" s="25">
        <v>25031</v>
      </c>
      <c r="DB8" s="25">
        <v>1025</v>
      </c>
      <c r="DC8" s="25">
        <v>17198</v>
      </c>
      <c r="DD8" s="25">
        <v>890</v>
      </c>
      <c r="DE8" s="25">
        <v>16336</v>
      </c>
      <c r="DF8" s="25">
        <v>874</v>
      </c>
      <c r="DG8" s="25">
        <v>862</v>
      </c>
      <c r="DH8" s="25">
        <v>206</v>
      </c>
      <c r="DI8" s="25">
        <v>2176</v>
      </c>
      <c r="DJ8" s="25">
        <v>273</v>
      </c>
      <c r="DK8" s="25">
        <v>1507</v>
      </c>
      <c r="DL8" s="25">
        <v>267</v>
      </c>
      <c r="DM8" s="25">
        <v>1873</v>
      </c>
      <c r="DN8" s="25">
        <v>297</v>
      </c>
      <c r="DO8" s="25">
        <v>994</v>
      </c>
      <c r="DP8" s="25">
        <v>212</v>
      </c>
      <c r="DQ8" s="25">
        <v>1254</v>
      </c>
      <c r="DR8" s="25">
        <v>277</v>
      </c>
      <c r="DS8" s="25">
        <v>29</v>
      </c>
      <c r="DT8" s="25">
        <v>36</v>
      </c>
      <c r="DU8" s="25">
        <v>58959</v>
      </c>
      <c r="DV8" s="25">
        <v>1679</v>
      </c>
      <c r="DW8" s="25">
        <v>33359</v>
      </c>
      <c r="DX8" s="25">
        <v>1181</v>
      </c>
      <c r="DY8" s="25">
        <v>23855</v>
      </c>
      <c r="DZ8" s="25">
        <v>1035</v>
      </c>
      <c r="EA8" s="25">
        <v>9504</v>
      </c>
      <c r="EB8" s="25">
        <v>651</v>
      </c>
      <c r="EC8" s="25">
        <v>2321</v>
      </c>
      <c r="ED8" s="25">
        <v>276</v>
      </c>
      <c r="EE8" s="25">
        <v>776</v>
      </c>
      <c r="EF8" s="25">
        <v>214</v>
      </c>
      <c r="EG8" s="25">
        <v>1257</v>
      </c>
      <c r="EH8" s="25">
        <v>268</v>
      </c>
      <c r="EI8" s="25">
        <v>567</v>
      </c>
      <c r="EJ8" s="25">
        <v>156</v>
      </c>
      <c r="EK8" s="25">
        <v>20406</v>
      </c>
      <c r="EL8" s="25">
        <v>898</v>
      </c>
      <c r="EM8" s="25">
        <v>273</v>
      </c>
      <c r="EN8" s="25">
        <v>96</v>
      </c>
    </row>
    <row r="9" spans="1:144" x14ac:dyDescent="0.25">
      <c r="A9" s="19">
        <f t="shared" si="8"/>
        <v>1</v>
      </c>
      <c r="B9" s="20" t="str">
        <f t="shared" si="9"/>
        <v>Beaver</v>
      </c>
      <c r="C9" s="24" t="s">
        <v>288</v>
      </c>
      <c r="D9" s="24" t="s">
        <v>289</v>
      </c>
      <c r="E9" s="25">
        <v>2606</v>
      </c>
      <c r="F9" s="25">
        <v>209</v>
      </c>
      <c r="G9" s="25">
        <v>1866</v>
      </c>
      <c r="H9" s="25">
        <v>212</v>
      </c>
      <c r="I9" s="25">
        <v>1719</v>
      </c>
      <c r="J9" s="25">
        <v>187</v>
      </c>
      <c r="K9" s="25">
        <v>147</v>
      </c>
      <c r="L9" s="25">
        <v>70</v>
      </c>
      <c r="M9" s="25">
        <v>43</v>
      </c>
      <c r="N9" s="25">
        <v>30</v>
      </c>
      <c r="O9" s="25">
        <v>355</v>
      </c>
      <c r="P9" s="25">
        <v>89</v>
      </c>
      <c r="Q9" s="25">
        <v>86</v>
      </c>
      <c r="R9" s="25">
        <v>38</v>
      </c>
      <c r="S9" s="25">
        <v>108</v>
      </c>
      <c r="T9" s="25">
        <v>66</v>
      </c>
      <c r="U9" s="25">
        <v>148</v>
      </c>
      <c r="V9" s="25">
        <v>54</v>
      </c>
      <c r="W9" s="25">
        <v>0</v>
      </c>
      <c r="X9" s="25">
        <v>16</v>
      </c>
      <c r="Y9" s="25">
        <v>2190</v>
      </c>
      <c r="Z9" s="25">
        <v>203</v>
      </c>
      <c r="AA9" s="25">
        <v>1629</v>
      </c>
      <c r="AB9" s="25">
        <v>194</v>
      </c>
      <c r="AC9" s="25">
        <v>1513</v>
      </c>
      <c r="AD9" s="25">
        <v>175</v>
      </c>
      <c r="AE9" s="25">
        <v>116</v>
      </c>
      <c r="AF9" s="25">
        <v>64</v>
      </c>
      <c r="AG9" s="25">
        <v>39</v>
      </c>
      <c r="AH9" s="25">
        <v>30</v>
      </c>
      <c r="AI9" s="25">
        <v>307</v>
      </c>
      <c r="AJ9" s="25">
        <v>89</v>
      </c>
      <c r="AK9" s="25">
        <v>79</v>
      </c>
      <c r="AL9" s="25">
        <v>40</v>
      </c>
      <c r="AM9" s="25">
        <v>65</v>
      </c>
      <c r="AN9" s="25">
        <v>55</v>
      </c>
      <c r="AO9" s="25">
        <v>71</v>
      </c>
      <c r="AP9" s="25">
        <v>46</v>
      </c>
      <c r="AQ9" s="25">
        <v>0</v>
      </c>
      <c r="AR9" s="25">
        <v>16</v>
      </c>
      <c r="AS9" s="25">
        <v>222</v>
      </c>
      <c r="AT9" s="25">
        <v>69</v>
      </c>
      <c r="AU9" s="25">
        <v>153</v>
      </c>
      <c r="AV9" s="25">
        <v>60</v>
      </c>
      <c r="AW9" s="25">
        <v>134</v>
      </c>
      <c r="AX9" s="25">
        <v>51</v>
      </c>
      <c r="AY9" s="25">
        <v>19</v>
      </c>
      <c r="AZ9" s="25">
        <v>19</v>
      </c>
      <c r="BA9" s="25">
        <v>4</v>
      </c>
      <c r="BB9" s="25">
        <v>6</v>
      </c>
      <c r="BC9" s="25">
        <v>33</v>
      </c>
      <c r="BD9" s="25">
        <v>25</v>
      </c>
      <c r="BE9" s="25">
        <v>7</v>
      </c>
      <c r="BF9" s="25">
        <v>8</v>
      </c>
      <c r="BG9" s="25">
        <v>7</v>
      </c>
      <c r="BH9" s="25">
        <v>11</v>
      </c>
      <c r="BI9" s="25">
        <v>18</v>
      </c>
      <c r="BJ9" s="25">
        <v>15</v>
      </c>
      <c r="BK9" s="25">
        <v>0</v>
      </c>
      <c r="BL9" s="25">
        <v>16</v>
      </c>
      <c r="BM9" s="25">
        <v>7</v>
      </c>
      <c r="BN9" s="25">
        <v>11</v>
      </c>
      <c r="BO9" s="25">
        <v>7</v>
      </c>
      <c r="BP9" s="25">
        <v>11</v>
      </c>
      <c r="BQ9" s="25">
        <v>7</v>
      </c>
      <c r="BR9" s="25">
        <v>11</v>
      </c>
      <c r="BS9" s="25">
        <v>0</v>
      </c>
      <c r="BT9" s="25">
        <v>16</v>
      </c>
      <c r="BU9" s="25">
        <v>0</v>
      </c>
      <c r="BV9" s="25">
        <v>16</v>
      </c>
      <c r="BW9" s="25">
        <v>0</v>
      </c>
      <c r="BX9" s="25">
        <v>16</v>
      </c>
      <c r="BY9" s="25">
        <v>0</v>
      </c>
      <c r="BZ9" s="25">
        <v>16</v>
      </c>
      <c r="CA9" s="25">
        <v>0</v>
      </c>
      <c r="CB9" s="25">
        <v>16</v>
      </c>
      <c r="CC9" s="25">
        <v>0</v>
      </c>
      <c r="CD9" s="25">
        <v>16</v>
      </c>
      <c r="CE9" s="25">
        <v>0</v>
      </c>
      <c r="CF9" s="25">
        <v>16</v>
      </c>
      <c r="CG9" s="25">
        <v>82</v>
      </c>
      <c r="CH9" s="25">
        <v>44</v>
      </c>
      <c r="CI9" s="25">
        <v>28</v>
      </c>
      <c r="CJ9" s="25">
        <v>20</v>
      </c>
      <c r="CK9" s="25">
        <v>28</v>
      </c>
      <c r="CL9" s="25">
        <v>20</v>
      </c>
      <c r="CM9" s="25">
        <v>0</v>
      </c>
      <c r="CN9" s="25">
        <v>16</v>
      </c>
      <c r="CO9" s="25">
        <v>0</v>
      </c>
      <c r="CP9" s="25">
        <v>16</v>
      </c>
      <c r="CQ9" s="25">
        <v>15</v>
      </c>
      <c r="CR9" s="25">
        <v>14</v>
      </c>
      <c r="CS9" s="25">
        <v>0</v>
      </c>
      <c r="CT9" s="25">
        <v>16</v>
      </c>
      <c r="CU9" s="25">
        <v>22</v>
      </c>
      <c r="CV9" s="25">
        <v>31</v>
      </c>
      <c r="CW9" s="25">
        <v>17</v>
      </c>
      <c r="CX9" s="25">
        <v>18</v>
      </c>
      <c r="CY9" s="25">
        <v>0</v>
      </c>
      <c r="CZ9" s="25">
        <v>16</v>
      </c>
      <c r="DA9" s="25">
        <v>15</v>
      </c>
      <c r="DB9" s="25">
        <v>23</v>
      </c>
      <c r="DC9" s="25">
        <v>15</v>
      </c>
      <c r="DD9" s="25">
        <v>23</v>
      </c>
      <c r="DE9" s="25">
        <v>15</v>
      </c>
      <c r="DF9" s="25">
        <v>23</v>
      </c>
      <c r="DG9" s="25">
        <v>0</v>
      </c>
      <c r="DH9" s="25">
        <v>16</v>
      </c>
      <c r="DI9" s="25">
        <v>0</v>
      </c>
      <c r="DJ9" s="25">
        <v>16</v>
      </c>
      <c r="DK9" s="25">
        <v>0</v>
      </c>
      <c r="DL9" s="25">
        <v>16</v>
      </c>
      <c r="DM9" s="25">
        <v>0</v>
      </c>
      <c r="DN9" s="25">
        <v>16</v>
      </c>
      <c r="DO9" s="25">
        <v>0</v>
      </c>
      <c r="DP9" s="25">
        <v>16</v>
      </c>
      <c r="DQ9" s="25">
        <v>0</v>
      </c>
      <c r="DR9" s="25">
        <v>16</v>
      </c>
      <c r="DS9" s="25">
        <v>0</v>
      </c>
      <c r="DT9" s="25">
        <v>16</v>
      </c>
      <c r="DU9" s="25">
        <v>90</v>
      </c>
      <c r="DV9" s="25">
        <v>46</v>
      </c>
      <c r="DW9" s="25">
        <v>34</v>
      </c>
      <c r="DX9" s="25">
        <v>27</v>
      </c>
      <c r="DY9" s="25">
        <v>22</v>
      </c>
      <c r="DZ9" s="25">
        <v>22</v>
      </c>
      <c r="EA9" s="25">
        <v>12</v>
      </c>
      <c r="EB9" s="25">
        <v>17</v>
      </c>
      <c r="EC9" s="25">
        <v>0</v>
      </c>
      <c r="ED9" s="25">
        <v>16</v>
      </c>
      <c r="EE9" s="25">
        <v>0</v>
      </c>
      <c r="EF9" s="25">
        <v>16</v>
      </c>
      <c r="EG9" s="25">
        <v>0</v>
      </c>
      <c r="EH9" s="25">
        <v>16</v>
      </c>
      <c r="EI9" s="25">
        <v>14</v>
      </c>
      <c r="EJ9" s="25">
        <v>22</v>
      </c>
      <c r="EK9" s="25">
        <v>42</v>
      </c>
      <c r="EL9" s="25">
        <v>30</v>
      </c>
      <c r="EM9" s="25">
        <v>0</v>
      </c>
      <c r="EN9" s="25">
        <v>16</v>
      </c>
    </row>
    <row r="10" spans="1:144" x14ac:dyDescent="0.25">
      <c r="A10" s="19">
        <f t="shared" si="8"/>
        <v>3</v>
      </c>
      <c r="B10" s="20" t="str">
        <f t="shared" si="9"/>
        <v>Box Elder</v>
      </c>
      <c r="C10" s="24" t="s">
        <v>290</v>
      </c>
      <c r="D10" s="24" t="s">
        <v>291</v>
      </c>
      <c r="E10" s="25">
        <v>21003</v>
      </c>
      <c r="F10" s="25">
        <v>550</v>
      </c>
      <c r="G10" s="25">
        <v>15450</v>
      </c>
      <c r="H10" s="25">
        <v>477</v>
      </c>
      <c r="I10" s="25">
        <v>14559</v>
      </c>
      <c r="J10" s="25">
        <v>475</v>
      </c>
      <c r="K10" s="25">
        <v>891</v>
      </c>
      <c r="L10" s="25">
        <v>158</v>
      </c>
      <c r="M10" s="25">
        <v>740</v>
      </c>
      <c r="N10" s="25">
        <v>145</v>
      </c>
      <c r="O10" s="25">
        <v>1937</v>
      </c>
      <c r="P10" s="25">
        <v>242</v>
      </c>
      <c r="Q10" s="25">
        <v>783</v>
      </c>
      <c r="R10" s="25">
        <v>142</v>
      </c>
      <c r="S10" s="25">
        <v>884</v>
      </c>
      <c r="T10" s="25">
        <v>157</v>
      </c>
      <c r="U10" s="25">
        <v>1197</v>
      </c>
      <c r="V10" s="25">
        <v>224</v>
      </c>
      <c r="W10" s="25">
        <v>12</v>
      </c>
      <c r="X10" s="25">
        <v>18</v>
      </c>
      <c r="Y10" s="25">
        <v>15977</v>
      </c>
      <c r="Z10" s="25">
        <v>532</v>
      </c>
      <c r="AA10" s="25">
        <v>11957</v>
      </c>
      <c r="AB10" s="25">
        <v>502</v>
      </c>
      <c r="AC10" s="25">
        <v>11360</v>
      </c>
      <c r="AD10" s="25">
        <v>504</v>
      </c>
      <c r="AE10" s="25">
        <v>597</v>
      </c>
      <c r="AF10" s="25">
        <v>145</v>
      </c>
      <c r="AG10" s="25">
        <v>615</v>
      </c>
      <c r="AH10" s="25">
        <v>124</v>
      </c>
      <c r="AI10" s="25">
        <v>1650</v>
      </c>
      <c r="AJ10" s="25">
        <v>223</v>
      </c>
      <c r="AK10" s="25">
        <v>604</v>
      </c>
      <c r="AL10" s="25">
        <v>118</v>
      </c>
      <c r="AM10" s="25">
        <v>608</v>
      </c>
      <c r="AN10" s="25">
        <v>115</v>
      </c>
      <c r="AO10" s="25">
        <v>531</v>
      </c>
      <c r="AP10" s="25">
        <v>112</v>
      </c>
      <c r="AQ10" s="25">
        <v>12</v>
      </c>
      <c r="AR10" s="25">
        <v>18</v>
      </c>
      <c r="AS10" s="25">
        <v>3191</v>
      </c>
      <c r="AT10" s="25">
        <v>380</v>
      </c>
      <c r="AU10" s="25">
        <v>2563</v>
      </c>
      <c r="AV10" s="25">
        <v>304</v>
      </c>
      <c r="AW10" s="25">
        <v>2458</v>
      </c>
      <c r="AX10" s="25">
        <v>295</v>
      </c>
      <c r="AY10" s="25">
        <v>105</v>
      </c>
      <c r="AZ10" s="25">
        <v>61</v>
      </c>
      <c r="BA10" s="25">
        <v>84</v>
      </c>
      <c r="BB10" s="25">
        <v>44</v>
      </c>
      <c r="BC10" s="25">
        <v>132</v>
      </c>
      <c r="BD10" s="25">
        <v>64</v>
      </c>
      <c r="BE10" s="25">
        <v>61</v>
      </c>
      <c r="BF10" s="25">
        <v>36</v>
      </c>
      <c r="BG10" s="25">
        <v>222</v>
      </c>
      <c r="BH10" s="25">
        <v>102</v>
      </c>
      <c r="BI10" s="25">
        <v>129</v>
      </c>
      <c r="BJ10" s="25">
        <v>62</v>
      </c>
      <c r="BK10" s="25">
        <v>0</v>
      </c>
      <c r="BL10" s="25">
        <v>27</v>
      </c>
      <c r="BM10" s="25">
        <v>170</v>
      </c>
      <c r="BN10" s="25">
        <v>79</v>
      </c>
      <c r="BO10" s="25">
        <v>129</v>
      </c>
      <c r="BP10" s="25">
        <v>71</v>
      </c>
      <c r="BQ10" s="25">
        <v>129</v>
      </c>
      <c r="BR10" s="25">
        <v>71</v>
      </c>
      <c r="BS10" s="25">
        <v>0</v>
      </c>
      <c r="BT10" s="25">
        <v>27</v>
      </c>
      <c r="BU10" s="25">
        <v>9</v>
      </c>
      <c r="BV10" s="25">
        <v>12</v>
      </c>
      <c r="BW10" s="25">
        <v>0</v>
      </c>
      <c r="BX10" s="25">
        <v>27</v>
      </c>
      <c r="BY10" s="25">
        <v>19</v>
      </c>
      <c r="BZ10" s="25">
        <v>23</v>
      </c>
      <c r="CA10" s="25">
        <v>13</v>
      </c>
      <c r="CB10" s="25">
        <v>16</v>
      </c>
      <c r="CC10" s="25">
        <v>0</v>
      </c>
      <c r="CD10" s="25">
        <v>27</v>
      </c>
      <c r="CE10" s="25">
        <v>0</v>
      </c>
      <c r="CF10" s="25">
        <v>27</v>
      </c>
      <c r="CG10" s="25">
        <v>376</v>
      </c>
      <c r="CH10" s="25">
        <v>125</v>
      </c>
      <c r="CI10" s="25">
        <v>225</v>
      </c>
      <c r="CJ10" s="25">
        <v>103</v>
      </c>
      <c r="CK10" s="25">
        <v>194</v>
      </c>
      <c r="CL10" s="25">
        <v>99</v>
      </c>
      <c r="CM10" s="25">
        <v>31</v>
      </c>
      <c r="CN10" s="25">
        <v>27</v>
      </c>
      <c r="CO10" s="25">
        <v>20</v>
      </c>
      <c r="CP10" s="25">
        <v>23</v>
      </c>
      <c r="CQ10" s="25">
        <v>54</v>
      </c>
      <c r="CR10" s="25">
        <v>43</v>
      </c>
      <c r="CS10" s="25">
        <v>48</v>
      </c>
      <c r="CT10" s="25">
        <v>57</v>
      </c>
      <c r="CU10" s="25">
        <v>7</v>
      </c>
      <c r="CV10" s="25">
        <v>6</v>
      </c>
      <c r="CW10" s="25">
        <v>22</v>
      </c>
      <c r="CX10" s="25">
        <v>22</v>
      </c>
      <c r="CY10" s="25">
        <v>0</v>
      </c>
      <c r="CZ10" s="25">
        <v>27</v>
      </c>
      <c r="DA10" s="25">
        <v>370</v>
      </c>
      <c r="DB10" s="25">
        <v>105</v>
      </c>
      <c r="DC10" s="25">
        <v>255</v>
      </c>
      <c r="DD10" s="25">
        <v>94</v>
      </c>
      <c r="DE10" s="25">
        <v>248</v>
      </c>
      <c r="DF10" s="25">
        <v>95</v>
      </c>
      <c r="DG10" s="25">
        <v>7</v>
      </c>
      <c r="DH10" s="25">
        <v>7</v>
      </c>
      <c r="DI10" s="25">
        <v>8</v>
      </c>
      <c r="DJ10" s="25">
        <v>13</v>
      </c>
      <c r="DK10" s="25">
        <v>50</v>
      </c>
      <c r="DL10" s="25">
        <v>33</v>
      </c>
      <c r="DM10" s="25">
        <v>10</v>
      </c>
      <c r="DN10" s="25">
        <v>14</v>
      </c>
      <c r="DO10" s="25">
        <v>20</v>
      </c>
      <c r="DP10" s="25">
        <v>18</v>
      </c>
      <c r="DQ10" s="25">
        <v>27</v>
      </c>
      <c r="DR10" s="25">
        <v>33</v>
      </c>
      <c r="DS10" s="25">
        <v>0</v>
      </c>
      <c r="DT10" s="25">
        <v>27</v>
      </c>
      <c r="DU10" s="25">
        <v>919</v>
      </c>
      <c r="DV10" s="25">
        <v>179</v>
      </c>
      <c r="DW10" s="25">
        <v>321</v>
      </c>
      <c r="DX10" s="25">
        <v>97</v>
      </c>
      <c r="DY10" s="25">
        <v>170</v>
      </c>
      <c r="DZ10" s="25">
        <v>57</v>
      </c>
      <c r="EA10" s="25">
        <v>151</v>
      </c>
      <c r="EB10" s="25">
        <v>67</v>
      </c>
      <c r="EC10" s="25">
        <v>4</v>
      </c>
      <c r="ED10" s="25">
        <v>4</v>
      </c>
      <c r="EE10" s="25">
        <v>51</v>
      </c>
      <c r="EF10" s="25">
        <v>45</v>
      </c>
      <c r="EG10" s="25">
        <v>41</v>
      </c>
      <c r="EH10" s="25">
        <v>30</v>
      </c>
      <c r="EI10" s="25">
        <v>14</v>
      </c>
      <c r="EJ10" s="25">
        <v>22</v>
      </c>
      <c r="EK10" s="25">
        <v>488</v>
      </c>
      <c r="EL10" s="25">
        <v>151</v>
      </c>
      <c r="EM10" s="25">
        <v>0</v>
      </c>
      <c r="EN10" s="25">
        <v>27</v>
      </c>
    </row>
    <row r="11" spans="1:144" x14ac:dyDescent="0.25">
      <c r="A11" s="19">
        <f t="shared" si="8"/>
        <v>5</v>
      </c>
      <c r="B11" s="20" t="str">
        <f t="shared" si="9"/>
        <v>Cache</v>
      </c>
      <c r="C11" s="24" t="s">
        <v>292</v>
      </c>
      <c r="D11" s="24" t="s">
        <v>293</v>
      </c>
      <c r="E11" s="25">
        <v>52160</v>
      </c>
      <c r="F11" s="25">
        <v>818</v>
      </c>
      <c r="G11" s="25">
        <v>35786</v>
      </c>
      <c r="H11" s="25">
        <v>904</v>
      </c>
      <c r="I11" s="25">
        <v>33482</v>
      </c>
      <c r="J11" s="25">
        <v>886</v>
      </c>
      <c r="K11" s="25">
        <v>2304</v>
      </c>
      <c r="L11" s="25">
        <v>254</v>
      </c>
      <c r="M11" s="25">
        <v>3316</v>
      </c>
      <c r="N11" s="25">
        <v>361</v>
      </c>
      <c r="O11" s="25">
        <v>3845</v>
      </c>
      <c r="P11" s="25">
        <v>368</v>
      </c>
      <c r="Q11" s="25">
        <v>5617</v>
      </c>
      <c r="R11" s="25">
        <v>498</v>
      </c>
      <c r="S11" s="25">
        <v>1062</v>
      </c>
      <c r="T11" s="25">
        <v>174</v>
      </c>
      <c r="U11" s="25">
        <v>2485</v>
      </c>
      <c r="V11" s="25">
        <v>287</v>
      </c>
      <c r="W11" s="25">
        <v>49</v>
      </c>
      <c r="X11" s="25">
        <v>30</v>
      </c>
      <c r="Y11" s="25">
        <v>38433</v>
      </c>
      <c r="Z11" s="25">
        <v>896</v>
      </c>
      <c r="AA11" s="25">
        <v>27644</v>
      </c>
      <c r="AB11" s="25">
        <v>894</v>
      </c>
      <c r="AC11" s="25">
        <v>26111</v>
      </c>
      <c r="AD11" s="25">
        <v>859</v>
      </c>
      <c r="AE11" s="25">
        <v>1533</v>
      </c>
      <c r="AF11" s="25">
        <v>206</v>
      </c>
      <c r="AG11" s="25">
        <v>2601</v>
      </c>
      <c r="AH11" s="25">
        <v>341</v>
      </c>
      <c r="AI11" s="25">
        <v>2967</v>
      </c>
      <c r="AJ11" s="25">
        <v>295</v>
      </c>
      <c r="AK11" s="25">
        <v>3330</v>
      </c>
      <c r="AL11" s="25">
        <v>357</v>
      </c>
      <c r="AM11" s="25">
        <v>796</v>
      </c>
      <c r="AN11" s="25">
        <v>166</v>
      </c>
      <c r="AO11" s="25">
        <v>1076</v>
      </c>
      <c r="AP11" s="25">
        <v>182</v>
      </c>
      <c r="AQ11" s="25">
        <v>19</v>
      </c>
      <c r="AR11" s="25">
        <v>22</v>
      </c>
      <c r="AS11" s="25">
        <v>6243</v>
      </c>
      <c r="AT11" s="25">
        <v>548</v>
      </c>
      <c r="AU11" s="25">
        <v>4295</v>
      </c>
      <c r="AV11" s="25">
        <v>431</v>
      </c>
      <c r="AW11" s="25">
        <v>3999</v>
      </c>
      <c r="AX11" s="25">
        <v>423</v>
      </c>
      <c r="AY11" s="25">
        <v>296</v>
      </c>
      <c r="AZ11" s="25">
        <v>91</v>
      </c>
      <c r="BA11" s="25">
        <v>310</v>
      </c>
      <c r="BB11" s="25">
        <v>86</v>
      </c>
      <c r="BC11" s="25">
        <v>532</v>
      </c>
      <c r="BD11" s="25">
        <v>154</v>
      </c>
      <c r="BE11" s="25">
        <v>672</v>
      </c>
      <c r="BF11" s="25">
        <v>168</v>
      </c>
      <c r="BG11" s="25">
        <v>162</v>
      </c>
      <c r="BH11" s="25">
        <v>62</v>
      </c>
      <c r="BI11" s="25">
        <v>268</v>
      </c>
      <c r="BJ11" s="25">
        <v>118</v>
      </c>
      <c r="BK11" s="25">
        <v>4</v>
      </c>
      <c r="BL11" s="25">
        <v>7</v>
      </c>
      <c r="BM11" s="25">
        <v>974</v>
      </c>
      <c r="BN11" s="25">
        <v>248</v>
      </c>
      <c r="BO11" s="25">
        <v>545</v>
      </c>
      <c r="BP11" s="25">
        <v>187</v>
      </c>
      <c r="BQ11" s="25">
        <v>538</v>
      </c>
      <c r="BR11" s="25">
        <v>187</v>
      </c>
      <c r="BS11" s="25">
        <v>7</v>
      </c>
      <c r="BT11" s="25">
        <v>12</v>
      </c>
      <c r="BU11" s="25">
        <v>79</v>
      </c>
      <c r="BV11" s="25">
        <v>56</v>
      </c>
      <c r="BW11" s="25">
        <v>81</v>
      </c>
      <c r="BX11" s="25">
        <v>78</v>
      </c>
      <c r="BY11" s="25">
        <v>194</v>
      </c>
      <c r="BZ11" s="25">
        <v>104</v>
      </c>
      <c r="CA11" s="25">
        <v>26</v>
      </c>
      <c r="CB11" s="25">
        <v>25</v>
      </c>
      <c r="CC11" s="25">
        <v>49</v>
      </c>
      <c r="CD11" s="25">
        <v>44</v>
      </c>
      <c r="CE11" s="25">
        <v>0</v>
      </c>
      <c r="CF11" s="25">
        <v>27</v>
      </c>
      <c r="CG11" s="25">
        <v>2334</v>
      </c>
      <c r="CH11" s="25">
        <v>336</v>
      </c>
      <c r="CI11" s="25">
        <v>950</v>
      </c>
      <c r="CJ11" s="25">
        <v>242</v>
      </c>
      <c r="CK11" s="25">
        <v>847</v>
      </c>
      <c r="CL11" s="25">
        <v>242</v>
      </c>
      <c r="CM11" s="25">
        <v>103</v>
      </c>
      <c r="CN11" s="25">
        <v>51</v>
      </c>
      <c r="CO11" s="25">
        <v>202</v>
      </c>
      <c r="CP11" s="25">
        <v>69</v>
      </c>
      <c r="CQ11" s="25">
        <v>152</v>
      </c>
      <c r="CR11" s="25">
        <v>77</v>
      </c>
      <c r="CS11" s="25">
        <v>837</v>
      </c>
      <c r="CT11" s="25">
        <v>217</v>
      </c>
      <c r="CU11" s="25">
        <v>30</v>
      </c>
      <c r="CV11" s="25">
        <v>40</v>
      </c>
      <c r="CW11" s="25">
        <v>147</v>
      </c>
      <c r="CX11" s="25">
        <v>111</v>
      </c>
      <c r="CY11" s="25">
        <v>16</v>
      </c>
      <c r="CZ11" s="25">
        <v>17</v>
      </c>
      <c r="DA11" s="25">
        <v>1916</v>
      </c>
      <c r="DB11" s="25">
        <v>327</v>
      </c>
      <c r="DC11" s="25">
        <v>1096</v>
      </c>
      <c r="DD11" s="25">
        <v>281</v>
      </c>
      <c r="DE11" s="25">
        <v>1058</v>
      </c>
      <c r="DF11" s="25">
        <v>275</v>
      </c>
      <c r="DG11" s="25">
        <v>38</v>
      </c>
      <c r="DH11" s="25">
        <v>27</v>
      </c>
      <c r="DI11" s="25">
        <v>74</v>
      </c>
      <c r="DJ11" s="25">
        <v>55</v>
      </c>
      <c r="DK11" s="25">
        <v>87</v>
      </c>
      <c r="DL11" s="25">
        <v>44</v>
      </c>
      <c r="DM11" s="25">
        <v>482</v>
      </c>
      <c r="DN11" s="25">
        <v>144</v>
      </c>
      <c r="DO11" s="25">
        <v>39</v>
      </c>
      <c r="DP11" s="25">
        <v>30</v>
      </c>
      <c r="DQ11" s="25">
        <v>138</v>
      </c>
      <c r="DR11" s="25">
        <v>86</v>
      </c>
      <c r="DS11" s="25">
        <v>0</v>
      </c>
      <c r="DT11" s="25">
        <v>27</v>
      </c>
      <c r="DU11" s="25">
        <v>2260</v>
      </c>
      <c r="DV11" s="25">
        <v>242</v>
      </c>
      <c r="DW11" s="25">
        <v>1256</v>
      </c>
      <c r="DX11" s="25">
        <v>188</v>
      </c>
      <c r="DY11" s="25">
        <v>929</v>
      </c>
      <c r="DZ11" s="25">
        <v>149</v>
      </c>
      <c r="EA11" s="25">
        <v>327</v>
      </c>
      <c r="EB11" s="25">
        <v>101</v>
      </c>
      <c r="EC11" s="25">
        <v>50</v>
      </c>
      <c r="ED11" s="25">
        <v>33</v>
      </c>
      <c r="EE11" s="25">
        <v>26</v>
      </c>
      <c r="EF11" s="25">
        <v>25</v>
      </c>
      <c r="EG11" s="25">
        <v>102</v>
      </c>
      <c r="EH11" s="25">
        <v>74</v>
      </c>
      <c r="EI11" s="25">
        <v>9</v>
      </c>
      <c r="EJ11" s="25">
        <v>13</v>
      </c>
      <c r="EK11" s="25">
        <v>807</v>
      </c>
      <c r="EL11" s="25">
        <v>126</v>
      </c>
      <c r="EM11" s="25">
        <v>10</v>
      </c>
      <c r="EN11" s="25">
        <v>9</v>
      </c>
    </row>
    <row r="12" spans="1:144" x14ac:dyDescent="0.25">
      <c r="A12" s="19">
        <f t="shared" si="8"/>
        <v>7</v>
      </c>
      <c r="B12" s="20" t="str">
        <f t="shared" si="9"/>
        <v>Carbon</v>
      </c>
      <c r="C12" s="24" t="s">
        <v>294</v>
      </c>
      <c r="D12" s="24" t="s">
        <v>295</v>
      </c>
      <c r="E12" s="25">
        <v>8765</v>
      </c>
      <c r="F12" s="25">
        <v>352</v>
      </c>
      <c r="G12" s="25">
        <v>6108</v>
      </c>
      <c r="H12" s="25">
        <v>327</v>
      </c>
      <c r="I12" s="25">
        <v>5862</v>
      </c>
      <c r="J12" s="25">
        <v>318</v>
      </c>
      <c r="K12" s="25">
        <v>246</v>
      </c>
      <c r="L12" s="25">
        <v>95</v>
      </c>
      <c r="M12" s="25">
        <v>387</v>
      </c>
      <c r="N12" s="25">
        <v>119</v>
      </c>
      <c r="O12" s="25">
        <v>769</v>
      </c>
      <c r="P12" s="25">
        <v>141</v>
      </c>
      <c r="Q12" s="25">
        <v>786</v>
      </c>
      <c r="R12" s="25">
        <v>168</v>
      </c>
      <c r="S12" s="25">
        <v>197</v>
      </c>
      <c r="T12" s="25">
        <v>88</v>
      </c>
      <c r="U12" s="25">
        <v>510</v>
      </c>
      <c r="V12" s="25">
        <v>111</v>
      </c>
      <c r="W12" s="25">
        <v>8</v>
      </c>
      <c r="X12" s="25">
        <v>9</v>
      </c>
      <c r="Y12" s="25">
        <v>6794</v>
      </c>
      <c r="Z12" s="25">
        <v>345</v>
      </c>
      <c r="AA12" s="25">
        <v>4621</v>
      </c>
      <c r="AB12" s="25">
        <v>341</v>
      </c>
      <c r="AC12" s="25">
        <v>4410</v>
      </c>
      <c r="AD12" s="25">
        <v>328</v>
      </c>
      <c r="AE12" s="25">
        <v>211</v>
      </c>
      <c r="AF12" s="25">
        <v>83</v>
      </c>
      <c r="AG12" s="25">
        <v>296</v>
      </c>
      <c r="AH12" s="25">
        <v>104</v>
      </c>
      <c r="AI12" s="25">
        <v>741</v>
      </c>
      <c r="AJ12" s="25">
        <v>139</v>
      </c>
      <c r="AK12" s="25">
        <v>640</v>
      </c>
      <c r="AL12" s="25">
        <v>155</v>
      </c>
      <c r="AM12" s="25">
        <v>180</v>
      </c>
      <c r="AN12" s="25">
        <v>83</v>
      </c>
      <c r="AO12" s="25">
        <v>312</v>
      </c>
      <c r="AP12" s="25">
        <v>85</v>
      </c>
      <c r="AQ12" s="25">
        <v>4</v>
      </c>
      <c r="AR12" s="25">
        <v>6</v>
      </c>
      <c r="AS12" s="25">
        <v>1309</v>
      </c>
      <c r="AT12" s="25">
        <v>193</v>
      </c>
      <c r="AU12" s="25">
        <v>1121</v>
      </c>
      <c r="AV12" s="25">
        <v>164</v>
      </c>
      <c r="AW12" s="25">
        <v>1121</v>
      </c>
      <c r="AX12" s="25">
        <v>164</v>
      </c>
      <c r="AY12" s="25">
        <v>0</v>
      </c>
      <c r="AZ12" s="25">
        <v>21</v>
      </c>
      <c r="BA12" s="25">
        <v>27</v>
      </c>
      <c r="BB12" s="25">
        <v>22</v>
      </c>
      <c r="BC12" s="25">
        <v>20</v>
      </c>
      <c r="BD12" s="25">
        <v>19</v>
      </c>
      <c r="BE12" s="25">
        <v>90</v>
      </c>
      <c r="BF12" s="25">
        <v>57</v>
      </c>
      <c r="BG12" s="25">
        <v>11</v>
      </c>
      <c r="BH12" s="25">
        <v>17</v>
      </c>
      <c r="BI12" s="25">
        <v>40</v>
      </c>
      <c r="BJ12" s="25">
        <v>27</v>
      </c>
      <c r="BK12" s="25">
        <v>0</v>
      </c>
      <c r="BL12" s="25">
        <v>21</v>
      </c>
      <c r="BM12" s="25">
        <v>51</v>
      </c>
      <c r="BN12" s="25">
        <v>44</v>
      </c>
      <c r="BO12" s="25">
        <v>38</v>
      </c>
      <c r="BP12" s="25">
        <v>39</v>
      </c>
      <c r="BQ12" s="25">
        <v>38</v>
      </c>
      <c r="BR12" s="25">
        <v>39</v>
      </c>
      <c r="BS12" s="25">
        <v>0</v>
      </c>
      <c r="BT12" s="25">
        <v>21</v>
      </c>
      <c r="BU12" s="25">
        <v>13</v>
      </c>
      <c r="BV12" s="25">
        <v>16</v>
      </c>
      <c r="BW12" s="25">
        <v>0</v>
      </c>
      <c r="BX12" s="25">
        <v>21</v>
      </c>
      <c r="BY12" s="25">
        <v>0</v>
      </c>
      <c r="BZ12" s="25">
        <v>21</v>
      </c>
      <c r="CA12" s="25">
        <v>0</v>
      </c>
      <c r="CB12" s="25">
        <v>21</v>
      </c>
      <c r="CC12" s="25">
        <v>0</v>
      </c>
      <c r="CD12" s="25">
        <v>21</v>
      </c>
      <c r="CE12" s="25">
        <v>0</v>
      </c>
      <c r="CF12" s="25">
        <v>21</v>
      </c>
      <c r="CG12" s="25">
        <v>239</v>
      </c>
      <c r="CH12" s="25">
        <v>102</v>
      </c>
      <c r="CI12" s="25">
        <v>116</v>
      </c>
      <c r="CJ12" s="25">
        <v>65</v>
      </c>
      <c r="CK12" s="25">
        <v>91</v>
      </c>
      <c r="CL12" s="25">
        <v>59</v>
      </c>
      <c r="CM12" s="25">
        <v>25</v>
      </c>
      <c r="CN12" s="25">
        <v>29</v>
      </c>
      <c r="CO12" s="25">
        <v>49</v>
      </c>
      <c r="CP12" s="25">
        <v>49</v>
      </c>
      <c r="CQ12" s="25">
        <v>8</v>
      </c>
      <c r="CR12" s="25">
        <v>14</v>
      </c>
      <c r="CS12" s="25">
        <v>40</v>
      </c>
      <c r="CT12" s="25">
        <v>47</v>
      </c>
      <c r="CU12" s="25">
        <v>6</v>
      </c>
      <c r="CV12" s="25">
        <v>10</v>
      </c>
      <c r="CW12" s="25">
        <v>20</v>
      </c>
      <c r="CX12" s="25">
        <v>25</v>
      </c>
      <c r="CY12" s="25">
        <v>0</v>
      </c>
      <c r="CZ12" s="25">
        <v>21</v>
      </c>
      <c r="DA12" s="25">
        <v>111</v>
      </c>
      <c r="DB12" s="25">
        <v>74</v>
      </c>
      <c r="DC12" s="25">
        <v>93</v>
      </c>
      <c r="DD12" s="25">
        <v>71</v>
      </c>
      <c r="DE12" s="25">
        <v>93</v>
      </c>
      <c r="DF12" s="25">
        <v>71</v>
      </c>
      <c r="DG12" s="25">
        <v>0</v>
      </c>
      <c r="DH12" s="25">
        <v>21</v>
      </c>
      <c r="DI12" s="25">
        <v>0</v>
      </c>
      <c r="DJ12" s="25">
        <v>21</v>
      </c>
      <c r="DK12" s="25">
        <v>0</v>
      </c>
      <c r="DL12" s="25">
        <v>21</v>
      </c>
      <c r="DM12" s="25">
        <v>4</v>
      </c>
      <c r="DN12" s="25">
        <v>9</v>
      </c>
      <c r="DO12" s="25">
        <v>0</v>
      </c>
      <c r="DP12" s="25">
        <v>21</v>
      </c>
      <c r="DQ12" s="25">
        <v>14</v>
      </c>
      <c r="DR12" s="25">
        <v>15</v>
      </c>
      <c r="DS12" s="25">
        <v>0</v>
      </c>
      <c r="DT12" s="25">
        <v>21</v>
      </c>
      <c r="DU12" s="25">
        <v>261</v>
      </c>
      <c r="DV12" s="25">
        <v>95</v>
      </c>
      <c r="DW12" s="25">
        <v>119</v>
      </c>
      <c r="DX12" s="25">
        <v>54</v>
      </c>
      <c r="DY12" s="25">
        <v>109</v>
      </c>
      <c r="DZ12" s="25">
        <v>54</v>
      </c>
      <c r="EA12" s="25">
        <v>10</v>
      </c>
      <c r="EB12" s="25">
        <v>13</v>
      </c>
      <c r="EC12" s="25">
        <v>2</v>
      </c>
      <c r="ED12" s="25">
        <v>3</v>
      </c>
      <c r="EE12" s="25">
        <v>0</v>
      </c>
      <c r="EF12" s="25">
        <v>21</v>
      </c>
      <c r="EG12" s="25">
        <v>12</v>
      </c>
      <c r="EH12" s="25">
        <v>20</v>
      </c>
      <c r="EI12" s="25">
        <v>0</v>
      </c>
      <c r="EJ12" s="25">
        <v>21</v>
      </c>
      <c r="EK12" s="25">
        <v>124</v>
      </c>
      <c r="EL12" s="25">
        <v>61</v>
      </c>
      <c r="EM12" s="25">
        <v>4</v>
      </c>
      <c r="EN12" s="25">
        <v>7</v>
      </c>
    </row>
    <row r="13" spans="1:144" x14ac:dyDescent="0.25">
      <c r="A13" s="19">
        <f t="shared" si="8"/>
        <v>9</v>
      </c>
      <c r="B13" s="20" t="str">
        <f t="shared" si="9"/>
        <v>Daggett</v>
      </c>
      <c r="C13" s="24" t="s">
        <v>296</v>
      </c>
      <c r="D13" s="24" t="s">
        <v>297</v>
      </c>
      <c r="E13" s="25">
        <v>269</v>
      </c>
      <c r="F13" s="25">
        <v>70</v>
      </c>
      <c r="G13" s="25">
        <v>134</v>
      </c>
      <c r="H13" s="25">
        <v>46</v>
      </c>
      <c r="I13" s="25">
        <v>102</v>
      </c>
      <c r="J13" s="25">
        <v>38</v>
      </c>
      <c r="K13" s="25">
        <v>32</v>
      </c>
      <c r="L13" s="25">
        <v>25</v>
      </c>
      <c r="M13" s="25">
        <v>1</v>
      </c>
      <c r="N13" s="25">
        <v>3</v>
      </c>
      <c r="O13" s="25">
        <v>68</v>
      </c>
      <c r="P13" s="25">
        <v>33</v>
      </c>
      <c r="Q13" s="25">
        <v>10</v>
      </c>
      <c r="R13" s="25">
        <v>16</v>
      </c>
      <c r="S13" s="25">
        <v>28</v>
      </c>
      <c r="T13" s="25">
        <v>22</v>
      </c>
      <c r="U13" s="25">
        <v>28</v>
      </c>
      <c r="V13" s="25">
        <v>18</v>
      </c>
      <c r="W13" s="25">
        <v>0</v>
      </c>
      <c r="X13" s="25">
        <v>11</v>
      </c>
      <c r="Y13" s="25">
        <v>217</v>
      </c>
      <c r="Z13" s="25">
        <v>63</v>
      </c>
      <c r="AA13" s="25">
        <v>91</v>
      </c>
      <c r="AB13" s="25">
        <v>37</v>
      </c>
      <c r="AC13" s="25">
        <v>77</v>
      </c>
      <c r="AD13" s="25">
        <v>35</v>
      </c>
      <c r="AE13" s="25">
        <v>14</v>
      </c>
      <c r="AF13" s="25">
        <v>14</v>
      </c>
      <c r="AG13" s="25">
        <v>0</v>
      </c>
      <c r="AH13" s="25">
        <v>11</v>
      </c>
      <c r="AI13" s="25">
        <v>68</v>
      </c>
      <c r="AJ13" s="25">
        <v>33</v>
      </c>
      <c r="AK13" s="25">
        <v>10</v>
      </c>
      <c r="AL13" s="25">
        <v>16</v>
      </c>
      <c r="AM13" s="25">
        <v>25</v>
      </c>
      <c r="AN13" s="25">
        <v>22</v>
      </c>
      <c r="AO13" s="25">
        <v>23</v>
      </c>
      <c r="AP13" s="25">
        <v>20</v>
      </c>
      <c r="AQ13" s="25">
        <v>0</v>
      </c>
      <c r="AR13" s="25">
        <v>11</v>
      </c>
      <c r="AS13" s="25">
        <v>16</v>
      </c>
      <c r="AT13" s="25">
        <v>12</v>
      </c>
      <c r="AU13" s="25">
        <v>12</v>
      </c>
      <c r="AV13" s="25">
        <v>11</v>
      </c>
      <c r="AW13" s="25">
        <v>12</v>
      </c>
      <c r="AX13" s="25">
        <v>11</v>
      </c>
      <c r="AY13" s="25">
        <v>0</v>
      </c>
      <c r="AZ13" s="25">
        <v>11</v>
      </c>
      <c r="BA13" s="25">
        <v>1</v>
      </c>
      <c r="BB13" s="25">
        <v>3</v>
      </c>
      <c r="BC13" s="25">
        <v>0</v>
      </c>
      <c r="BD13" s="25">
        <v>11</v>
      </c>
      <c r="BE13" s="25">
        <v>0</v>
      </c>
      <c r="BF13" s="25">
        <v>11</v>
      </c>
      <c r="BG13" s="25">
        <v>3</v>
      </c>
      <c r="BH13" s="25">
        <v>4</v>
      </c>
      <c r="BI13" s="25">
        <v>0</v>
      </c>
      <c r="BJ13" s="25">
        <v>11</v>
      </c>
      <c r="BK13" s="25">
        <v>0</v>
      </c>
      <c r="BL13" s="25">
        <v>11</v>
      </c>
      <c r="BM13" s="25">
        <v>4</v>
      </c>
      <c r="BN13" s="25">
        <v>5</v>
      </c>
      <c r="BO13" s="25">
        <v>4</v>
      </c>
      <c r="BP13" s="25">
        <v>5</v>
      </c>
      <c r="BQ13" s="25">
        <v>4</v>
      </c>
      <c r="BR13" s="25">
        <v>5</v>
      </c>
      <c r="BS13" s="25">
        <v>0</v>
      </c>
      <c r="BT13" s="25">
        <v>11</v>
      </c>
      <c r="BU13" s="25">
        <v>0</v>
      </c>
      <c r="BV13" s="25">
        <v>11</v>
      </c>
      <c r="BW13" s="25">
        <v>0</v>
      </c>
      <c r="BX13" s="25">
        <v>11</v>
      </c>
      <c r="BY13" s="25">
        <v>0</v>
      </c>
      <c r="BZ13" s="25">
        <v>11</v>
      </c>
      <c r="CA13" s="25">
        <v>0</v>
      </c>
      <c r="CB13" s="25">
        <v>11</v>
      </c>
      <c r="CC13" s="25">
        <v>0</v>
      </c>
      <c r="CD13" s="25">
        <v>11</v>
      </c>
      <c r="CE13" s="25">
        <v>0</v>
      </c>
      <c r="CF13" s="25">
        <v>11</v>
      </c>
      <c r="CG13" s="25">
        <v>6</v>
      </c>
      <c r="CH13" s="25">
        <v>8</v>
      </c>
      <c r="CI13" s="25">
        <v>1</v>
      </c>
      <c r="CJ13" s="25">
        <v>3</v>
      </c>
      <c r="CK13" s="25">
        <v>1</v>
      </c>
      <c r="CL13" s="25">
        <v>3</v>
      </c>
      <c r="CM13" s="25">
        <v>0</v>
      </c>
      <c r="CN13" s="25">
        <v>11</v>
      </c>
      <c r="CO13" s="25">
        <v>0</v>
      </c>
      <c r="CP13" s="25">
        <v>11</v>
      </c>
      <c r="CQ13" s="25">
        <v>0</v>
      </c>
      <c r="CR13" s="25">
        <v>11</v>
      </c>
      <c r="CS13" s="25">
        <v>0</v>
      </c>
      <c r="CT13" s="25">
        <v>11</v>
      </c>
      <c r="CU13" s="25">
        <v>0</v>
      </c>
      <c r="CV13" s="25">
        <v>11</v>
      </c>
      <c r="CW13" s="25">
        <v>5</v>
      </c>
      <c r="CX13" s="25">
        <v>7</v>
      </c>
      <c r="CY13" s="25">
        <v>0</v>
      </c>
      <c r="CZ13" s="25">
        <v>11</v>
      </c>
      <c r="DA13" s="25">
        <v>5</v>
      </c>
      <c r="DB13" s="25">
        <v>7</v>
      </c>
      <c r="DC13" s="25">
        <v>5</v>
      </c>
      <c r="DD13" s="25">
        <v>7</v>
      </c>
      <c r="DE13" s="25">
        <v>5</v>
      </c>
      <c r="DF13" s="25">
        <v>7</v>
      </c>
      <c r="DG13" s="25">
        <v>0</v>
      </c>
      <c r="DH13" s="25">
        <v>11</v>
      </c>
      <c r="DI13" s="25">
        <v>0</v>
      </c>
      <c r="DJ13" s="25">
        <v>11</v>
      </c>
      <c r="DK13" s="25">
        <v>0</v>
      </c>
      <c r="DL13" s="25">
        <v>11</v>
      </c>
      <c r="DM13" s="25">
        <v>0</v>
      </c>
      <c r="DN13" s="25">
        <v>11</v>
      </c>
      <c r="DO13" s="25">
        <v>0</v>
      </c>
      <c r="DP13" s="25">
        <v>11</v>
      </c>
      <c r="DQ13" s="25">
        <v>0</v>
      </c>
      <c r="DR13" s="25">
        <v>11</v>
      </c>
      <c r="DS13" s="25">
        <v>0</v>
      </c>
      <c r="DT13" s="25">
        <v>11</v>
      </c>
      <c r="DU13" s="25">
        <v>21</v>
      </c>
      <c r="DV13" s="25">
        <v>28</v>
      </c>
      <c r="DW13" s="25">
        <v>21</v>
      </c>
      <c r="DX13" s="25">
        <v>28</v>
      </c>
      <c r="DY13" s="25">
        <v>3</v>
      </c>
      <c r="DZ13" s="25">
        <v>4</v>
      </c>
      <c r="EA13" s="25">
        <v>18</v>
      </c>
      <c r="EB13" s="25">
        <v>27</v>
      </c>
      <c r="EC13" s="25">
        <v>0</v>
      </c>
      <c r="ED13" s="25">
        <v>11</v>
      </c>
      <c r="EE13" s="25">
        <v>0</v>
      </c>
      <c r="EF13" s="25">
        <v>11</v>
      </c>
      <c r="EG13" s="25">
        <v>0</v>
      </c>
      <c r="EH13" s="25">
        <v>11</v>
      </c>
      <c r="EI13" s="25">
        <v>0</v>
      </c>
      <c r="EJ13" s="25">
        <v>11</v>
      </c>
      <c r="EK13" s="25">
        <v>0</v>
      </c>
      <c r="EL13" s="25">
        <v>11</v>
      </c>
      <c r="EM13" s="25">
        <v>0</v>
      </c>
      <c r="EN13" s="25">
        <v>11</v>
      </c>
    </row>
    <row r="14" spans="1:144" x14ac:dyDescent="0.25">
      <c r="A14" s="19">
        <f t="shared" si="8"/>
        <v>11</v>
      </c>
      <c r="B14" s="20" t="str">
        <f t="shared" si="9"/>
        <v>Davis</v>
      </c>
      <c r="C14" s="24" t="s">
        <v>298</v>
      </c>
      <c r="D14" s="24" t="s">
        <v>299</v>
      </c>
      <c r="E14" s="25">
        <v>139515</v>
      </c>
      <c r="F14" s="25">
        <v>1226</v>
      </c>
      <c r="G14" s="25">
        <v>94634</v>
      </c>
      <c r="H14" s="25">
        <v>1360</v>
      </c>
      <c r="I14" s="25">
        <v>89471</v>
      </c>
      <c r="J14" s="25">
        <v>1406</v>
      </c>
      <c r="K14" s="25">
        <v>5163</v>
      </c>
      <c r="L14" s="25">
        <v>460</v>
      </c>
      <c r="M14" s="25">
        <v>8437</v>
      </c>
      <c r="N14" s="25">
        <v>534</v>
      </c>
      <c r="O14" s="25">
        <v>10271</v>
      </c>
      <c r="P14" s="25">
        <v>583</v>
      </c>
      <c r="Q14" s="25">
        <v>6621</v>
      </c>
      <c r="R14" s="25">
        <v>463</v>
      </c>
      <c r="S14" s="25">
        <v>13158</v>
      </c>
      <c r="T14" s="25">
        <v>683</v>
      </c>
      <c r="U14" s="25">
        <v>6257</v>
      </c>
      <c r="V14" s="25">
        <v>561</v>
      </c>
      <c r="W14" s="25">
        <v>137</v>
      </c>
      <c r="X14" s="25">
        <v>77</v>
      </c>
      <c r="Y14" s="25">
        <v>110421</v>
      </c>
      <c r="Z14" s="25">
        <v>1309</v>
      </c>
      <c r="AA14" s="25">
        <v>75868</v>
      </c>
      <c r="AB14" s="25">
        <v>1285</v>
      </c>
      <c r="AC14" s="25">
        <v>72304</v>
      </c>
      <c r="AD14" s="25">
        <v>1275</v>
      </c>
      <c r="AE14" s="25">
        <v>3564</v>
      </c>
      <c r="AF14" s="25">
        <v>371</v>
      </c>
      <c r="AG14" s="25">
        <v>6298</v>
      </c>
      <c r="AH14" s="25">
        <v>476</v>
      </c>
      <c r="AI14" s="25">
        <v>8653</v>
      </c>
      <c r="AJ14" s="25">
        <v>571</v>
      </c>
      <c r="AK14" s="25">
        <v>5070</v>
      </c>
      <c r="AL14" s="25">
        <v>425</v>
      </c>
      <c r="AM14" s="25">
        <v>11548</v>
      </c>
      <c r="AN14" s="25">
        <v>624</v>
      </c>
      <c r="AO14" s="25">
        <v>2883</v>
      </c>
      <c r="AP14" s="25">
        <v>380</v>
      </c>
      <c r="AQ14" s="25">
        <v>101</v>
      </c>
      <c r="AR14" s="25">
        <v>68</v>
      </c>
      <c r="AS14" s="25">
        <v>14931</v>
      </c>
      <c r="AT14" s="25">
        <v>1081</v>
      </c>
      <c r="AU14" s="25">
        <v>10161</v>
      </c>
      <c r="AV14" s="25">
        <v>863</v>
      </c>
      <c r="AW14" s="25">
        <v>9555</v>
      </c>
      <c r="AX14" s="25">
        <v>814</v>
      </c>
      <c r="AY14" s="25">
        <v>606</v>
      </c>
      <c r="AZ14" s="25">
        <v>187</v>
      </c>
      <c r="BA14" s="25">
        <v>1104</v>
      </c>
      <c r="BB14" s="25">
        <v>228</v>
      </c>
      <c r="BC14" s="25">
        <v>1118</v>
      </c>
      <c r="BD14" s="25">
        <v>211</v>
      </c>
      <c r="BE14" s="25">
        <v>754</v>
      </c>
      <c r="BF14" s="25">
        <v>199</v>
      </c>
      <c r="BG14" s="25">
        <v>1141</v>
      </c>
      <c r="BH14" s="25">
        <v>199</v>
      </c>
      <c r="BI14" s="25">
        <v>646</v>
      </c>
      <c r="BJ14" s="25">
        <v>200</v>
      </c>
      <c r="BK14" s="25">
        <v>7</v>
      </c>
      <c r="BL14" s="25">
        <v>10</v>
      </c>
      <c r="BM14" s="25">
        <v>3692</v>
      </c>
      <c r="BN14" s="25">
        <v>478</v>
      </c>
      <c r="BO14" s="25">
        <v>1868</v>
      </c>
      <c r="BP14" s="25">
        <v>414</v>
      </c>
      <c r="BQ14" s="25">
        <v>1868</v>
      </c>
      <c r="BR14" s="25">
        <v>414</v>
      </c>
      <c r="BS14" s="25">
        <v>0</v>
      </c>
      <c r="BT14" s="25">
        <v>27</v>
      </c>
      <c r="BU14" s="25">
        <v>832</v>
      </c>
      <c r="BV14" s="25">
        <v>156</v>
      </c>
      <c r="BW14" s="25">
        <v>155</v>
      </c>
      <c r="BX14" s="25">
        <v>80</v>
      </c>
      <c r="BY14" s="25">
        <v>581</v>
      </c>
      <c r="BZ14" s="25">
        <v>158</v>
      </c>
      <c r="CA14" s="25">
        <v>208</v>
      </c>
      <c r="CB14" s="25">
        <v>93</v>
      </c>
      <c r="CC14" s="25">
        <v>48</v>
      </c>
      <c r="CD14" s="25">
        <v>34</v>
      </c>
      <c r="CE14" s="25">
        <v>0</v>
      </c>
      <c r="CF14" s="25">
        <v>27</v>
      </c>
      <c r="CG14" s="25">
        <v>1964</v>
      </c>
      <c r="CH14" s="25">
        <v>316</v>
      </c>
      <c r="CI14" s="25">
        <v>1556</v>
      </c>
      <c r="CJ14" s="25">
        <v>295</v>
      </c>
      <c r="CK14" s="25">
        <v>1454</v>
      </c>
      <c r="CL14" s="25">
        <v>294</v>
      </c>
      <c r="CM14" s="25">
        <v>102</v>
      </c>
      <c r="CN14" s="25">
        <v>55</v>
      </c>
      <c r="CO14" s="25">
        <v>11</v>
      </c>
      <c r="CP14" s="25">
        <v>17</v>
      </c>
      <c r="CQ14" s="25">
        <v>159</v>
      </c>
      <c r="CR14" s="25">
        <v>65</v>
      </c>
      <c r="CS14" s="25">
        <v>0</v>
      </c>
      <c r="CT14" s="25">
        <v>27</v>
      </c>
      <c r="CU14" s="25">
        <v>65</v>
      </c>
      <c r="CV14" s="25">
        <v>51</v>
      </c>
      <c r="CW14" s="25">
        <v>173</v>
      </c>
      <c r="CX14" s="25">
        <v>71</v>
      </c>
      <c r="CY14" s="25">
        <v>0</v>
      </c>
      <c r="CZ14" s="25">
        <v>27</v>
      </c>
      <c r="DA14" s="25">
        <v>2214</v>
      </c>
      <c r="DB14" s="25">
        <v>371</v>
      </c>
      <c r="DC14" s="25">
        <v>1507</v>
      </c>
      <c r="DD14" s="25">
        <v>303</v>
      </c>
      <c r="DE14" s="25">
        <v>1397</v>
      </c>
      <c r="DF14" s="25">
        <v>298</v>
      </c>
      <c r="DG14" s="25">
        <v>110</v>
      </c>
      <c r="DH14" s="25">
        <v>66</v>
      </c>
      <c r="DI14" s="25">
        <v>42</v>
      </c>
      <c r="DJ14" s="25">
        <v>38</v>
      </c>
      <c r="DK14" s="25">
        <v>152</v>
      </c>
      <c r="DL14" s="25">
        <v>77</v>
      </c>
      <c r="DM14" s="25">
        <v>70</v>
      </c>
      <c r="DN14" s="25">
        <v>40</v>
      </c>
      <c r="DO14" s="25">
        <v>148</v>
      </c>
      <c r="DP14" s="25">
        <v>76</v>
      </c>
      <c r="DQ14" s="25">
        <v>289</v>
      </c>
      <c r="DR14" s="25">
        <v>148</v>
      </c>
      <c r="DS14" s="25">
        <v>6</v>
      </c>
      <c r="DT14" s="25">
        <v>12</v>
      </c>
      <c r="DU14" s="25">
        <v>6293</v>
      </c>
      <c r="DV14" s="25">
        <v>506</v>
      </c>
      <c r="DW14" s="25">
        <v>3674</v>
      </c>
      <c r="DX14" s="25">
        <v>394</v>
      </c>
      <c r="DY14" s="25">
        <v>2893</v>
      </c>
      <c r="DZ14" s="25">
        <v>377</v>
      </c>
      <c r="EA14" s="25">
        <v>781</v>
      </c>
      <c r="EB14" s="25">
        <v>156</v>
      </c>
      <c r="EC14" s="25">
        <v>150</v>
      </c>
      <c r="ED14" s="25">
        <v>58</v>
      </c>
      <c r="EE14" s="25">
        <v>34</v>
      </c>
      <c r="EF14" s="25">
        <v>30</v>
      </c>
      <c r="EG14" s="25">
        <v>146</v>
      </c>
      <c r="EH14" s="25">
        <v>92</v>
      </c>
      <c r="EI14" s="25">
        <v>48</v>
      </c>
      <c r="EJ14" s="25">
        <v>33</v>
      </c>
      <c r="EK14" s="25">
        <v>2218</v>
      </c>
      <c r="EL14" s="25">
        <v>273</v>
      </c>
      <c r="EM14" s="25">
        <v>23</v>
      </c>
      <c r="EN14" s="25">
        <v>27</v>
      </c>
    </row>
    <row r="15" spans="1:144" x14ac:dyDescent="0.25">
      <c r="A15" s="19">
        <f t="shared" si="8"/>
        <v>13</v>
      </c>
      <c r="B15" s="20" t="str">
        <f t="shared" si="9"/>
        <v>Duchesne</v>
      </c>
      <c r="C15" s="24" t="s">
        <v>300</v>
      </c>
      <c r="D15" s="24" t="s">
        <v>301</v>
      </c>
      <c r="E15" s="25">
        <v>7362</v>
      </c>
      <c r="F15" s="25">
        <v>213</v>
      </c>
      <c r="G15" s="25">
        <v>5135</v>
      </c>
      <c r="H15" s="25">
        <v>257</v>
      </c>
      <c r="I15" s="25">
        <v>4745</v>
      </c>
      <c r="J15" s="25">
        <v>260</v>
      </c>
      <c r="K15" s="25">
        <v>390</v>
      </c>
      <c r="L15" s="25">
        <v>110</v>
      </c>
      <c r="M15" s="25">
        <v>339</v>
      </c>
      <c r="N15" s="25">
        <v>88</v>
      </c>
      <c r="O15" s="25">
        <v>857</v>
      </c>
      <c r="P15" s="25">
        <v>152</v>
      </c>
      <c r="Q15" s="25">
        <v>412</v>
      </c>
      <c r="R15" s="25">
        <v>97</v>
      </c>
      <c r="S15" s="25">
        <v>179</v>
      </c>
      <c r="T15" s="25">
        <v>66</v>
      </c>
      <c r="U15" s="25">
        <v>420</v>
      </c>
      <c r="V15" s="25">
        <v>119</v>
      </c>
      <c r="W15" s="25">
        <v>20</v>
      </c>
      <c r="X15" s="25">
        <v>22</v>
      </c>
      <c r="Y15" s="25">
        <v>6086</v>
      </c>
      <c r="Z15" s="25">
        <v>243</v>
      </c>
      <c r="AA15" s="25">
        <v>4216</v>
      </c>
      <c r="AB15" s="25">
        <v>276</v>
      </c>
      <c r="AC15" s="25">
        <v>3911</v>
      </c>
      <c r="AD15" s="25">
        <v>280</v>
      </c>
      <c r="AE15" s="25">
        <v>305</v>
      </c>
      <c r="AF15" s="25">
        <v>98</v>
      </c>
      <c r="AG15" s="25">
        <v>280</v>
      </c>
      <c r="AH15" s="25">
        <v>84</v>
      </c>
      <c r="AI15" s="25">
        <v>746</v>
      </c>
      <c r="AJ15" s="25">
        <v>132</v>
      </c>
      <c r="AK15" s="25">
        <v>379</v>
      </c>
      <c r="AL15" s="25">
        <v>99</v>
      </c>
      <c r="AM15" s="25">
        <v>159</v>
      </c>
      <c r="AN15" s="25">
        <v>64</v>
      </c>
      <c r="AO15" s="25">
        <v>287</v>
      </c>
      <c r="AP15" s="25">
        <v>103</v>
      </c>
      <c r="AQ15" s="25">
        <v>19</v>
      </c>
      <c r="AR15" s="25">
        <v>20</v>
      </c>
      <c r="AS15" s="25">
        <v>676</v>
      </c>
      <c r="AT15" s="25">
        <v>132</v>
      </c>
      <c r="AU15" s="25">
        <v>541</v>
      </c>
      <c r="AV15" s="25">
        <v>122</v>
      </c>
      <c r="AW15" s="25">
        <v>541</v>
      </c>
      <c r="AX15" s="25">
        <v>122</v>
      </c>
      <c r="AY15" s="25">
        <v>0</v>
      </c>
      <c r="AZ15" s="25">
        <v>18</v>
      </c>
      <c r="BA15" s="25">
        <v>39</v>
      </c>
      <c r="BB15" s="25">
        <v>33</v>
      </c>
      <c r="BC15" s="25">
        <v>60</v>
      </c>
      <c r="BD15" s="25">
        <v>42</v>
      </c>
      <c r="BE15" s="25">
        <v>11</v>
      </c>
      <c r="BF15" s="25">
        <v>11</v>
      </c>
      <c r="BG15" s="25">
        <v>8</v>
      </c>
      <c r="BH15" s="25">
        <v>11</v>
      </c>
      <c r="BI15" s="25">
        <v>17</v>
      </c>
      <c r="BJ15" s="25">
        <v>18</v>
      </c>
      <c r="BK15" s="25">
        <v>0</v>
      </c>
      <c r="BL15" s="25">
        <v>18</v>
      </c>
      <c r="BM15" s="25">
        <v>24</v>
      </c>
      <c r="BN15" s="25">
        <v>26</v>
      </c>
      <c r="BO15" s="25">
        <v>6</v>
      </c>
      <c r="BP15" s="25">
        <v>8</v>
      </c>
      <c r="BQ15" s="25">
        <v>6</v>
      </c>
      <c r="BR15" s="25">
        <v>8</v>
      </c>
      <c r="BS15" s="25">
        <v>0</v>
      </c>
      <c r="BT15" s="25">
        <v>18</v>
      </c>
      <c r="BU15" s="25">
        <v>0</v>
      </c>
      <c r="BV15" s="25">
        <v>18</v>
      </c>
      <c r="BW15" s="25">
        <v>18</v>
      </c>
      <c r="BX15" s="25">
        <v>25</v>
      </c>
      <c r="BY15" s="25">
        <v>0</v>
      </c>
      <c r="BZ15" s="25">
        <v>18</v>
      </c>
      <c r="CA15" s="25">
        <v>0</v>
      </c>
      <c r="CB15" s="25">
        <v>18</v>
      </c>
      <c r="CC15" s="25">
        <v>0</v>
      </c>
      <c r="CD15" s="25">
        <v>18</v>
      </c>
      <c r="CE15" s="25">
        <v>0</v>
      </c>
      <c r="CF15" s="25">
        <v>18</v>
      </c>
      <c r="CG15" s="25">
        <v>282</v>
      </c>
      <c r="CH15" s="25">
        <v>74</v>
      </c>
      <c r="CI15" s="25">
        <v>197</v>
      </c>
      <c r="CJ15" s="25">
        <v>67</v>
      </c>
      <c r="CK15" s="25">
        <v>140</v>
      </c>
      <c r="CL15" s="25">
        <v>63</v>
      </c>
      <c r="CM15" s="25">
        <v>57</v>
      </c>
      <c r="CN15" s="25">
        <v>28</v>
      </c>
      <c r="CO15" s="25">
        <v>11</v>
      </c>
      <c r="CP15" s="25">
        <v>11</v>
      </c>
      <c r="CQ15" s="25">
        <v>29</v>
      </c>
      <c r="CR15" s="25">
        <v>15</v>
      </c>
      <c r="CS15" s="25">
        <v>13</v>
      </c>
      <c r="CT15" s="25">
        <v>18</v>
      </c>
      <c r="CU15" s="25">
        <v>12</v>
      </c>
      <c r="CV15" s="25">
        <v>14</v>
      </c>
      <c r="CW15" s="25">
        <v>19</v>
      </c>
      <c r="CX15" s="25">
        <v>16</v>
      </c>
      <c r="CY15" s="25">
        <v>1</v>
      </c>
      <c r="CZ15" s="25">
        <v>4</v>
      </c>
      <c r="DA15" s="25">
        <v>36</v>
      </c>
      <c r="DB15" s="25">
        <v>27</v>
      </c>
      <c r="DC15" s="25">
        <v>32</v>
      </c>
      <c r="DD15" s="25">
        <v>27</v>
      </c>
      <c r="DE15" s="25">
        <v>32</v>
      </c>
      <c r="DF15" s="25">
        <v>27</v>
      </c>
      <c r="DG15" s="25">
        <v>0</v>
      </c>
      <c r="DH15" s="25">
        <v>18</v>
      </c>
      <c r="DI15" s="25">
        <v>0</v>
      </c>
      <c r="DJ15" s="25">
        <v>18</v>
      </c>
      <c r="DK15" s="25">
        <v>4</v>
      </c>
      <c r="DL15" s="25">
        <v>6</v>
      </c>
      <c r="DM15" s="25">
        <v>0</v>
      </c>
      <c r="DN15" s="25">
        <v>18</v>
      </c>
      <c r="DO15" s="25">
        <v>0</v>
      </c>
      <c r="DP15" s="25">
        <v>18</v>
      </c>
      <c r="DQ15" s="25">
        <v>0</v>
      </c>
      <c r="DR15" s="25">
        <v>18</v>
      </c>
      <c r="DS15" s="25">
        <v>0</v>
      </c>
      <c r="DT15" s="25">
        <v>18</v>
      </c>
      <c r="DU15" s="25">
        <v>258</v>
      </c>
      <c r="DV15" s="25">
        <v>99</v>
      </c>
      <c r="DW15" s="25">
        <v>143</v>
      </c>
      <c r="DX15" s="25">
        <v>78</v>
      </c>
      <c r="DY15" s="25">
        <v>115</v>
      </c>
      <c r="DZ15" s="25">
        <v>71</v>
      </c>
      <c r="EA15" s="25">
        <v>28</v>
      </c>
      <c r="EB15" s="25">
        <v>33</v>
      </c>
      <c r="EC15" s="25">
        <v>9</v>
      </c>
      <c r="ED15" s="25">
        <v>15</v>
      </c>
      <c r="EE15" s="25">
        <v>0</v>
      </c>
      <c r="EF15" s="25">
        <v>18</v>
      </c>
      <c r="EG15" s="25">
        <v>9</v>
      </c>
      <c r="EH15" s="25">
        <v>12</v>
      </c>
      <c r="EI15" s="25">
        <v>0</v>
      </c>
      <c r="EJ15" s="25">
        <v>18</v>
      </c>
      <c r="EK15" s="25">
        <v>97</v>
      </c>
      <c r="EL15" s="25">
        <v>58</v>
      </c>
      <c r="EM15" s="25">
        <v>0</v>
      </c>
      <c r="EN15" s="25">
        <v>18</v>
      </c>
    </row>
    <row r="16" spans="1:144" x14ac:dyDescent="0.25">
      <c r="A16" s="19">
        <f t="shared" si="8"/>
        <v>15</v>
      </c>
      <c r="B16" s="20" t="str">
        <f t="shared" si="9"/>
        <v>Emery</v>
      </c>
      <c r="C16" s="24" t="s">
        <v>302</v>
      </c>
      <c r="D16" s="24" t="s">
        <v>303</v>
      </c>
      <c r="E16" s="25">
        <v>4345</v>
      </c>
      <c r="F16" s="25">
        <v>191</v>
      </c>
      <c r="G16" s="25">
        <v>3026</v>
      </c>
      <c r="H16" s="25">
        <v>185</v>
      </c>
      <c r="I16" s="25">
        <v>2854</v>
      </c>
      <c r="J16" s="25">
        <v>164</v>
      </c>
      <c r="K16" s="25">
        <v>172</v>
      </c>
      <c r="L16" s="25">
        <v>77</v>
      </c>
      <c r="M16" s="25">
        <v>166</v>
      </c>
      <c r="N16" s="25">
        <v>65</v>
      </c>
      <c r="O16" s="25">
        <v>554</v>
      </c>
      <c r="P16" s="25">
        <v>109</v>
      </c>
      <c r="Q16" s="25">
        <v>266</v>
      </c>
      <c r="R16" s="25">
        <v>68</v>
      </c>
      <c r="S16" s="25">
        <v>122</v>
      </c>
      <c r="T16" s="25">
        <v>58</v>
      </c>
      <c r="U16" s="25">
        <v>191</v>
      </c>
      <c r="V16" s="25">
        <v>58</v>
      </c>
      <c r="W16" s="25">
        <v>20</v>
      </c>
      <c r="X16" s="25">
        <v>16</v>
      </c>
      <c r="Y16" s="25">
        <v>3346</v>
      </c>
      <c r="Z16" s="25">
        <v>183</v>
      </c>
      <c r="AA16" s="25">
        <v>2331</v>
      </c>
      <c r="AB16" s="25">
        <v>153</v>
      </c>
      <c r="AC16" s="25">
        <v>2283</v>
      </c>
      <c r="AD16" s="25">
        <v>148</v>
      </c>
      <c r="AE16" s="25">
        <v>48</v>
      </c>
      <c r="AF16" s="25">
        <v>26</v>
      </c>
      <c r="AG16" s="25">
        <v>150</v>
      </c>
      <c r="AH16" s="25">
        <v>65</v>
      </c>
      <c r="AI16" s="25">
        <v>470</v>
      </c>
      <c r="AJ16" s="25">
        <v>100</v>
      </c>
      <c r="AK16" s="25">
        <v>198</v>
      </c>
      <c r="AL16" s="25">
        <v>61</v>
      </c>
      <c r="AM16" s="25">
        <v>80</v>
      </c>
      <c r="AN16" s="25">
        <v>50</v>
      </c>
      <c r="AO16" s="25">
        <v>111</v>
      </c>
      <c r="AP16" s="25">
        <v>50</v>
      </c>
      <c r="AQ16" s="25">
        <v>6</v>
      </c>
      <c r="AR16" s="25">
        <v>6</v>
      </c>
      <c r="AS16" s="25">
        <v>604</v>
      </c>
      <c r="AT16" s="25">
        <v>95</v>
      </c>
      <c r="AU16" s="25">
        <v>460</v>
      </c>
      <c r="AV16" s="25">
        <v>89</v>
      </c>
      <c r="AW16" s="25">
        <v>450</v>
      </c>
      <c r="AX16" s="25">
        <v>89</v>
      </c>
      <c r="AY16" s="25">
        <v>10</v>
      </c>
      <c r="AZ16" s="25">
        <v>9</v>
      </c>
      <c r="BA16" s="25">
        <v>3</v>
      </c>
      <c r="BB16" s="25">
        <v>5</v>
      </c>
      <c r="BC16" s="25">
        <v>53</v>
      </c>
      <c r="BD16" s="25">
        <v>29</v>
      </c>
      <c r="BE16" s="25">
        <v>56</v>
      </c>
      <c r="BF16" s="25">
        <v>34</v>
      </c>
      <c r="BG16" s="25">
        <v>22</v>
      </c>
      <c r="BH16" s="25">
        <v>23</v>
      </c>
      <c r="BI16" s="25">
        <v>10</v>
      </c>
      <c r="BJ16" s="25">
        <v>8</v>
      </c>
      <c r="BK16" s="25">
        <v>0</v>
      </c>
      <c r="BL16" s="25">
        <v>18</v>
      </c>
      <c r="BM16" s="25">
        <v>2</v>
      </c>
      <c r="BN16" s="25">
        <v>3</v>
      </c>
      <c r="BO16" s="25">
        <v>2</v>
      </c>
      <c r="BP16" s="25">
        <v>3</v>
      </c>
      <c r="BQ16" s="25">
        <v>2</v>
      </c>
      <c r="BR16" s="25">
        <v>3</v>
      </c>
      <c r="BS16" s="25">
        <v>0</v>
      </c>
      <c r="BT16" s="25">
        <v>18</v>
      </c>
      <c r="BU16" s="25">
        <v>0</v>
      </c>
      <c r="BV16" s="25">
        <v>18</v>
      </c>
      <c r="BW16" s="25">
        <v>0</v>
      </c>
      <c r="BX16" s="25">
        <v>18</v>
      </c>
      <c r="BY16" s="25">
        <v>0</v>
      </c>
      <c r="BZ16" s="25">
        <v>18</v>
      </c>
      <c r="CA16" s="25">
        <v>0</v>
      </c>
      <c r="CB16" s="25">
        <v>18</v>
      </c>
      <c r="CC16" s="25">
        <v>0</v>
      </c>
      <c r="CD16" s="25">
        <v>18</v>
      </c>
      <c r="CE16" s="25">
        <v>0</v>
      </c>
      <c r="CF16" s="25">
        <v>18</v>
      </c>
      <c r="CG16" s="25">
        <v>100</v>
      </c>
      <c r="CH16" s="25">
        <v>47</v>
      </c>
      <c r="CI16" s="25">
        <v>55</v>
      </c>
      <c r="CJ16" s="25">
        <v>40</v>
      </c>
      <c r="CK16" s="25">
        <v>35</v>
      </c>
      <c r="CL16" s="25">
        <v>29</v>
      </c>
      <c r="CM16" s="25">
        <v>20</v>
      </c>
      <c r="CN16" s="25">
        <v>26</v>
      </c>
      <c r="CO16" s="25">
        <v>13</v>
      </c>
      <c r="CP16" s="25">
        <v>15</v>
      </c>
      <c r="CQ16" s="25">
        <v>15</v>
      </c>
      <c r="CR16" s="25">
        <v>12</v>
      </c>
      <c r="CS16" s="25">
        <v>0</v>
      </c>
      <c r="CT16" s="25">
        <v>18</v>
      </c>
      <c r="CU16" s="25">
        <v>10</v>
      </c>
      <c r="CV16" s="25">
        <v>14</v>
      </c>
      <c r="CW16" s="25">
        <v>7</v>
      </c>
      <c r="CX16" s="25">
        <v>8</v>
      </c>
      <c r="CY16" s="25">
        <v>0</v>
      </c>
      <c r="CZ16" s="25">
        <v>18</v>
      </c>
      <c r="DA16" s="25">
        <v>29</v>
      </c>
      <c r="DB16" s="25">
        <v>19</v>
      </c>
      <c r="DC16" s="25">
        <v>26</v>
      </c>
      <c r="DD16" s="25">
        <v>19</v>
      </c>
      <c r="DE16" s="25">
        <v>21</v>
      </c>
      <c r="DF16" s="25">
        <v>18</v>
      </c>
      <c r="DG16" s="25">
        <v>5</v>
      </c>
      <c r="DH16" s="25">
        <v>6</v>
      </c>
      <c r="DI16" s="25">
        <v>0</v>
      </c>
      <c r="DJ16" s="25">
        <v>18</v>
      </c>
      <c r="DK16" s="25">
        <v>3</v>
      </c>
      <c r="DL16" s="25">
        <v>4</v>
      </c>
      <c r="DM16" s="25">
        <v>0</v>
      </c>
      <c r="DN16" s="25">
        <v>18</v>
      </c>
      <c r="DO16" s="25">
        <v>0</v>
      </c>
      <c r="DP16" s="25">
        <v>18</v>
      </c>
      <c r="DQ16" s="25">
        <v>0</v>
      </c>
      <c r="DR16" s="25">
        <v>18</v>
      </c>
      <c r="DS16" s="25">
        <v>0</v>
      </c>
      <c r="DT16" s="25">
        <v>18</v>
      </c>
      <c r="DU16" s="25">
        <v>264</v>
      </c>
      <c r="DV16" s="25">
        <v>98</v>
      </c>
      <c r="DW16" s="25">
        <v>152</v>
      </c>
      <c r="DX16" s="25">
        <v>80</v>
      </c>
      <c r="DY16" s="25">
        <v>63</v>
      </c>
      <c r="DZ16" s="25">
        <v>38</v>
      </c>
      <c r="EA16" s="25">
        <v>89</v>
      </c>
      <c r="EB16" s="25">
        <v>71</v>
      </c>
      <c r="EC16" s="25">
        <v>0</v>
      </c>
      <c r="ED16" s="25">
        <v>18</v>
      </c>
      <c r="EE16" s="25">
        <v>13</v>
      </c>
      <c r="EF16" s="25">
        <v>13</v>
      </c>
      <c r="EG16" s="25">
        <v>12</v>
      </c>
      <c r="EH16" s="25">
        <v>17</v>
      </c>
      <c r="EI16" s="25">
        <v>10</v>
      </c>
      <c r="EJ16" s="25">
        <v>16</v>
      </c>
      <c r="EK16" s="25">
        <v>63</v>
      </c>
      <c r="EL16" s="25">
        <v>31</v>
      </c>
      <c r="EM16" s="25">
        <v>14</v>
      </c>
      <c r="EN16" s="25">
        <v>15</v>
      </c>
    </row>
    <row r="17" spans="1:144" x14ac:dyDescent="0.25">
      <c r="A17" s="19">
        <f t="shared" si="8"/>
        <v>17</v>
      </c>
      <c r="B17" s="20" t="str">
        <f t="shared" si="9"/>
        <v>Garfield</v>
      </c>
      <c r="C17" s="24" t="s">
        <v>304</v>
      </c>
      <c r="D17" s="24" t="s">
        <v>305</v>
      </c>
      <c r="E17" s="25">
        <v>2351</v>
      </c>
      <c r="F17" s="25">
        <v>152</v>
      </c>
      <c r="G17" s="25">
        <v>1498</v>
      </c>
      <c r="H17" s="25">
        <v>125</v>
      </c>
      <c r="I17" s="25">
        <v>1415</v>
      </c>
      <c r="J17" s="25">
        <v>119</v>
      </c>
      <c r="K17" s="25">
        <v>83</v>
      </c>
      <c r="L17" s="25">
        <v>36</v>
      </c>
      <c r="M17" s="25">
        <v>135</v>
      </c>
      <c r="N17" s="25">
        <v>43</v>
      </c>
      <c r="O17" s="25">
        <v>273</v>
      </c>
      <c r="P17" s="25">
        <v>75</v>
      </c>
      <c r="Q17" s="25">
        <v>68</v>
      </c>
      <c r="R17" s="25">
        <v>37</v>
      </c>
      <c r="S17" s="25">
        <v>140</v>
      </c>
      <c r="T17" s="25">
        <v>44</v>
      </c>
      <c r="U17" s="25">
        <v>226</v>
      </c>
      <c r="V17" s="25">
        <v>69</v>
      </c>
      <c r="W17" s="25">
        <v>11</v>
      </c>
      <c r="X17" s="25">
        <v>10</v>
      </c>
      <c r="Y17" s="25">
        <v>1686</v>
      </c>
      <c r="Z17" s="25">
        <v>171</v>
      </c>
      <c r="AA17" s="25">
        <v>1068</v>
      </c>
      <c r="AB17" s="25">
        <v>138</v>
      </c>
      <c r="AC17" s="25">
        <v>1010</v>
      </c>
      <c r="AD17" s="25">
        <v>133</v>
      </c>
      <c r="AE17" s="25">
        <v>58</v>
      </c>
      <c r="AF17" s="25">
        <v>33</v>
      </c>
      <c r="AG17" s="25">
        <v>124</v>
      </c>
      <c r="AH17" s="25">
        <v>40</v>
      </c>
      <c r="AI17" s="25">
        <v>199</v>
      </c>
      <c r="AJ17" s="25">
        <v>60</v>
      </c>
      <c r="AK17" s="25">
        <v>64</v>
      </c>
      <c r="AL17" s="25">
        <v>36</v>
      </c>
      <c r="AM17" s="25">
        <v>101</v>
      </c>
      <c r="AN17" s="25">
        <v>37</v>
      </c>
      <c r="AO17" s="25">
        <v>127</v>
      </c>
      <c r="AP17" s="25">
        <v>57</v>
      </c>
      <c r="AQ17" s="25">
        <v>3</v>
      </c>
      <c r="AR17" s="25">
        <v>6</v>
      </c>
      <c r="AS17" s="25">
        <v>275</v>
      </c>
      <c r="AT17" s="25">
        <v>72</v>
      </c>
      <c r="AU17" s="25">
        <v>205</v>
      </c>
      <c r="AV17" s="25">
        <v>64</v>
      </c>
      <c r="AW17" s="25">
        <v>201</v>
      </c>
      <c r="AX17" s="25">
        <v>64</v>
      </c>
      <c r="AY17" s="25">
        <v>4</v>
      </c>
      <c r="AZ17" s="25">
        <v>5</v>
      </c>
      <c r="BA17" s="25">
        <v>8</v>
      </c>
      <c r="BB17" s="25">
        <v>9</v>
      </c>
      <c r="BC17" s="25">
        <v>41</v>
      </c>
      <c r="BD17" s="25">
        <v>35</v>
      </c>
      <c r="BE17" s="25">
        <v>4</v>
      </c>
      <c r="BF17" s="25">
        <v>7</v>
      </c>
      <c r="BG17" s="25">
        <v>15</v>
      </c>
      <c r="BH17" s="25">
        <v>15</v>
      </c>
      <c r="BI17" s="25">
        <v>2</v>
      </c>
      <c r="BJ17" s="25">
        <v>4</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205</v>
      </c>
      <c r="CH17" s="25">
        <v>79</v>
      </c>
      <c r="CI17" s="25">
        <v>139</v>
      </c>
      <c r="CJ17" s="25">
        <v>59</v>
      </c>
      <c r="CK17" s="25">
        <v>129</v>
      </c>
      <c r="CL17" s="25">
        <v>58</v>
      </c>
      <c r="CM17" s="25">
        <v>10</v>
      </c>
      <c r="CN17" s="25">
        <v>9</v>
      </c>
      <c r="CO17" s="25">
        <v>2</v>
      </c>
      <c r="CP17" s="25">
        <v>4</v>
      </c>
      <c r="CQ17" s="25">
        <v>26</v>
      </c>
      <c r="CR17" s="25">
        <v>32</v>
      </c>
      <c r="CS17" s="25">
        <v>0</v>
      </c>
      <c r="CT17" s="25">
        <v>16</v>
      </c>
      <c r="CU17" s="25">
        <v>24</v>
      </c>
      <c r="CV17" s="25">
        <v>27</v>
      </c>
      <c r="CW17" s="25">
        <v>10</v>
      </c>
      <c r="CX17" s="25">
        <v>13</v>
      </c>
      <c r="CY17" s="25">
        <v>4</v>
      </c>
      <c r="CZ17" s="25">
        <v>5</v>
      </c>
      <c r="DA17" s="25">
        <v>46</v>
      </c>
      <c r="DB17" s="25">
        <v>36</v>
      </c>
      <c r="DC17" s="25">
        <v>46</v>
      </c>
      <c r="DD17" s="25">
        <v>36</v>
      </c>
      <c r="DE17" s="25">
        <v>45</v>
      </c>
      <c r="DF17" s="25">
        <v>36</v>
      </c>
      <c r="DG17" s="25">
        <v>1</v>
      </c>
      <c r="DH17" s="25">
        <v>3</v>
      </c>
      <c r="DI17" s="25">
        <v>0</v>
      </c>
      <c r="DJ17" s="25">
        <v>16</v>
      </c>
      <c r="DK17" s="25">
        <v>0</v>
      </c>
      <c r="DL17" s="25">
        <v>16</v>
      </c>
      <c r="DM17" s="25">
        <v>0</v>
      </c>
      <c r="DN17" s="25">
        <v>16</v>
      </c>
      <c r="DO17" s="25">
        <v>0</v>
      </c>
      <c r="DP17" s="25">
        <v>16</v>
      </c>
      <c r="DQ17" s="25">
        <v>0</v>
      </c>
      <c r="DR17" s="25">
        <v>16</v>
      </c>
      <c r="DS17" s="25">
        <v>0</v>
      </c>
      <c r="DT17" s="25">
        <v>16</v>
      </c>
      <c r="DU17" s="25">
        <v>139</v>
      </c>
      <c r="DV17" s="25">
        <v>50</v>
      </c>
      <c r="DW17" s="25">
        <v>40</v>
      </c>
      <c r="DX17" s="25">
        <v>28</v>
      </c>
      <c r="DY17" s="25">
        <v>30</v>
      </c>
      <c r="DZ17" s="25">
        <v>23</v>
      </c>
      <c r="EA17" s="25">
        <v>10</v>
      </c>
      <c r="EB17" s="25">
        <v>12</v>
      </c>
      <c r="EC17" s="25">
        <v>1</v>
      </c>
      <c r="ED17" s="25">
        <v>3</v>
      </c>
      <c r="EE17" s="25">
        <v>7</v>
      </c>
      <c r="EF17" s="25">
        <v>9</v>
      </c>
      <c r="EG17" s="25">
        <v>0</v>
      </c>
      <c r="EH17" s="25">
        <v>16</v>
      </c>
      <c r="EI17" s="25">
        <v>0</v>
      </c>
      <c r="EJ17" s="25">
        <v>16</v>
      </c>
      <c r="EK17" s="25">
        <v>87</v>
      </c>
      <c r="EL17" s="25">
        <v>40</v>
      </c>
      <c r="EM17" s="25">
        <v>4</v>
      </c>
      <c r="EN17" s="25">
        <v>6</v>
      </c>
    </row>
    <row r="18" spans="1:144" x14ac:dyDescent="0.25">
      <c r="A18" s="19">
        <f t="shared" si="8"/>
        <v>19</v>
      </c>
      <c r="B18" s="20" t="str">
        <f t="shared" si="9"/>
        <v>Grand</v>
      </c>
      <c r="C18" s="24" t="s">
        <v>306</v>
      </c>
      <c r="D18" s="24" t="s">
        <v>307</v>
      </c>
      <c r="E18" s="25">
        <v>4488</v>
      </c>
      <c r="F18" s="25">
        <v>255</v>
      </c>
      <c r="G18" s="25">
        <v>2982</v>
      </c>
      <c r="H18" s="25">
        <v>363</v>
      </c>
      <c r="I18" s="25">
        <v>2835</v>
      </c>
      <c r="J18" s="25">
        <v>361</v>
      </c>
      <c r="K18" s="25">
        <v>147</v>
      </c>
      <c r="L18" s="25">
        <v>82</v>
      </c>
      <c r="M18" s="25">
        <v>258</v>
      </c>
      <c r="N18" s="25">
        <v>116</v>
      </c>
      <c r="O18" s="25">
        <v>398</v>
      </c>
      <c r="P18" s="25">
        <v>179</v>
      </c>
      <c r="Q18" s="25">
        <v>240</v>
      </c>
      <c r="R18" s="25">
        <v>127</v>
      </c>
      <c r="S18" s="25">
        <v>277</v>
      </c>
      <c r="T18" s="25">
        <v>170</v>
      </c>
      <c r="U18" s="25">
        <v>331</v>
      </c>
      <c r="V18" s="25">
        <v>119</v>
      </c>
      <c r="W18" s="25">
        <v>2</v>
      </c>
      <c r="X18" s="25">
        <v>4</v>
      </c>
      <c r="Y18" s="25">
        <v>3081</v>
      </c>
      <c r="Z18" s="25">
        <v>253</v>
      </c>
      <c r="AA18" s="25">
        <v>2006</v>
      </c>
      <c r="AB18" s="25">
        <v>284</v>
      </c>
      <c r="AC18" s="25">
        <v>1899</v>
      </c>
      <c r="AD18" s="25">
        <v>274</v>
      </c>
      <c r="AE18" s="25">
        <v>107</v>
      </c>
      <c r="AF18" s="25">
        <v>71</v>
      </c>
      <c r="AG18" s="25">
        <v>92</v>
      </c>
      <c r="AH18" s="25">
        <v>77</v>
      </c>
      <c r="AI18" s="25">
        <v>272</v>
      </c>
      <c r="AJ18" s="25">
        <v>155</v>
      </c>
      <c r="AK18" s="25">
        <v>229</v>
      </c>
      <c r="AL18" s="25">
        <v>130</v>
      </c>
      <c r="AM18" s="25">
        <v>235</v>
      </c>
      <c r="AN18" s="25">
        <v>150</v>
      </c>
      <c r="AO18" s="25">
        <v>247</v>
      </c>
      <c r="AP18" s="25">
        <v>110</v>
      </c>
      <c r="AQ18" s="25">
        <v>0</v>
      </c>
      <c r="AR18" s="25">
        <v>16</v>
      </c>
      <c r="AS18" s="25">
        <v>484</v>
      </c>
      <c r="AT18" s="25">
        <v>167</v>
      </c>
      <c r="AU18" s="25">
        <v>344</v>
      </c>
      <c r="AV18" s="25">
        <v>146</v>
      </c>
      <c r="AW18" s="25">
        <v>342</v>
      </c>
      <c r="AX18" s="25">
        <v>146</v>
      </c>
      <c r="AY18" s="25">
        <v>2</v>
      </c>
      <c r="AZ18" s="25">
        <v>4</v>
      </c>
      <c r="BA18" s="25">
        <v>3</v>
      </c>
      <c r="BB18" s="25">
        <v>6</v>
      </c>
      <c r="BC18" s="25">
        <v>50</v>
      </c>
      <c r="BD18" s="25">
        <v>45</v>
      </c>
      <c r="BE18" s="25">
        <v>11</v>
      </c>
      <c r="BF18" s="25">
        <v>17</v>
      </c>
      <c r="BG18" s="25">
        <v>20</v>
      </c>
      <c r="BH18" s="25">
        <v>30</v>
      </c>
      <c r="BI18" s="25">
        <v>54</v>
      </c>
      <c r="BJ18" s="25">
        <v>39</v>
      </c>
      <c r="BK18" s="25">
        <v>2</v>
      </c>
      <c r="BL18" s="25">
        <v>4</v>
      </c>
      <c r="BM18" s="25">
        <v>13</v>
      </c>
      <c r="BN18" s="25">
        <v>19</v>
      </c>
      <c r="BO18" s="25">
        <v>0</v>
      </c>
      <c r="BP18" s="25">
        <v>16</v>
      </c>
      <c r="BQ18" s="25">
        <v>0</v>
      </c>
      <c r="BR18" s="25">
        <v>16</v>
      </c>
      <c r="BS18" s="25">
        <v>0</v>
      </c>
      <c r="BT18" s="25">
        <v>16</v>
      </c>
      <c r="BU18" s="25">
        <v>13</v>
      </c>
      <c r="BV18" s="25">
        <v>19</v>
      </c>
      <c r="BW18" s="25">
        <v>0</v>
      </c>
      <c r="BX18" s="25">
        <v>16</v>
      </c>
      <c r="BY18" s="25">
        <v>0</v>
      </c>
      <c r="BZ18" s="25">
        <v>16</v>
      </c>
      <c r="CA18" s="25">
        <v>0</v>
      </c>
      <c r="CB18" s="25">
        <v>16</v>
      </c>
      <c r="CC18" s="25">
        <v>0</v>
      </c>
      <c r="CD18" s="25">
        <v>16</v>
      </c>
      <c r="CE18" s="25">
        <v>0</v>
      </c>
      <c r="CF18" s="25">
        <v>16</v>
      </c>
      <c r="CG18" s="25">
        <v>309</v>
      </c>
      <c r="CH18" s="25">
        <v>138</v>
      </c>
      <c r="CI18" s="25">
        <v>227</v>
      </c>
      <c r="CJ18" s="25">
        <v>128</v>
      </c>
      <c r="CK18" s="25">
        <v>227</v>
      </c>
      <c r="CL18" s="25">
        <v>128</v>
      </c>
      <c r="CM18" s="25">
        <v>0</v>
      </c>
      <c r="CN18" s="25">
        <v>16</v>
      </c>
      <c r="CO18" s="25">
        <v>46</v>
      </c>
      <c r="CP18" s="25">
        <v>49</v>
      </c>
      <c r="CQ18" s="25">
        <v>36</v>
      </c>
      <c r="CR18" s="25">
        <v>42</v>
      </c>
      <c r="CS18" s="25">
        <v>0</v>
      </c>
      <c r="CT18" s="25">
        <v>16</v>
      </c>
      <c r="CU18" s="25">
        <v>0</v>
      </c>
      <c r="CV18" s="25">
        <v>16</v>
      </c>
      <c r="CW18" s="25">
        <v>0</v>
      </c>
      <c r="CX18" s="25">
        <v>16</v>
      </c>
      <c r="CY18" s="25">
        <v>0</v>
      </c>
      <c r="CZ18" s="25">
        <v>16</v>
      </c>
      <c r="DA18" s="25">
        <v>344</v>
      </c>
      <c r="DB18" s="25">
        <v>122</v>
      </c>
      <c r="DC18" s="25">
        <v>232</v>
      </c>
      <c r="DD18" s="25">
        <v>105</v>
      </c>
      <c r="DE18" s="25">
        <v>224</v>
      </c>
      <c r="DF18" s="25">
        <v>104</v>
      </c>
      <c r="DG18" s="25">
        <v>8</v>
      </c>
      <c r="DH18" s="25">
        <v>14</v>
      </c>
      <c r="DI18" s="25">
        <v>70</v>
      </c>
      <c r="DJ18" s="25">
        <v>54</v>
      </c>
      <c r="DK18" s="25">
        <v>35</v>
      </c>
      <c r="DL18" s="25">
        <v>48</v>
      </c>
      <c r="DM18" s="25">
        <v>0</v>
      </c>
      <c r="DN18" s="25">
        <v>16</v>
      </c>
      <c r="DO18" s="25">
        <v>7</v>
      </c>
      <c r="DP18" s="25">
        <v>15</v>
      </c>
      <c r="DQ18" s="25">
        <v>0</v>
      </c>
      <c r="DR18" s="25">
        <v>16</v>
      </c>
      <c r="DS18" s="25">
        <v>0</v>
      </c>
      <c r="DT18" s="25">
        <v>16</v>
      </c>
      <c r="DU18" s="25">
        <v>257</v>
      </c>
      <c r="DV18" s="25">
        <v>122</v>
      </c>
      <c r="DW18" s="25">
        <v>173</v>
      </c>
      <c r="DX18" s="25">
        <v>126</v>
      </c>
      <c r="DY18" s="25">
        <v>143</v>
      </c>
      <c r="DZ18" s="25">
        <v>118</v>
      </c>
      <c r="EA18" s="25">
        <v>30</v>
      </c>
      <c r="EB18" s="25">
        <v>31</v>
      </c>
      <c r="EC18" s="25">
        <v>34</v>
      </c>
      <c r="ED18" s="25">
        <v>34</v>
      </c>
      <c r="EE18" s="25">
        <v>5</v>
      </c>
      <c r="EF18" s="25">
        <v>8</v>
      </c>
      <c r="EG18" s="25">
        <v>0</v>
      </c>
      <c r="EH18" s="25">
        <v>16</v>
      </c>
      <c r="EI18" s="25">
        <v>15</v>
      </c>
      <c r="EJ18" s="25">
        <v>28</v>
      </c>
      <c r="EK18" s="25">
        <v>30</v>
      </c>
      <c r="EL18" s="25">
        <v>26</v>
      </c>
      <c r="EM18" s="25">
        <v>0</v>
      </c>
      <c r="EN18" s="25">
        <v>16</v>
      </c>
    </row>
    <row r="19" spans="1:144" x14ac:dyDescent="0.25">
      <c r="A19" s="19">
        <f t="shared" si="8"/>
        <v>21</v>
      </c>
      <c r="B19" s="20" t="str">
        <f t="shared" si="9"/>
        <v>Iron</v>
      </c>
      <c r="C19" s="24" t="s">
        <v>308</v>
      </c>
      <c r="D19" s="24" t="s">
        <v>309</v>
      </c>
      <c r="E19" s="25">
        <v>18501</v>
      </c>
      <c r="F19" s="25">
        <v>690</v>
      </c>
      <c r="G19" s="25">
        <v>12417</v>
      </c>
      <c r="H19" s="25">
        <v>704</v>
      </c>
      <c r="I19" s="25">
        <v>11548</v>
      </c>
      <c r="J19" s="25">
        <v>718</v>
      </c>
      <c r="K19" s="25">
        <v>869</v>
      </c>
      <c r="L19" s="25">
        <v>154</v>
      </c>
      <c r="M19" s="25">
        <v>810</v>
      </c>
      <c r="N19" s="25">
        <v>180</v>
      </c>
      <c r="O19" s="25">
        <v>1653</v>
      </c>
      <c r="P19" s="25">
        <v>280</v>
      </c>
      <c r="Q19" s="25">
        <v>1803</v>
      </c>
      <c r="R19" s="25">
        <v>301</v>
      </c>
      <c r="S19" s="25">
        <v>638</v>
      </c>
      <c r="T19" s="25">
        <v>164</v>
      </c>
      <c r="U19" s="25">
        <v>1150</v>
      </c>
      <c r="V19" s="25">
        <v>243</v>
      </c>
      <c r="W19" s="25">
        <v>30</v>
      </c>
      <c r="X19" s="25">
        <v>28</v>
      </c>
      <c r="Y19" s="25">
        <v>13953</v>
      </c>
      <c r="Z19" s="25">
        <v>581</v>
      </c>
      <c r="AA19" s="25">
        <v>9574</v>
      </c>
      <c r="AB19" s="25">
        <v>562</v>
      </c>
      <c r="AC19" s="25">
        <v>8964</v>
      </c>
      <c r="AD19" s="25">
        <v>531</v>
      </c>
      <c r="AE19" s="25">
        <v>610</v>
      </c>
      <c r="AF19" s="25">
        <v>157</v>
      </c>
      <c r="AG19" s="25">
        <v>622</v>
      </c>
      <c r="AH19" s="25">
        <v>159</v>
      </c>
      <c r="AI19" s="25">
        <v>1499</v>
      </c>
      <c r="AJ19" s="25">
        <v>270</v>
      </c>
      <c r="AK19" s="25">
        <v>1321</v>
      </c>
      <c r="AL19" s="25">
        <v>231</v>
      </c>
      <c r="AM19" s="25">
        <v>428</v>
      </c>
      <c r="AN19" s="25">
        <v>141</v>
      </c>
      <c r="AO19" s="25">
        <v>483</v>
      </c>
      <c r="AP19" s="25">
        <v>166</v>
      </c>
      <c r="AQ19" s="25">
        <v>26</v>
      </c>
      <c r="AR19" s="25">
        <v>30</v>
      </c>
      <c r="AS19" s="25">
        <v>2690</v>
      </c>
      <c r="AT19" s="25">
        <v>449</v>
      </c>
      <c r="AU19" s="25">
        <v>1957</v>
      </c>
      <c r="AV19" s="25">
        <v>375</v>
      </c>
      <c r="AW19" s="25">
        <v>1816</v>
      </c>
      <c r="AX19" s="25">
        <v>377</v>
      </c>
      <c r="AY19" s="25">
        <v>141</v>
      </c>
      <c r="AZ19" s="25">
        <v>78</v>
      </c>
      <c r="BA19" s="25">
        <v>67</v>
      </c>
      <c r="BB19" s="25">
        <v>54</v>
      </c>
      <c r="BC19" s="25">
        <v>118</v>
      </c>
      <c r="BD19" s="25">
        <v>60</v>
      </c>
      <c r="BE19" s="25">
        <v>192</v>
      </c>
      <c r="BF19" s="25">
        <v>98</v>
      </c>
      <c r="BG19" s="25">
        <v>137</v>
      </c>
      <c r="BH19" s="25">
        <v>81</v>
      </c>
      <c r="BI19" s="25">
        <v>215</v>
      </c>
      <c r="BJ19" s="25">
        <v>99</v>
      </c>
      <c r="BK19" s="25">
        <v>4</v>
      </c>
      <c r="BL19" s="25">
        <v>5</v>
      </c>
      <c r="BM19" s="25">
        <v>65</v>
      </c>
      <c r="BN19" s="25">
        <v>57</v>
      </c>
      <c r="BO19" s="25">
        <v>53</v>
      </c>
      <c r="BP19" s="25">
        <v>55</v>
      </c>
      <c r="BQ19" s="25">
        <v>53</v>
      </c>
      <c r="BR19" s="25">
        <v>55</v>
      </c>
      <c r="BS19" s="25">
        <v>0</v>
      </c>
      <c r="BT19" s="25">
        <v>24</v>
      </c>
      <c r="BU19" s="25">
        <v>0</v>
      </c>
      <c r="BV19" s="25">
        <v>24</v>
      </c>
      <c r="BW19" s="25">
        <v>0</v>
      </c>
      <c r="BX19" s="25">
        <v>24</v>
      </c>
      <c r="BY19" s="25">
        <v>12</v>
      </c>
      <c r="BZ19" s="25">
        <v>20</v>
      </c>
      <c r="CA19" s="25">
        <v>0</v>
      </c>
      <c r="CB19" s="25">
        <v>24</v>
      </c>
      <c r="CC19" s="25">
        <v>0</v>
      </c>
      <c r="CD19" s="25">
        <v>24</v>
      </c>
      <c r="CE19" s="25">
        <v>0</v>
      </c>
      <c r="CF19" s="25">
        <v>24</v>
      </c>
      <c r="CG19" s="25">
        <v>906</v>
      </c>
      <c r="CH19" s="25">
        <v>230</v>
      </c>
      <c r="CI19" s="25">
        <v>458</v>
      </c>
      <c r="CJ19" s="25">
        <v>168</v>
      </c>
      <c r="CK19" s="25">
        <v>421</v>
      </c>
      <c r="CL19" s="25">
        <v>160</v>
      </c>
      <c r="CM19" s="25">
        <v>37</v>
      </c>
      <c r="CN19" s="25">
        <v>34</v>
      </c>
      <c r="CO19" s="25">
        <v>111</v>
      </c>
      <c r="CP19" s="25">
        <v>88</v>
      </c>
      <c r="CQ19" s="25">
        <v>2</v>
      </c>
      <c r="CR19" s="25">
        <v>3</v>
      </c>
      <c r="CS19" s="25">
        <v>181</v>
      </c>
      <c r="CT19" s="25">
        <v>176</v>
      </c>
      <c r="CU19" s="25">
        <v>33</v>
      </c>
      <c r="CV19" s="25">
        <v>31</v>
      </c>
      <c r="CW19" s="25">
        <v>121</v>
      </c>
      <c r="CX19" s="25">
        <v>77</v>
      </c>
      <c r="CY19" s="25">
        <v>0</v>
      </c>
      <c r="CZ19" s="25">
        <v>24</v>
      </c>
      <c r="DA19" s="25">
        <v>330</v>
      </c>
      <c r="DB19" s="25">
        <v>109</v>
      </c>
      <c r="DC19" s="25">
        <v>148</v>
      </c>
      <c r="DD19" s="25">
        <v>77</v>
      </c>
      <c r="DE19" s="25">
        <v>133</v>
      </c>
      <c r="DF19" s="25">
        <v>76</v>
      </c>
      <c r="DG19" s="25">
        <v>15</v>
      </c>
      <c r="DH19" s="25">
        <v>23</v>
      </c>
      <c r="DI19" s="25">
        <v>9</v>
      </c>
      <c r="DJ19" s="25">
        <v>14</v>
      </c>
      <c r="DK19" s="25">
        <v>34</v>
      </c>
      <c r="DL19" s="25">
        <v>32</v>
      </c>
      <c r="DM19" s="25">
        <v>70</v>
      </c>
      <c r="DN19" s="25">
        <v>48</v>
      </c>
      <c r="DO19" s="25">
        <v>40</v>
      </c>
      <c r="DP19" s="25">
        <v>43</v>
      </c>
      <c r="DQ19" s="25">
        <v>29</v>
      </c>
      <c r="DR19" s="25">
        <v>42</v>
      </c>
      <c r="DS19" s="25">
        <v>0</v>
      </c>
      <c r="DT19" s="25">
        <v>24</v>
      </c>
      <c r="DU19" s="25">
        <v>557</v>
      </c>
      <c r="DV19" s="25">
        <v>139</v>
      </c>
      <c r="DW19" s="25">
        <v>227</v>
      </c>
      <c r="DX19" s="25">
        <v>94</v>
      </c>
      <c r="DY19" s="25">
        <v>161</v>
      </c>
      <c r="DZ19" s="25">
        <v>84</v>
      </c>
      <c r="EA19" s="25">
        <v>66</v>
      </c>
      <c r="EB19" s="25">
        <v>45</v>
      </c>
      <c r="EC19" s="25">
        <v>1</v>
      </c>
      <c r="ED19" s="25">
        <v>3</v>
      </c>
      <c r="EE19" s="25">
        <v>0</v>
      </c>
      <c r="EF19" s="25">
        <v>24</v>
      </c>
      <c r="EG19" s="25">
        <v>27</v>
      </c>
      <c r="EH19" s="25">
        <v>30</v>
      </c>
      <c r="EI19" s="25">
        <v>0</v>
      </c>
      <c r="EJ19" s="25">
        <v>24</v>
      </c>
      <c r="EK19" s="25">
        <v>302</v>
      </c>
      <c r="EL19" s="25">
        <v>101</v>
      </c>
      <c r="EM19" s="25">
        <v>0</v>
      </c>
      <c r="EN19" s="25">
        <v>24</v>
      </c>
    </row>
    <row r="20" spans="1:144" x14ac:dyDescent="0.25">
      <c r="A20" s="19">
        <f t="shared" si="8"/>
        <v>23</v>
      </c>
      <c r="B20" s="20" t="str">
        <f t="shared" si="9"/>
        <v>Juab</v>
      </c>
      <c r="C20" s="24" t="s">
        <v>310</v>
      </c>
      <c r="D20" s="24" t="s">
        <v>311</v>
      </c>
      <c r="E20" s="25">
        <v>4273</v>
      </c>
      <c r="F20" s="25">
        <v>234</v>
      </c>
      <c r="G20" s="25">
        <v>3158</v>
      </c>
      <c r="H20" s="25">
        <v>218</v>
      </c>
      <c r="I20" s="25">
        <v>3008</v>
      </c>
      <c r="J20" s="25">
        <v>217</v>
      </c>
      <c r="K20" s="25">
        <v>150</v>
      </c>
      <c r="L20" s="25">
        <v>63</v>
      </c>
      <c r="M20" s="25">
        <v>191</v>
      </c>
      <c r="N20" s="25">
        <v>56</v>
      </c>
      <c r="O20" s="25">
        <v>411</v>
      </c>
      <c r="P20" s="25">
        <v>92</v>
      </c>
      <c r="Q20" s="25">
        <v>253</v>
      </c>
      <c r="R20" s="25">
        <v>76</v>
      </c>
      <c r="S20" s="25">
        <v>114</v>
      </c>
      <c r="T20" s="25">
        <v>57</v>
      </c>
      <c r="U20" s="25">
        <v>144</v>
      </c>
      <c r="V20" s="25">
        <v>52</v>
      </c>
      <c r="W20" s="25">
        <v>2</v>
      </c>
      <c r="X20" s="25">
        <v>6</v>
      </c>
      <c r="Y20" s="25">
        <v>3151</v>
      </c>
      <c r="Z20" s="25">
        <v>257</v>
      </c>
      <c r="AA20" s="25">
        <v>2318</v>
      </c>
      <c r="AB20" s="25">
        <v>235</v>
      </c>
      <c r="AC20" s="25">
        <v>2227</v>
      </c>
      <c r="AD20" s="25">
        <v>240</v>
      </c>
      <c r="AE20" s="25">
        <v>91</v>
      </c>
      <c r="AF20" s="25">
        <v>51</v>
      </c>
      <c r="AG20" s="25">
        <v>133</v>
      </c>
      <c r="AH20" s="25">
        <v>47</v>
      </c>
      <c r="AI20" s="25">
        <v>327</v>
      </c>
      <c r="AJ20" s="25">
        <v>77</v>
      </c>
      <c r="AK20" s="25">
        <v>243</v>
      </c>
      <c r="AL20" s="25">
        <v>76</v>
      </c>
      <c r="AM20" s="25">
        <v>53</v>
      </c>
      <c r="AN20" s="25">
        <v>36</v>
      </c>
      <c r="AO20" s="25">
        <v>75</v>
      </c>
      <c r="AP20" s="25">
        <v>37</v>
      </c>
      <c r="AQ20" s="25">
        <v>2</v>
      </c>
      <c r="AR20" s="25">
        <v>6</v>
      </c>
      <c r="AS20" s="25">
        <v>747</v>
      </c>
      <c r="AT20" s="25">
        <v>172</v>
      </c>
      <c r="AU20" s="25">
        <v>577</v>
      </c>
      <c r="AV20" s="25">
        <v>149</v>
      </c>
      <c r="AW20" s="25">
        <v>558</v>
      </c>
      <c r="AX20" s="25">
        <v>142</v>
      </c>
      <c r="AY20" s="25">
        <v>19</v>
      </c>
      <c r="AZ20" s="25">
        <v>18</v>
      </c>
      <c r="BA20" s="25">
        <v>33</v>
      </c>
      <c r="BB20" s="25">
        <v>32</v>
      </c>
      <c r="BC20" s="25">
        <v>46</v>
      </c>
      <c r="BD20" s="25">
        <v>41</v>
      </c>
      <c r="BE20" s="25">
        <v>6</v>
      </c>
      <c r="BF20" s="25">
        <v>6</v>
      </c>
      <c r="BG20" s="25">
        <v>45</v>
      </c>
      <c r="BH20" s="25">
        <v>36</v>
      </c>
      <c r="BI20" s="25">
        <v>40</v>
      </c>
      <c r="BJ20" s="25">
        <v>31</v>
      </c>
      <c r="BK20" s="25">
        <v>0</v>
      </c>
      <c r="BL20" s="25">
        <v>18</v>
      </c>
      <c r="BM20" s="25">
        <v>18</v>
      </c>
      <c r="BN20" s="25">
        <v>15</v>
      </c>
      <c r="BO20" s="25">
        <v>2</v>
      </c>
      <c r="BP20" s="25">
        <v>3</v>
      </c>
      <c r="BQ20" s="25">
        <v>2</v>
      </c>
      <c r="BR20" s="25">
        <v>3</v>
      </c>
      <c r="BS20" s="25">
        <v>0</v>
      </c>
      <c r="BT20" s="25">
        <v>18</v>
      </c>
      <c r="BU20" s="25">
        <v>10</v>
      </c>
      <c r="BV20" s="25">
        <v>9</v>
      </c>
      <c r="BW20" s="25">
        <v>0</v>
      </c>
      <c r="BX20" s="25">
        <v>18</v>
      </c>
      <c r="BY20" s="25">
        <v>0</v>
      </c>
      <c r="BZ20" s="25">
        <v>18</v>
      </c>
      <c r="CA20" s="25">
        <v>6</v>
      </c>
      <c r="CB20" s="25">
        <v>11</v>
      </c>
      <c r="CC20" s="25">
        <v>0</v>
      </c>
      <c r="CD20" s="25">
        <v>18</v>
      </c>
      <c r="CE20" s="25">
        <v>0</v>
      </c>
      <c r="CF20" s="25">
        <v>18</v>
      </c>
      <c r="CG20" s="25">
        <v>82</v>
      </c>
      <c r="CH20" s="25">
        <v>40</v>
      </c>
      <c r="CI20" s="25">
        <v>61</v>
      </c>
      <c r="CJ20" s="25">
        <v>34</v>
      </c>
      <c r="CK20" s="25">
        <v>56</v>
      </c>
      <c r="CL20" s="25">
        <v>29</v>
      </c>
      <c r="CM20" s="25">
        <v>5</v>
      </c>
      <c r="CN20" s="25">
        <v>9</v>
      </c>
      <c r="CO20" s="25">
        <v>15</v>
      </c>
      <c r="CP20" s="25">
        <v>16</v>
      </c>
      <c r="CQ20" s="25">
        <v>2</v>
      </c>
      <c r="CR20" s="25">
        <v>5</v>
      </c>
      <c r="CS20" s="25">
        <v>4</v>
      </c>
      <c r="CT20" s="25">
        <v>6</v>
      </c>
      <c r="CU20" s="25">
        <v>0</v>
      </c>
      <c r="CV20" s="25">
        <v>18</v>
      </c>
      <c r="CW20" s="25">
        <v>0</v>
      </c>
      <c r="CX20" s="25">
        <v>18</v>
      </c>
      <c r="CY20" s="25">
        <v>0</v>
      </c>
      <c r="CZ20" s="25">
        <v>18</v>
      </c>
      <c r="DA20" s="25">
        <v>100</v>
      </c>
      <c r="DB20" s="25">
        <v>66</v>
      </c>
      <c r="DC20" s="25">
        <v>65</v>
      </c>
      <c r="DD20" s="25">
        <v>57</v>
      </c>
      <c r="DE20" s="25">
        <v>65</v>
      </c>
      <c r="DF20" s="25">
        <v>57</v>
      </c>
      <c r="DG20" s="25">
        <v>0</v>
      </c>
      <c r="DH20" s="25">
        <v>18</v>
      </c>
      <c r="DI20" s="25">
        <v>0</v>
      </c>
      <c r="DJ20" s="25">
        <v>18</v>
      </c>
      <c r="DK20" s="25">
        <v>25</v>
      </c>
      <c r="DL20" s="25">
        <v>26</v>
      </c>
      <c r="DM20" s="25">
        <v>0</v>
      </c>
      <c r="DN20" s="25">
        <v>18</v>
      </c>
      <c r="DO20" s="25">
        <v>10</v>
      </c>
      <c r="DP20" s="25">
        <v>16</v>
      </c>
      <c r="DQ20" s="25">
        <v>0</v>
      </c>
      <c r="DR20" s="25">
        <v>18</v>
      </c>
      <c r="DS20" s="25">
        <v>0</v>
      </c>
      <c r="DT20" s="25">
        <v>18</v>
      </c>
      <c r="DU20" s="25">
        <v>175</v>
      </c>
      <c r="DV20" s="25">
        <v>55</v>
      </c>
      <c r="DW20" s="25">
        <v>135</v>
      </c>
      <c r="DX20" s="25">
        <v>56</v>
      </c>
      <c r="DY20" s="25">
        <v>100</v>
      </c>
      <c r="DZ20" s="25">
        <v>44</v>
      </c>
      <c r="EA20" s="25">
        <v>35</v>
      </c>
      <c r="EB20" s="25">
        <v>33</v>
      </c>
      <c r="EC20" s="25">
        <v>0</v>
      </c>
      <c r="ED20" s="25">
        <v>18</v>
      </c>
      <c r="EE20" s="25">
        <v>11</v>
      </c>
      <c r="EF20" s="25">
        <v>20</v>
      </c>
      <c r="EG20" s="25">
        <v>0</v>
      </c>
      <c r="EH20" s="25">
        <v>18</v>
      </c>
      <c r="EI20" s="25">
        <v>0</v>
      </c>
      <c r="EJ20" s="25">
        <v>18</v>
      </c>
      <c r="EK20" s="25">
        <v>29</v>
      </c>
      <c r="EL20" s="25">
        <v>19</v>
      </c>
      <c r="EM20" s="25">
        <v>0</v>
      </c>
      <c r="EN20" s="25">
        <v>18</v>
      </c>
    </row>
    <row r="21" spans="1:144" x14ac:dyDescent="0.25">
      <c r="A21" s="19">
        <f t="shared" si="8"/>
        <v>25</v>
      </c>
      <c r="B21" s="20" t="str">
        <f t="shared" si="9"/>
        <v>Kane</v>
      </c>
      <c r="C21" s="24" t="s">
        <v>312</v>
      </c>
      <c r="D21" s="24" t="s">
        <v>313</v>
      </c>
      <c r="E21" s="25">
        <v>3412</v>
      </c>
      <c r="F21" s="25">
        <v>226</v>
      </c>
      <c r="G21" s="25">
        <v>1855</v>
      </c>
      <c r="H21" s="25">
        <v>249</v>
      </c>
      <c r="I21" s="25">
        <v>1582</v>
      </c>
      <c r="J21" s="25">
        <v>216</v>
      </c>
      <c r="K21" s="25">
        <v>273</v>
      </c>
      <c r="L21" s="25">
        <v>130</v>
      </c>
      <c r="M21" s="25">
        <v>446</v>
      </c>
      <c r="N21" s="25">
        <v>131</v>
      </c>
      <c r="O21" s="25">
        <v>403</v>
      </c>
      <c r="P21" s="25">
        <v>138</v>
      </c>
      <c r="Q21" s="25">
        <v>235</v>
      </c>
      <c r="R21" s="25">
        <v>105</v>
      </c>
      <c r="S21" s="25">
        <v>229</v>
      </c>
      <c r="T21" s="25">
        <v>122</v>
      </c>
      <c r="U21" s="25">
        <v>238</v>
      </c>
      <c r="V21" s="25">
        <v>103</v>
      </c>
      <c r="W21" s="25">
        <v>6</v>
      </c>
      <c r="X21" s="25">
        <v>8</v>
      </c>
      <c r="Y21" s="25">
        <v>2502</v>
      </c>
      <c r="Z21" s="25">
        <v>210</v>
      </c>
      <c r="AA21" s="25">
        <v>1259</v>
      </c>
      <c r="AB21" s="25">
        <v>193</v>
      </c>
      <c r="AC21" s="25">
        <v>1104</v>
      </c>
      <c r="AD21" s="25">
        <v>182</v>
      </c>
      <c r="AE21" s="25">
        <v>155</v>
      </c>
      <c r="AF21" s="25">
        <v>83</v>
      </c>
      <c r="AG21" s="25">
        <v>401</v>
      </c>
      <c r="AH21" s="25">
        <v>135</v>
      </c>
      <c r="AI21" s="25">
        <v>317</v>
      </c>
      <c r="AJ21" s="25">
        <v>127</v>
      </c>
      <c r="AK21" s="25">
        <v>198</v>
      </c>
      <c r="AL21" s="25">
        <v>102</v>
      </c>
      <c r="AM21" s="25">
        <v>223</v>
      </c>
      <c r="AN21" s="25">
        <v>121</v>
      </c>
      <c r="AO21" s="25">
        <v>104</v>
      </c>
      <c r="AP21" s="25">
        <v>55</v>
      </c>
      <c r="AQ21" s="25">
        <v>0</v>
      </c>
      <c r="AR21" s="25">
        <v>16</v>
      </c>
      <c r="AS21" s="25">
        <v>358</v>
      </c>
      <c r="AT21" s="25">
        <v>113</v>
      </c>
      <c r="AU21" s="25">
        <v>239</v>
      </c>
      <c r="AV21" s="25">
        <v>88</v>
      </c>
      <c r="AW21" s="25">
        <v>237</v>
      </c>
      <c r="AX21" s="25">
        <v>89</v>
      </c>
      <c r="AY21" s="25">
        <v>2</v>
      </c>
      <c r="AZ21" s="25">
        <v>3</v>
      </c>
      <c r="BA21" s="25">
        <v>36</v>
      </c>
      <c r="BB21" s="25">
        <v>32</v>
      </c>
      <c r="BC21" s="25">
        <v>21</v>
      </c>
      <c r="BD21" s="25">
        <v>27</v>
      </c>
      <c r="BE21" s="25">
        <v>36</v>
      </c>
      <c r="BF21" s="25">
        <v>37</v>
      </c>
      <c r="BG21" s="25">
        <v>0</v>
      </c>
      <c r="BH21" s="25">
        <v>16</v>
      </c>
      <c r="BI21" s="25">
        <v>23</v>
      </c>
      <c r="BJ21" s="25">
        <v>24</v>
      </c>
      <c r="BK21" s="25">
        <v>3</v>
      </c>
      <c r="BL21" s="25">
        <v>4</v>
      </c>
      <c r="BM21" s="25">
        <v>0</v>
      </c>
      <c r="BN21" s="25">
        <v>16</v>
      </c>
      <c r="BO21" s="25">
        <v>0</v>
      </c>
      <c r="BP21" s="25">
        <v>16</v>
      </c>
      <c r="BQ21" s="25">
        <v>0</v>
      </c>
      <c r="BR21" s="25">
        <v>16</v>
      </c>
      <c r="BS21" s="25">
        <v>0</v>
      </c>
      <c r="BT21" s="25">
        <v>16</v>
      </c>
      <c r="BU21" s="25">
        <v>0</v>
      </c>
      <c r="BV21" s="25">
        <v>16</v>
      </c>
      <c r="BW21" s="25">
        <v>0</v>
      </c>
      <c r="BX21" s="25">
        <v>16</v>
      </c>
      <c r="BY21" s="25">
        <v>0</v>
      </c>
      <c r="BZ21" s="25">
        <v>16</v>
      </c>
      <c r="CA21" s="25">
        <v>0</v>
      </c>
      <c r="CB21" s="25">
        <v>16</v>
      </c>
      <c r="CC21" s="25">
        <v>0</v>
      </c>
      <c r="CD21" s="25">
        <v>16</v>
      </c>
      <c r="CE21" s="25">
        <v>0</v>
      </c>
      <c r="CF21" s="25">
        <v>16</v>
      </c>
      <c r="CG21" s="25">
        <v>249</v>
      </c>
      <c r="CH21" s="25">
        <v>127</v>
      </c>
      <c r="CI21" s="25">
        <v>182</v>
      </c>
      <c r="CJ21" s="25">
        <v>120</v>
      </c>
      <c r="CK21" s="25">
        <v>142</v>
      </c>
      <c r="CL21" s="25">
        <v>111</v>
      </c>
      <c r="CM21" s="25">
        <v>40</v>
      </c>
      <c r="CN21" s="25">
        <v>40</v>
      </c>
      <c r="CO21" s="25">
        <v>9</v>
      </c>
      <c r="CP21" s="25">
        <v>16</v>
      </c>
      <c r="CQ21" s="25">
        <v>53</v>
      </c>
      <c r="CR21" s="25">
        <v>30</v>
      </c>
      <c r="CS21" s="25">
        <v>0</v>
      </c>
      <c r="CT21" s="25">
        <v>16</v>
      </c>
      <c r="CU21" s="25">
        <v>0</v>
      </c>
      <c r="CV21" s="25">
        <v>16</v>
      </c>
      <c r="CW21" s="25">
        <v>2</v>
      </c>
      <c r="CX21" s="25">
        <v>6</v>
      </c>
      <c r="CY21" s="25">
        <v>3</v>
      </c>
      <c r="CZ21" s="25">
        <v>6</v>
      </c>
      <c r="DA21" s="25">
        <v>99</v>
      </c>
      <c r="DB21" s="25">
        <v>64</v>
      </c>
      <c r="DC21" s="25">
        <v>74</v>
      </c>
      <c r="DD21" s="25">
        <v>59</v>
      </c>
      <c r="DE21" s="25">
        <v>29</v>
      </c>
      <c r="DF21" s="25">
        <v>26</v>
      </c>
      <c r="DG21" s="25">
        <v>45</v>
      </c>
      <c r="DH21" s="25">
        <v>56</v>
      </c>
      <c r="DI21" s="25">
        <v>0</v>
      </c>
      <c r="DJ21" s="25">
        <v>16</v>
      </c>
      <c r="DK21" s="25">
        <v>12</v>
      </c>
      <c r="DL21" s="25">
        <v>20</v>
      </c>
      <c r="DM21" s="25">
        <v>1</v>
      </c>
      <c r="DN21" s="25">
        <v>3</v>
      </c>
      <c r="DO21" s="25">
        <v>0</v>
      </c>
      <c r="DP21" s="25">
        <v>16</v>
      </c>
      <c r="DQ21" s="25">
        <v>12</v>
      </c>
      <c r="DR21" s="25">
        <v>13</v>
      </c>
      <c r="DS21" s="25">
        <v>0</v>
      </c>
      <c r="DT21" s="25">
        <v>16</v>
      </c>
      <c r="DU21" s="25">
        <v>204</v>
      </c>
      <c r="DV21" s="25">
        <v>115</v>
      </c>
      <c r="DW21" s="25">
        <v>101</v>
      </c>
      <c r="DX21" s="25">
        <v>70</v>
      </c>
      <c r="DY21" s="25">
        <v>70</v>
      </c>
      <c r="DZ21" s="25">
        <v>55</v>
      </c>
      <c r="EA21" s="25">
        <v>31</v>
      </c>
      <c r="EB21" s="25">
        <v>39</v>
      </c>
      <c r="EC21" s="25">
        <v>0</v>
      </c>
      <c r="ED21" s="25">
        <v>16</v>
      </c>
      <c r="EE21" s="25">
        <v>0</v>
      </c>
      <c r="EF21" s="25">
        <v>16</v>
      </c>
      <c r="EG21" s="25">
        <v>0</v>
      </c>
      <c r="EH21" s="25">
        <v>16</v>
      </c>
      <c r="EI21" s="25">
        <v>6</v>
      </c>
      <c r="EJ21" s="25">
        <v>6</v>
      </c>
      <c r="EK21" s="25">
        <v>97</v>
      </c>
      <c r="EL21" s="25">
        <v>80</v>
      </c>
      <c r="EM21" s="25">
        <v>0</v>
      </c>
      <c r="EN21" s="25">
        <v>16</v>
      </c>
    </row>
    <row r="22" spans="1:144" x14ac:dyDescent="0.25">
      <c r="A22" s="19">
        <f t="shared" si="8"/>
        <v>27</v>
      </c>
      <c r="B22" s="20" t="str">
        <f t="shared" si="9"/>
        <v>Millard</v>
      </c>
      <c r="C22" s="24" t="s">
        <v>314</v>
      </c>
      <c r="D22" s="24" t="s">
        <v>315</v>
      </c>
      <c r="E22" s="25">
        <v>5029</v>
      </c>
      <c r="F22" s="25">
        <v>212</v>
      </c>
      <c r="G22" s="25">
        <v>3450</v>
      </c>
      <c r="H22" s="25">
        <v>201</v>
      </c>
      <c r="I22" s="25">
        <v>3267</v>
      </c>
      <c r="J22" s="25">
        <v>191</v>
      </c>
      <c r="K22" s="25">
        <v>183</v>
      </c>
      <c r="L22" s="25">
        <v>59</v>
      </c>
      <c r="M22" s="25">
        <v>301</v>
      </c>
      <c r="N22" s="25">
        <v>81</v>
      </c>
      <c r="O22" s="25">
        <v>527</v>
      </c>
      <c r="P22" s="25">
        <v>103</v>
      </c>
      <c r="Q22" s="25">
        <v>207</v>
      </c>
      <c r="R22" s="25">
        <v>57</v>
      </c>
      <c r="S22" s="25">
        <v>99</v>
      </c>
      <c r="T22" s="25">
        <v>35</v>
      </c>
      <c r="U22" s="25">
        <v>423</v>
      </c>
      <c r="V22" s="25">
        <v>79</v>
      </c>
      <c r="W22" s="25">
        <v>22</v>
      </c>
      <c r="X22" s="25">
        <v>21</v>
      </c>
      <c r="Y22" s="25">
        <v>3723</v>
      </c>
      <c r="Z22" s="25">
        <v>231</v>
      </c>
      <c r="AA22" s="25">
        <v>2721</v>
      </c>
      <c r="AB22" s="25">
        <v>202</v>
      </c>
      <c r="AC22" s="25">
        <v>2586</v>
      </c>
      <c r="AD22" s="25">
        <v>191</v>
      </c>
      <c r="AE22" s="25">
        <v>135</v>
      </c>
      <c r="AF22" s="25">
        <v>53</v>
      </c>
      <c r="AG22" s="25">
        <v>219</v>
      </c>
      <c r="AH22" s="25">
        <v>69</v>
      </c>
      <c r="AI22" s="25">
        <v>374</v>
      </c>
      <c r="AJ22" s="25">
        <v>80</v>
      </c>
      <c r="AK22" s="25">
        <v>147</v>
      </c>
      <c r="AL22" s="25">
        <v>55</v>
      </c>
      <c r="AM22" s="25">
        <v>78</v>
      </c>
      <c r="AN22" s="25">
        <v>32</v>
      </c>
      <c r="AO22" s="25">
        <v>179</v>
      </c>
      <c r="AP22" s="25">
        <v>48</v>
      </c>
      <c r="AQ22" s="25">
        <v>5</v>
      </c>
      <c r="AR22" s="25">
        <v>6</v>
      </c>
      <c r="AS22" s="25">
        <v>902</v>
      </c>
      <c r="AT22" s="25">
        <v>142</v>
      </c>
      <c r="AU22" s="25">
        <v>555</v>
      </c>
      <c r="AV22" s="25">
        <v>100</v>
      </c>
      <c r="AW22" s="25">
        <v>539</v>
      </c>
      <c r="AX22" s="25">
        <v>102</v>
      </c>
      <c r="AY22" s="25">
        <v>16</v>
      </c>
      <c r="AZ22" s="25">
        <v>14</v>
      </c>
      <c r="BA22" s="25">
        <v>82</v>
      </c>
      <c r="BB22" s="25">
        <v>51</v>
      </c>
      <c r="BC22" s="25">
        <v>121</v>
      </c>
      <c r="BD22" s="25">
        <v>66</v>
      </c>
      <c r="BE22" s="25">
        <v>39</v>
      </c>
      <c r="BF22" s="25">
        <v>26</v>
      </c>
      <c r="BG22" s="25">
        <v>5</v>
      </c>
      <c r="BH22" s="25">
        <v>6</v>
      </c>
      <c r="BI22" s="25">
        <v>83</v>
      </c>
      <c r="BJ22" s="25">
        <v>32</v>
      </c>
      <c r="BK22" s="25">
        <v>17</v>
      </c>
      <c r="BL22" s="25">
        <v>21</v>
      </c>
      <c r="BM22" s="25">
        <v>11</v>
      </c>
      <c r="BN22" s="25">
        <v>13</v>
      </c>
      <c r="BO22" s="25">
        <v>9</v>
      </c>
      <c r="BP22" s="25">
        <v>13</v>
      </c>
      <c r="BQ22" s="25">
        <v>9</v>
      </c>
      <c r="BR22" s="25">
        <v>13</v>
      </c>
      <c r="BS22" s="25">
        <v>0</v>
      </c>
      <c r="BT22" s="25">
        <v>18</v>
      </c>
      <c r="BU22" s="25">
        <v>0</v>
      </c>
      <c r="BV22" s="25">
        <v>18</v>
      </c>
      <c r="BW22" s="25">
        <v>2</v>
      </c>
      <c r="BX22" s="25">
        <v>4</v>
      </c>
      <c r="BY22" s="25">
        <v>0</v>
      </c>
      <c r="BZ22" s="25">
        <v>18</v>
      </c>
      <c r="CA22" s="25">
        <v>0</v>
      </c>
      <c r="CB22" s="25">
        <v>18</v>
      </c>
      <c r="CC22" s="25">
        <v>0</v>
      </c>
      <c r="CD22" s="25">
        <v>18</v>
      </c>
      <c r="CE22" s="25">
        <v>0</v>
      </c>
      <c r="CF22" s="25">
        <v>18</v>
      </c>
      <c r="CG22" s="25">
        <v>133</v>
      </c>
      <c r="CH22" s="25">
        <v>80</v>
      </c>
      <c r="CI22" s="25">
        <v>62</v>
      </c>
      <c r="CJ22" s="25">
        <v>58</v>
      </c>
      <c r="CK22" s="25">
        <v>51</v>
      </c>
      <c r="CL22" s="25">
        <v>56</v>
      </c>
      <c r="CM22" s="25">
        <v>11</v>
      </c>
      <c r="CN22" s="25">
        <v>14</v>
      </c>
      <c r="CO22" s="25">
        <v>0</v>
      </c>
      <c r="CP22" s="25">
        <v>18</v>
      </c>
      <c r="CQ22" s="25">
        <v>22</v>
      </c>
      <c r="CR22" s="25">
        <v>18</v>
      </c>
      <c r="CS22" s="25">
        <v>9</v>
      </c>
      <c r="CT22" s="25">
        <v>10</v>
      </c>
      <c r="CU22" s="25">
        <v>5</v>
      </c>
      <c r="CV22" s="25">
        <v>6</v>
      </c>
      <c r="CW22" s="25">
        <v>35</v>
      </c>
      <c r="CX22" s="25">
        <v>26</v>
      </c>
      <c r="CY22" s="25">
        <v>0</v>
      </c>
      <c r="CZ22" s="25">
        <v>18</v>
      </c>
      <c r="DA22" s="25">
        <v>86</v>
      </c>
      <c r="DB22" s="25">
        <v>46</v>
      </c>
      <c r="DC22" s="25">
        <v>53</v>
      </c>
      <c r="DD22" s="25">
        <v>31</v>
      </c>
      <c r="DE22" s="25">
        <v>51</v>
      </c>
      <c r="DF22" s="25">
        <v>31</v>
      </c>
      <c r="DG22" s="25">
        <v>2</v>
      </c>
      <c r="DH22" s="25">
        <v>5</v>
      </c>
      <c r="DI22" s="25">
        <v>0</v>
      </c>
      <c r="DJ22" s="25">
        <v>18</v>
      </c>
      <c r="DK22" s="25">
        <v>8</v>
      </c>
      <c r="DL22" s="25">
        <v>10</v>
      </c>
      <c r="DM22" s="25">
        <v>8</v>
      </c>
      <c r="DN22" s="25">
        <v>14</v>
      </c>
      <c r="DO22" s="25">
        <v>8</v>
      </c>
      <c r="DP22" s="25">
        <v>10</v>
      </c>
      <c r="DQ22" s="25">
        <v>9</v>
      </c>
      <c r="DR22" s="25">
        <v>14</v>
      </c>
      <c r="DS22" s="25">
        <v>0</v>
      </c>
      <c r="DT22" s="25">
        <v>18</v>
      </c>
      <c r="DU22" s="25">
        <v>174</v>
      </c>
      <c r="DV22" s="25">
        <v>61</v>
      </c>
      <c r="DW22" s="25">
        <v>50</v>
      </c>
      <c r="DX22" s="25">
        <v>28</v>
      </c>
      <c r="DY22" s="25">
        <v>31</v>
      </c>
      <c r="DZ22" s="25">
        <v>22</v>
      </c>
      <c r="EA22" s="25">
        <v>19</v>
      </c>
      <c r="EB22" s="25">
        <v>22</v>
      </c>
      <c r="EC22" s="25">
        <v>0</v>
      </c>
      <c r="ED22" s="25">
        <v>18</v>
      </c>
      <c r="EE22" s="25">
        <v>0</v>
      </c>
      <c r="EF22" s="25">
        <v>18</v>
      </c>
      <c r="EG22" s="25">
        <v>4</v>
      </c>
      <c r="EH22" s="25">
        <v>5</v>
      </c>
      <c r="EI22" s="25">
        <v>3</v>
      </c>
      <c r="EJ22" s="25">
        <v>4</v>
      </c>
      <c r="EK22" s="25">
        <v>117</v>
      </c>
      <c r="EL22" s="25">
        <v>51</v>
      </c>
      <c r="EM22" s="25">
        <v>0</v>
      </c>
      <c r="EN22" s="25">
        <v>18</v>
      </c>
    </row>
    <row r="23" spans="1:144" x14ac:dyDescent="0.25">
      <c r="A23" s="19">
        <f t="shared" si="8"/>
        <v>29</v>
      </c>
      <c r="B23" s="20" t="str">
        <f t="shared" si="9"/>
        <v>Morgan</v>
      </c>
      <c r="C23" s="24" t="s">
        <v>316</v>
      </c>
      <c r="D23" s="24" t="s">
        <v>317</v>
      </c>
      <c r="E23" s="25">
        <v>4031</v>
      </c>
      <c r="F23" s="25">
        <v>196</v>
      </c>
      <c r="G23" s="25">
        <v>2909</v>
      </c>
      <c r="H23" s="25">
        <v>219</v>
      </c>
      <c r="I23" s="25">
        <v>2606</v>
      </c>
      <c r="J23" s="25">
        <v>233</v>
      </c>
      <c r="K23" s="25">
        <v>303</v>
      </c>
      <c r="L23" s="25">
        <v>118</v>
      </c>
      <c r="M23" s="25">
        <v>134</v>
      </c>
      <c r="N23" s="25">
        <v>60</v>
      </c>
      <c r="O23" s="25">
        <v>306</v>
      </c>
      <c r="P23" s="25">
        <v>76</v>
      </c>
      <c r="Q23" s="25">
        <v>150</v>
      </c>
      <c r="R23" s="25">
        <v>63</v>
      </c>
      <c r="S23" s="25">
        <v>311</v>
      </c>
      <c r="T23" s="25">
        <v>77</v>
      </c>
      <c r="U23" s="25">
        <v>221</v>
      </c>
      <c r="V23" s="25">
        <v>88</v>
      </c>
      <c r="W23" s="25">
        <v>0</v>
      </c>
      <c r="X23" s="25">
        <v>16</v>
      </c>
      <c r="Y23" s="25">
        <v>3224</v>
      </c>
      <c r="Z23" s="25">
        <v>246</v>
      </c>
      <c r="AA23" s="25">
        <v>2384</v>
      </c>
      <c r="AB23" s="25">
        <v>249</v>
      </c>
      <c r="AC23" s="25">
        <v>2134</v>
      </c>
      <c r="AD23" s="25">
        <v>255</v>
      </c>
      <c r="AE23" s="25">
        <v>250</v>
      </c>
      <c r="AF23" s="25">
        <v>94</v>
      </c>
      <c r="AG23" s="25">
        <v>121</v>
      </c>
      <c r="AH23" s="25">
        <v>59</v>
      </c>
      <c r="AI23" s="25">
        <v>240</v>
      </c>
      <c r="AJ23" s="25">
        <v>67</v>
      </c>
      <c r="AK23" s="25">
        <v>125</v>
      </c>
      <c r="AL23" s="25">
        <v>61</v>
      </c>
      <c r="AM23" s="25">
        <v>255</v>
      </c>
      <c r="AN23" s="25">
        <v>79</v>
      </c>
      <c r="AO23" s="25">
        <v>99</v>
      </c>
      <c r="AP23" s="25">
        <v>53</v>
      </c>
      <c r="AQ23" s="25">
        <v>0</v>
      </c>
      <c r="AR23" s="25">
        <v>16</v>
      </c>
      <c r="AS23" s="25">
        <v>480</v>
      </c>
      <c r="AT23" s="25">
        <v>123</v>
      </c>
      <c r="AU23" s="25">
        <v>348</v>
      </c>
      <c r="AV23" s="25">
        <v>102</v>
      </c>
      <c r="AW23" s="25">
        <v>332</v>
      </c>
      <c r="AX23" s="25">
        <v>95</v>
      </c>
      <c r="AY23" s="25">
        <v>16</v>
      </c>
      <c r="AZ23" s="25">
        <v>25</v>
      </c>
      <c r="BA23" s="25">
        <v>9</v>
      </c>
      <c r="BB23" s="25">
        <v>15</v>
      </c>
      <c r="BC23" s="25">
        <v>49</v>
      </c>
      <c r="BD23" s="25">
        <v>35</v>
      </c>
      <c r="BE23" s="25">
        <v>8</v>
      </c>
      <c r="BF23" s="25">
        <v>11</v>
      </c>
      <c r="BG23" s="25">
        <v>46</v>
      </c>
      <c r="BH23" s="25">
        <v>29</v>
      </c>
      <c r="BI23" s="25">
        <v>20</v>
      </c>
      <c r="BJ23" s="25">
        <v>29</v>
      </c>
      <c r="BK23" s="25">
        <v>0</v>
      </c>
      <c r="BL23" s="25">
        <v>16</v>
      </c>
      <c r="BM23" s="25">
        <v>35</v>
      </c>
      <c r="BN23" s="25">
        <v>30</v>
      </c>
      <c r="BO23" s="25">
        <v>14</v>
      </c>
      <c r="BP23" s="25">
        <v>23</v>
      </c>
      <c r="BQ23" s="25">
        <v>14</v>
      </c>
      <c r="BR23" s="25">
        <v>23</v>
      </c>
      <c r="BS23" s="25">
        <v>0</v>
      </c>
      <c r="BT23" s="25">
        <v>16</v>
      </c>
      <c r="BU23" s="25">
        <v>0</v>
      </c>
      <c r="BV23" s="25">
        <v>16</v>
      </c>
      <c r="BW23" s="25">
        <v>0</v>
      </c>
      <c r="BX23" s="25">
        <v>16</v>
      </c>
      <c r="BY23" s="25">
        <v>11</v>
      </c>
      <c r="BZ23" s="25">
        <v>12</v>
      </c>
      <c r="CA23" s="25">
        <v>10</v>
      </c>
      <c r="CB23" s="25">
        <v>16</v>
      </c>
      <c r="CC23" s="25">
        <v>0</v>
      </c>
      <c r="CD23" s="25">
        <v>16</v>
      </c>
      <c r="CE23" s="25">
        <v>0</v>
      </c>
      <c r="CF23" s="25">
        <v>16</v>
      </c>
      <c r="CG23" s="25">
        <v>80</v>
      </c>
      <c r="CH23" s="25">
        <v>47</v>
      </c>
      <c r="CI23" s="25">
        <v>50</v>
      </c>
      <c r="CJ23" s="25">
        <v>36</v>
      </c>
      <c r="CK23" s="25">
        <v>42</v>
      </c>
      <c r="CL23" s="25">
        <v>28</v>
      </c>
      <c r="CM23" s="25">
        <v>8</v>
      </c>
      <c r="CN23" s="25">
        <v>12</v>
      </c>
      <c r="CO23" s="25">
        <v>0</v>
      </c>
      <c r="CP23" s="25">
        <v>16</v>
      </c>
      <c r="CQ23" s="25">
        <v>6</v>
      </c>
      <c r="CR23" s="25">
        <v>9</v>
      </c>
      <c r="CS23" s="25">
        <v>0</v>
      </c>
      <c r="CT23" s="25">
        <v>16</v>
      </c>
      <c r="CU23" s="25">
        <v>0</v>
      </c>
      <c r="CV23" s="25">
        <v>16</v>
      </c>
      <c r="CW23" s="25">
        <v>24</v>
      </c>
      <c r="CX23" s="25">
        <v>24</v>
      </c>
      <c r="CY23" s="25">
        <v>0</v>
      </c>
      <c r="CZ23" s="25">
        <v>16</v>
      </c>
      <c r="DA23" s="25">
        <v>35</v>
      </c>
      <c r="DB23" s="25">
        <v>29</v>
      </c>
      <c r="DC23" s="25">
        <v>35</v>
      </c>
      <c r="DD23" s="25">
        <v>29</v>
      </c>
      <c r="DE23" s="25">
        <v>35</v>
      </c>
      <c r="DF23" s="25">
        <v>29</v>
      </c>
      <c r="DG23" s="25">
        <v>0</v>
      </c>
      <c r="DH23" s="25">
        <v>16</v>
      </c>
      <c r="DI23" s="25">
        <v>0</v>
      </c>
      <c r="DJ23" s="25">
        <v>16</v>
      </c>
      <c r="DK23" s="25">
        <v>0</v>
      </c>
      <c r="DL23" s="25">
        <v>16</v>
      </c>
      <c r="DM23" s="25">
        <v>0</v>
      </c>
      <c r="DN23" s="25">
        <v>16</v>
      </c>
      <c r="DO23" s="25">
        <v>0</v>
      </c>
      <c r="DP23" s="25">
        <v>16</v>
      </c>
      <c r="DQ23" s="25">
        <v>0</v>
      </c>
      <c r="DR23" s="25">
        <v>16</v>
      </c>
      <c r="DS23" s="25">
        <v>0</v>
      </c>
      <c r="DT23" s="25">
        <v>16</v>
      </c>
      <c r="DU23" s="25">
        <v>177</v>
      </c>
      <c r="DV23" s="25">
        <v>75</v>
      </c>
      <c r="DW23" s="25">
        <v>78</v>
      </c>
      <c r="DX23" s="25">
        <v>60</v>
      </c>
      <c r="DY23" s="25">
        <v>49</v>
      </c>
      <c r="DZ23" s="25">
        <v>48</v>
      </c>
      <c r="EA23" s="25">
        <v>29</v>
      </c>
      <c r="EB23" s="25">
        <v>37</v>
      </c>
      <c r="EC23" s="25">
        <v>4</v>
      </c>
      <c r="ED23" s="25">
        <v>7</v>
      </c>
      <c r="EE23" s="25">
        <v>11</v>
      </c>
      <c r="EF23" s="25">
        <v>13</v>
      </c>
      <c r="EG23" s="25">
        <v>6</v>
      </c>
      <c r="EH23" s="25">
        <v>10</v>
      </c>
      <c r="EI23" s="25">
        <v>0</v>
      </c>
      <c r="EJ23" s="25">
        <v>16</v>
      </c>
      <c r="EK23" s="25">
        <v>78</v>
      </c>
      <c r="EL23" s="25">
        <v>44</v>
      </c>
      <c r="EM23" s="25">
        <v>0</v>
      </c>
      <c r="EN23" s="25">
        <v>16</v>
      </c>
    </row>
    <row r="24" spans="1:144" x14ac:dyDescent="0.25">
      <c r="A24" s="19">
        <f t="shared" si="8"/>
        <v>31</v>
      </c>
      <c r="B24" s="20" t="str">
        <f t="shared" si="9"/>
        <v>Piute</v>
      </c>
      <c r="C24" s="24" t="s">
        <v>318</v>
      </c>
      <c r="D24" s="24" t="s">
        <v>319</v>
      </c>
      <c r="E24" s="25">
        <v>546</v>
      </c>
      <c r="F24" s="25">
        <v>53</v>
      </c>
      <c r="G24" s="25">
        <v>250</v>
      </c>
      <c r="H24" s="25">
        <v>39</v>
      </c>
      <c r="I24" s="25">
        <v>225</v>
      </c>
      <c r="J24" s="25">
        <v>34</v>
      </c>
      <c r="K24" s="25">
        <v>25</v>
      </c>
      <c r="L24" s="25">
        <v>18</v>
      </c>
      <c r="M24" s="25">
        <v>13</v>
      </c>
      <c r="N24" s="25">
        <v>11</v>
      </c>
      <c r="O24" s="25">
        <v>102</v>
      </c>
      <c r="P24" s="25">
        <v>35</v>
      </c>
      <c r="Q24" s="25">
        <v>116</v>
      </c>
      <c r="R24" s="25">
        <v>40</v>
      </c>
      <c r="S24" s="25">
        <v>12</v>
      </c>
      <c r="T24" s="25">
        <v>9</v>
      </c>
      <c r="U24" s="25">
        <v>53</v>
      </c>
      <c r="V24" s="25">
        <v>21</v>
      </c>
      <c r="W24" s="25">
        <v>0</v>
      </c>
      <c r="X24" s="25">
        <v>11</v>
      </c>
      <c r="Y24" s="25">
        <v>406</v>
      </c>
      <c r="Z24" s="25">
        <v>55</v>
      </c>
      <c r="AA24" s="25">
        <v>178</v>
      </c>
      <c r="AB24" s="25">
        <v>40</v>
      </c>
      <c r="AC24" s="25">
        <v>158</v>
      </c>
      <c r="AD24" s="25">
        <v>36</v>
      </c>
      <c r="AE24" s="25">
        <v>20</v>
      </c>
      <c r="AF24" s="25">
        <v>17</v>
      </c>
      <c r="AG24" s="25">
        <v>11</v>
      </c>
      <c r="AH24" s="25">
        <v>11</v>
      </c>
      <c r="AI24" s="25">
        <v>92</v>
      </c>
      <c r="AJ24" s="25">
        <v>36</v>
      </c>
      <c r="AK24" s="25">
        <v>94</v>
      </c>
      <c r="AL24" s="25">
        <v>36</v>
      </c>
      <c r="AM24" s="25">
        <v>9</v>
      </c>
      <c r="AN24" s="25">
        <v>8</v>
      </c>
      <c r="AO24" s="25">
        <v>22</v>
      </c>
      <c r="AP24" s="25">
        <v>12</v>
      </c>
      <c r="AQ24" s="25">
        <v>0</v>
      </c>
      <c r="AR24" s="25">
        <v>11</v>
      </c>
      <c r="AS24" s="25">
        <v>39</v>
      </c>
      <c r="AT24" s="25">
        <v>20</v>
      </c>
      <c r="AU24" s="25">
        <v>18</v>
      </c>
      <c r="AV24" s="25">
        <v>12</v>
      </c>
      <c r="AW24" s="25">
        <v>18</v>
      </c>
      <c r="AX24" s="25">
        <v>12</v>
      </c>
      <c r="AY24" s="25">
        <v>0</v>
      </c>
      <c r="AZ24" s="25">
        <v>11</v>
      </c>
      <c r="BA24" s="25">
        <v>2</v>
      </c>
      <c r="BB24" s="25">
        <v>3</v>
      </c>
      <c r="BC24" s="25">
        <v>5</v>
      </c>
      <c r="BD24" s="25">
        <v>7</v>
      </c>
      <c r="BE24" s="25">
        <v>12</v>
      </c>
      <c r="BF24" s="25">
        <v>10</v>
      </c>
      <c r="BG24" s="25">
        <v>0</v>
      </c>
      <c r="BH24" s="25">
        <v>11</v>
      </c>
      <c r="BI24" s="25">
        <v>2</v>
      </c>
      <c r="BJ24" s="25">
        <v>3</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33</v>
      </c>
      <c r="CH24" s="25">
        <v>16</v>
      </c>
      <c r="CI24" s="25">
        <v>13</v>
      </c>
      <c r="CJ24" s="25">
        <v>12</v>
      </c>
      <c r="CK24" s="25">
        <v>13</v>
      </c>
      <c r="CL24" s="25">
        <v>12</v>
      </c>
      <c r="CM24" s="25">
        <v>0</v>
      </c>
      <c r="CN24" s="25">
        <v>11</v>
      </c>
      <c r="CO24" s="25">
        <v>0</v>
      </c>
      <c r="CP24" s="25">
        <v>11</v>
      </c>
      <c r="CQ24" s="25">
        <v>5</v>
      </c>
      <c r="CR24" s="25">
        <v>4</v>
      </c>
      <c r="CS24" s="25">
        <v>1</v>
      </c>
      <c r="CT24" s="25">
        <v>3</v>
      </c>
      <c r="CU24" s="25">
        <v>0</v>
      </c>
      <c r="CV24" s="25">
        <v>11</v>
      </c>
      <c r="CW24" s="25">
        <v>14</v>
      </c>
      <c r="CX24" s="25">
        <v>12</v>
      </c>
      <c r="CY24" s="25">
        <v>0</v>
      </c>
      <c r="CZ24" s="25">
        <v>11</v>
      </c>
      <c r="DA24" s="25">
        <v>26</v>
      </c>
      <c r="DB24" s="25">
        <v>15</v>
      </c>
      <c r="DC24" s="25">
        <v>23</v>
      </c>
      <c r="DD24" s="25">
        <v>14</v>
      </c>
      <c r="DE24" s="25">
        <v>23</v>
      </c>
      <c r="DF24" s="25">
        <v>14</v>
      </c>
      <c r="DG24" s="25">
        <v>0</v>
      </c>
      <c r="DH24" s="25">
        <v>11</v>
      </c>
      <c r="DI24" s="25">
        <v>0</v>
      </c>
      <c r="DJ24" s="25">
        <v>11</v>
      </c>
      <c r="DK24" s="25">
        <v>0</v>
      </c>
      <c r="DL24" s="25">
        <v>11</v>
      </c>
      <c r="DM24" s="25">
        <v>0</v>
      </c>
      <c r="DN24" s="25">
        <v>11</v>
      </c>
      <c r="DO24" s="25">
        <v>0</v>
      </c>
      <c r="DP24" s="25">
        <v>11</v>
      </c>
      <c r="DQ24" s="25">
        <v>3</v>
      </c>
      <c r="DR24" s="25">
        <v>3</v>
      </c>
      <c r="DS24" s="25">
        <v>0</v>
      </c>
      <c r="DT24" s="25">
        <v>11</v>
      </c>
      <c r="DU24" s="25">
        <v>42</v>
      </c>
      <c r="DV24" s="25">
        <v>26</v>
      </c>
      <c r="DW24" s="25">
        <v>18</v>
      </c>
      <c r="DX24" s="25">
        <v>15</v>
      </c>
      <c r="DY24" s="25">
        <v>13</v>
      </c>
      <c r="DZ24" s="25">
        <v>13</v>
      </c>
      <c r="EA24" s="25">
        <v>5</v>
      </c>
      <c r="EB24" s="25">
        <v>8</v>
      </c>
      <c r="EC24" s="25">
        <v>0</v>
      </c>
      <c r="ED24" s="25">
        <v>11</v>
      </c>
      <c r="EE24" s="25">
        <v>0</v>
      </c>
      <c r="EF24" s="25">
        <v>11</v>
      </c>
      <c r="EG24" s="25">
        <v>9</v>
      </c>
      <c r="EH24" s="25">
        <v>11</v>
      </c>
      <c r="EI24" s="25">
        <v>3</v>
      </c>
      <c r="EJ24" s="25">
        <v>4</v>
      </c>
      <c r="EK24" s="25">
        <v>12</v>
      </c>
      <c r="EL24" s="25">
        <v>10</v>
      </c>
      <c r="EM24" s="25">
        <v>0</v>
      </c>
      <c r="EN24" s="25">
        <v>11</v>
      </c>
    </row>
    <row r="25" spans="1:144" x14ac:dyDescent="0.25">
      <c r="A25" s="19">
        <f t="shared" si="8"/>
        <v>33</v>
      </c>
      <c r="B25" s="20" t="str">
        <f t="shared" si="9"/>
        <v>Rich</v>
      </c>
      <c r="C25" s="24" t="s">
        <v>320</v>
      </c>
      <c r="D25" s="24" t="s">
        <v>321</v>
      </c>
      <c r="E25" s="25">
        <v>886</v>
      </c>
      <c r="F25" s="25">
        <v>105</v>
      </c>
      <c r="G25" s="25">
        <v>512</v>
      </c>
      <c r="H25" s="25">
        <v>79</v>
      </c>
      <c r="I25" s="25">
        <v>409</v>
      </c>
      <c r="J25" s="25">
        <v>74</v>
      </c>
      <c r="K25" s="25">
        <v>103</v>
      </c>
      <c r="L25" s="25">
        <v>37</v>
      </c>
      <c r="M25" s="25">
        <v>39</v>
      </c>
      <c r="N25" s="25">
        <v>25</v>
      </c>
      <c r="O25" s="25">
        <v>138</v>
      </c>
      <c r="P25" s="25">
        <v>49</v>
      </c>
      <c r="Q25" s="25">
        <v>58</v>
      </c>
      <c r="R25" s="25">
        <v>21</v>
      </c>
      <c r="S25" s="25">
        <v>9</v>
      </c>
      <c r="T25" s="25">
        <v>8</v>
      </c>
      <c r="U25" s="25">
        <v>119</v>
      </c>
      <c r="V25" s="25">
        <v>50</v>
      </c>
      <c r="W25" s="25">
        <v>11</v>
      </c>
      <c r="X25" s="25">
        <v>17</v>
      </c>
      <c r="Y25" s="25">
        <v>648</v>
      </c>
      <c r="Z25" s="25">
        <v>93</v>
      </c>
      <c r="AA25" s="25">
        <v>372</v>
      </c>
      <c r="AB25" s="25">
        <v>76</v>
      </c>
      <c r="AC25" s="25">
        <v>311</v>
      </c>
      <c r="AD25" s="25">
        <v>71</v>
      </c>
      <c r="AE25" s="25">
        <v>61</v>
      </c>
      <c r="AF25" s="25">
        <v>31</v>
      </c>
      <c r="AG25" s="25">
        <v>37</v>
      </c>
      <c r="AH25" s="25">
        <v>25</v>
      </c>
      <c r="AI25" s="25">
        <v>125</v>
      </c>
      <c r="AJ25" s="25">
        <v>48</v>
      </c>
      <c r="AK25" s="25">
        <v>41</v>
      </c>
      <c r="AL25" s="25">
        <v>19</v>
      </c>
      <c r="AM25" s="25">
        <v>9</v>
      </c>
      <c r="AN25" s="25">
        <v>8</v>
      </c>
      <c r="AO25" s="25">
        <v>64</v>
      </c>
      <c r="AP25" s="25">
        <v>35</v>
      </c>
      <c r="AQ25" s="25">
        <v>0</v>
      </c>
      <c r="AR25" s="25">
        <v>11</v>
      </c>
      <c r="AS25" s="25">
        <v>90</v>
      </c>
      <c r="AT25" s="25">
        <v>30</v>
      </c>
      <c r="AU25" s="25">
        <v>77</v>
      </c>
      <c r="AV25" s="25">
        <v>29</v>
      </c>
      <c r="AW25" s="25">
        <v>70</v>
      </c>
      <c r="AX25" s="25">
        <v>29</v>
      </c>
      <c r="AY25" s="25">
        <v>7</v>
      </c>
      <c r="AZ25" s="25">
        <v>5</v>
      </c>
      <c r="BA25" s="25">
        <v>0</v>
      </c>
      <c r="BB25" s="25">
        <v>11</v>
      </c>
      <c r="BC25" s="25">
        <v>4</v>
      </c>
      <c r="BD25" s="25">
        <v>5</v>
      </c>
      <c r="BE25" s="25">
        <v>0</v>
      </c>
      <c r="BF25" s="25">
        <v>11</v>
      </c>
      <c r="BG25" s="25">
        <v>0</v>
      </c>
      <c r="BH25" s="25">
        <v>11</v>
      </c>
      <c r="BI25" s="25">
        <v>9</v>
      </c>
      <c r="BJ25" s="25">
        <v>7</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55</v>
      </c>
      <c r="CH25" s="25">
        <v>28</v>
      </c>
      <c r="CI25" s="25">
        <v>29</v>
      </c>
      <c r="CJ25" s="25">
        <v>21</v>
      </c>
      <c r="CK25" s="25">
        <v>24</v>
      </c>
      <c r="CL25" s="25">
        <v>20</v>
      </c>
      <c r="CM25" s="25">
        <v>5</v>
      </c>
      <c r="CN25" s="25">
        <v>7</v>
      </c>
      <c r="CO25" s="25">
        <v>0</v>
      </c>
      <c r="CP25" s="25">
        <v>11</v>
      </c>
      <c r="CQ25" s="25">
        <v>7</v>
      </c>
      <c r="CR25" s="25">
        <v>11</v>
      </c>
      <c r="CS25" s="25">
        <v>15</v>
      </c>
      <c r="CT25" s="25">
        <v>14</v>
      </c>
      <c r="CU25" s="25">
        <v>0</v>
      </c>
      <c r="CV25" s="25">
        <v>11</v>
      </c>
      <c r="CW25" s="25">
        <v>4</v>
      </c>
      <c r="CX25" s="25">
        <v>5</v>
      </c>
      <c r="CY25" s="25">
        <v>0</v>
      </c>
      <c r="CZ25" s="25">
        <v>11</v>
      </c>
      <c r="DA25" s="25">
        <v>32</v>
      </c>
      <c r="DB25" s="25">
        <v>39</v>
      </c>
      <c r="DC25" s="25">
        <v>2</v>
      </c>
      <c r="DD25" s="25">
        <v>3</v>
      </c>
      <c r="DE25" s="25">
        <v>0</v>
      </c>
      <c r="DF25" s="25">
        <v>11</v>
      </c>
      <c r="DG25" s="25">
        <v>2</v>
      </c>
      <c r="DH25" s="25">
        <v>3</v>
      </c>
      <c r="DI25" s="25">
        <v>0</v>
      </c>
      <c r="DJ25" s="25">
        <v>11</v>
      </c>
      <c r="DK25" s="25">
        <v>0</v>
      </c>
      <c r="DL25" s="25">
        <v>11</v>
      </c>
      <c r="DM25" s="25">
        <v>0</v>
      </c>
      <c r="DN25" s="25">
        <v>11</v>
      </c>
      <c r="DO25" s="25">
        <v>0</v>
      </c>
      <c r="DP25" s="25">
        <v>11</v>
      </c>
      <c r="DQ25" s="25">
        <v>30</v>
      </c>
      <c r="DR25" s="25">
        <v>39</v>
      </c>
      <c r="DS25" s="25">
        <v>0</v>
      </c>
      <c r="DT25" s="25">
        <v>11</v>
      </c>
      <c r="DU25" s="25">
        <v>59</v>
      </c>
      <c r="DV25" s="25">
        <v>27</v>
      </c>
      <c r="DW25" s="25">
        <v>32</v>
      </c>
      <c r="DX25" s="25">
        <v>20</v>
      </c>
      <c r="DY25" s="25">
        <v>4</v>
      </c>
      <c r="DZ25" s="25">
        <v>4</v>
      </c>
      <c r="EA25" s="25">
        <v>28</v>
      </c>
      <c r="EB25" s="25">
        <v>19</v>
      </c>
      <c r="EC25" s="25">
        <v>0</v>
      </c>
      <c r="ED25" s="25">
        <v>11</v>
      </c>
      <c r="EE25" s="25">
        <v>2</v>
      </c>
      <c r="EF25" s="25">
        <v>4</v>
      </c>
      <c r="EG25" s="25">
        <v>2</v>
      </c>
      <c r="EH25" s="25">
        <v>3</v>
      </c>
      <c r="EI25" s="25">
        <v>0</v>
      </c>
      <c r="EJ25" s="25">
        <v>11</v>
      </c>
      <c r="EK25" s="25">
        <v>12</v>
      </c>
      <c r="EL25" s="25">
        <v>9</v>
      </c>
      <c r="EM25" s="25">
        <v>11</v>
      </c>
      <c r="EN25" s="25">
        <v>17</v>
      </c>
    </row>
    <row r="26" spans="1:144" x14ac:dyDescent="0.25">
      <c r="A26" s="19">
        <f t="shared" si="8"/>
        <v>35</v>
      </c>
      <c r="B26" s="20" t="str">
        <f t="shared" si="9"/>
        <v>Salt Lake</v>
      </c>
      <c r="C26" s="24" t="s">
        <v>322</v>
      </c>
      <c r="D26" s="24" t="s">
        <v>323</v>
      </c>
      <c r="E26" s="25">
        <v>499823</v>
      </c>
      <c r="F26" s="25">
        <v>2723</v>
      </c>
      <c r="G26" s="25">
        <v>372522</v>
      </c>
      <c r="H26" s="25">
        <v>2837</v>
      </c>
      <c r="I26" s="25">
        <v>353693</v>
      </c>
      <c r="J26" s="25">
        <v>2790</v>
      </c>
      <c r="K26" s="25">
        <v>18829</v>
      </c>
      <c r="L26" s="25">
        <v>896</v>
      </c>
      <c r="M26" s="25">
        <v>33370</v>
      </c>
      <c r="N26" s="25">
        <v>1253</v>
      </c>
      <c r="O26" s="25">
        <v>28477</v>
      </c>
      <c r="P26" s="25">
        <v>1090</v>
      </c>
      <c r="Q26" s="25">
        <v>30019</v>
      </c>
      <c r="R26" s="25">
        <v>1127</v>
      </c>
      <c r="S26" s="25">
        <v>11289</v>
      </c>
      <c r="T26" s="25">
        <v>733</v>
      </c>
      <c r="U26" s="25">
        <v>23588</v>
      </c>
      <c r="V26" s="25">
        <v>914</v>
      </c>
      <c r="W26" s="25">
        <v>558</v>
      </c>
      <c r="X26" s="25">
        <v>161</v>
      </c>
      <c r="Y26" s="25">
        <v>381598</v>
      </c>
      <c r="Z26" s="25">
        <v>3125</v>
      </c>
      <c r="AA26" s="25">
        <v>288843</v>
      </c>
      <c r="AB26" s="25">
        <v>2988</v>
      </c>
      <c r="AC26" s="25">
        <v>275773</v>
      </c>
      <c r="AD26" s="25">
        <v>2916</v>
      </c>
      <c r="AE26" s="25">
        <v>13070</v>
      </c>
      <c r="AF26" s="25">
        <v>817</v>
      </c>
      <c r="AG26" s="25">
        <v>24804</v>
      </c>
      <c r="AH26" s="25">
        <v>1092</v>
      </c>
      <c r="AI26" s="25">
        <v>23409</v>
      </c>
      <c r="AJ26" s="25">
        <v>974</v>
      </c>
      <c r="AK26" s="25">
        <v>22667</v>
      </c>
      <c r="AL26" s="25">
        <v>1087</v>
      </c>
      <c r="AM26" s="25">
        <v>8851</v>
      </c>
      <c r="AN26" s="25">
        <v>610</v>
      </c>
      <c r="AO26" s="25">
        <v>12790</v>
      </c>
      <c r="AP26" s="25">
        <v>721</v>
      </c>
      <c r="AQ26" s="25">
        <v>234</v>
      </c>
      <c r="AR26" s="25">
        <v>90</v>
      </c>
      <c r="AS26" s="25">
        <v>58099</v>
      </c>
      <c r="AT26" s="25">
        <v>1876</v>
      </c>
      <c r="AU26" s="25">
        <v>44679</v>
      </c>
      <c r="AV26" s="25">
        <v>1658</v>
      </c>
      <c r="AW26" s="25">
        <v>42988</v>
      </c>
      <c r="AX26" s="25">
        <v>1616</v>
      </c>
      <c r="AY26" s="25">
        <v>1691</v>
      </c>
      <c r="AZ26" s="25">
        <v>305</v>
      </c>
      <c r="BA26" s="25">
        <v>3689</v>
      </c>
      <c r="BB26" s="25">
        <v>425</v>
      </c>
      <c r="BC26" s="25">
        <v>2962</v>
      </c>
      <c r="BD26" s="25">
        <v>402</v>
      </c>
      <c r="BE26" s="25">
        <v>2955</v>
      </c>
      <c r="BF26" s="25">
        <v>361</v>
      </c>
      <c r="BG26" s="25">
        <v>1436</v>
      </c>
      <c r="BH26" s="25">
        <v>259</v>
      </c>
      <c r="BI26" s="25">
        <v>2162</v>
      </c>
      <c r="BJ26" s="25">
        <v>287</v>
      </c>
      <c r="BK26" s="25">
        <v>216</v>
      </c>
      <c r="BL26" s="25">
        <v>121</v>
      </c>
      <c r="BM26" s="25">
        <v>17202</v>
      </c>
      <c r="BN26" s="25">
        <v>1000</v>
      </c>
      <c r="BO26" s="25">
        <v>11043</v>
      </c>
      <c r="BP26" s="25">
        <v>842</v>
      </c>
      <c r="BQ26" s="25">
        <v>10991</v>
      </c>
      <c r="BR26" s="25">
        <v>848</v>
      </c>
      <c r="BS26" s="25">
        <v>52</v>
      </c>
      <c r="BT26" s="25">
        <v>38</v>
      </c>
      <c r="BU26" s="25">
        <v>2462</v>
      </c>
      <c r="BV26" s="25">
        <v>308</v>
      </c>
      <c r="BW26" s="25">
        <v>632</v>
      </c>
      <c r="BX26" s="25">
        <v>137</v>
      </c>
      <c r="BY26" s="25">
        <v>2369</v>
      </c>
      <c r="BZ26" s="25">
        <v>353</v>
      </c>
      <c r="CA26" s="25">
        <v>472</v>
      </c>
      <c r="CB26" s="25">
        <v>159</v>
      </c>
      <c r="CC26" s="25">
        <v>224</v>
      </c>
      <c r="CD26" s="25">
        <v>106</v>
      </c>
      <c r="CE26" s="25">
        <v>0</v>
      </c>
      <c r="CF26" s="25">
        <v>27</v>
      </c>
      <c r="CG26" s="25">
        <v>11379</v>
      </c>
      <c r="CH26" s="25">
        <v>946</v>
      </c>
      <c r="CI26" s="25">
        <v>8099</v>
      </c>
      <c r="CJ26" s="25">
        <v>756</v>
      </c>
      <c r="CK26" s="25">
        <v>7690</v>
      </c>
      <c r="CL26" s="25">
        <v>758</v>
      </c>
      <c r="CM26" s="25">
        <v>409</v>
      </c>
      <c r="CN26" s="25">
        <v>172</v>
      </c>
      <c r="CO26" s="25">
        <v>953</v>
      </c>
      <c r="CP26" s="25">
        <v>255</v>
      </c>
      <c r="CQ26" s="25">
        <v>657</v>
      </c>
      <c r="CR26" s="25">
        <v>164</v>
      </c>
      <c r="CS26" s="25">
        <v>964</v>
      </c>
      <c r="CT26" s="25">
        <v>244</v>
      </c>
      <c r="CU26" s="25">
        <v>113</v>
      </c>
      <c r="CV26" s="25">
        <v>63</v>
      </c>
      <c r="CW26" s="25">
        <v>593</v>
      </c>
      <c r="CX26" s="25">
        <v>178</v>
      </c>
      <c r="CY26" s="25">
        <v>0</v>
      </c>
      <c r="CZ26" s="25">
        <v>27</v>
      </c>
      <c r="DA26" s="25">
        <v>9825</v>
      </c>
      <c r="DB26" s="25">
        <v>694</v>
      </c>
      <c r="DC26" s="25">
        <v>7411</v>
      </c>
      <c r="DD26" s="25">
        <v>646</v>
      </c>
      <c r="DE26" s="25">
        <v>7097</v>
      </c>
      <c r="DF26" s="25">
        <v>634</v>
      </c>
      <c r="DG26" s="25">
        <v>314</v>
      </c>
      <c r="DH26" s="25">
        <v>128</v>
      </c>
      <c r="DI26" s="25">
        <v>643</v>
      </c>
      <c r="DJ26" s="25">
        <v>134</v>
      </c>
      <c r="DK26" s="25">
        <v>610</v>
      </c>
      <c r="DL26" s="25">
        <v>178</v>
      </c>
      <c r="DM26" s="25">
        <v>633</v>
      </c>
      <c r="DN26" s="25">
        <v>169</v>
      </c>
      <c r="DO26" s="25">
        <v>263</v>
      </c>
      <c r="DP26" s="25">
        <v>103</v>
      </c>
      <c r="DQ26" s="25">
        <v>265</v>
      </c>
      <c r="DR26" s="25">
        <v>97</v>
      </c>
      <c r="DS26" s="25">
        <v>0</v>
      </c>
      <c r="DT26" s="25">
        <v>27</v>
      </c>
      <c r="DU26" s="25">
        <v>21720</v>
      </c>
      <c r="DV26" s="25">
        <v>1085</v>
      </c>
      <c r="DW26" s="25">
        <v>12447</v>
      </c>
      <c r="DX26" s="25">
        <v>760</v>
      </c>
      <c r="DY26" s="25">
        <v>9154</v>
      </c>
      <c r="DZ26" s="25">
        <v>648</v>
      </c>
      <c r="EA26" s="25">
        <v>3293</v>
      </c>
      <c r="EB26" s="25">
        <v>388</v>
      </c>
      <c r="EC26" s="25">
        <v>819</v>
      </c>
      <c r="ED26" s="25">
        <v>177</v>
      </c>
      <c r="EE26" s="25">
        <v>207</v>
      </c>
      <c r="EF26" s="25">
        <v>79</v>
      </c>
      <c r="EG26" s="25">
        <v>431</v>
      </c>
      <c r="EH26" s="25">
        <v>153</v>
      </c>
      <c r="EI26" s="25">
        <v>154</v>
      </c>
      <c r="EJ26" s="25">
        <v>79</v>
      </c>
      <c r="EK26" s="25">
        <v>7554</v>
      </c>
      <c r="EL26" s="25">
        <v>647</v>
      </c>
      <c r="EM26" s="25">
        <v>108</v>
      </c>
      <c r="EN26" s="25">
        <v>75</v>
      </c>
    </row>
    <row r="27" spans="1:144" x14ac:dyDescent="0.25">
      <c r="A27" s="19">
        <f t="shared" si="8"/>
        <v>37</v>
      </c>
      <c r="B27" s="20" t="str">
        <f t="shared" si="9"/>
        <v>San Juan</v>
      </c>
      <c r="C27" s="24" t="s">
        <v>324</v>
      </c>
      <c r="D27" s="24" t="s">
        <v>325</v>
      </c>
      <c r="E27" s="25">
        <v>5134</v>
      </c>
      <c r="F27" s="25">
        <v>257</v>
      </c>
      <c r="G27" s="25">
        <v>3019</v>
      </c>
      <c r="H27" s="25">
        <v>275</v>
      </c>
      <c r="I27" s="25">
        <v>2847</v>
      </c>
      <c r="J27" s="25">
        <v>262</v>
      </c>
      <c r="K27" s="25">
        <v>172</v>
      </c>
      <c r="L27" s="25">
        <v>65</v>
      </c>
      <c r="M27" s="25">
        <v>231</v>
      </c>
      <c r="N27" s="25">
        <v>77</v>
      </c>
      <c r="O27" s="25">
        <v>958</v>
      </c>
      <c r="P27" s="25">
        <v>145</v>
      </c>
      <c r="Q27" s="25">
        <v>384</v>
      </c>
      <c r="R27" s="25">
        <v>109</v>
      </c>
      <c r="S27" s="25">
        <v>292</v>
      </c>
      <c r="T27" s="25">
        <v>76</v>
      </c>
      <c r="U27" s="25">
        <v>239</v>
      </c>
      <c r="V27" s="25">
        <v>87</v>
      </c>
      <c r="W27" s="25">
        <v>11</v>
      </c>
      <c r="X27" s="25">
        <v>17</v>
      </c>
      <c r="Y27" s="25">
        <v>3514</v>
      </c>
      <c r="Z27" s="25">
        <v>250</v>
      </c>
      <c r="AA27" s="25">
        <v>2040</v>
      </c>
      <c r="AB27" s="25">
        <v>213</v>
      </c>
      <c r="AC27" s="25">
        <v>1979</v>
      </c>
      <c r="AD27" s="25">
        <v>204</v>
      </c>
      <c r="AE27" s="25">
        <v>61</v>
      </c>
      <c r="AF27" s="25">
        <v>41</v>
      </c>
      <c r="AG27" s="25">
        <v>168</v>
      </c>
      <c r="AH27" s="25">
        <v>68</v>
      </c>
      <c r="AI27" s="25">
        <v>685</v>
      </c>
      <c r="AJ27" s="25">
        <v>139</v>
      </c>
      <c r="AK27" s="25">
        <v>297</v>
      </c>
      <c r="AL27" s="25">
        <v>99</v>
      </c>
      <c r="AM27" s="25">
        <v>241</v>
      </c>
      <c r="AN27" s="25">
        <v>81</v>
      </c>
      <c r="AO27" s="25">
        <v>72</v>
      </c>
      <c r="AP27" s="25">
        <v>46</v>
      </c>
      <c r="AQ27" s="25">
        <v>11</v>
      </c>
      <c r="AR27" s="25">
        <v>17</v>
      </c>
      <c r="AS27" s="25">
        <v>870</v>
      </c>
      <c r="AT27" s="25">
        <v>208</v>
      </c>
      <c r="AU27" s="25">
        <v>598</v>
      </c>
      <c r="AV27" s="25">
        <v>165</v>
      </c>
      <c r="AW27" s="25">
        <v>572</v>
      </c>
      <c r="AX27" s="25">
        <v>166</v>
      </c>
      <c r="AY27" s="25">
        <v>26</v>
      </c>
      <c r="AZ27" s="25">
        <v>25</v>
      </c>
      <c r="BA27" s="25">
        <v>26</v>
      </c>
      <c r="BB27" s="25">
        <v>23</v>
      </c>
      <c r="BC27" s="25">
        <v>153</v>
      </c>
      <c r="BD27" s="25">
        <v>67</v>
      </c>
      <c r="BE27" s="25">
        <v>18</v>
      </c>
      <c r="BF27" s="25">
        <v>15</v>
      </c>
      <c r="BG27" s="25">
        <v>40</v>
      </c>
      <c r="BH27" s="25">
        <v>42</v>
      </c>
      <c r="BI27" s="25">
        <v>35</v>
      </c>
      <c r="BJ27" s="25">
        <v>38</v>
      </c>
      <c r="BK27" s="25">
        <v>0</v>
      </c>
      <c r="BL27" s="25">
        <v>18</v>
      </c>
      <c r="BM27" s="25">
        <v>18</v>
      </c>
      <c r="BN27" s="25">
        <v>12</v>
      </c>
      <c r="BO27" s="25">
        <v>14</v>
      </c>
      <c r="BP27" s="25">
        <v>12</v>
      </c>
      <c r="BQ27" s="25">
        <v>14</v>
      </c>
      <c r="BR27" s="25">
        <v>12</v>
      </c>
      <c r="BS27" s="25">
        <v>0</v>
      </c>
      <c r="BT27" s="25">
        <v>18</v>
      </c>
      <c r="BU27" s="25">
        <v>0</v>
      </c>
      <c r="BV27" s="25">
        <v>18</v>
      </c>
      <c r="BW27" s="25">
        <v>0</v>
      </c>
      <c r="BX27" s="25">
        <v>18</v>
      </c>
      <c r="BY27" s="25">
        <v>4</v>
      </c>
      <c r="BZ27" s="25">
        <v>4</v>
      </c>
      <c r="CA27" s="25">
        <v>0</v>
      </c>
      <c r="CB27" s="25">
        <v>18</v>
      </c>
      <c r="CC27" s="25">
        <v>0</v>
      </c>
      <c r="CD27" s="25">
        <v>18</v>
      </c>
      <c r="CE27" s="25">
        <v>0</v>
      </c>
      <c r="CF27" s="25">
        <v>18</v>
      </c>
      <c r="CG27" s="25">
        <v>325</v>
      </c>
      <c r="CH27" s="25">
        <v>84</v>
      </c>
      <c r="CI27" s="25">
        <v>168</v>
      </c>
      <c r="CJ27" s="25">
        <v>65</v>
      </c>
      <c r="CK27" s="25">
        <v>131</v>
      </c>
      <c r="CL27" s="25">
        <v>59</v>
      </c>
      <c r="CM27" s="25">
        <v>37</v>
      </c>
      <c r="CN27" s="25">
        <v>36</v>
      </c>
      <c r="CO27" s="25">
        <v>13</v>
      </c>
      <c r="CP27" s="25">
        <v>15</v>
      </c>
      <c r="CQ27" s="25">
        <v>95</v>
      </c>
      <c r="CR27" s="25">
        <v>50</v>
      </c>
      <c r="CS27" s="25">
        <v>38</v>
      </c>
      <c r="CT27" s="25">
        <v>31</v>
      </c>
      <c r="CU27" s="25">
        <v>6</v>
      </c>
      <c r="CV27" s="25">
        <v>9</v>
      </c>
      <c r="CW27" s="25">
        <v>5</v>
      </c>
      <c r="CX27" s="25">
        <v>8</v>
      </c>
      <c r="CY27" s="25">
        <v>0</v>
      </c>
      <c r="CZ27" s="25">
        <v>18</v>
      </c>
      <c r="DA27" s="25">
        <v>49</v>
      </c>
      <c r="DB27" s="25">
        <v>32</v>
      </c>
      <c r="DC27" s="25">
        <v>23</v>
      </c>
      <c r="DD27" s="25">
        <v>20</v>
      </c>
      <c r="DE27" s="25">
        <v>23</v>
      </c>
      <c r="DF27" s="25">
        <v>20</v>
      </c>
      <c r="DG27" s="25">
        <v>0</v>
      </c>
      <c r="DH27" s="25">
        <v>18</v>
      </c>
      <c r="DI27" s="25">
        <v>0</v>
      </c>
      <c r="DJ27" s="25">
        <v>18</v>
      </c>
      <c r="DK27" s="25">
        <v>13</v>
      </c>
      <c r="DL27" s="25">
        <v>19</v>
      </c>
      <c r="DM27" s="25">
        <v>8</v>
      </c>
      <c r="DN27" s="25">
        <v>10</v>
      </c>
      <c r="DO27" s="25">
        <v>5</v>
      </c>
      <c r="DP27" s="25">
        <v>9</v>
      </c>
      <c r="DQ27" s="25">
        <v>0</v>
      </c>
      <c r="DR27" s="25">
        <v>18</v>
      </c>
      <c r="DS27" s="25">
        <v>0</v>
      </c>
      <c r="DT27" s="25">
        <v>18</v>
      </c>
      <c r="DU27" s="25">
        <v>358</v>
      </c>
      <c r="DV27" s="25">
        <v>95</v>
      </c>
      <c r="DW27" s="25">
        <v>176</v>
      </c>
      <c r="DX27" s="25">
        <v>63</v>
      </c>
      <c r="DY27" s="25">
        <v>128</v>
      </c>
      <c r="DZ27" s="25">
        <v>59</v>
      </c>
      <c r="EA27" s="25">
        <v>48</v>
      </c>
      <c r="EB27" s="25">
        <v>37</v>
      </c>
      <c r="EC27" s="25">
        <v>24</v>
      </c>
      <c r="ED27" s="25">
        <v>26</v>
      </c>
      <c r="EE27" s="25">
        <v>12</v>
      </c>
      <c r="EF27" s="25">
        <v>16</v>
      </c>
      <c r="EG27" s="25">
        <v>19</v>
      </c>
      <c r="EH27" s="25">
        <v>21</v>
      </c>
      <c r="EI27" s="25">
        <v>0</v>
      </c>
      <c r="EJ27" s="25">
        <v>18</v>
      </c>
      <c r="EK27" s="25">
        <v>127</v>
      </c>
      <c r="EL27" s="25">
        <v>61</v>
      </c>
      <c r="EM27" s="25">
        <v>0</v>
      </c>
      <c r="EN27" s="25">
        <v>18</v>
      </c>
    </row>
    <row r="28" spans="1:144" x14ac:dyDescent="0.25">
      <c r="A28" s="19">
        <f t="shared" si="8"/>
        <v>39</v>
      </c>
      <c r="B28" s="20" t="str">
        <f t="shared" si="9"/>
        <v>Sanpete</v>
      </c>
      <c r="C28" s="24" t="s">
        <v>326</v>
      </c>
      <c r="D28" s="24" t="s">
        <v>327</v>
      </c>
      <c r="E28" s="25">
        <v>10100</v>
      </c>
      <c r="F28" s="25">
        <v>449</v>
      </c>
      <c r="G28" s="25">
        <v>6919</v>
      </c>
      <c r="H28" s="25">
        <v>395</v>
      </c>
      <c r="I28" s="25">
        <v>6393</v>
      </c>
      <c r="J28" s="25">
        <v>401</v>
      </c>
      <c r="K28" s="25">
        <v>526</v>
      </c>
      <c r="L28" s="25">
        <v>169</v>
      </c>
      <c r="M28" s="25">
        <v>589</v>
      </c>
      <c r="N28" s="25">
        <v>117</v>
      </c>
      <c r="O28" s="25">
        <v>773</v>
      </c>
      <c r="P28" s="25">
        <v>142</v>
      </c>
      <c r="Q28" s="25">
        <v>1005</v>
      </c>
      <c r="R28" s="25">
        <v>177</v>
      </c>
      <c r="S28" s="25">
        <v>117</v>
      </c>
      <c r="T28" s="25">
        <v>48</v>
      </c>
      <c r="U28" s="25">
        <v>684</v>
      </c>
      <c r="V28" s="25">
        <v>136</v>
      </c>
      <c r="W28" s="25">
        <v>13</v>
      </c>
      <c r="X28" s="25">
        <v>11</v>
      </c>
      <c r="Y28" s="25">
        <v>7169</v>
      </c>
      <c r="Z28" s="25">
        <v>399</v>
      </c>
      <c r="AA28" s="25">
        <v>4796</v>
      </c>
      <c r="AB28" s="25">
        <v>375</v>
      </c>
      <c r="AC28" s="25">
        <v>4547</v>
      </c>
      <c r="AD28" s="25">
        <v>359</v>
      </c>
      <c r="AE28" s="25">
        <v>249</v>
      </c>
      <c r="AF28" s="25">
        <v>89</v>
      </c>
      <c r="AG28" s="25">
        <v>468</v>
      </c>
      <c r="AH28" s="25">
        <v>93</v>
      </c>
      <c r="AI28" s="25">
        <v>688</v>
      </c>
      <c r="AJ28" s="25">
        <v>129</v>
      </c>
      <c r="AK28" s="25">
        <v>760</v>
      </c>
      <c r="AL28" s="25">
        <v>156</v>
      </c>
      <c r="AM28" s="25">
        <v>86</v>
      </c>
      <c r="AN28" s="25">
        <v>36</v>
      </c>
      <c r="AO28" s="25">
        <v>362</v>
      </c>
      <c r="AP28" s="25">
        <v>100</v>
      </c>
      <c r="AQ28" s="25">
        <v>9</v>
      </c>
      <c r="AR28" s="25">
        <v>9</v>
      </c>
      <c r="AS28" s="25">
        <v>1536</v>
      </c>
      <c r="AT28" s="25">
        <v>239</v>
      </c>
      <c r="AU28" s="25">
        <v>1215</v>
      </c>
      <c r="AV28" s="25">
        <v>203</v>
      </c>
      <c r="AW28" s="25">
        <v>1120</v>
      </c>
      <c r="AX28" s="25">
        <v>199</v>
      </c>
      <c r="AY28" s="25">
        <v>95</v>
      </c>
      <c r="AZ28" s="25">
        <v>101</v>
      </c>
      <c r="BA28" s="25">
        <v>30</v>
      </c>
      <c r="BB28" s="25">
        <v>29</v>
      </c>
      <c r="BC28" s="25">
        <v>60</v>
      </c>
      <c r="BD28" s="25">
        <v>36</v>
      </c>
      <c r="BE28" s="25">
        <v>136</v>
      </c>
      <c r="BF28" s="25">
        <v>55</v>
      </c>
      <c r="BG28" s="25">
        <v>23</v>
      </c>
      <c r="BH28" s="25">
        <v>31</v>
      </c>
      <c r="BI28" s="25">
        <v>68</v>
      </c>
      <c r="BJ28" s="25">
        <v>37</v>
      </c>
      <c r="BK28" s="25">
        <v>4</v>
      </c>
      <c r="BL28" s="25">
        <v>8</v>
      </c>
      <c r="BM28" s="25">
        <v>45</v>
      </c>
      <c r="BN28" s="25">
        <v>42</v>
      </c>
      <c r="BO28" s="25">
        <v>18</v>
      </c>
      <c r="BP28" s="25">
        <v>30</v>
      </c>
      <c r="BQ28" s="25">
        <v>18</v>
      </c>
      <c r="BR28" s="25">
        <v>30</v>
      </c>
      <c r="BS28" s="25">
        <v>0</v>
      </c>
      <c r="BT28" s="25">
        <v>21</v>
      </c>
      <c r="BU28" s="25">
        <v>21</v>
      </c>
      <c r="BV28" s="25">
        <v>29</v>
      </c>
      <c r="BW28" s="25">
        <v>3</v>
      </c>
      <c r="BX28" s="25">
        <v>5</v>
      </c>
      <c r="BY28" s="25">
        <v>0</v>
      </c>
      <c r="BZ28" s="25">
        <v>21</v>
      </c>
      <c r="CA28" s="25">
        <v>3</v>
      </c>
      <c r="CB28" s="25">
        <v>5</v>
      </c>
      <c r="CC28" s="25">
        <v>0</v>
      </c>
      <c r="CD28" s="25">
        <v>21</v>
      </c>
      <c r="CE28" s="25">
        <v>0</v>
      </c>
      <c r="CF28" s="25">
        <v>21</v>
      </c>
      <c r="CG28" s="25">
        <v>497</v>
      </c>
      <c r="CH28" s="25">
        <v>125</v>
      </c>
      <c r="CI28" s="25">
        <v>358</v>
      </c>
      <c r="CJ28" s="25">
        <v>110</v>
      </c>
      <c r="CK28" s="25">
        <v>343</v>
      </c>
      <c r="CL28" s="25">
        <v>108</v>
      </c>
      <c r="CM28" s="25">
        <v>15</v>
      </c>
      <c r="CN28" s="25">
        <v>12</v>
      </c>
      <c r="CO28" s="25">
        <v>43</v>
      </c>
      <c r="CP28" s="25">
        <v>32</v>
      </c>
      <c r="CQ28" s="25">
        <v>18</v>
      </c>
      <c r="CR28" s="25">
        <v>18</v>
      </c>
      <c r="CS28" s="25">
        <v>54</v>
      </c>
      <c r="CT28" s="25">
        <v>42</v>
      </c>
      <c r="CU28" s="25">
        <v>0</v>
      </c>
      <c r="CV28" s="25">
        <v>21</v>
      </c>
      <c r="CW28" s="25">
        <v>24</v>
      </c>
      <c r="CX28" s="25">
        <v>29</v>
      </c>
      <c r="CY28" s="25">
        <v>0</v>
      </c>
      <c r="CZ28" s="25">
        <v>21</v>
      </c>
      <c r="DA28" s="25">
        <v>248</v>
      </c>
      <c r="DB28" s="25">
        <v>91</v>
      </c>
      <c r="DC28" s="25">
        <v>172</v>
      </c>
      <c r="DD28" s="25">
        <v>82</v>
      </c>
      <c r="DE28" s="25">
        <v>162</v>
      </c>
      <c r="DF28" s="25">
        <v>83</v>
      </c>
      <c r="DG28" s="25">
        <v>10</v>
      </c>
      <c r="DH28" s="25">
        <v>11</v>
      </c>
      <c r="DI28" s="25">
        <v>6</v>
      </c>
      <c r="DJ28" s="25">
        <v>9</v>
      </c>
      <c r="DK28" s="25">
        <v>1</v>
      </c>
      <c r="DL28" s="25">
        <v>5</v>
      </c>
      <c r="DM28" s="25">
        <v>37</v>
      </c>
      <c r="DN28" s="25">
        <v>25</v>
      </c>
      <c r="DO28" s="25">
        <v>5</v>
      </c>
      <c r="DP28" s="25">
        <v>8</v>
      </c>
      <c r="DQ28" s="25">
        <v>27</v>
      </c>
      <c r="DR28" s="25">
        <v>28</v>
      </c>
      <c r="DS28" s="25">
        <v>0</v>
      </c>
      <c r="DT28" s="25">
        <v>21</v>
      </c>
      <c r="DU28" s="25">
        <v>605</v>
      </c>
      <c r="DV28" s="25">
        <v>168</v>
      </c>
      <c r="DW28" s="25">
        <v>360</v>
      </c>
      <c r="DX28" s="25">
        <v>157</v>
      </c>
      <c r="DY28" s="25">
        <v>203</v>
      </c>
      <c r="DZ28" s="25">
        <v>99</v>
      </c>
      <c r="EA28" s="25">
        <v>157</v>
      </c>
      <c r="EB28" s="25">
        <v>105</v>
      </c>
      <c r="EC28" s="25">
        <v>21</v>
      </c>
      <c r="ED28" s="25">
        <v>20</v>
      </c>
      <c r="EE28" s="25">
        <v>3</v>
      </c>
      <c r="EF28" s="25">
        <v>4</v>
      </c>
      <c r="EG28" s="25">
        <v>18</v>
      </c>
      <c r="EH28" s="25">
        <v>18</v>
      </c>
      <c r="EI28" s="25">
        <v>0</v>
      </c>
      <c r="EJ28" s="25">
        <v>21</v>
      </c>
      <c r="EK28" s="25">
        <v>203</v>
      </c>
      <c r="EL28" s="25">
        <v>66</v>
      </c>
      <c r="EM28" s="25">
        <v>0</v>
      </c>
      <c r="EN28" s="25">
        <v>21</v>
      </c>
    </row>
    <row r="29" spans="1:144" x14ac:dyDescent="0.25">
      <c r="A29" s="19">
        <f t="shared" si="8"/>
        <v>41</v>
      </c>
      <c r="B29" s="20" t="str">
        <f t="shared" si="9"/>
        <v>Sevier</v>
      </c>
      <c r="C29" s="24" t="s">
        <v>328</v>
      </c>
      <c r="D29" s="24" t="s">
        <v>329</v>
      </c>
      <c r="E29" s="25">
        <v>8247</v>
      </c>
      <c r="F29" s="25">
        <v>292</v>
      </c>
      <c r="G29" s="25">
        <v>5729</v>
      </c>
      <c r="H29" s="25">
        <v>287</v>
      </c>
      <c r="I29" s="25">
        <v>5289</v>
      </c>
      <c r="J29" s="25">
        <v>291</v>
      </c>
      <c r="K29" s="25">
        <v>440</v>
      </c>
      <c r="L29" s="25">
        <v>135</v>
      </c>
      <c r="M29" s="25">
        <v>269</v>
      </c>
      <c r="N29" s="25">
        <v>91</v>
      </c>
      <c r="O29" s="25">
        <v>587</v>
      </c>
      <c r="P29" s="25">
        <v>121</v>
      </c>
      <c r="Q29" s="25">
        <v>874</v>
      </c>
      <c r="R29" s="25">
        <v>166</v>
      </c>
      <c r="S29" s="25">
        <v>259</v>
      </c>
      <c r="T29" s="25">
        <v>75</v>
      </c>
      <c r="U29" s="25">
        <v>469</v>
      </c>
      <c r="V29" s="25">
        <v>110</v>
      </c>
      <c r="W29" s="25">
        <v>60</v>
      </c>
      <c r="X29" s="25">
        <v>50</v>
      </c>
      <c r="Y29" s="25">
        <v>6605</v>
      </c>
      <c r="Z29" s="25">
        <v>303</v>
      </c>
      <c r="AA29" s="25">
        <v>4746</v>
      </c>
      <c r="AB29" s="25">
        <v>298</v>
      </c>
      <c r="AC29" s="25">
        <v>4400</v>
      </c>
      <c r="AD29" s="25">
        <v>282</v>
      </c>
      <c r="AE29" s="25">
        <v>346</v>
      </c>
      <c r="AF29" s="25">
        <v>119</v>
      </c>
      <c r="AG29" s="25">
        <v>228</v>
      </c>
      <c r="AH29" s="25">
        <v>85</v>
      </c>
      <c r="AI29" s="25">
        <v>493</v>
      </c>
      <c r="AJ29" s="25">
        <v>110</v>
      </c>
      <c r="AK29" s="25">
        <v>703</v>
      </c>
      <c r="AL29" s="25">
        <v>155</v>
      </c>
      <c r="AM29" s="25">
        <v>238</v>
      </c>
      <c r="AN29" s="25">
        <v>71</v>
      </c>
      <c r="AO29" s="25">
        <v>163</v>
      </c>
      <c r="AP29" s="25">
        <v>63</v>
      </c>
      <c r="AQ29" s="25">
        <v>34</v>
      </c>
      <c r="AR29" s="25">
        <v>40</v>
      </c>
      <c r="AS29" s="25">
        <v>853</v>
      </c>
      <c r="AT29" s="25">
        <v>139</v>
      </c>
      <c r="AU29" s="25">
        <v>616</v>
      </c>
      <c r="AV29" s="25">
        <v>136</v>
      </c>
      <c r="AW29" s="25">
        <v>614</v>
      </c>
      <c r="AX29" s="25">
        <v>136</v>
      </c>
      <c r="AY29" s="25">
        <v>2</v>
      </c>
      <c r="AZ29" s="25">
        <v>4</v>
      </c>
      <c r="BA29" s="25">
        <v>12</v>
      </c>
      <c r="BB29" s="25">
        <v>13</v>
      </c>
      <c r="BC29" s="25">
        <v>63</v>
      </c>
      <c r="BD29" s="25">
        <v>34</v>
      </c>
      <c r="BE29" s="25">
        <v>112</v>
      </c>
      <c r="BF29" s="25">
        <v>51</v>
      </c>
      <c r="BG29" s="25">
        <v>20</v>
      </c>
      <c r="BH29" s="25">
        <v>22</v>
      </c>
      <c r="BI29" s="25">
        <v>27</v>
      </c>
      <c r="BJ29" s="25">
        <v>22</v>
      </c>
      <c r="BK29" s="25">
        <v>3</v>
      </c>
      <c r="BL29" s="25">
        <v>5</v>
      </c>
      <c r="BM29" s="25">
        <v>56</v>
      </c>
      <c r="BN29" s="25">
        <v>33</v>
      </c>
      <c r="BO29" s="25">
        <v>34</v>
      </c>
      <c r="BP29" s="25">
        <v>26</v>
      </c>
      <c r="BQ29" s="25">
        <v>34</v>
      </c>
      <c r="BR29" s="25">
        <v>26</v>
      </c>
      <c r="BS29" s="25">
        <v>0</v>
      </c>
      <c r="BT29" s="25">
        <v>21</v>
      </c>
      <c r="BU29" s="25">
        <v>8</v>
      </c>
      <c r="BV29" s="25">
        <v>13</v>
      </c>
      <c r="BW29" s="25">
        <v>6</v>
      </c>
      <c r="BX29" s="25">
        <v>10</v>
      </c>
      <c r="BY29" s="25">
        <v>0</v>
      </c>
      <c r="BZ29" s="25">
        <v>21</v>
      </c>
      <c r="CA29" s="25">
        <v>0</v>
      </c>
      <c r="CB29" s="25">
        <v>21</v>
      </c>
      <c r="CC29" s="25">
        <v>8</v>
      </c>
      <c r="CD29" s="25">
        <v>13</v>
      </c>
      <c r="CE29" s="25">
        <v>0</v>
      </c>
      <c r="CF29" s="25">
        <v>21</v>
      </c>
      <c r="CG29" s="25">
        <v>125</v>
      </c>
      <c r="CH29" s="25">
        <v>56</v>
      </c>
      <c r="CI29" s="25">
        <v>68</v>
      </c>
      <c r="CJ29" s="25">
        <v>43</v>
      </c>
      <c r="CK29" s="25">
        <v>46</v>
      </c>
      <c r="CL29" s="25">
        <v>30</v>
      </c>
      <c r="CM29" s="25">
        <v>22</v>
      </c>
      <c r="CN29" s="25">
        <v>30</v>
      </c>
      <c r="CO29" s="25">
        <v>3</v>
      </c>
      <c r="CP29" s="25">
        <v>4</v>
      </c>
      <c r="CQ29" s="25">
        <v>10</v>
      </c>
      <c r="CR29" s="25">
        <v>22</v>
      </c>
      <c r="CS29" s="25">
        <v>1</v>
      </c>
      <c r="CT29" s="25">
        <v>2</v>
      </c>
      <c r="CU29" s="25">
        <v>0</v>
      </c>
      <c r="CV29" s="25">
        <v>21</v>
      </c>
      <c r="CW29" s="25">
        <v>43</v>
      </c>
      <c r="CX29" s="25">
        <v>34</v>
      </c>
      <c r="CY29" s="25">
        <v>0</v>
      </c>
      <c r="CZ29" s="25">
        <v>21</v>
      </c>
      <c r="DA29" s="25">
        <v>165</v>
      </c>
      <c r="DB29" s="25">
        <v>74</v>
      </c>
      <c r="DC29" s="25">
        <v>102</v>
      </c>
      <c r="DD29" s="25">
        <v>57</v>
      </c>
      <c r="DE29" s="25">
        <v>86</v>
      </c>
      <c r="DF29" s="25">
        <v>52</v>
      </c>
      <c r="DG29" s="25">
        <v>16</v>
      </c>
      <c r="DH29" s="25">
        <v>24</v>
      </c>
      <c r="DI29" s="25">
        <v>9</v>
      </c>
      <c r="DJ29" s="25">
        <v>13</v>
      </c>
      <c r="DK29" s="25">
        <v>0</v>
      </c>
      <c r="DL29" s="25">
        <v>21</v>
      </c>
      <c r="DM29" s="25">
        <v>14</v>
      </c>
      <c r="DN29" s="25">
        <v>16</v>
      </c>
      <c r="DO29" s="25">
        <v>1</v>
      </c>
      <c r="DP29" s="25">
        <v>3</v>
      </c>
      <c r="DQ29" s="25">
        <v>16</v>
      </c>
      <c r="DR29" s="25">
        <v>15</v>
      </c>
      <c r="DS29" s="25">
        <v>23</v>
      </c>
      <c r="DT29" s="25">
        <v>34</v>
      </c>
      <c r="DU29" s="25">
        <v>443</v>
      </c>
      <c r="DV29" s="25">
        <v>106</v>
      </c>
      <c r="DW29" s="25">
        <v>163</v>
      </c>
      <c r="DX29" s="25">
        <v>87</v>
      </c>
      <c r="DY29" s="25">
        <v>109</v>
      </c>
      <c r="DZ29" s="25">
        <v>75</v>
      </c>
      <c r="EA29" s="25">
        <v>54</v>
      </c>
      <c r="EB29" s="25">
        <v>50</v>
      </c>
      <c r="EC29" s="25">
        <v>9</v>
      </c>
      <c r="ED29" s="25">
        <v>14</v>
      </c>
      <c r="EE29" s="25">
        <v>15</v>
      </c>
      <c r="EF29" s="25">
        <v>22</v>
      </c>
      <c r="EG29" s="25">
        <v>44</v>
      </c>
      <c r="EH29" s="25">
        <v>30</v>
      </c>
      <c r="EI29" s="25">
        <v>0</v>
      </c>
      <c r="EJ29" s="25">
        <v>21</v>
      </c>
      <c r="EK29" s="25">
        <v>212</v>
      </c>
      <c r="EL29" s="25">
        <v>82</v>
      </c>
      <c r="EM29" s="25">
        <v>0</v>
      </c>
      <c r="EN29" s="25">
        <v>21</v>
      </c>
    </row>
    <row r="30" spans="1:144" x14ac:dyDescent="0.25">
      <c r="A30" s="19">
        <f t="shared" si="8"/>
        <v>43</v>
      </c>
      <c r="B30" s="20" t="str">
        <f t="shared" si="9"/>
        <v>Summit</v>
      </c>
      <c r="C30" s="24" t="s">
        <v>330</v>
      </c>
      <c r="D30" s="24" t="s">
        <v>331</v>
      </c>
      <c r="E30" s="25">
        <v>19032</v>
      </c>
      <c r="F30" s="25">
        <v>564</v>
      </c>
      <c r="G30" s="25">
        <v>14585</v>
      </c>
      <c r="H30" s="25">
        <v>593</v>
      </c>
      <c r="I30" s="25">
        <v>12981</v>
      </c>
      <c r="J30" s="25">
        <v>592</v>
      </c>
      <c r="K30" s="25">
        <v>1604</v>
      </c>
      <c r="L30" s="25">
        <v>288</v>
      </c>
      <c r="M30" s="25">
        <v>1128</v>
      </c>
      <c r="N30" s="25">
        <v>291</v>
      </c>
      <c r="O30" s="25">
        <v>1189</v>
      </c>
      <c r="P30" s="25">
        <v>208</v>
      </c>
      <c r="Q30" s="25">
        <v>577</v>
      </c>
      <c r="R30" s="25">
        <v>173</v>
      </c>
      <c r="S30" s="25">
        <v>290</v>
      </c>
      <c r="T30" s="25">
        <v>100</v>
      </c>
      <c r="U30" s="25">
        <v>1256</v>
      </c>
      <c r="V30" s="25">
        <v>237</v>
      </c>
      <c r="W30" s="25">
        <v>7</v>
      </c>
      <c r="X30" s="25">
        <v>8</v>
      </c>
      <c r="Y30" s="25">
        <v>14216</v>
      </c>
      <c r="Z30" s="25">
        <v>710</v>
      </c>
      <c r="AA30" s="25">
        <v>11016</v>
      </c>
      <c r="AB30" s="25">
        <v>733</v>
      </c>
      <c r="AC30" s="25">
        <v>10299</v>
      </c>
      <c r="AD30" s="25">
        <v>704</v>
      </c>
      <c r="AE30" s="25">
        <v>717</v>
      </c>
      <c r="AF30" s="25">
        <v>197</v>
      </c>
      <c r="AG30" s="25">
        <v>930</v>
      </c>
      <c r="AH30" s="25">
        <v>276</v>
      </c>
      <c r="AI30" s="25">
        <v>1038</v>
      </c>
      <c r="AJ30" s="25">
        <v>184</v>
      </c>
      <c r="AK30" s="25">
        <v>406</v>
      </c>
      <c r="AL30" s="25">
        <v>126</v>
      </c>
      <c r="AM30" s="25">
        <v>222</v>
      </c>
      <c r="AN30" s="25">
        <v>96</v>
      </c>
      <c r="AO30" s="25">
        <v>601</v>
      </c>
      <c r="AP30" s="25">
        <v>150</v>
      </c>
      <c r="AQ30" s="25">
        <v>3</v>
      </c>
      <c r="AR30" s="25">
        <v>5</v>
      </c>
      <c r="AS30" s="25">
        <v>1568</v>
      </c>
      <c r="AT30" s="25">
        <v>313</v>
      </c>
      <c r="AU30" s="25">
        <v>1153</v>
      </c>
      <c r="AV30" s="25">
        <v>273</v>
      </c>
      <c r="AW30" s="25">
        <v>865</v>
      </c>
      <c r="AX30" s="25">
        <v>219</v>
      </c>
      <c r="AY30" s="25">
        <v>288</v>
      </c>
      <c r="AZ30" s="25">
        <v>142</v>
      </c>
      <c r="BA30" s="25">
        <v>141</v>
      </c>
      <c r="BB30" s="25">
        <v>75</v>
      </c>
      <c r="BC30" s="25">
        <v>115</v>
      </c>
      <c r="BD30" s="25">
        <v>76</v>
      </c>
      <c r="BE30" s="25">
        <v>76</v>
      </c>
      <c r="BF30" s="25">
        <v>48</v>
      </c>
      <c r="BG30" s="25">
        <v>43</v>
      </c>
      <c r="BH30" s="25">
        <v>36</v>
      </c>
      <c r="BI30" s="25">
        <v>36</v>
      </c>
      <c r="BJ30" s="25">
        <v>32</v>
      </c>
      <c r="BK30" s="25">
        <v>4</v>
      </c>
      <c r="BL30" s="25">
        <v>6</v>
      </c>
      <c r="BM30" s="25">
        <v>289</v>
      </c>
      <c r="BN30" s="25">
        <v>160</v>
      </c>
      <c r="BO30" s="25">
        <v>250</v>
      </c>
      <c r="BP30" s="25">
        <v>157</v>
      </c>
      <c r="BQ30" s="25">
        <v>250</v>
      </c>
      <c r="BR30" s="25">
        <v>157</v>
      </c>
      <c r="BS30" s="25">
        <v>0</v>
      </c>
      <c r="BT30" s="25">
        <v>24</v>
      </c>
      <c r="BU30" s="25">
        <v>11</v>
      </c>
      <c r="BV30" s="25">
        <v>21</v>
      </c>
      <c r="BW30" s="25">
        <v>28</v>
      </c>
      <c r="BX30" s="25">
        <v>47</v>
      </c>
      <c r="BY30" s="25">
        <v>0</v>
      </c>
      <c r="BZ30" s="25">
        <v>24</v>
      </c>
      <c r="CA30" s="25">
        <v>0</v>
      </c>
      <c r="CB30" s="25">
        <v>24</v>
      </c>
      <c r="CC30" s="25">
        <v>0</v>
      </c>
      <c r="CD30" s="25">
        <v>24</v>
      </c>
      <c r="CE30" s="25">
        <v>0</v>
      </c>
      <c r="CF30" s="25">
        <v>24</v>
      </c>
      <c r="CG30" s="25">
        <v>235</v>
      </c>
      <c r="CH30" s="25">
        <v>102</v>
      </c>
      <c r="CI30" s="25">
        <v>185</v>
      </c>
      <c r="CJ30" s="25">
        <v>95</v>
      </c>
      <c r="CK30" s="25">
        <v>159</v>
      </c>
      <c r="CL30" s="25">
        <v>82</v>
      </c>
      <c r="CM30" s="25">
        <v>26</v>
      </c>
      <c r="CN30" s="25">
        <v>43</v>
      </c>
      <c r="CO30" s="25">
        <v>0</v>
      </c>
      <c r="CP30" s="25">
        <v>24</v>
      </c>
      <c r="CQ30" s="25">
        <v>0</v>
      </c>
      <c r="CR30" s="25">
        <v>24</v>
      </c>
      <c r="CS30" s="25">
        <v>15</v>
      </c>
      <c r="CT30" s="25">
        <v>16</v>
      </c>
      <c r="CU30" s="25">
        <v>14</v>
      </c>
      <c r="CV30" s="25">
        <v>17</v>
      </c>
      <c r="CW30" s="25">
        <v>21</v>
      </c>
      <c r="CX30" s="25">
        <v>20</v>
      </c>
      <c r="CY30" s="25">
        <v>0</v>
      </c>
      <c r="CZ30" s="25">
        <v>24</v>
      </c>
      <c r="DA30" s="25">
        <v>541</v>
      </c>
      <c r="DB30" s="25">
        <v>281</v>
      </c>
      <c r="DC30" s="25">
        <v>483</v>
      </c>
      <c r="DD30" s="25">
        <v>277</v>
      </c>
      <c r="DE30" s="25">
        <v>408</v>
      </c>
      <c r="DF30" s="25">
        <v>270</v>
      </c>
      <c r="DG30" s="25">
        <v>75</v>
      </c>
      <c r="DH30" s="25">
        <v>75</v>
      </c>
      <c r="DI30" s="25">
        <v>20</v>
      </c>
      <c r="DJ30" s="25">
        <v>32</v>
      </c>
      <c r="DK30" s="25">
        <v>6</v>
      </c>
      <c r="DL30" s="25">
        <v>11</v>
      </c>
      <c r="DM30" s="25">
        <v>18</v>
      </c>
      <c r="DN30" s="25">
        <v>26</v>
      </c>
      <c r="DO30" s="25">
        <v>0</v>
      </c>
      <c r="DP30" s="25">
        <v>24</v>
      </c>
      <c r="DQ30" s="25">
        <v>14</v>
      </c>
      <c r="DR30" s="25">
        <v>21</v>
      </c>
      <c r="DS30" s="25">
        <v>0</v>
      </c>
      <c r="DT30" s="25">
        <v>24</v>
      </c>
      <c r="DU30" s="25">
        <v>2183</v>
      </c>
      <c r="DV30" s="25">
        <v>362</v>
      </c>
      <c r="DW30" s="25">
        <v>1498</v>
      </c>
      <c r="DX30" s="25">
        <v>293</v>
      </c>
      <c r="DY30" s="25">
        <v>1000</v>
      </c>
      <c r="DZ30" s="25">
        <v>259</v>
      </c>
      <c r="EA30" s="25">
        <v>498</v>
      </c>
      <c r="EB30" s="25">
        <v>174</v>
      </c>
      <c r="EC30" s="25">
        <v>26</v>
      </c>
      <c r="ED30" s="25">
        <v>26</v>
      </c>
      <c r="EE30" s="25">
        <v>2</v>
      </c>
      <c r="EF30" s="25">
        <v>3</v>
      </c>
      <c r="EG30" s="25">
        <v>62</v>
      </c>
      <c r="EH30" s="25">
        <v>91</v>
      </c>
      <c r="EI30" s="25">
        <v>11</v>
      </c>
      <c r="EJ30" s="25">
        <v>12</v>
      </c>
      <c r="EK30" s="25">
        <v>584</v>
      </c>
      <c r="EL30" s="25">
        <v>179</v>
      </c>
      <c r="EM30" s="25">
        <v>0</v>
      </c>
      <c r="EN30" s="25">
        <v>24</v>
      </c>
    </row>
    <row r="31" spans="1:144" x14ac:dyDescent="0.25">
      <c r="A31" s="19">
        <f t="shared" si="8"/>
        <v>45</v>
      </c>
      <c r="B31" s="20" t="str">
        <f t="shared" si="9"/>
        <v>Tooele</v>
      </c>
      <c r="C31" s="24" t="s">
        <v>332</v>
      </c>
      <c r="D31" s="24" t="s">
        <v>333</v>
      </c>
      <c r="E31" s="25">
        <v>25054</v>
      </c>
      <c r="F31" s="25">
        <v>649</v>
      </c>
      <c r="G31" s="25">
        <v>17409</v>
      </c>
      <c r="H31" s="25">
        <v>698</v>
      </c>
      <c r="I31" s="25">
        <v>16808</v>
      </c>
      <c r="J31" s="25">
        <v>703</v>
      </c>
      <c r="K31" s="25">
        <v>601</v>
      </c>
      <c r="L31" s="25">
        <v>199</v>
      </c>
      <c r="M31" s="25">
        <v>1196</v>
      </c>
      <c r="N31" s="25">
        <v>292</v>
      </c>
      <c r="O31" s="25">
        <v>1919</v>
      </c>
      <c r="P31" s="25">
        <v>353</v>
      </c>
      <c r="Q31" s="25">
        <v>1271</v>
      </c>
      <c r="R31" s="25">
        <v>290</v>
      </c>
      <c r="S31" s="25">
        <v>2334</v>
      </c>
      <c r="T31" s="25">
        <v>339</v>
      </c>
      <c r="U31" s="25">
        <v>894</v>
      </c>
      <c r="V31" s="25">
        <v>200</v>
      </c>
      <c r="W31" s="25">
        <v>31</v>
      </c>
      <c r="X31" s="25">
        <v>29</v>
      </c>
      <c r="Y31" s="25">
        <v>16909</v>
      </c>
      <c r="Z31" s="25">
        <v>685</v>
      </c>
      <c r="AA31" s="25">
        <v>12140</v>
      </c>
      <c r="AB31" s="25">
        <v>614</v>
      </c>
      <c r="AC31" s="25">
        <v>11776</v>
      </c>
      <c r="AD31" s="25">
        <v>631</v>
      </c>
      <c r="AE31" s="25">
        <v>364</v>
      </c>
      <c r="AF31" s="25">
        <v>136</v>
      </c>
      <c r="AG31" s="25">
        <v>873</v>
      </c>
      <c r="AH31" s="25">
        <v>203</v>
      </c>
      <c r="AI31" s="25">
        <v>1490</v>
      </c>
      <c r="AJ31" s="25">
        <v>288</v>
      </c>
      <c r="AK31" s="25">
        <v>750</v>
      </c>
      <c r="AL31" s="25">
        <v>189</v>
      </c>
      <c r="AM31" s="25">
        <v>1253</v>
      </c>
      <c r="AN31" s="25">
        <v>224</v>
      </c>
      <c r="AO31" s="25">
        <v>372</v>
      </c>
      <c r="AP31" s="25">
        <v>106</v>
      </c>
      <c r="AQ31" s="25">
        <v>31</v>
      </c>
      <c r="AR31" s="25">
        <v>29</v>
      </c>
      <c r="AS31" s="25">
        <v>4955</v>
      </c>
      <c r="AT31" s="25">
        <v>601</v>
      </c>
      <c r="AU31" s="25">
        <v>3444</v>
      </c>
      <c r="AV31" s="25">
        <v>493</v>
      </c>
      <c r="AW31" s="25">
        <v>3382</v>
      </c>
      <c r="AX31" s="25">
        <v>488</v>
      </c>
      <c r="AY31" s="25">
        <v>62</v>
      </c>
      <c r="AZ31" s="25">
        <v>60</v>
      </c>
      <c r="BA31" s="25">
        <v>182</v>
      </c>
      <c r="BB31" s="25">
        <v>119</v>
      </c>
      <c r="BC31" s="25">
        <v>241</v>
      </c>
      <c r="BD31" s="25">
        <v>130</v>
      </c>
      <c r="BE31" s="25">
        <v>366</v>
      </c>
      <c r="BF31" s="25">
        <v>206</v>
      </c>
      <c r="BG31" s="25">
        <v>653</v>
      </c>
      <c r="BH31" s="25">
        <v>147</v>
      </c>
      <c r="BI31" s="25">
        <v>69</v>
      </c>
      <c r="BJ31" s="25">
        <v>63</v>
      </c>
      <c r="BK31" s="25">
        <v>0</v>
      </c>
      <c r="BL31" s="25">
        <v>27</v>
      </c>
      <c r="BM31" s="25">
        <v>911</v>
      </c>
      <c r="BN31" s="25">
        <v>226</v>
      </c>
      <c r="BO31" s="25">
        <v>604</v>
      </c>
      <c r="BP31" s="25">
        <v>200</v>
      </c>
      <c r="BQ31" s="25">
        <v>604</v>
      </c>
      <c r="BR31" s="25">
        <v>200</v>
      </c>
      <c r="BS31" s="25">
        <v>0</v>
      </c>
      <c r="BT31" s="25">
        <v>27</v>
      </c>
      <c r="BU31" s="25">
        <v>99</v>
      </c>
      <c r="BV31" s="25">
        <v>61</v>
      </c>
      <c r="BW31" s="25">
        <v>17</v>
      </c>
      <c r="BX31" s="25">
        <v>27</v>
      </c>
      <c r="BY31" s="25">
        <v>119</v>
      </c>
      <c r="BZ31" s="25">
        <v>71</v>
      </c>
      <c r="CA31" s="25">
        <v>72</v>
      </c>
      <c r="CB31" s="25">
        <v>59</v>
      </c>
      <c r="CC31" s="25">
        <v>0</v>
      </c>
      <c r="CD31" s="25">
        <v>27</v>
      </c>
      <c r="CE31" s="25">
        <v>0</v>
      </c>
      <c r="CF31" s="25">
        <v>27</v>
      </c>
      <c r="CG31" s="25">
        <v>784</v>
      </c>
      <c r="CH31" s="25">
        <v>153</v>
      </c>
      <c r="CI31" s="25">
        <v>404</v>
      </c>
      <c r="CJ31" s="25">
        <v>130</v>
      </c>
      <c r="CK31" s="25">
        <v>377</v>
      </c>
      <c r="CL31" s="25">
        <v>132</v>
      </c>
      <c r="CM31" s="25">
        <v>27</v>
      </c>
      <c r="CN31" s="25">
        <v>27</v>
      </c>
      <c r="CO31" s="25">
        <v>2</v>
      </c>
      <c r="CP31" s="25">
        <v>5</v>
      </c>
      <c r="CQ31" s="25">
        <v>71</v>
      </c>
      <c r="CR31" s="25">
        <v>52</v>
      </c>
      <c r="CS31" s="25">
        <v>21</v>
      </c>
      <c r="CT31" s="25">
        <v>26</v>
      </c>
      <c r="CU31" s="25">
        <v>239</v>
      </c>
      <c r="CV31" s="25">
        <v>69</v>
      </c>
      <c r="CW31" s="25">
        <v>47</v>
      </c>
      <c r="CX31" s="25">
        <v>40</v>
      </c>
      <c r="CY31" s="25">
        <v>0</v>
      </c>
      <c r="CZ31" s="25">
        <v>27</v>
      </c>
      <c r="DA31" s="25">
        <v>549</v>
      </c>
      <c r="DB31" s="25">
        <v>179</v>
      </c>
      <c r="DC31" s="25">
        <v>357</v>
      </c>
      <c r="DD31" s="25">
        <v>149</v>
      </c>
      <c r="DE31" s="25">
        <v>356</v>
      </c>
      <c r="DF31" s="25">
        <v>149</v>
      </c>
      <c r="DG31" s="25">
        <v>1</v>
      </c>
      <c r="DH31" s="25">
        <v>3</v>
      </c>
      <c r="DI31" s="25">
        <v>16</v>
      </c>
      <c r="DJ31" s="25">
        <v>22</v>
      </c>
      <c r="DK31" s="25">
        <v>33</v>
      </c>
      <c r="DL31" s="25">
        <v>54</v>
      </c>
      <c r="DM31" s="25">
        <v>0</v>
      </c>
      <c r="DN31" s="25">
        <v>27</v>
      </c>
      <c r="DO31" s="25">
        <v>56</v>
      </c>
      <c r="DP31" s="25">
        <v>50</v>
      </c>
      <c r="DQ31" s="25">
        <v>87</v>
      </c>
      <c r="DR31" s="25">
        <v>88</v>
      </c>
      <c r="DS31" s="25">
        <v>0</v>
      </c>
      <c r="DT31" s="25">
        <v>27</v>
      </c>
      <c r="DU31" s="25">
        <v>946</v>
      </c>
      <c r="DV31" s="25">
        <v>239</v>
      </c>
      <c r="DW31" s="25">
        <v>460</v>
      </c>
      <c r="DX31" s="25">
        <v>155</v>
      </c>
      <c r="DY31" s="25">
        <v>313</v>
      </c>
      <c r="DZ31" s="25">
        <v>117</v>
      </c>
      <c r="EA31" s="25">
        <v>147</v>
      </c>
      <c r="EB31" s="25">
        <v>88</v>
      </c>
      <c r="EC31" s="25">
        <v>24</v>
      </c>
      <c r="ED31" s="25">
        <v>27</v>
      </c>
      <c r="EE31" s="25">
        <v>67</v>
      </c>
      <c r="EF31" s="25">
        <v>92</v>
      </c>
      <c r="EG31" s="25">
        <v>15</v>
      </c>
      <c r="EH31" s="25">
        <v>24</v>
      </c>
      <c r="EI31" s="25">
        <v>61</v>
      </c>
      <c r="EJ31" s="25">
        <v>59</v>
      </c>
      <c r="EK31" s="25">
        <v>319</v>
      </c>
      <c r="EL31" s="25">
        <v>103</v>
      </c>
      <c r="EM31" s="25">
        <v>0</v>
      </c>
      <c r="EN31" s="25">
        <v>27</v>
      </c>
    </row>
    <row r="32" spans="1:144" x14ac:dyDescent="0.25">
      <c r="A32" s="19">
        <f t="shared" si="8"/>
        <v>47</v>
      </c>
      <c r="B32" s="20" t="str">
        <f t="shared" si="9"/>
        <v>Uintah</v>
      </c>
      <c r="C32" s="24" t="s">
        <v>334</v>
      </c>
      <c r="D32" s="24" t="s">
        <v>335</v>
      </c>
      <c r="E32" s="25">
        <v>14029</v>
      </c>
      <c r="F32" s="25">
        <v>508</v>
      </c>
      <c r="G32" s="25">
        <v>9944</v>
      </c>
      <c r="H32" s="25">
        <v>514</v>
      </c>
      <c r="I32" s="25">
        <v>9187</v>
      </c>
      <c r="J32" s="25">
        <v>477</v>
      </c>
      <c r="K32" s="25">
        <v>757</v>
      </c>
      <c r="L32" s="25">
        <v>262</v>
      </c>
      <c r="M32" s="25">
        <v>627</v>
      </c>
      <c r="N32" s="25">
        <v>156</v>
      </c>
      <c r="O32" s="25">
        <v>1631</v>
      </c>
      <c r="P32" s="25">
        <v>281</v>
      </c>
      <c r="Q32" s="25">
        <v>577</v>
      </c>
      <c r="R32" s="25">
        <v>174</v>
      </c>
      <c r="S32" s="25">
        <v>472</v>
      </c>
      <c r="T32" s="25">
        <v>154</v>
      </c>
      <c r="U32" s="25">
        <v>774</v>
      </c>
      <c r="V32" s="25">
        <v>192</v>
      </c>
      <c r="W32" s="25">
        <v>4</v>
      </c>
      <c r="X32" s="25">
        <v>7</v>
      </c>
      <c r="Y32" s="25">
        <v>11498</v>
      </c>
      <c r="Z32" s="25">
        <v>506</v>
      </c>
      <c r="AA32" s="25">
        <v>8247</v>
      </c>
      <c r="AB32" s="25">
        <v>493</v>
      </c>
      <c r="AC32" s="25">
        <v>7765</v>
      </c>
      <c r="AD32" s="25">
        <v>460</v>
      </c>
      <c r="AE32" s="25">
        <v>482</v>
      </c>
      <c r="AF32" s="25">
        <v>220</v>
      </c>
      <c r="AG32" s="25">
        <v>438</v>
      </c>
      <c r="AH32" s="25">
        <v>133</v>
      </c>
      <c r="AI32" s="25">
        <v>1472</v>
      </c>
      <c r="AJ32" s="25">
        <v>269</v>
      </c>
      <c r="AK32" s="25">
        <v>441</v>
      </c>
      <c r="AL32" s="25">
        <v>122</v>
      </c>
      <c r="AM32" s="25">
        <v>359</v>
      </c>
      <c r="AN32" s="25">
        <v>131</v>
      </c>
      <c r="AO32" s="25">
        <v>537</v>
      </c>
      <c r="AP32" s="25">
        <v>183</v>
      </c>
      <c r="AQ32" s="25">
        <v>4</v>
      </c>
      <c r="AR32" s="25">
        <v>7</v>
      </c>
      <c r="AS32" s="25">
        <v>1538</v>
      </c>
      <c r="AT32" s="25">
        <v>255</v>
      </c>
      <c r="AU32" s="25">
        <v>1231</v>
      </c>
      <c r="AV32" s="25">
        <v>218</v>
      </c>
      <c r="AW32" s="25">
        <v>1133</v>
      </c>
      <c r="AX32" s="25">
        <v>206</v>
      </c>
      <c r="AY32" s="25">
        <v>98</v>
      </c>
      <c r="AZ32" s="25">
        <v>83</v>
      </c>
      <c r="BA32" s="25">
        <v>59</v>
      </c>
      <c r="BB32" s="25">
        <v>42</v>
      </c>
      <c r="BC32" s="25">
        <v>94</v>
      </c>
      <c r="BD32" s="25">
        <v>63</v>
      </c>
      <c r="BE32" s="25">
        <v>97</v>
      </c>
      <c r="BF32" s="25">
        <v>98</v>
      </c>
      <c r="BG32" s="25">
        <v>28</v>
      </c>
      <c r="BH32" s="25">
        <v>29</v>
      </c>
      <c r="BI32" s="25">
        <v>29</v>
      </c>
      <c r="BJ32" s="25">
        <v>30</v>
      </c>
      <c r="BK32" s="25">
        <v>0</v>
      </c>
      <c r="BL32" s="25">
        <v>24</v>
      </c>
      <c r="BM32" s="25">
        <v>59</v>
      </c>
      <c r="BN32" s="25">
        <v>46</v>
      </c>
      <c r="BO32" s="25">
        <v>27</v>
      </c>
      <c r="BP32" s="25">
        <v>27</v>
      </c>
      <c r="BQ32" s="25">
        <v>27</v>
      </c>
      <c r="BR32" s="25">
        <v>27</v>
      </c>
      <c r="BS32" s="25">
        <v>0</v>
      </c>
      <c r="BT32" s="25">
        <v>24</v>
      </c>
      <c r="BU32" s="25">
        <v>21</v>
      </c>
      <c r="BV32" s="25">
        <v>32</v>
      </c>
      <c r="BW32" s="25">
        <v>0</v>
      </c>
      <c r="BX32" s="25">
        <v>24</v>
      </c>
      <c r="BY32" s="25">
        <v>0</v>
      </c>
      <c r="BZ32" s="25">
        <v>24</v>
      </c>
      <c r="CA32" s="25">
        <v>11</v>
      </c>
      <c r="CB32" s="25">
        <v>18</v>
      </c>
      <c r="CC32" s="25">
        <v>0</v>
      </c>
      <c r="CD32" s="25">
        <v>24</v>
      </c>
      <c r="CE32" s="25">
        <v>0</v>
      </c>
      <c r="CF32" s="25">
        <v>24</v>
      </c>
      <c r="CG32" s="25">
        <v>150</v>
      </c>
      <c r="CH32" s="25">
        <v>87</v>
      </c>
      <c r="CI32" s="25">
        <v>108</v>
      </c>
      <c r="CJ32" s="25">
        <v>81</v>
      </c>
      <c r="CK32" s="25">
        <v>91</v>
      </c>
      <c r="CL32" s="25">
        <v>65</v>
      </c>
      <c r="CM32" s="25">
        <v>17</v>
      </c>
      <c r="CN32" s="25">
        <v>21</v>
      </c>
      <c r="CO32" s="25">
        <v>6</v>
      </c>
      <c r="CP32" s="25">
        <v>9</v>
      </c>
      <c r="CQ32" s="25">
        <v>19</v>
      </c>
      <c r="CR32" s="25">
        <v>21</v>
      </c>
      <c r="CS32" s="25">
        <v>4</v>
      </c>
      <c r="CT32" s="25">
        <v>7</v>
      </c>
      <c r="CU32" s="25">
        <v>13</v>
      </c>
      <c r="CV32" s="25">
        <v>22</v>
      </c>
      <c r="CW32" s="25">
        <v>0</v>
      </c>
      <c r="CX32" s="25">
        <v>24</v>
      </c>
      <c r="CY32" s="25">
        <v>0</v>
      </c>
      <c r="CZ32" s="25">
        <v>24</v>
      </c>
      <c r="DA32" s="25">
        <v>284</v>
      </c>
      <c r="DB32" s="25">
        <v>140</v>
      </c>
      <c r="DC32" s="25">
        <v>81</v>
      </c>
      <c r="DD32" s="25">
        <v>46</v>
      </c>
      <c r="DE32" s="25">
        <v>79</v>
      </c>
      <c r="DF32" s="25">
        <v>45</v>
      </c>
      <c r="DG32" s="25">
        <v>2</v>
      </c>
      <c r="DH32" s="25">
        <v>4</v>
      </c>
      <c r="DI32" s="25">
        <v>85</v>
      </c>
      <c r="DJ32" s="25">
        <v>65</v>
      </c>
      <c r="DK32" s="25">
        <v>42</v>
      </c>
      <c r="DL32" s="25">
        <v>63</v>
      </c>
      <c r="DM32" s="25">
        <v>11</v>
      </c>
      <c r="DN32" s="25">
        <v>17</v>
      </c>
      <c r="DO32" s="25">
        <v>61</v>
      </c>
      <c r="DP32" s="25">
        <v>71</v>
      </c>
      <c r="DQ32" s="25">
        <v>4</v>
      </c>
      <c r="DR32" s="25">
        <v>7</v>
      </c>
      <c r="DS32" s="25">
        <v>0</v>
      </c>
      <c r="DT32" s="25">
        <v>24</v>
      </c>
      <c r="DU32" s="25">
        <v>500</v>
      </c>
      <c r="DV32" s="25">
        <v>160</v>
      </c>
      <c r="DW32" s="25">
        <v>250</v>
      </c>
      <c r="DX32" s="25">
        <v>121</v>
      </c>
      <c r="DY32" s="25">
        <v>92</v>
      </c>
      <c r="DZ32" s="25">
        <v>56</v>
      </c>
      <c r="EA32" s="25">
        <v>158</v>
      </c>
      <c r="EB32" s="25">
        <v>99</v>
      </c>
      <c r="EC32" s="25">
        <v>18</v>
      </c>
      <c r="ED32" s="25">
        <v>21</v>
      </c>
      <c r="EE32" s="25">
        <v>4</v>
      </c>
      <c r="EF32" s="25">
        <v>7</v>
      </c>
      <c r="EG32" s="25">
        <v>24</v>
      </c>
      <c r="EH32" s="25">
        <v>32</v>
      </c>
      <c r="EI32" s="25">
        <v>0</v>
      </c>
      <c r="EJ32" s="25">
        <v>24</v>
      </c>
      <c r="EK32" s="25">
        <v>204</v>
      </c>
      <c r="EL32" s="25">
        <v>100</v>
      </c>
      <c r="EM32" s="25">
        <v>0</v>
      </c>
      <c r="EN32" s="25">
        <v>24</v>
      </c>
    </row>
    <row r="33" spans="1:144" x14ac:dyDescent="0.25">
      <c r="A33" s="19">
        <f t="shared" si="8"/>
        <v>49</v>
      </c>
      <c r="B33" s="20" t="str">
        <f t="shared" si="9"/>
        <v>Utah</v>
      </c>
      <c r="C33" s="24" t="s">
        <v>336</v>
      </c>
      <c r="D33" s="24" t="s">
        <v>337</v>
      </c>
      <c r="E33" s="25">
        <v>219308</v>
      </c>
      <c r="F33" s="25">
        <v>1687</v>
      </c>
      <c r="G33" s="25">
        <v>155692</v>
      </c>
      <c r="H33" s="25">
        <v>1920</v>
      </c>
      <c r="I33" s="25">
        <v>145331</v>
      </c>
      <c r="J33" s="25">
        <v>2022</v>
      </c>
      <c r="K33" s="25">
        <v>10361</v>
      </c>
      <c r="L33" s="25">
        <v>622</v>
      </c>
      <c r="M33" s="25">
        <v>23979</v>
      </c>
      <c r="N33" s="25">
        <v>1207</v>
      </c>
      <c r="O33" s="25">
        <v>14442</v>
      </c>
      <c r="P33" s="25">
        <v>804</v>
      </c>
      <c r="Q33" s="25">
        <v>11167</v>
      </c>
      <c r="R33" s="25">
        <v>701</v>
      </c>
      <c r="S33" s="25">
        <v>3278</v>
      </c>
      <c r="T33" s="25">
        <v>366</v>
      </c>
      <c r="U33" s="25">
        <v>10459</v>
      </c>
      <c r="V33" s="25">
        <v>730</v>
      </c>
      <c r="W33" s="25">
        <v>291</v>
      </c>
      <c r="X33" s="25">
        <v>92</v>
      </c>
      <c r="Y33" s="25">
        <v>160366</v>
      </c>
      <c r="Z33" s="25">
        <v>2247</v>
      </c>
      <c r="AA33" s="25">
        <v>117860</v>
      </c>
      <c r="AB33" s="25">
        <v>2204</v>
      </c>
      <c r="AC33" s="25">
        <v>111100</v>
      </c>
      <c r="AD33" s="25">
        <v>2289</v>
      </c>
      <c r="AE33" s="25">
        <v>6760</v>
      </c>
      <c r="AF33" s="25">
        <v>469</v>
      </c>
      <c r="AG33" s="25">
        <v>14514</v>
      </c>
      <c r="AH33" s="25">
        <v>886</v>
      </c>
      <c r="AI33" s="25">
        <v>11983</v>
      </c>
      <c r="AJ33" s="25">
        <v>755</v>
      </c>
      <c r="AK33" s="25">
        <v>8741</v>
      </c>
      <c r="AL33" s="25">
        <v>647</v>
      </c>
      <c r="AM33" s="25">
        <v>2366</v>
      </c>
      <c r="AN33" s="25">
        <v>321</v>
      </c>
      <c r="AO33" s="25">
        <v>4701</v>
      </c>
      <c r="AP33" s="25">
        <v>425</v>
      </c>
      <c r="AQ33" s="25">
        <v>201</v>
      </c>
      <c r="AR33" s="25">
        <v>87</v>
      </c>
      <c r="AS33" s="25">
        <v>26932</v>
      </c>
      <c r="AT33" s="25">
        <v>1353</v>
      </c>
      <c r="AU33" s="25">
        <v>19407</v>
      </c>
      <c r="AV33" s="25">
        <v>1110</v>
      </c>
      <c r="AW33" s="25">
        <v>18305</v>
      </c>
      <c r="AX33" s="25">
        <v>1108</v>
      </c>
      <c r="AY33" s="25">
        <v>1102</v>
      </c>
      <c r="AZ33" s="25">
        <v>235</v>
      </c>
      <c r="BA33" s="25">
        <v>2965</v>
      </c>
      <c r="BB33" s="25">
        <v>368</v>
      </c>
      <c r="BC33" s="25">
        <v>1538</v>
      </c>
      <c r="BD33" s="25">
        <v>271</v>
      </c>
      <c r="BE33" s="25">
        <v>1293</v>
      </c>
      <c r="BF33" s="25">
        <v>208</v>
      </c>
      <c r="BG33" s="25">
        <v>633</v>
      </c>
      <c r="BH33" s="25">
        <v>184</v>
      </c>
      <c r="BI33" s="25">
        <v>1064</v>
      </c>
      <c r="BJ33" s="25">
        <v>231</v>
      </c>
      <c r="BK33" s="25">
        <v>32</v>
      </c>
      <c r="BL33" s="25">
        <v>27</v>
      </c>
      <c r="BM33" s="25">
        <v>3966</v>
      </c>
      <c r="BN33" s="25">
        <v>468</v>
      </c>
      <c r="BO33" s="25">
        <v>2506</v>
      </c>
      <c r="BP33" s="25">
        <v>390</v>
      </c>
      <c r="BQ33" s="25">
        <v>2473</v>
      </c>
      <c r="BR33" s="25">
        <v>388</v>
      </c>
      <c r="BS33" s="25">
        <v>33</v>
      </c>
      <c r="BT33" s="25">
        <v>31</v>
      </c>
      <c r="BU33" s="25">
        <v>883</v>
      </c>
      <c r="BV33" s="25">
        <v>201</v>
      </c>
      <c r="BW33" s="25">
        <v>165</v>
      </c>
      <c r="BX33" s="25">
        <v>117</v>
      </c>
      <c r="BY33" s="25">
        <v>354</v>
      </c>
      <c r="BZ33" s="25">
        <v>118</v>
      </c>
      <c r="CA33" s="25">
        <v>36</v>
      </c>
      <c r="CB33" s="25">
        <v>28</v>
      </c>
      <c r="CC33" s="25">
        <v>22</v>
      </c>
      <c r="CD33" s="25">
        <v>31</v>
      </c>
      <c r="CE33" s="25">
        <v>0</v>
      </c>
      <c r="CF33" s="25">
        <v>27</v>
      </c>
      <c r="CG33" s="25">
        <v>10366</v>
      </c>
      <c r="CH33" s="25">
        <v>815</v>
      </c>
      <c r="CI33" s="25">
        <v>5383</v>
      </c>
      <c r="CJ33" s="25">
        <v>558</v>
      </c>
      <c r="CK33" s="25">
        <v>5137</v>
      </c>
      <c r="CL33" s="25">
        <v>544</v>
      </c>
      <c r="CM33" s="25">
        <v>246</v>
      </c>
      <c r="CN33" s="25">
        <v>100</v>
      </c>
      <c r="CO33" s="25">
        <v>3834</v>
      </c>
      <c r="CP33" s="25">
        <v>508</v>
      </c>
      <c r="CQ33" s="25">
        <v>388</v>
      </c>
      <c r="CR33" s="25">
        <v>113</v>
      </c>
      <c r="CS33" s="25">
        <v>327</v>
      </c>
      <c r="CT33" s="25">
        <v>110</v>
      </c>
      <c r="CU33" s="25">
        <v>44</v>
      </c>
      <c r="CV33" s="25">
        <v>29</v>
      </c>
      <c r="CW33" s="25">
        <v>379</v>
      </c>
      <c r="CX33" s="25">
        <v>123</v>
      </c>
      <c r="CY33" s="25">
        <v>11</v>
      </c>
      <c r="CZ33" s="25">
        <v>18</v>
      </c>
      <c r="DA33" s="25">
        <v>4767</v>
      </c>
      <c r="DB33" s="25">
        <v>463</v>
      </c>
      <c r="DC33" s="25">
        <v>3092</v>
      </c>
      <c r="DD33" s="25">
        <v>360</v>
      </c>
      <c r="DE33" s="25">
        <v>2990</v>
      </c>
      <c r="DF33" s="25">
        <v>362</v>
      </c>
      <c r="DG33" s="25">
        <v>102</v>
      </c>
      <c r="DH33" s="25">
        <v>50</v>
      </c>
      <c r="DI33" s="25">
        <v>967</v>
      </c>
      <c r="DJ33" s="25">
        <v>189</v>
      </c>
      <c r="DK33" s="25">
        <v>152</v>
      </c>
      <c r="DL33" s="25">
        <v>73</v>
      </c>
      <c r="DM33" s="25">
        <v>299</v>
      </c>
      <c r="DN33" s="25">
        <v>135</v>
      </c>
      <c r="DO33" s="25">
        <v>140</v>
      </c>
      <c r="DP33" s="25">
        <v>83</v>
      </c>
      <c r="DQ33" s="25">
        <v>117</v>
      </c>
      <c r="DR33" s="25">
        <v>63</v>
      </c>
      <c r="DS33" s="25">
        <v>0</v>
      </c>
      <c r="DT33" s="25">
        <v>27</v>
      </c>
      <c r="DU33" s="25">
        <v>12911</v>
      </c>
      <c r="DV33" s="25">
        <v>690</v>
      </c>
      <c r="DW33" s="25">
        <v>7444</v>
      </c>
      <c r="DX33" s="25">
        <v>531</v>
      </c>
      <c r="DY33" s="25">
        <v>5326</v>
      </c>
      <c r="DZ33" s="25">
        <v>437</v>
      </c>
      <c r="EA33" s="25">
        <v>2118</v>
      </c>
      <c r="EB33" s="25">
        <v>292</v>
      </c>
      <c r="EC33" s="25">
        <v>816</v>
      </c>
      <c r="ED33" s="25">
        <v>185</v>
      </c>
      <c r="EE33" s="25">
        <v>216</v>
      </c>
      <c r="EF33" s="25">
        <v>92</v>
      </c>
      <c r="EG33" s="25">
        <v>153</v>
      </c>
      <c r="EH33" s="25">
        <v>80</v>
      </c>
      <c r="EI33" s="25">
        <v>59</v>
      </c>
      <c r="EJ33" s="25">
        <v>37</v>
      </c>
      <c r="EK33" s="25">
        <v>4176</v>
      </c>
      <c r="EL33" s="25">
        <v>426</v>
      </c>
      <c r="EM33" s="25">
        <v>47</v>
      </c>
      <c r="EN33" s="25">
        <v>47</v>
      </c>
    </row>
    <row r="34" spans="1:144" x14ac:dyDescent="0.25">
      <c r="A34" s="19">
        <f t="shared" si="8"/>
        <v>51</v>
      </c>
      <c r="B34" s="20" t="str">
        <f t="shared" si="9"/>
        <v>Wasatch</v>
      </c>
      <c r="C34" s="24" t="s">
        <v>338</v>
      </c>
      <c r="D34" s="24" t="s">
        <v>339</v>
      </c>
      <c r="E34" s="25">
        <v>11033</v>
      </c>
      <c r="F34" s="25">
        <v>400</v>
      </c>
      <c r="G34" s="25">
        <v>8030</v>
      </c>
      <c r="H34" s="25">
        <v>457</v>
      </c>
      <c r="I34" s="25">
        <v>6759</v>
      </c>
      <c r="J34" s="25">
        <v>439</v>
      </c>
      <c r="K34" s="25">
        <v>1271</v>
      </c>
      <c r="L34" s="25">
        <v>272</v>
      </c>
      <c r="M34" s="25">
        <v>639</v>
      </c>
      <c r="N34" s="25">
        <v>218</v>
      </c>
      <c r="O34" s="25">
        <v>1055</v>
      </c>
      <c r="P34" s="25">
        <v>221</v>
      </c>
      <c r="Q34" s="25">
        <v>390</v>
      </c>
      <c r="R34" s="25">
        <v>135</v>
      </c>
      <c r="S34" s="25">
        <v>148</v>
      </c>
      <c r="T34" s="25">
        <v>92</v>
      </c>
      <c r="U34" s="25">
        <v>743</v>
      </c>
      <c r="V34" s="25">
        <v>194</v>
      </c>
      <c r="W34" s="25">
        <v>28</v>
      </c>
      <c r="X34" s="25">
        <v>37</v>
      </c>
      <c r="Y34" s="25">
        <v>8255</v>
      </c>
      <c r="Z34" s="25">
        <v>546</v>
      </c>
      <c r="AA34" s="25">
        <v>6055</v>
      </c>
      <c r="AB34" s="25">
        <v>534</v>
      </c>
      <c r="AC34" s="25">
        <v>5215</v>
      </c>
      <c r="AD34" s="25">
        <v>471</v>
      </c>
      <c r="AE34" s="25">
        <v>840</v>
      </c>
      <c r="AF34" s="25">
        <v>239</v>
      </c>
      <c r="AG34" s="25">
        <v>495</v>
      </c>
      <c r="AH34" s="25">
        <v>210</v>
      </c>
      <c r="AI34" s="25">
        <v>869</v>
      </c>
      <c r="AJ34" s="25">
        <v>200</v>
      </c>
      <c r="AK34" s="25">
        <v>314</v>
      </c>
      <c r="AL34" s="25">
        <v>126</v>
      </c>
      <c r="AM34" s="25">
        <v>136</v>
      </c>
      <c r="AN34" s="25">
        <v>90</v>
      </c>
      <c r="AO34" s="25">
        <v>386</v>
      </c>
      <c r="AP34" s="25">
        <v>130</v>
      </c>
      <c r="AQ34" s="25">
        <v>0</v>
      </c>
      <c r="AR34" s="25">
        <v>21</v>
      </c>
      <c r="AS34" s="25">
        <v>1356</v>
      </c>
      <c r="AT34" s="25">
        <v>296</v>
      </c>
      <c r="AU34" s="25">
        <v>1059</v>
      </c>
      <c r="AV34" s="25">
        <v>267</v>
      </c>
      <c r="AW34" s="25">
        <v>919</v>
      </c>
      <c r="AX34" s="25">
        <v>265</v>
      </c>
      <c r="AY34" s="25">
        <v>140</v>
      </c>
      <c r="AZ34" s="25">
        <v>92</v>
      </c>
      <c r="BA34" s="25">
        <v>44</v>
      </c>
      <c r="BB34" s="25">
        <v>37</v>
      </c>
      <c r="BC34" s="25">
        <v>96</v>
      </c>
      <c r="BD34" s="25">
        <v>58</v>
      </c>
      <c r="BE34" s="25">
        <v>65</v>
      </c>
      <c r="BF34" s="25">
        <v>44</v>
      </c>
      <c r="BG34" s="25">
        <v>9</v>
      </c>
      <c r="BH34" s="25">
        <v>16</v>
      </c>
      <c r="BI34" s="25">
        <v>78</v>
      </c>
      <c r="BJ34" s="25">
        <v>63</v>
      </c>
      <c r="BK34" s="25">
        <v>5</v>
      </c>
      <c r="BL34" s="25">
        <v>8</v>
      </c>
      <c r="BM34" s="25">
        <v>57</v>
      </c>
      <c r="BN34" s="25">
        <v>55</v>
      </c>
      <c r="BO34" s="25">
        <v>57</v>
      </c>
      <c r="BP34" s="25">
        <v>55</v>
      </c>
      <c r="BQ34" s="25">
        <v>57</v>
      </c>
      <c r="BR34" s="25">
        <v>55</v>
      </c>
      <c r="BS34" s="25">
        <v>0</v>
      </c>
      <c r="BT34" s="25">
        <v>21</v>
      </c>
      <c r="BU34" s="25">
        <v>0</v>
      </c>
      <c r="BV34" s="25">
        <v>21</v>
      </c>
      <c r="BW34" s="25">
        <v>0</v>
      </c>
      <c r="BX34" s="25">
        <v>21</v>
      </c>
      <c r="BY34" s="25">
        <v>0</v>
      </c>
      <c r="BZ34" s="25">
        <v>21</v>
      </c>
      <c r="CA34" s="25">
        <v>0</v>
      </c>
      <c r="CB34" s="25">
        <v>21</v>
      </c>
      <c r="CC34" s="25">
        <v>0</v>
      </c>
      <c r="CD34" s="25">
        <v>21</v>
      </c>
      <c r="CE34" s="25">
        <v>0</v>
      </c>
      <c r="CF34" s="25">
        <v>21</v>
      </c>
      <c r="CG34" s="25">
        <v>236</v>
      </c>
      <c r="CH34" s="25">
        <v>115</v>
      </c>
      <c r="CI34" s="25">
        <v>163</v>
      </c>
      <c r="CJ34" s="25">
        <v>99</v>
      </c>
      <c r="CK34" s="25">
        <v>159</v>
      </c>
      <c r="CL34" s="25">
        <v>98</v>
      </c>
      <c r="CM34" s="25">
        <v>4</v>
      </c>
      <c r="CN34" s="25">
        <v>9</v>
      </c>
      <c r="CO34" s="25">
        <v>13</v>
      </c>
      <c r="CP34" s="25">
        <v>22</v>
      </c>
      <c r="CQ34" s="25">
        <v>13</v>
      </c>
      <c r="CR34" s="25">
        <v>20</v>
      </c>
      <c r="CS34" s="25">
        <v>11</v>
      </c>
      <c r="CT34" s="25">
        <v>18</v>
      </c>
      <c r="CU34" s="25">
        <v>0</v>
      </c>
      <c r="CV34" s="25">
        <v>21</v>
      </c>
      <c r="CW34" s="25">
        <v>36</v>
      </c>
      <c r="CX34" s="25">
        <v>32</v>
      </c>
      <c r="CY34" s="25">
        <v>0</v>
      </c>
      <c r="CZ34" s="25">
        <v>21</v>
      </c>
      <c r="DA34" s="25">
        <v>180</v>
      </c>
      <c r="DB34" s="25">
        <v>81</v>
      </c>
      <c r="DC34" s="25">
        <v>121</v>
      </c>
      <c r="DD34" s="25">
        <v>72</v>
      </c>
      <c r="DE34" s="25">
        <v>107</v>
      </c>
      <c r="DF34" s="25">
        <v>70</v>
      </c>
      <c r="DG34" s="25">
        <v>14</v>
      </c>
      <c r="DH34" s="25">
        <v>18</v>
      </c>
      <c r="DI34" s="25">
        <v>14</v>
      </c>
      <c r="DJ34" s="25">
        <v>20</v>
      </c>
      <c r="DK34" s="25">
        <v>39</v>
      </c>
      <c r="DL34" s="25">
        <v>37</v>
      </c>
      <c r="DM34" s="25">
        <v>0</v>
      </c>
      <c r="DN34" s="25">
        <v>21</v>
      </c>
      <c r="DO34" s="25">
        <v>0</v>
      </c>
      <c r="DP34" s="25">
        <v>21</v>
      </c>
      <c r="DQ34" s="25">
        <v>6</v>
      </c>
      <c r="DR34" s="25">
        <v>11</v>
      </c>
      <c r="DS34" s="25">
        <v>0</v>
      </c>
      <c r="DT34" s="25">
        <v>21</v>
      </c>
      <c r="DU34" s="25">
        <v>949</v>
      </c>
      <c r="DV34" s="25">
        <v>247</v>
      </c>
      <c r="DW34" s="25">
        <v>575</v>
      </c>
      <c r="DX34" s="25">
        <v>206</v>
      </c>
      <c r="DY34" s="25">
        <v>302</v>
      </c>
      <c r="DZ34" s="25">
        <v>119</v>
      </c>
      <c r="EA34" s="25">
        <v>273</v>
      </c>
      <c r="EB34" s="25">
        <v>169</v>
      </c>
      <c r="EC34" s="25">
        <v>73</v>
      </c>
      <c r="ED34" s="25">
        <v>54</v>
      </c>
      <c r="EE34" s="25">
        <v>38</v>
      </c>
      <c r="EF34" s="25">
        <v>46</v>
      </c>
      <c r="EG34" s="25">
        <v>0</v>
      </c>
      <c r="EH34" s="25">
        <v>21</v>
      </c>
      <c r="EI34" s="25">
        <v>3</v>
      </c>
      <c r="EJ34" s="25">
        <v>4</v>
      </c>
      <c r="EK34" s="25">
        <v>237</v>
      </c>
      <c r="EL34" s="25">
        <v>98</v>
      </c>
      <c r="EM34" s="25">
        <v>23</v>
      </c>
      <c r="EN34" s="25">
        <v>36</v>
      </c>
    </row>
    <row r="35" spans="1:144" x14ac:dyDescent="0.25">
      <c r="A35" s="19">
        <f t="shared" si="8"/>
        <v>53</v>
      </c>
      <c r="B35" s="20" t="str">
        <f t="shared" si="9"/>
        <v>Washington</v>
      </c>
      <c r="C35" s="24" t="s">
        <v>340</v>
      </c>
      <c r="D35" s="24" t="s">
        <v>341</v>
      </c>
      <c r="E35" s="25">
        <v>52117</v>
      </c>
      <c r="F35" s="25">
        <v>1066</v>
      </c>
      <c r="G35" s="25">
        <v>37796</v>
      </c>
      <c r="H35" s="25">
        <v>1126</v>
      </c>
      <c r="I35" s="25">
        <v>34744</v>
      </c>
      <c r="J35" s="25">
        <v>1156</v>
      </c>
      <c r="K35" s="25">
        <v>3052</v>
      </c>
      <c r="L35" s="25">
        <v>432</v>
      </c>
      <c r="M35" s="25">
        <v>3908</v>
      </c>
      <c r="N35" s="25">
        <v>511</v>
      </c>
      <c r="O35" s="25">
        <v>3753</v>
      </c>
      <c r="P35" s="25">
        <v>444</v>
      </c>
      <c r="Q35" s="25">
        <v>2210</v>
      </c>
      <c r="R35" s="25">
        <v>342</v>
      </c>
      <c r="S35" s="25">
        <v>828</v>
      </c>
      <c r="T35" s="25">
        <v>264</v>
      </c>
      <c r="U35" s="25">
        <v>3515</v>
      </c>
      <c r="V35" s="25">
        <v>464</v>
      </c>
      <c r="W35" s="25">
        <v>107</v>
      </c>
      <c r="X35" s="25">
        <v>83</v>
      </c>
      <c r="Y35" s="25">
        <v>40668</v>
      </c>
      <c r="Z35" s="25">
        <v>1039</v>
      </c>
      <c r="AA35" s="25">
        <v>29844</v>
      </c>
      <c r="AB35" s="25">
        <v>976</v>
      </c>
      <c r="AC35" s="25">
        <v>27694</v>
      </c>
      <c r="AD35" s="25">
        <v>950</v>
      </c>
      <c r="AE35" s="25">
        <v>2150</v>
      </c>
      <c r="AF35" s="25">
        <v>353</v>
      </c>
      <c r="AG35" s="25">
        <v>3486</v>
      </c>
      <c r="AH35" s="25">
        <v>496</v>
      </c>
      <c r="AI35" s="25">
        <v>3154</v>
      </c>
      <c r="AJ35" s="25">
        <v>434</v>
      </c>
      <c r="AK35" s="25">
        <v>1663</v>
      </c>
      <c r="AL35" s="25">
        <v>314</v>
      </c>
      <c r="AM35" s="25">
        <v>602</v>
      </c>
      <c r="AN35" s="25">
        <v>193</v>
      </c>
      <c r="AO35" s="25">
        <v>1853</v>
      </c>
      <c r="AP35" s="25">
        <v>361</v>
      </c>
      <c r="AQ35" s="25">
        <v>66</v>
      </c>
      <c r="AR35" s="25">
        <v>56</v>
      </c>
      <c r="AS35" s="25">
        <v>6144</v>
      </c>
      <c r="AT35" s="25">
        <v>686</v>
      </c>
      <c r="AU35" s="25">
        <v>4561</v>
      </c>
      <c r="AV35" s="25">
        <v>647</v>
      </c>
      <c r="AW35" s="25">
        <v>4286</v>
      </c>
      <c r="AX35" s="25">
        <v>622</v>
      </c>
      <c r="AY35" s="25">
        <v>275</v>
      </c>
      <c r="AZ35" s="25">
        <v>115</v>
      </c>
      <c r="BA35" s="25">
        <v>179</v>
      </c>
      <c r="BB35" s="25">
        <v>82</v>
      </c>
      <c r="BC35" s="25">
        <v>464</v>
      </c>
      <c r="BD35" s="25">
        <v>145</v>
      </c>
      <c r="BE35" s="25">
        <v>375</v>
      </c>
      <c r="BF35" s="25">
        <v>137</v>
      </c>
      <c r="BG35" s="25">
        <v>79</v>
      </c>
      <c r="BH35" s="25">
        <v>52</v>
      </c>
      <c r="BI35" s="25">
        <v>459</v>
      </c>
      <c r="BJ35" s="25">
        <v>149</v>
      </c>
      <c r="BK35" s="25">
        <v>27</v>
      </c>
      <c r="BL35" s="25">
        <v>35</v>
      </c>
      <c r="BM35" s="25">
        <v>226</v>
      </c>
      <c r="BN35" s="25">
        <v>103</v>
      </c>
      <c r="BO35" s="25">
        <v>187</v>
      </c>
      <c r="BP35" s="25">
        <v>98</v>
      </c>
      <c r="BQ35" s="25">
        <v>187</v>
      </c>
      <c r="BR35" s="25">
        <v>98</v>
      </c>
      <c r="BS35" s="25">
        <v>0</v>
      </c>
      <c r="BT35" s="25">
        <v>27</v>
      </c>
      <c r="BU35" s="25">
        <v>23</v>
      </c>
      <c r="BV35" s="25">
        <v>26</v>
      </c>
      <c r="BW35" s="25">
        <v>3</v>
      </c>
      <c r="BX35" s="25">
        <v>5</v>
      </c>
      <c r="BY35" s="25">
        <v>0</v>
      </c>
      <c r="BZ35" s="25">
        <v>27</v>
      </c>
      <c r="CA35" s="25">
        <v>0</v>
      </c>
      <c r="CB35" s="25">
        <v>27</v>
      </c>
      <c r="CC35" s="25">
        <v>13</v>
      </c>
      <c r="CD35" s="25">
        <v>21</v>
      </c>
      <c r="CE35" s="25">
        <v>0</v>
      </c>
      <c r="CF35" s="25">
        <v>27</v>
      </c>
      <c r="CG35" s="25">
        <v>1332</v>
      </c>
      <c r="CH35" s="25">
        <v>287</v>
      </c>
      <c r="CI35" s="25">
        <v>985</v>
      </c>
      <c r="CJ35" s="25">
        <v>265</v>
      </c>
      <c r="CK35" s="25">
        <v>887</v>
      </c>
      <c r="CL35" s="25">
        <v>262</v>
      </c>
      <c r="CM35" s="25">
        <v>98</v>
      </c>
      <c r="CN35" s="25">
        <v>69</v>
      </c>
      <c r="CO35" s="25">
        <v>77</v>
      </c>
      <c r="CP35" s="25">
        <v>71</v>
      </c>
      <c r="CQ35" s="25">
        <v>48</v>
      </c>
      <c r="CR35" s="25">
        <v>38</v>
      </c>
      <c r="CS35" s="25">
        <v>24</v>
      </c>
      <c r="CT35" s="25">
        <v>26</v>
      </c>
      <c r="CU35" s="25">
        <v>71</v>
      </c>
      <c r="CV35" s="25">
        <v>92</v>
      </c>
      <c r="CW35" s="25">
        <v>127</v>
      </c>
      <c r="CX35" s="25">
        <v>78</v>
      </c>
      <c r="CY35" s="25">
        <v>0</v>
      </c>
      <c r="CZ35" s="25">
        <v>27</v>
      </c>
      <c r="DA35" s="25">
        <v>1068</v>
      </c>
      <c r="DB35" s="25">
        <v>247</v>
      </c>
      <c r="DC35" s="25">
        <v>726</v>
      </c>
      <c r="DD35" s="25">
        <v>204</v>
      </c>
      <c r="DE35" s="25">
        <v>698</v>
      </c>
      <c r="DF35" s="25">
        <v>197</v>
      </c>
      <c r="DG35" s="25">
        <v>28</v>
      </c>
      <c r="DH35" s="25">
        <v>39</v>
      </c>
      <c r="DI35" s="25">
        <v>71</v>
      </c>
      <c r="DJ35" s="25">
        <v>49</v>
      </c>
      <c r="DK35" s="25">
        <v>46</v>
      </c>
      <c r="DL35" s="25">
        <v>35</v>
      </c>
      <c r="DM35" s="25">
        <v>135</v>
      </c>
      <c r="DN35" s="25">
        <v>96</v>
      </c>
      <c r="DO35" s="25">
        <v>26</v>
      </c>
      <c r="DP35" s="25">
        <v>41</v>
      </c>
      <c r="DQ35" s="25">
        <v>64</v>
      </c>
      <c r="DR35" s="25">
        <v>46</v>
      </c>
      <c r="DS35" s="25">
        <v>0</v>
      </c>
      <c r="DT35" s="25">
        <v>27</v>
      </c>
      <c r="DU35" s="25">
        <v>2679</v>
      </c>
      <c r="DV35" s="25">
        <v>354</v>
      </c>
      <c r="DW35" s="25">
        <v>1493</v>
      </c>
      <c r="DX35" s="25">
        <v>255</v>
      </c>
      <c r="DY35" s="25">
        <v>992</v>
      </c>
      <c r="DZ35" s="25">
        <v>226</v>
      </c>
      <c r="EA35" s="25">
        <v>501</v>
      </c>
      <c r="EB35" s="25">
        <v>164</v>
      </c>
      <c r="EC35" s="25">
        <v>72</v>
      </c>
      <c r="ED35" s="25">
        <v>52</v>
      </c>
      <c r="EE35" s="25">
        <v>38</v>
      </c>
      <c r="EF35" s="25">
        <v>38</v>
      </c>
      <c r="EG35" s="25">
        <v>13</v>
      </c>
      <c r="EH35" s="25">
        <v>23</v>
      </c>
      <c r="EI35" s="25">
        <v>50</v>
      </c>
      <c r="EJ35" s="25">
        <v>50</v>
      </c>
      <c r="EK35" s="25">
        <v>999</v>
      </c>
      <c r="EL35" s="25">
        <v>244</v>
      </c>
      <c r="EM35" s="25">
        <v>14</v>
      </c>
      <c r="EN35" s="25">
        <v>23</v>
      </c>
    </row>
    <row r="36" spans="1:144" x14ac:dyDescent="0.25">
      <c r="A36" s="19">
        <f t="shared" si="8"/>
        <v>55</v>
      </c>
      <c r="B36" s="20" t="str">
        <f t="shared" si="9"/>
        <v>Wayne</v>
      </c>
      <c r="C36" s="24" t="s">
        <v>342</v>
      </c>
      <c r="D36" s="24" t="s">
        <v>343</v>
      </c>
      <c r="E36" s="25">
        <v>1327</v>
      </c>
      <c r="F36" s="25">
        <v>87</v>
      </c>
      <c r="G36" s="25">
        <v>796</v>
      </c>
      <c r="H36" s="25">
        <v>100</v>
      </c>
      <c r="I36" s="25">
        <v>629</v>
      </c>
      <c r="J36" s="25">
        <v>102</v>
      </c>
      <c r="K36" s="25">
        <v>167</v>
      </c>
      <c r="L36" s="25">
        <v>68</v>
      </c>
      <c r="M36" s="25">
        <v>35</v>
      </c>
      <c r="N36" s="25">
        <v>23</v>
      </c>
      <c r="O36" s="25">
        <v>140</v>
      </c>
      <c r="P36" s="25">
        <v>49</v>
      </c>
      <c r="Q36" s="25">
        <v>78</v>
      </c>
      <c r="R36" s="25">
        <v>40</v>
      </c>
      <c r="S36" s="25">
        <v>155</v>
      </c>
      <c r="T36" s="25">
        <v>65</v>
      </c>
      <c r="U36" s="25">
        <v>119</v>
      </c>
      <c r="V36" s="25">
        <v>47</v>
      </c>
      <c r="W36" s="25">
        <v>4</v>
      </c>
      <c r="X36" s="25">
        <v>6</v>
      </c>
      <c r="Y36" s="25">
        <v>864</v>
      </c>
      <c r="Z36" s="25">
        <v>99</v>
      </c>
      <c r="AA36" s="25">
        <v>543</v>
      </c>
      <c r="AB36" s="25">
        <v>79</v>
      </c>
      <c r="AC36" s="25">
        <v>471</v>
      </c>
      <c r="AD36" s="25">
        <v>79</v>
      </c>
      <c r="AE36" s="25">
        <v>72</v>
      </c>
      <c r="AF36" s="25">
        <v>35</v>
      </c>
      <c r="AG36" s="25">
        <v>35</v>
      </c>
      <c r="AH36" s="25">
        <v>23</v>
      </c>
      <c r="AI36" s="25">
        <v>77</v>
      </c>
      <c r="AJ36" s="25">
        <v>36</v>
      </c>
      <c r="AK36" s="25">
        <v>47</v>
      </c>
      <c r="AL36" s="25">
        <v>24</v>
      </c>
      <c r="AM36" s="25">
        <v>106</v>
      </c>
      <c r="AN36" s="25">
        <v>49</v>
      </c>
      <c r="AO36" s="25">
        <v>56</v>
      </c>
      <c r="AP36" s="25">
        <v>31</v>
      </c>
      <c r="AQ36" s="25">
        <v>0</v>
      </c>
      <c r="AR36" s="25">
        <v>11</v>
      </c>
      <c r="AS36" s="25">
        <v>192</v>
      </c>
      <c r="AT36" s="25">
        <v>50</v>
      </c>
      <c r="AU36" s="25">
        <v>103</v>
      </c>
      <c r="AV36" s="25">
        <v>47</v>
      </c>
      <c r="AW36" s="25">
        <v>85</v>
      </c>
      <c r="AX36" s="25">
        <v>43</v>
      </c>
      <c r="AY36" s="25">
        <v>18</v>
      </c>
      <c r="AZ36" s="25">
        <v>16</v>
      </c>
      <c r="BA36" s="25">
        <v>0</v>
      </c>
      <c r="BB36" s="25">
        <v>11</v>
      </c>
      <c r="BC36" s="25">
        <v>35</v>
      </c>
      <c r="BD36" s="25">
        <v>29</v>
      </c>
      <c r="BE36" s="25">
        <v>8</v>
      </c>
      <c r="BF36" s="25">
        <v>7</v>
      </c>
      <c r="BG36" s="25">
        <v>37</v>
      </c>
      <c r="BH36" s="25">
        <v>29</v>
      </c>
      <c r="BI36" s="25">
        <v>9</v>
      </c>
      <c r="BJ36" s="25">
        <v>10</v>
      </c>
      <c r="BK36" s="25">
        <v>0</v>
      </c>
      <c r="BL36" s="25">
        <v>11</v>
      </c>
      <c r="BM36" s="25">
        <v>19</v>
      </c>
      <c r="BN36" s="25">
        <v>20</v>
      </c>
      <c r="BO36" s="25">
        <v>17</v>
      </c>
      <c r="BP36" s="25">
        <v>19</v>
      </c>
      <c r="BQ36" s="25">
        <v>0</v>
      </c>
      <c r="BR36" s="25">
        <v>11</v>
      </c>
      <c r="BS36" s="25">
        <v>17</v>
      </c>
      <c r="BT36" s="25">
        <v>19</v>
      </c>
      <c r="BU36" s="25">
        <v>0</v>
      </c>
      <c r="BV36" s="25">
        <v>11</v>
      </c>
      <c r="BW36" s="25">
        <v>0</v>
      </c>
      <c r="BX36" s="25">
        <v>11</v>
      </c>
      <c r="BY36" s="25">
        <v>0</v>
      </c>
      <c r="BZ36" s="25">
        <v>11</v>
      </c>
      <c r="CA36" s="25">
        <v>2</v>
      </c>
      <c r="CB36" s="25">
        <v>4</v>
      </c>
      <c r="CC36" s="25">
        <v>0</v>
      </c>
      <c r="CD36" s="25">
        <v>11</v>
      </c>
      <c r="CE36" s="25">
        <v>0</v>
      </c>
      <c r="CF36" s="25">
        <v>11</v>
      </c>
      <c r="CG36" s="25">
        <v>114</v>
      </c>
      <c r="CH36" s="25">
        <v>53</v>
      </c>
      <c r="CI36" s="25">
        <v>91</v>
      </c>
      <c r="CJ36" s="25">
        <v>53</v>
      </c>
      <c r="CK36" s="25">
        <v>46</v>
      </c>
      <c r="CL36" s="25">
        <v>28</v>
      </c>
      <c r="CM36" s="25">
        <v>45</v>
      </c>
      <c r="CN36" s="25">
        <v>44</v>
      </c>
      <c r="CO36" s="25">
        <v>0</v>
      </c>
      <c r="CP36" s="25">
        <v>11</v>
      </c>
      <c r="CQ36" s="25">
        <v>8</v>
      </c>
      <c r="CR36" s="25">
        <v>10</v>
      </c>
      <c r="CS36" s="25">
        <v>1</v>
      </c>
      <c r="CT36" s="25">
        <v>3</v>
      </c>
      <c r="CU36" s="25">
        <v>10</v>
      </c>
      <c r="CV36" s="25">
        <v>12</v>
      </c>
      <c r="CW36" s="25">
        <v>0</v>
      </c>
      <c r="CX36" s="25">
        <v>11</v>
      </c>
      <c r="CY36" s="25">
        <v>4</v>
      </c>
      <c r="CZ36" s="25">
        <v>6</v>
      </c>
      <c r="DA36" s="25">
        <v>20</v>
      </c>
      <c r="DB36" s="25">
        <v>23</v>
      </c>
      <c r="DC36" s="25">
        <v>0</v>
      </c>
      <c r="DD36" s="25">
        <v>11</v>
      </c>
      <c r="DE36" s="25">
        <v>0</v>
      </c>
      <c r="DF36" s="25">
        <v>11</v>
      </c>
      <c r="DG36" s="25">
        <v>0</v>
      </c>
      <c r="DH36" s="25">
        <v>11</v>
      </c>
      <c r="DI36" s="25">
        <v>0</v>
      </c>
      <c r="DJ36" s="25">
        <v>11</v>
      </c>
      <c r="DK36" s="25">
        <v>20</v>
      </c>
      <c r="DL36" s="25">
        <v>23</v>
      </c>
      <c r="DM36" s="25">
        <v>0</v>
      </c>
      <c r="DN36" s="25">
        <v>11</v>
      </c>
      <c r="DO36" s="25">
        <v>0</v>
      </c>
      <c r="DP36" s="25">
        <v>11</v>
      </c>
      <c r="DQ36" s="25">
        <v>0</v>
      </c>
      <c r="DR36" s="25">
        <v>11</v>
      </c>
      <c r="DS36" s="25">
        <v>0</v>
      </c>
      <c r="DT36" s="25">
        <v>11</v>
      </c>
      <c r="DU36" s="25">
        <v>118</v>
      </c>
      <c r="DV36" s="25">
        <v>48</v>
      </c>
      <c r="DW36" s="25">
        <v>42</v>
      </c>
      <c r="DX36" s="25">
        <v>28</v>
      </c>
      <c r="DY36" s="25">
        <v>27</v>
      </c>
      <c r="DZ36" s="25">
        <v>25</v>
      </c>
      <c r="EA36" s="25">
        <v>15</v>
      </c>
      <c r="EB36" s="25">
        <v>12</v>
      </c>
      <c r="EC36" s="25">
        <v>0</v>
      </c>
      <c r="ED36" s="25">
        <v>11</v>
      </c>
      <c r="EE36" s="25">
        <v>0</v>
      </c>
      <c r="EF36" s="25">
        <v>11</v>
      </c>
      <c r="EG36" s="25">
        <v>22</v>
      </c>
      <c r="EH36" s="25">
        <v>33</v>
      </c>
      <c r="EI36" s="25">
        <v>0</v>
      </c>
      <c r="EJ36" s="25">
        <v>11</v>
      </c>
      <c r="EK36" s="25">
        <v>54</v>
      </c>
      <c r="EL36" s="25">
        <v>29</v>
      </c>
      <c r="EM36" s="25">
        <v>0</v>
      </c>
      <c r="EN36" s="25">
        <v>11</v>
      </c>
    </row>
    <row r="37" spans="1:144" x14ac:dyDescent="0.25">
      <c r="A37" s="19">
        <f t="shared" si="8"/>
        <v>57</v>
      </c>
      <c r="B37" s="20" t="str">
        <f t="shared" si="9"/>
        <v>Weber</v>
      </c>
      <c r="C37" s="24" t="s">
        <v>344</v>
      </c>
      <c r="D37" s="24" t="s">
        <v>345</v>
      </c>
      <c r="E37" s="25">
        <v>105169</v>
      </c>
      <c r="F37" s="25">
        <v>1237</v>
      </c>
      <c r="G37" s="25">
        <v>72647</v>
      </c>
      <c r="H37" s="25">
        <v>1136</v>
      </c>
      <c r="I37" s="25">
        <v>68958</v>
      </c>
      <c r="J37" s="25">
        <v>1088</v>
      </c>
      <c r="K37" s="25">
        <v>3689</v>
      </c>
      <c r="L37" s="25">
        <v>419</v>
      </c>
      <c r="M37" s="25">
        <v>5607</v>
      </c>
      <c r="N37" s="25">
        <v>524</v>
      </c>
      <c r="O37" s="25">
        <v>7093</v>
      </c>
      <c r="P37" s="25">
        <v>568</v>
      </c>
      <c r="Q37" s="25">
        <v>4699</v>
      </c>
      <c r="R37" s="25">
        <v>383</v>
      </c>
      <c r="S37" s="25">
        <v>11316</v>
      </c>
      <c r="T37" s="25">
        <v>723</v>
      </c>
      <c r="U37" s="25">
        <v>3732</v>
      </c>
      <c r="V37" s="25">
        <v>384</v>
      </c>
      <c r="W37" s="25">
        <v>75</v>
      </c>
      <c r="X37" s="25">
        <v>46</v>
      </c>
      <c r="Y37" s="25">
        <v>83337</v>
      </c>
      <c r="Z37" s="25">
        <v>1465</v>
      </c>
      <c r="AA37" s="25">
        <v>57586</v>
      </c>
      <c r="AB37" s="25">
        <v>1181</v>
      </c>
      <c r="AC37" s="25">
        <v>55088</v>
      </c>
      <c r="AD37" s="25">
        <v>1188</v>
      </c>
      <c r="AE37" s="25">
        <v>2498</v>
      </c>
      <c r="AF37" s="25">
        <v>341</v>
      </c>
      <c r="AG37" s="25">
        <v>4472</v>
      </c>
      <c r="AH37" s="25">
        <v>468</v>
      </c>
      <c r="AI37" s="25">
        <v>6053</v>
      </c>
      <c r="AJ37" s="25">
        <v>518</v>
      </c>
      <c r="AK37" s="25">
        <v>3689</v>
      </c>
      <c r="AL37" s="25">
        <v>360</v>
      </c>
      <c r="AM37" s="25">
        <v>9487</v>
      </c>
      <c r="AN37" s="25">
        <v>648</v>
      </c>
      <c r="AO37" s="25">
        <v>2027</v>
      </c>
      <c r="AP37" s="25">
        <v>277</v>
      </c>
      <c r="AQ37" s="25">
        <v>23</v>
      </c>
      <c r="AR37" s="25">
        <v>24</v>
      </c>
      <c r="AS37" s="25">
        <v>13284</v>
      </c>
      <c r="AT37" s="25">
        <v>820</v>
      </c>
      <c r="AU37" s="25">
        <v>9881</v>
      </c>
      <c r="AV37" s="25">
        <v>724</v>
      </c>
      <c r="AW37" s="25">
        <v>9404</v>
      </c>
      <c r="AX37" s="25">
        <v>718</v>
      </c>
      <c r="AY37" s="25">
        <v>477</v>
      </c>
      <c r="AZ37" s="25">
        <v>139</v>
      </c>
      <c r="BA37" s="25">
        <v>518</v>
      </c>
      <c r="BB37" s="25">
        <v>145</v>
      </c>
      <c r="BC37" s="25">
        <v>588</v>
      </c>
      <c r="BD37" s="25">
        <v>167</v>
      </c>
      <c r="BE37" s="25">
        <v>485</v>
      </c>
      <c r="BF37" s="25">
        <v>118</v>
      </c>
      <c r="BG37" s="25">
        <v>1396</v>
      </c>
      <c r="BH37" s="25">
        <v>300</v>
      </c>
      <c r="BI37" s="25">
        <v>386</v>
      </c>
      <c r="BJ37" s="25">
        <v>130</v>
      </c>
      <c r="BK37" s="25">
        <v>30</v>
      </c>
      <c r="BL37" s="25">
        <v>33</v>
      </c>
      <c r="BM37" s="25">
        <v>1888</v>
      </c>
      <c r="BN37" s="25">
        <v>311</v>
      </c>
      <c r="BO37" s="25">
        <v>1176</v>
      </c>
      <c r="BP37" s="25">
        <v>268</v>
      </c>
      <c r="BQ37" s="25">
        <v>1166</v>
      </c>
      <c r="BR37" s="25">
        <v>268</v>
      </c>
      <c r="BS37" s="25">
        <v>10</v>
      </c>
      <c r="BT37" s="25">
        <v>16</v>
      </c>
      <c r="BU37" s="25">
        <v>232</v>
      </c>
      <c r="BV37" s="25">
        <v>97</v>
      </c>
      <c r="BW37" s="25">
        <v>93</v>
      </c>
      <c r="BX37" s="25">
        <v>56</v>
      </c>
      <c r="BY37" s="25">
        <v>252</v>
      </c>
      <c r="BZ37" s="25">
        <v>100</v>
      </c>
      <c r="CA37" s="25">
        <v>111</v>
      </c>
      <c r="CB37" s="25">
        <v>73</v>
      </c>
      <c r="CC37" s="25">
        <v>24</v>
      </c>
      <c r="CD37" s="25">
        <v>28</v>
      </c>
      <c r="CE37" s="25">
        <v>0</v>
      </c>
      <c r="CF37" s="25">
        <v>27</v>
      </c>
      <c r="CG37" s="25">
        <v>1722</v>
      </c>
      <c r="CH37" s="25">
        <v>302</v>
      </c>
      <c r="CI37" s="25">
        <v>1204</v>
      </c>
      <c r="CJ37" s="25">
        <v>287</v>
      </c>
      <c r="CK37" s="25">
        <v>1140</v>
      </c>
      <c r="CL37" s="25">
        <v>286</v>
      </c>
      <c r="CM37" s="25">
        <v>64</v>
      </c>
      <c r="CN37" s="25">
        <v>37</v>
      </c>
      <c r="CO37" s="25">
        <v>79</v>
      </c>
      <c r="CP37" s="25">
        <v>49</v>
      </c>
      <c r="CQ37" s="25">
        <v>210</v>
      </c>
      <c r="CR37" s="25">
        <v>84</v>
      </c>
      <c r="CS37" s="25">
        <v>114</v>
      </c>
      <c r="CT37" s="25">
        <v>67</v>
      </c>
      <c r="CU37" s="25">
        <v>50</v>
      </c>
      <c r="CV37" s="25">
        <v>49</v>
      </c>
      <c r="CW37" s="25">
        <v>58</v>
      </c>
      <c r="CX37" s="25">
        <v>40</v>
      </c>
      <c r="CY37" s="25">
        <v>7</v>
      </c>
      <c r="CZ37" s="25">
        <v>12</v>
      </c>
      <c r="DA37" s="25">
        <v>1541</v>
      </c>
      <c r="DB37" s="25">
        <v>255</v>
      </c>
      <c r="DC37" s="25">
        <v>923</v>
      </c>
      <c r="DD37" s="25">
        <v>201</v>
      </c>
      <c r="DE37" s="25">
        <v>856</v>
      </c>
      <c r="DF37" s="25">
        <v>187</v>
      </c>
      <c r="DG37" s="25">
        <v>67</v>
      </c>
      <c r="DH37" s="25">
        <v>75</v>
      </c>
      <c r="DI37" s="25">
        <v>142</v>
      </c>
      <c r="DJ37" s="25">
        <v>73</v>
      </c>
      <c r="DK37" s="25">
        <v>135</v>
      </c>
      <c r="DL37" s="25">
        <v>86</v>
      </c>
      <c r="DM37" s="25">
        <v>73</v>
      </c>
      <c r="DN37" s="25">
        <v>44</v>
      </c>
      <c r="DO37" s="25">
        <v>165</v>
      </c>
      <c r="DP37" s="25">
        <v>72</v>
      </c>
      <c r="DQ37" s="25">
        <v>103</v>
      </c>
      <c r="DR37" s="25">
        <v>73</v>
      </c>
      <c r="DS37" s="25">
        <v>0</v>
      </c>
      <c r="DT37" s="25">
        <v>27</v>
      </c>
      <c r="DU37" s="25">
        <v>3397</v>
      </c>
      <c r="DV37" s="25">
        <v>400</v>
      </c>
      <c r="DW37" s="25">
        <v>1877</v>
      </c>
      <c r="DX37" s="25">
        <v>296</v>
      </c>
      <c r="DY37" s="25">
        <v>1304</v>
      </c>
      <c r="DZ37" s="25">
        <v>242</v>
      </c>
      <c r="EA37" s="25">
        <v>573</v>
      </c>
      <c r="EB37" s="25">
        <v>166</v>
      </c>
      <c r="EC37" s="25">
        <v>164</v>
      </c>
      <c r="ED37" s="25">
        <v>99</v>
      </c>
      <c r="EE37" s="25">
        <v>14</v>
      </c>
      <c r="EF37" s="25">
        <v>17</v>
      </c>
      <c r="EG37" s="25">
        <v>86</v>
      </c>
      <c r="EH37" s="25">
        <v>36</v>
      </c>
      <c r="EI37" s="25">
        <v>107</v>
      </c>
      <c r="EJ37" s="25">
        <v>64</v>
      </c>
      <c r="EK37" s="25">
        <v>1134</v>
      </c>
      <c r="EL37" s="25">
        <v>207</v>
      </c>
      <c r="EM37" s="25">
        <v>15</v>
      </c>
      <c r="EN37" s="25">
        <v>19</v>
      </c>
    </row>
    <row r="39" spans="1:144" x14ac:dyDescent="0.25">
      <c r="A39" s="19">
        <f>VLOOKUP($C39, lu_GEOID, 2, FALSE)</f>
        <v>101</v>
      </c>
      <c r="B39" s="20" t="str">
        <f>VLOOKUP($C39, lu_GEOID, 3, FALSE)</f>
        <v>Wasatch Front</v>
      </c>
      <c r="C39" s="17" t="s">
        <v>401</v>
      </c>
      <c r="D39" s="21" t="str">
        <f>B39</f>
        <v>Wasatch Front</v>
      </c>
      <c r="E39" s="22">
        <f>E14 + E26 + E33 + E37</f>
        <v>963815</v>
      </c>
      <c r="F39" s="22">
        <f t="shared" ref="F39:BQ39" si="10">F14 + F26 + F33 + F37</f>
        <v>6873</v>
      </c>
      <c r="G39" s="22">
        <f t="shared" si="10"/>
        <v>695495</v>
      </c>
      <c r="H39" s="22">
        <f t="shared" si="10"/>
        <v>7253</v>
      </c>
      <c r="I39" s="22">
        <f t="shared" si="10"/>
        <v>657453</v>
      </c>
      <c r="J39" s="22">
        <f t="shared" si="10"/>
        <v>7306</v>
      </c>
      <c r="K39" s="22">
        <f t="shared" si="10"/>
        <v>38042</v>
      </c>
      <c r="L39" s="22">
        <f t="shared" si="10"/>
        <v>2397</v>
      </c>
      <c r="M39" s="22">
        <f t="shared" si="10"/>
        <v>71393</v>
      </c>
      <c r="N39" s="22">
        <f t="shared" si="10"/>
        <v>3518</v>
      </c>
      <c r="O39" s="22">
        <f t="shared" si="10"/>
        <v>60283</v>
      </c>
      <c r="P39" s="22">
        <f t="shared" si="10"/>
        <v>3045</v>
      </c>
      <c r="Q39" s="22">
        <f t="shared" si="10"/>
        <v>52506</v>
      </c>
      <c r="R39" s="22">
        <f t="shared" si="10"/>
        <v>2674</v>
      </c>
      <c r="S39" s="22">
        <f t="shared" si="10"/>
        <v>39041</v>
      </c>
      <c r="T39" s="22">
        <f t="shared" si="10"/>
        <v>2505</v>
      </c>
      <c r="U39" s="22">
        <f t="shared" si="10"/>
        <v>44036</v>
      </c>
      <c r="V39" s="22">
        <f t="shared" si="10"/>
        <v>2589</v>
      </c>
      <c r="W39" s="22">
        <f t="shared" si="10"/>
        <v>1061</v>
      </c>
      <c r="X39" s="22">
        <f t="shared" si="10"/>
        <v>376</v>
      </c>
      <c r="Y39" s="22">
        <f t="shared" si="10"/>
        <v>735722</v>
      </c>
      <c r="Z39" s="22">
        <f t="shared" si="10"/>
        <v>8146</v>
      </c>
      <c r="AA39" s="22">
        <f t="shared" si="10"/>
        <v>540157</v>
      </c>
      <c r="AB39" s="22">
        <f t="shared" si="10"/>
        <v>7658</v>
      </c>
      <c r="AC39" s="22">
        <f t="shared" si="10"/>
        <v>514265</v>
      </c>
      <c r="AD39" s="22">
        <f t="shared" si="10"/>
        <v>7668</v>
      </c>
      <c r="AE39" s="22">
        <f t="shared" si="10"/>
        <v>25892</v>
      </c>
      <c r="AF39" s="22">
        <f t="shared" si="10"/>
        <v>1998</v>
      </c>
      <c r="AG39" s="22">
        <f t="shared" si="10"/>
        <v>50088</v>
      </c>
      <c r="AH39" s="22">
        <f t="shared" si="10"/>
        <v>2922</v>
      </c>
      <c r="AI39" s="22">
        <f t="shared" si="10"/>
        <v>50098</v>
      </c>
      <c r="AJ39" s="22">
        <f t="shared" si="10"/>
        <v>2818</v>
      </c>
      <c r="AK39" s="22">
        <f t="shared" si="10"/>
        <v>40167</v>
      </c>
      <c r="AL39" s="22">
        <f t="shared" si="10"/>
        <v>2519</v>
      </c>
      <c r="AM39" s="22">
        <f t="shared" si="10"/>
        <v>32252</v>
      </c>
      <c r="AN39" s="22">
        <f t="shared" si="10"/>
        <v>2203</v>
      </c>
      <c r="AO39" s="22">
        <f t="shared" si="10"/>
        <v>22401</v>
      </c>
      <c r="AP39" s="22">
        <f t="shared" si="10"/>
        <v>1803</v>
      </c>
      <c r="AQ39" s="22">
        <f t="shared" si="10"/>
        <v>559</v>
      </c>
      <c r="AR39" s="22">
        <f t="shared" si="10"/>
        <v>269</v>
      </c>
      <c r="AS39" s="22">
        <f t="shared" si="10"/>
        <v>113246</v>
      </c>
      <c r="AT39" s="22">
        <f t="shared" si="10"/>
        <v>5130</v>
      </c>
      <c r="AU39" s="22">
        <f t="shared" si="10"/>
        <v>84128</v>
      </c>
      <c r="AV39" s="22">
        <f t="shared" si="10"/>
        <v>4355</v>
      </c>
      <c r="AW39" s="22">
        <f t="shared" si="10"/>
        <v>80252</v>
      </c>
      <c r="AX39" s="22">
        <f t="shared" si="10"/>
        <v>4256</v>
      </c>
      <c r="AY39" s="22">
        <f t="shared" si="10"/>
        <v>3876</v>
      </c>
      <c r="AZ39" s="22">
        <f t="shared" si="10"/>
        <v>866</v>
      </c>
      <c r="BA39" s="22">
        <f t="shared" si="10"/>
        <v>8276</v>
      </c>
      <c r="BB39" s="22">
        <f t="shared" si="10"/>
        <v>1166</v>
      </c>
      <c r="BC39" s="22">
        <f t="shared" si="10"/>
        <v>6206</v>
      </c>
      <c r="BD39" s="22">
        <f t="shared" si="10"/>
        <v>1051</v>
      </c>
      <c r="BE39" s="22">
        <f t="shared" si="10"/>
        <v>5487</v>
      </c>
      <c r="BF39" s="22">
        <f t="shared" si="10"/>
        <v>886</v>
      </c>
      <c r="BG39" s="22">
        <f t="shared" si="10"/>
        <v>4606</v>
      </c>
      <c r="BH39" s="22">
        <f t="shared" si="10"/>
        <v>942</v>
      </c>
      <c r="BI39" s="22">
        <f t="shared" si="10"/>
        <v>4258</v>
      </c>
      <c r="BJ39" s="22">
        <f t="shared" si="10"/>
        <v>848</v>
      </c>
      <c r="BK39" s="22">
        <f t="shared" si="10"/>
        <v>285</v>
      </c>
      <c r="BL39" s="22">
        <f t="shared" si="10"/>
        <v>191</v>
      </c>
      <c r="BM39" s="22">
        <f t="shared" si="10"/>
        <v>26748</v>
      </c>
      <c r="BN39" s="22">
        <f t="shared" si="10"/>
        <v>2257</v>
      </c>
      <c r="BO39" s="22">
        <f t="shared" si="10"/>
        <v>16593</v>
      </c>
      <c r="BP39" s="22">
        <f t="shared" si="10"/>
        <v>1914</v>
      </c>
      <c r="BQ39" s="22">
        <f t="shared" si="10"/>
        <v>16498</v>
      </c>
      <c r="BR39" s="22">
        <f t="shared" ref="BR39:EC39" si="11">BR14 + BR26 + BR33 + BR37</f>
        <v>1918</v>
      </c>
      <c r="BS39" s="22">
        <f t="shared" si="11"/>
        <v>95</v>
      </c>
      <c r="BT39" s="22">
        <f t="shared" si="11"/>
        <v>112</v>
      </c>
      <c r="BU39" s="22">
        <f t="shared" si="11"/>
        <v>4409</v>
      </c>
      <c r="BV39" s="22">
        <f t="shared" si="11"/>
        <v>762</v>
      </c>
      <c r="BW39" s="22">
        <f t="shared" si="11"/>
        <v>1045</v>
      </c>
      <c r="BX39" s="22">
        <f t="shared" si="11"/>
        <v>390</v>
      </c>
      <c r="BY39" s="22">
        <f t="shared" si="11"/>
        <v>3556</v>
      </c>
      <c r="BZ39" s="22">
        <f t="shared" si="11"/>
        <v>729</v>
      </c>
      <c r="CA39" s="22">
        <f t="shared" si="11"/>
        <v>827</v>
      </c>
      <c r="CB39" s="22">
        <f t="shared" si="11"/>
        <v>353</v>
      </c>
      <c r="CC39" s="22">
        <f t="shared" si="11"/>
        <v>318</v>
      </c>
      <c r="CD39" s="22">
        <f t="shared" si="11"/>
        <v>199</v>
      </c>
      <c r="CE39" s="22">
        <f t="shared" si="11"/>
        <v>0</v>
      </c>
      <c r="CF39" s="22">
        <f t="shared" si="11"/>
        <v>108</v>
      </c>
      <c r="CG39" s="22">
        <f t="shared" si="11"/>
        <v>25431</v>
      </c>
      <c r="CH39" s="22">
        <f t="shared" si="11"/>
        <v>2379</v>
      </c>
      <c r="CI39" s="22">
        <f t="shared" si="11"/>
        <v>16242</v>
      </c>
      <c r="CJ39" s="22">
        <f t="shared" si="11"/>
        <v>1896</v>
      </c>
      <c r="CK39" s="22">
        <f t="shared" si="11"/>
        <v>15421</v>
      </c>
      <c r="CL39" s="22">
        <f t="shared" si="11"/>
        <v>1882</v>
      </c>
      <c r="CM39" s="22">
        <f t="shared" si="11"/>
        <v>821</v>
      </c>
      <c r="CN39" s="22">
        <f t="shared" si="11"/>
        <v>364</v>
      </c>
      <c r="CO39" s="22">
        <f t="shared" si="11"/>
        <v>4877</v>
      </c>
      <c r="CP39" s="22">
        <f t="shared" si="11"/>
        <v>829</v>
      </c>
      <c r="CQ39" s="22">
        <f t="shared" si="11"/>
        <v>1414</v>
      </c>
      <c r="CR39" s="22">
        <f t="shared" si="11"/>
        <v>426</v>
      </c>
      <c r="CS39" s="22">
        <f t="shared" si="11"/>
        <v>1405</v>
      </c>
      <c r="CT39" s="22">
        <f t="shared" si="11"/>
        <v>448</v>
      </c>
      <c r="CU39" s="22">
        <f t="shared" si="11"/>
        <v>272</v>
      </c>
      <c r="CV39" s="22">
        <f t="shared" si="11"/>
        <v>192</v>
      </c>
      <c r="CW39" s="22">
        <f t="shared" si="11"/>
        <v>1203</v>
      </c>
      <c r="CX39" s="22">
        <f t="shared" si="11"/>
        <v>412</v>
      </c>
      <c r="CY39" s="22">
        <f t="shared" si="11"/>
        <v>18</v>
      </c>
      <c r="CZ39" s="22">
        <f t="shared" si="11"/>
        <v>84</v>
      </c>
      <c r="DA39" s="22">
        <f t="shared" si="11"/>
        <v>18347</v>
      </c>
      <c r="DB39" s="22">
        <f t="shared" si="11"/>
        <v>1783</v>
      </c>
      <c r="DC39" s="22">
        <f t="shared" si="11"/>
        <v>12933</v>
      </c>
      <c r="DD39" s="22">
        <f t="shared" si="11"/>
        <v>1510</v>
      </c>
      <c r="DE39" s="22">
        <f t="shared" si="11"/>
        <v>12340</v>
      </c>
      <c r="DF39" s="22">
        <f t="shared" si="11"/>
        <v>1481</v>
      </c>
      <c r="DG39" s="22">
        <f t="shared" si="11"/>
        <v>593</v>
      </c>
      <c r="DH39" s="22">
        <f t="shared" si="11"/>
        <v>319</v>
      </c>
      <c r="DI39" s="22">
        <f t="shared" si="11"/>
        <v>1794</v>
      </c>
      <c r="DJ39" s="22">
        <f t="shared" si="11"/>
        <v>434</v>
      </c>
      <c r="DK39" s="22">
        <f t="shared" si="11"/>
        <v>1049</v>
      </c>
      <c r="DL39" s="22">
        <f t="shared" si="11"/>
        <v>414</v>
      </c>
      <c r="DM39" s="22">
        <f t="shared" si="11"/>
        <v>1075</v>
      </c>
      <c r="DN39" s="22">
        <f t="shared" si="11"/>
        <v>388</v>
      </c>
      <c r="DO39" s="22">
        <f t="shared" si="11"/>
        <v>716</v>
      </c>
      <c r="DP39" s="22">
        <f t="shared" si="11"/>
        <v>334</v>
      </c>
      <c r="DQ39" s="22">
        <f t="shared" si="11"/>
        <v>774</v>
      </c>
      <c r="DR39" s="22">
        <f t="shared" si="11"/>
        <v>381</v>
      </c>
      <c r="DS39" s="22">
        <f t="shared" si="11"/>
        <v>6</v>
      </c>
      <c r="DT39" s="22">
        <f t="shared" si="11"/>
        <v>93</v>
      </c>
      <c r="DU39" s="22">
        <f t="shared" si="11"/>
        <v>44321</v>
      </c>
      <c r="DV39" s="22">
        <f t="shared" si="11"/>
        <v>2681</v>
      </c>
      <c r="DW39" s="22">
        <f t="shared" si="11"/>
        <v>25442</v>
      </c>
      <c r="DX39" s="22">
        <f t="shared" si="11"/>
        <v>1981</v>
      </c>
      <c r="DY39" s="22">
        <f t="shared" si="11"/>
        <v>18677</v>
      </c>
      <c r="DZ39" s="22">
        <f t="shared" si="11"/>
        <v>1704</v>
      </c>
      <c r="EA39" s="22">
        <f t="shared" si="11"/>
        <v>6765</v>
      </c>
      <c r="EB39" s="22">
        <f t="shared" si="11"/>
        <v>1002</v>
      </c>
      <c r="EC39" s="22">
        <f t="shared" si="11"/>
        <v>1949</v>
      </c>
      <c r="ED39" s="22">
        <f t="shared" ref="ED39:EN39" si="12">ED14 + ED26 + ED33 + ED37</f>
        <v>519</v>
      </c>
      <c r="EE39" s="22">
        <f t="shared" si="12"/>
        <v>471</v>
      </c>
      <c r="EF39" s="22">
        <f t="shared" si="12"/>
        <v>218</v>
      </c>
      <c r="EG39" s="22">
        <f t="shared" si="12"/>
        <v>816</v>
      </c>
      <c r="EH39" s="22">
        <f t="shared" si="12"/>
        <v>361</v>
      </c>
      <c r="EI39" s="22">
        <f t="shared" si="12"/>
        <v>368</v>
      </c>
      <c r="EJ39" s="22">
        <f t="shared" si="12"/>
        <v>213</v>
      </c>
      <c r="EK39" s="22">
        <f t="shared" si="12"/>
        <v>15082</v>
      </c>
      <c r="EL39" s="22">
        <f t="shared" si="12"/>
        <v>1553</v>
      </c>
      <c r="EM39" s="22">
        <f t="shared" si="12"/>
        <v>193</v>
      </c>
      <c r="EN39" s="22">
        <f t="shared" si="12"/>
        <v>168</v>
      </c>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139786639</v>
      </c>
      <c r="F7" s="25">
        <v>142773</v>
      </c>
      <c r="G7" s="25">
        <v>98334389</v>
      </c>
      <c r="H7" s="25">
        <v>61743</v>
      </c>
      <c r="I7" s="25">
        <v>93475447</v>
      </c>
      <c r="J7" s="25">
        <v>64102</v>
      </c>
      <c r="K7" s="25">
        <v>4858942</v>
      </c>
      <c r="L7" s="25">
        <v>20556</v>
      </c>
      <c r="M7" s="25">
        <v>11227277</v>
      </c>
      <c r="N7" s="25">
        <v>58541</v>
      </c>
      <c r="O7" s="25">
        <v>10153018</v>
      </c>
      <c r="P7" s="25">
        <v>58061</v>
      </c>
      <c r="Q7" s="25">
        <v>6508074</v>
      </c>
      <c r="R7" s="25">
        <v>38837</v>
      </c>
      <c r="S7" s="25">
        <v>4855135</v>
      </c>
      <c r="T7" s="25">
        <v>28877</v>
      </c>
      <c r="U7" s="25">
        <v>8508784</v>
      </c>
      <c r="V7" s="25">
        <v>23080</v>
      </c>
      <c r="W7" s="25">
        <v>199962</v>
      </c>
      <c r="X7" s="25">
        <v>3001</v>
      </c>
      <c r="Y7" s="25">
        <v>106725474</v>
      </c>
      <c r="Z7" s="25">
        <v>111405</v>
      </c>
      <c r="AA7" s="25">
        <v>76061381</v>
      </c>
      <c r="AB7" s="25">
        <v>50657</v>
      </c>
      <c r="AC7" s="25">
        <v>72774904</v>
      </c>
      <c r="AD7" s="25">
        <v>52735</v>
      </c>
      <c r="AE7" s="25">
        <v>3286477</v>
      </c>
      <c r="AF7" s="25">
        <v>17360</v>
      </c>
      <c r="AG7" s="25">
        <v>8483288</v>
      </c>
      <c r="AH7" s="25">
        <v>43173</v>
      </c>
      <c r="AI7" s="25">
        <v>8396455</v>
      </c>
      <c r="AJ7" s="25">
        <v>44120</v>
      </c>
      <c r="AK7" s="25">
        <v>5045056</v>
      </c>
      <c r="AL7" s="25">
        <v>29248</v>
      </c>
      <c r="AM7" s="25">
        <v>3665204</v>
      </c>
      <c r="AN7" s="25">
        <v>22519</v>
      </c>
      <c r="AO7" s="25">
        <v>4972814</v>
      </c>
      <c r="AP7" s="25">
        <v>17427</v>
      </c>
      <c r="AQ7" s="25">
        <v>101276</v>
      </c>
      <c r="AR7" s="25">
        <v>2202</v>
      </c>
      <c r="AS7" s="25">
        <v>13631263</v>
      </c>
      <c r="AT7" s="25">
        <v>60703</v>
      </c>
      <c r="AU7" s="25">
        <v>9710140</v>
      </c>
      <c r="AV7" s="25">
        <v>29210</v>
      </c>
      <c r="AW7" s="25">
        <v>9262165</v>
      </c>
      <c r="AX7" s="25">
        <v>28438</v>
      </c>
      <c r="AY7" s="25">
        <v>447975</v>
      </c>
      <c r="AZ7" s="25">
        <v>4863</v>
      </c>
      <c r="BA7" s="25">
        <v>1046727</v>
      </c>
      <c r="BB7" s="25">
        <v>13229</v>
      </c>
      <c r="BC7" s="25">
        <v>902039</v>
      </c>
      <c r="BD7" s="25">
        <v>13932</v>
      </c>
      <c r="BE7" s="25">
        <v>651070</v>
      </c>
      <c r="BF7" s="25">
        <v>10749</v>
      </c>
      <c r="BG7" s="25">
        <v>450611</v>
      </c>
      <c r="BH7" s="25">
        <v>6997</v>
      </c>
      <c r="BI7" s="25">
        <v>837000</v>
      </c>
      <c r="BJ7" s="25">
        <v>6728</v>
      </c>
      <c r="BK7" s="25">
        <v>33676</v>
      </c>
      <c r="BL7" s="25">
        <v>1513</v>
      </c>
      <c r="BM7" s="25">
        <v>7000722</v>
      </c>
      <c r="BN7" s="25">
        <v>21139</v>
      </c>
      <c r="BO7" s="25">
        <v>5049227</v>
      </c>
      <c r="BP7" s="25">
        <v>20550</v>
      </c>
      <c r="BQ7" s="25">
        <v>4965706</v>
      </c>
      <c r="BR7" s="25">
        <v>20481</v>
      </c>
      <c r="BS7" s="25">
        <v>83521</v>
      </c>
      <c r="BT7" s="25">
        <v>1932</v>
      </c>
      <c r="BU7" s="25">
        <v>708191</v>
      </c>
      <c r="BV7" s="25">
        <v>6373</v>
      </c>
      <c r="BW7" s="25">
        <v>412315</v>
      </c>
      <c r="BX7" s="25">
        <v>4882</v>
      </c>
      <c r="BY7" s="25">
        <v>282385</v>
      </c>
      <c r="BZ7" s="25">
        <v>3774</v>
      </c>
      <c r="CA7" s="25">
        <v>299228</v>
      </c>
      <c r="CB7" s="25">
        <v>3595</v>
      </c>
      <c r="CC7" s="25">
        <v>245171</v>
      </c>
      <c r="CD7" s="25">
        <v>4358</v>
      </c>
      <c r="CE7" s="25">
        <v>4205</v>
      </c>
      <c r="CF7" s="25">
        <v>471</v>
      </c>
      <c r="CG7" s="25">
        <v>3922801</v>
      </c>
      <c r="CH7" s="25">
        <v>16357</v>
      </c>
      <c r="CI7" s="25">
        <v>2491713</v>
      </c>
      <c r="CJ7" s="25">
        <v>15228</v>
      </c>
      <c r="CK7" s="25">
        <v>2354387</v>
      </c>
      <c r="CL7" s="25">
        <v>15206</v>
      </c>
      <c r="CM7" s="25">
        <v>137326</v>
      </c>
      <c r="CN7" s="25">
        <v>2675</v>
      </c>
      <c r="CO7" s="25">
        <v>484531</v>
      </c>
      <c r="CP7" s="25">
        <v>5230</v>
      </c>
      <c r="CQ7" s="25">
        <v>199792</v>
      </c>
      <c r="CR7" s="25">
        <v>3580</v>
      </c>
      <c r="CS7" s="25">
        <v>250214</v>
      </c>
      <c r="CT7" s="25">
        <v>3886</v>
      </c>
      <c r="CU7" s="25">
        <v>192173</v>
      </c>
      <c r="CV7" s="25">
        <v>3918</v>
      </c>
      <c r="CW7" s="25">
        <v>292703</v>
      </c>
      <c r="CX7" s="25">
        <v>4028</v>
      </c>
      <c r="CY7" s="25">
        <v>11675</v>
      </c>
      <c r="CZ7" s="25">
        <v>723</v>
      </c>
      <c r="DA7" s="25">
        <v>2459994</v>
      </c>
      <c r="DB7" s="25">
        <v>13973</v>
      </c>
      <c r="DC7" s="25">
        <v>1764960</v>
      </c>
      <c r="DD7" s="25">
        <v>12766</v>
      </c>
      <c r="DE7" s="25">
        <v>1692917</v>
      </c>
      <c r="DF7" s="25">
        <v>12496</v>
      </c>
      <c r="DG7" s="25">
        <v>72043</v>
      </c>
      <c r="DH7" s="25">
        <v>2075</v>
      </c>
      <c r="DI7" s="25">
        <v>187736</v>
      </c>
      <c r="DJ7" s="25">
        <v>2714</v>
      </c>
      <c r="DK7" s="25">
        <v>122810</v>
      </c>
      <c r="DL7" s="25">
        <v>2524</v>
      </c>
      <c r="DM7" s="25">
        <v>123544</v>
      </c>
      <c r="DN7" s="25">
        <v>2669</v>
      </c>
      <c r="DO7" s="25">
        <v>86373</v>
      </c>
      <c r="DP7" s="25">
        <v>2752</v>
      </c>
      <c r="DQ7" s="25">
        <v>170033</v>
      </c>
      <c r="DR7" s="25">
        <v>3149</v>
      </c>
      <c r="DS7" s="25">
        <v>4538</v>
      </c>
      <c r="DT7" s="25">
        <v>486</v>
      </c>
      <c r="DU7" s="25">
        <v>6046385</v>
      </c>
      <c r="DV7" s="25">
        <v>21247</v>
      </c>
      <c r="DW7" s="25">
        <v>3256968</v>
      </c>
      <c r="DX7" s="25">
        <v>14726</v>
      </c>
      <c r="DY7" s="25">
        <v>2425368</v>
      </c>
      <c r="DZ7" s="25">
        <v>13580</v>
      </c>
      <c r="EA7" s="25">
        <v>831600</v>
      </c>
      <c r="EB7" s="25">
        <v>8472</v>
      </c>
      <c r="EC7" s="25">
        <v>316804</v>
      </c>
      <c r="ED7" s="25">
        <v>4306</v>
      </c>
      <c r="EE7" s="25">
        <v>119607</v>
      </c>
      <c r="EF7" s="25">
        <v>2424</v>
      </c>
      <c r="EG7" s="25">
        <v>155805</v>
      </c>
      <c r="EH7" s="25">
        <v>2818</v>
      </c>
      <c r="EI7" s="25">
        <v>161546</v>
      </c>
      <c r="EJ7" s="25">
        <v>4030</v>
      </c>
      <c r="EK7" s="25">
        <v>1991063</v>
      </c>
      <c r="EL7" s="25">
        <v>12497</v>
      </c>
      <c r="EM7" s="25">
        <v>44592</v>
      </c>
      <c r="EN7" s="25">
        <v>1546</v>
      </c>
    </row>
    <row r="8" spans="1:144" x14ac:dyDescent="0.25">
      <c r="A8" s="19">
        <f t="shared" si="8"/>
        <v>1049</v>
      </c>
      <c r="B8" s="20" t="str">
        <f t="shared" si="9"/>
        <v>State of Utah</v>
      </c>
      <c r="C8" s="24" t="s">
        <v>286</v>
      </c>
      <c r="D8" s="24" t="s">
        <v>287</v>
      </c>
      <c r="E8" s="25">
        <v>1259283</v>
      </c>
      <c r="F8" s="25">
        <v>4062</v>
      </c>
      <c r="G8" s="25">
        <v>902894</v>
      </c>
      <c r="H8" s="25">
        <v>4200</v>
      </c>
      <c r="I8" s="25">
        <v>850850</v>
      </c>
      <c r="J8" s="25">
        <v>4176</v>
      </c>
      <c r="K8" s="25">
        <v>52044</v>
      </c>
      <c r="L8" s="25">
        <v>1500</v>
      </c>
      <c r="M8" s="25">
        <v>89338</v>
      </c>
      <c r="N8" s="25">
        <v>2113</v>
      </c>
      <c r="O8" s="25">
        <v>83619</v>
      </c>
      <c r="P8" s="25">
        <v>1841</v>
      </c>
      <c r="Q8" s="25">
        <v>74195</v>
      </c>
      <c r="R8" s="25">
        <v>2013</v>
      </c>
      <c r="S8" s="25">
        <v>47867</v>
      </c>
      <c r="T8" s="25">
        <v>1554</v>
      </c>
      <c r="U8" s="25">
        <v>59639</v>
      </c>
      <c r="V8" s="25">
        <v>1613</v>
      </c>
      <c r="W8" s="25">
        <v>1731</v>
      </c>
      <c r="X8" s="25">
        <v>290</v>
      </c>
      <c r="Y8" s="25">
        <v>960764</v>
      </c>
      <c r="Z8" s="25">
        <v>4497</v>
      </c>
      <c r="AA8" s="25">
        <v>699552</v>
      </c>
      <c r="AB8" s="25">
        <v>4105</v>
      </c>
      <c r="AC8" s="25">
        <v>664552</v>
      </c>
      <c r="AD8" s="25">
        <v>4243</v>
      </c>
      <c r="AE8" s="25">
        <v>35000</v>
      </c>
      <c r="AF8" s="25">
        <v>1208</v>
      </c>
      <c r="AG8" s="25">
        <v>64983</v>
      </c>
      <c r="AH8" s="25">
        <v>1858</v>
      </c>
      <c r="AI8" s="25">
        <v>69712</v>
      </c>
      <c r="AJ8" s="25">
        <v>1539</v>
      </c>
      <c r="AK8" s="25">
        <v>56454</v>
      </c>
      <c r="AL8" s="25">
        <v>1706</v>
      </c>
      <c r="AM8" s="25">
        <v>38656</v>
      </c>
      <c r="AN8" s="25">
        <v>1357</v>
      </c>
      <c r="AO8" s="25">
        <v>30502</v>
      </c>
      <c r="AP8" s="25">
        <v>1212</v>
      </c>
      <c r="AQ8" s="25">
        <v>905</v>
      </c>
      <c r="AR8" s="25">
        <v>186</v>
      </c>
      <c r="AS8" s="25">
        <v>148778</v>
      </c>
      <c r="AT8" s="25">
        <v>2879</v>
      </c>
      <c r="AU8" s="25">
        <v>111373</v>
      </c>
      <c r="AV8" s="25">
        <v>2523</v>
      </c>
      <c r="AW8" s="25">
        <v>106467</v>
      </c>
      <c r="AX8" s="25">
        <v>2546</v>
      </c>
      <c r="AY8" s="25">
        <v>4906</v>
      </c>
      <c r="AZ8" s="25">
        <v>473</v>
      </c>
      <c r="BA8" s="25">
        <v>9788</v>
      </c>
      <c r="BB8" s="25">
        <v>647</v>
      </c>
      <c r="BC8" s="25">
        <v>8405</v>
      </c>
      <c r="BD8" s="25">
        <v>705</v>
      </c>
      <c r="BE8" s="25">
        <v>7760</v>
      </c>
      <c r="BF8" s="25">
        <v>604</v>
      </c>
      <c r="BG8" s="25">
        <v>5693</v>
      </c>
      <c r="BH8" s="25">
        <v>508</v>
      </c>
      <c r="BI8" s="25">
        <v>5425</v>
      </c>
      <c r="BJ8" s="25">
        <v>509</v>
      </c>
      <c r="BK8" s="25">
        <v>334</v>
      </c>
      <c r="BL8" s="25">
        <v>127</v>
      </c>
      <c r="BM8" s="25">
        <v>29718</v>
      </c>
      <c r="BN8" s="25">
        <v>1217</v>
      </c>
      <c r="BO8" s="25">
        <v>18588</v>
      </c>
      <c r="BP8" s="25">
        <v>976</v>
      </c>
      <c r="BQ8" s="25">
        <v>18385</v>
      </c>
      <c r="BR8" s="25">
        <v>971</v>
      </c>
      <c r="BS8" s="25">
        <v>203</v>
      </c>
      <c r="BT8" s="25">
        <v>81</v>
      </c>
      <c r="BU8" s="25">
        <v>4469</v>
      </c>
      <c r="BV8" s="25">
        <v>433</v>
      </c>
      <c r="BW8" s="25">
        <v>1365</v>
      </c>
      <c r="BX8" s="25">
        <v>277</v>
      </c>
      <c r="BY8" s="25">
        <v>3891</v>
      </c>
      <c r="BZ8" s="25">
        <v>438</v>
      </c>
      <c r="CA8" s="25">
        <v>1024</v>
      </c>
      <c r="CB8" s="25">
        <v>176</v>
      </c>
      <c r="CC8" s="25">
        <v>361</v>
      </c>
      <c r="CD8" s="25">
        <v>99</v>
      </c>
      <c r="CE8" s="25">
        <v>20</v>
      </c>
      <c r="CF8" s="25">
        <v>30</v>
      </c>
      <c r="CG8" s="25">
        <v>33614</v>
      </c>
      <c r="CH8" s="25">
        <v>1308</v>
      </c>
      <c r="CI8" s="25">
        <v>20563</v>
      </c>
      <c r="CJ8" s="25">
        <v>955</v>
      </c>
      <c r="CK8" s="25">
        <v>19168</v>
      </c>
      <c r="CL8" s="25">
        <v>873</v>
      </c>
      <c r="CM8" s="25">
        <v>1395</v>
      </c>
      <c r="CN8" s="25">
        <v>254</v>
      </c>
      <c r="CO8" s="25">
        <v>5448</v>
      </c>
      <c r="CP8" s="25">
        <v>659</v>
      </c>
      <c r="CQ8" s="25">
        <v>1796</v>
      </c>
      <c r="CR8" s="25">
        <v>263</v>
      </c>
      <c r="CS8" s="25">
        <v>2848</v>
      </c>
      <c r="CT8" s="25">
        <v>341</v>
      </c>
      <c r="CU8" s="25">
        <v>782</v>
      </c>
      <c r="CV8" s="25">
        <v>185</v>
      </c>
      <c r="CW8" s="25">
        <v>2126</v>
      </c>
      <c r="CX8" s="25">
        <v>284</v>
      </c>
      <c r="CY8" s="25">
        <v>51</v>
      </c>
      <c r="CZ8" s="25">
        <v>39</v>
      </c>
      <c r="DA8" s="25">
        <v>25658</v>
      </c>
      <c r="DB8" s="25">
        <v>1162</v>
      </c>
      <c r="DC8" s="25">
        <v>17580</v>
      </c>
      <c r="DD8" s="25">
        <v>956</v>
      </c>
      <c r="DE8" s="25">
        <v>16720</v>
      </c>
      <c r="DF8" s="25">
        <v>939</v>
      </c>
      <c r="DG8" s="25">
        <v>860</v>
      </c>
      <c r="DH8" s="25">
        <v>181</v>
      </c>
      <c r="DI8" s="25">
        <v>2304</v>
      </c>
      <c r="DJ8" s="25">
        <v>317</v>
      </c>
      <c r="DK8" s="25">
        <v>1484</v>
      </c>
      <c r="DL8" s="25">
        <v>245</v>
      </c>
      <c r="DM8" s="25">
        <v>1915</v>
      </c>
      <c r="DN8" s="25">
        <v>276</v>
      </c>
      <c r="DO8" s="25">
        <v>908</v>
      </c>
      <c r="DP8" s="25">
        <v>194</v>
      </c>
      <c r="DQ8" s="25">
        <v>1416</v>
      </c>
      <c r="DR8" s="25">
        <v>272</v>
      </c>
      <c r="DS8" s="25">
        <v>51</v>
      </c>
      <c r="DT8" s="25">
        <v>35</v>
      </c>
      <c r="DU8" s="25">
        <v>60751</v>
      </c>
      <c r="DV8" s="25">
        <v>1638</v>
      </c>
      <c r="DW8" s="25">
        <v>35238</v>
      </c>
      <c r="DX8" s="25">
        <v>1227</v>
      </c>
      <c r="DY8" s="25">
        <v>25558</v>
      </c>
      <c r="DZ8" s="25">
        <v>1009</v>
      </c>
      <c r="EA8" s="25">
        <v>9680</v>
      </c>
      <c r="EB8" s="25">
        <v>679</v>
      </c>
      <c r="EC8" s="25">
        <v>2346</v>
      </c>
      <c r="ED8" s="25">
        <v>339</v>
      </c>
      <c r="EE8" s="25">
        <v>857</v>
      </c>
      <c r="EF8" s="25">
        <v>202</v>
      </c>
      <c r="EG8" s="25">
        <v>1327</v>
      </c>
      <c r="EH8" s="25">
        <v>250</v>
      </c>
      <c r="EI8" s="25">
        <v>804</v>
      </c>
      <c r="EJ8" s="25">
        <v>188</v>
      </c>
      <c r="EK8" s="25">
        <v>19809</v>
      </c>
      <c r="EL8" s="25">
        <v>967</v>
      </c>
      <c r="EM8" s="25">
        <v>370</v>
      </c>
      <c r="EN8" s="25">
        <v>126</v>
      </c>
    </row>
    <row r="9" spans="1:144" x14ac:dyDescent="0.25">
      <c r="A9" s="19">
        <f t="shared" si="8"/>
        <v>1</v>
      </c>
      <c r="B9" s="20" t="str">
        <f t="shared" si="9"/>
        <v>Beaver</v>
      </c>
      <c r="C9" s="24" t="s">
        <v>288</v>
      </c>
      <c r="D9" s="24" t="s">
        <v>289</v>
      </c>
      <c r="E9" s="25">
        <v>2666</v>
      </c>
      <c r="F9" s="25">
        <v>200</v>
      </c>
      <c r="G9" s="25">
        <v>1836</v>
      </c>
      <c r="H9" s="25">
        <v>180</v>
      </c>
      <c r="I9" s="25">
        <v>1674</v>
      </c>
      <c r="J9" s="25">
        <v>174</v>
      </c>
      <c r="K9" s="25">
        <v>162</v>
      </c>
      <c r="L9" s="25">
        <v>67</v>
      </c>
      <c r="M9" s="25">
        <v>54</v>
      </c>
      <c r="N9" s="25">
        <v>36</v>
      </c>
      <c r="O9" s="25">
        <v>389</v>
      </c>
      <c r="P9" s="25">
        <v>97</v>
      </c>
      <c r="Q9" s="25">
        <v>126</v>
      </c>
      <c r="R9" s="25">
        <v>51</v>
      </c>
      <c r="S9" s="25">
        <v>93</v>
      </c>
      <c r="T9" s="25">
        <v>57</v>
      </c>
      <c r="U9" s="25">
        <v>159</v>
      </c>
      <c r="V9" s="25">
        <v>66</v>
      </c>
      <c r="W9" s="25">
        <v>9</v>
      </c>
      <c r="X9" s="25">
        <v>18</v>
      </c>
      <c r="Y9" s="25">
        <v>2251</v>
      </c>
      <c r="Z9" s="25">
        <v>193</v>
      </c>
      <c r="AA9" s="25">
        <v>1584</v>
      </c>
      <c r="AB9" s="25">
        <v>178</v>
      </c>
      <c r="AC9" s="25">
        <v>1441</v>
      </c>
      <c r="AD9" s="25">
        <v>168</v>
      </c>
      <c r="AE9" s="25">
        <v>143</v>
      </c>
      <c r="AF9" s="25">
        <v>67</v>
      </c>
      <c r="AG9" s="25">
        <v>51</v>
      </c>
      <c r="AH9" s="25">
        <v>36</v>
      </c>
      <c r="AI9" s="25">
        <v>335</v>
      </c>
      <c r="AJ9" s="25">
        <v>95</v>
      </c>
      <c r="AK9" s="25">
        <v>123</v>
      </c>
      <c r="AL9" s="25">
        <v>51</v>
      </c>
      <c r="AM9" s="25">
        <v>56</v>
      </c>
      <c r="AN9" s="25">
        <v>46</v>
      </c>
      <c r="AO9" s="25">
        <v>93</v>
      </c>
      <c r="AP9" s="25">
        <v>56</v>
      </c>
      <c r="AQ9" s="25">
        <v>9</v>
      </c>
      <c r="AR9" s="25">
        <v>18</v>
      </c>
      <c r="AS9" s="25">
        <v>226</v>
      </c>
      <c r="AT9" s="25">
        <v>68</v>
      </c>
      <c r="AU9" s="25">
        <v>167</v>
      </c>
      <c r="AV9" s="25">
        <v>58</v>
      </c>
      <c r="AW9" s="25">
        <v>148</v>
      </c>
      <c r="AX9" s="25">
        <v>53</v>
      </c>
      <c r="AY9" s="25">
        <v>19</v>
      </c>
      <c r="AZ9" s="25">
        <v>20</v>
      </c>
      <c r="BA9" s="25">
        <v>3</v>
      </c>
      <c r="BB9" s="25">
        <v>5</v>
      </c>
      <c r="BC9" s="25">
        <v>35</v>
      </c>
      <c r="BD9" s="25">
        <v>27</v>
      </c>
      <c r="BE9" s="25">
        <v>3</v>
      </c>
      <c r="BF9" s="25">
        <v>5</v>
      </c>
      <c r="BG9" s="25">
        <v>8</v>
      </c>
      <c r="BH9" s="25">
        <v>13</v>
      </c>
      <c r="BI9" s="25">
        <v>10</v>
      </c>
      <c r="BJ9" s="25">
        <v>11</v>
      </c>
      <c r="BK9" s="25">
        <v>0</v>
      </c>
      <c r="BL9" s="25">
        <v>16</v>
      </c>
      <c r="BM9" s="25">
        <v>6</v>
      </c>
      <c r="BN9" s="25">
        <v>10</v>
      </c>
      <c r="BO9" s="25">
        <v>6</v>
      </c>
      <c r="BP9" s="25">
        <v>10</v>
      </c>
      <c r="BQ9" s="25">
        <v>6</v>
      </c>
      <c r="BR9" s="25">
        <v>10</v>
      </c>
      <c r="BS9" s="25">
        <v>0</v>
      </c>
      <c r="BT9" s="25">
        <v>16</v>
      </c>
      <c r="BU9" s="25">
        <v>0</v>
      </c>
      <c r="BV9" s="25">
        <v>16</v>
      </c>
      <c r="BW9" s="25">
        <v>0</v>
      </c>
      <c r="BX9" s="25">
        <v>16</v>
      </c>
      <c r="BY9" s="25">
        <v>0</v>
      </c>
      <c r="BZ9" s="25">
        <v>16</v>
      </c>
      <c r="CA9" s="25">
        <v>0</v>
      </c>
      <c r="CB9" s="25">
        <v>16</v>
      </c>
      <c r="CC9" s="25">
        <v>0</v>
      </c>
      <c r="CD9" s="25">
        <v>16</v>
      </c>
      <c r="CE9" s="25">
        <v>0</v>
      </c>
      <c r="CF9" s="25">
        <v>16</v>
      </c>
      <c r="CG9" s="25">
        <v>72</v>
      </c>
      <c r="CH9" s="25">
        <v>42</v>
      </c>
      <c r="CI9" s="25">
        <v>24</v>
      </c>
      <c r="CJ9" s="25">
        <v>21</v>
      </c>
      <c r="CK9" s="25">
        <v>24</v>
      </c>
      <c r="CL9" s="25">
        <v>21</v>
      </c>
      <c r="CM9" s="25">
        <v>0</v>
      </c>
      <c r="CN9" s="25">
        <v>16</v>
      </c>
      <c r="CO9" s="25">
        <v>0</v>
      </c>
      <c r="CP9" s="25">
        <v>16</v>
      </c>
      <c r="CQ9" s="25">
        <v>19</v>
      </c>
      <c r="CR9" s="25">
        <v>15</v>
      </c>
      <c r="CS9" s="25">
        <v>0</v>
      </c>
      <c r="CT9" s="25">
        <v>16</v>
      </c>
      <c r="CU9" s="25">
        <v>13</v>
      </c>
      <c r="CV9" s="25">
        <v>17</v>
      </c>
      <c r="CW9" s="25">
        <v>16</v>
      </c>
      <c r="CX9" s="25">
        <v>20</v>
      </c>
      <c r="CY9" s="25">
        <v>0</v>
      </c>
      <c r="CZ9" s="25">
        <v>16</v>
      </c>
      <c r="DA9" s="25">
        <v>22</v>
      </c>
      <c r="DB9" s="25">
        <v>33</v>
      </c>
      <c r="DC9" s="25">
        <v>22</v>
      </c>
      <c r="DD9" s="25">
        <v>33</v>
      </c>
      <c r="DE9" s="25">
        <v>22</v>
      </c>
      <c r="DF9" s="25">
        <v>33</v>
      </c>
      <c r="DG9" s="25">
        <v>0</v>
      </c>
      <c r="DH9" s="25">
        <v>16</v>
      </c>
      <c r="DI9" s="25">
        <v>0</v>
      </c>
      <c r="DJ9" s="25">
        <v>16</v>
      </c>
      <c r="DK9" s="25">
        <v>0</v>
      </c>
      <c r="DL9" s="25">
        <v>16</v>
      </c>
      <c r="DM9" s="25">
        <v>0</v>
      </c>
      <c r="DN9" s="25">
        <v>16</v>
      </c>
      <c r="DO9" s="25">
        <v>0</v>
      </c>
      <c r="DP9" s="25">
        <v>16</v>
      </c>
      <c r="DQ9" s="25">
        <v>0</v>
      </c>
      <c r="DR9" s="25">
        <v>16</v>
      </c>
      <c r="DS9" s="25">
        <v>0</v>
      </c>
      <c r="DT9" s="25">
        <v>16</v>
      </c>
      <c r="DU9" s="25">
        <v>89</v>
      </c>
      <c r="DV9" s="25">
        <v>44</v>
      </c>
      <c r="DW9" s="25">
        <v>33</v>
      </c>
      <c r="DX9" s="25">
        <v>27</v>
      </c>
      <c r="DY9" s="25">
        <v>33</v>
      </c>
      <c r="DZ9" s="25">
        <v>27</v>
      </c>
      <c r="EA9" s="25">
        <v>0</v>
      </c>
      <c r="EB9" s="25">
        <v>16</v>
      </c>
      <c r="EC9" s="25">
        <v>0</v>
      </c>
      <c r="ED9" s="25">
        <v>16</v>
      </c>
      <c r="EE9" s="25">
        <v>0</v>
      </c>
      <c r="EF9" s="25">
        <v>16</v>
      </c>
      <c r="EG9" s="25">
        <v>0</v>
      </c>
      <c r="EH9" s="25">
        <v>16</v>
      </c>
      <c r="EI9" s="25">
        <v>16</v>
      </c>
      <c r="EJ9" s="25">
        <v>24</v>
      </c>
      <c r="EK9" s="25">
        <v>40</v>
      </c>
      <c r="EL9" s="25">
        <v>22</v>
      </c>
      <c r="EM9" s="25">
        <v>0</v>
      </c>
      <c r="EN9" s="25">
        <v>16</v>
      </c>
    </row>
    <row r="10" spans="1:144" x14ac:dyDescent="0.25">
      <c r="A10" s="19">
        <f t="shared" si="8"/>
        <v>3</v>
      </c>
      <c r="B10" s="20" t="str">
        <f t="shared" si="9"/>
        <v>Box Elder</v>
      </c>
      <c r="C10" s="24" t="s">
        <v>290</v>
      </c>
      <c r="D10" s="24" t="s">
        <v>291</v>
      </c>
      <c r="E10" s="25">
        <v>21325</v>
      </c>
      <c r="F10" s="25">
        <v>447</v>
      </c>
      <c r="G10" s="25">
        <v>15830</v>
      </c>
      <c r="H10" s="25">
        <v>480</v>
      </c>
      <c r="I10" s="25">
        <v>15002</v>
      </c>
      <c r="J10" s="25">
        <v>471</v>
      </c>
      <c r="K10" s="25">
        <v>828</v>
      </c>
      <c r="L10" s="25">
        <v>162</v>
      </c>
      <c r="M10" s="25">
        <v>753</v>
      </c>
      <c r="N10" s="25">
        <v>167</v>
      </c>
      <c r="O10" s="25">
        <v>1757</v>
      </c>
      <c r="P10" s="25">
        <v>229</v>
      </c>
      <c r="Q10" s="25">
        <v>975</v>
      </c>
      <c r="R10" s="25">
        <v>170</v>
      </c>
      <c r="S10" s="25">
        <v>836</v>
      </c>
      <c r="T10" s="25">
        <v>144</v>
      </c>
      <c r="U10" s="25">
        <v>1172</v>
      </c>
      <c r="V10" s="25">
        <v>204</v>
      </c>
      <c r="W10" s="25">
        <v>2</v>
      </c>
      <c r="X10" s="25">
        <v>3</v>
      </c>
      <c r="Y10" s="25">
        <v>16491</v>
      </c>
      <c r="Z10" s="25">
        <v>512</v>
      </c>
      <c r="AA10" s="25">
        <v>12567</v>
      </c>
      <c r="AB10" s="25">
        <v>520</v>
      </c>
      <c r="AC10" s="25">
        <v>12006</v>
      </c>
      <c r="AD10" s="25">
        <v>510</v>
      </c>
      <c r="AE10" s="25">
        <v>561</v>
      </c>
      <c r="AF10" s="25">
        <v>128</v>
      </c>
      <c r="AG10" s="25">
        <v>602</v>
      </c>
      <c r="AH10" s="25">
        <v>151</v>
      </c>
      <c r="AI10" s="25">
        <v>1496</v>
      </c>
      <c r="AJ10" s="25">
        <v>210</v>
      </c>
      <c r="AK10" s="25">
        <v>782</v>
      </c>
      <c r="AL10" s="25">
        <v>140</v>
      </c>
      <c r="AM10" s="25">
        <v>546</v>
      </c>
      <c r="AN10" s="25">
        <v>103</v>
      </c>
      <c r="AO10" s="25">
        <v>496</v>
      </c>
      <c r="AP10" s="25">
        <v>134</v>
      </c>
      <c r="AQ10" s="25">
        <v>2</v>
      </c>
      <c r="AR10" s="25">
        <v>3</v>
      </c>
      <c r="AS10" s="25">
        <v>3262</v>
      </c>
      <c r="AT10" s="25">
        <v>352</v>
      </c>
      <c r="AU10" s="25">
        <v>2522</v>
      </c>
      <c r="AV10" s="25">
        <v>295</v>
      </c>
      <c r="AW10" s="25">
        <v>2440</v>
      </c>
      <c r="AX10" s="25">
        <v>281</v>
      </c>
      <c r="AY10" s="25">
        <v>82</v>
      </c>
      <c r="AZ10" s="25">
        <v>50</v>
      </c>
      <c r="BA10" s="25">
        <v>117</v>
      </c>
      <c r="BB10" s="25">
        <v>57</v>
      </c>
      <c r="BC10" s="25">
        <v>143</v>
      </c>
      <c r="BD10" s="25">
        <v>62</v>
      </c>
      <c r="BE10" s="25">
        <v>72</v>
      </c>
      <c r="BF10" s="25">
        <v>29</v>
      </c>
      <c r="BG10" s="25">
        <v>233</v>
      </c>
      <c r="BH10" s="25">
        <v>88</v>
      </c>
      <c r="BI10" s="25">
        <v>175</v>
      </c>
      <c r="BJ10" s="25">
        <v>82</v>
      </c>
      <c r="BK10" s="25">
        <v>0</v>
      </c>
      <c r="BL10" s="25">
        <v>27</v>
      </c>
      <c r="BM10" s="25">
        <v>96</v>
      </c>
      <c r="BN10" s="25">
        <v>48</v>
      </c>
      <c r="BO10" s="25">
        <v>49</v>
      </c>
      <c r="BP10" s="25">
        <v>38</v>
      </c>
      <c r="BQ10" s="25">
        <v>49</v>
      </c>
      <c r="BR10" s="25">
        <v>38</v>
      </c>
      <c r="BS10" s="25">
        <v>0</v>
      </c>
      <c r="BT10" s="25">
        <v>27</v>
      </c>
      <c r="BU10" s="25">
        <v>0</v>
      </c>
      <c r="BV10" s="25">
        <v>27</v>
      </c>
      <c r="BW10" s="25">
        <v>12</v>
      </c>
      <c r="BX10" s="25">
        <v>14</v>
      </c>
      <c r="BY10" s="25">
        <v>21</v>
      </c>
      <c r="BZ10" s="25">
        <v>24</v>
      </c>
      <c r="CA10" s="25">
        <v>14</v>
      </c>
      <c r="CB10" s="25">
        <v>17</v>
      </c>
      <c r="CC10" s="25">
        <v>0</v>
      </c>
      <c r="CD10" s="25">
        <v>27</v>
      </c>
      <c r="CE10" s="25">
        <v>0</v>
      </c>
      <c r="CF10" s="25">
        <v>27</v>
      </c>
      <c r="CG10" s="25">
        <v>352</v>
      </c>
      <c r="CH10" s="25">
        <v>116</v>
      </c>
      <c r="CI10" s="25">
        <v>235</v>
      </c>
      <c r="CJ10" s="25">
        <v>92</v>
      </c>
      <c r="CK10" s="25">
        <v>208</v>
      </c>
      <c r="CL10" s="25">
        <v>87</v>
      </c>
      <c r="CM10" s="25">
        <v>27</v>
      </c>
      <c r="CN10" s="25">
        <v>23</v>
      </c>
      <c r="CO10" s="25">
        <v>18</v>
      </c>
      <c r="CP10" s="25">
        <v>21</v>
      </c>
      <c r="CQ10" s="25">
        <v>19</v>
      </c>
      <c r="CR10" s="25">
        <v>17</v>
      </c>
      <c r="CS10" s="25">
        <v>50</v>
      </c>
      <c r="CT10" s="25">
        <v>52</v>
      </c>
      <c r="CU10" s="25">
        <v>7</v>
      </c>
      <c r="CV10" s="25">
        <v>7</v>
      </c>
      <c r="CW10" s="25">
        <v>23</v>
      </c>
      <c r="CX10" s="25">
        <v>19</v>
      </c>
      <c r="CY10" s="25">
        <v>0</v>
      </c>
      <c r="CZ10" s="25">
        <v>27</v>
      </c>
      <c r="DA10" s="25">
        <v>282</v>
      </c>
      <c r="DB10" s="25">
        <v>80</v>
      </c>
      <c r="DC10" s="25">
        <v>167</v>
      </c>
      <c r="DD10" s="25">
        <v>63</v>
      </c>
      <c r="DE10" s="25">
        <v>160</v>
      </c>
      <c r="DF10" s="25">
        <v>63</v>
      </c>
      <c r="DG10" s="25">
        <v>7</v>
      </c>
      <c r="DH10" s="25">
        <v>8</v>
      </c>
      <c r="DI10" s="25">
        <v>10</v>
      </c>
      <c r="DJ10" s="25">
        <v>16</v>
      </c>
      <c r="DK10" s="25">
        <v>53</v>
      </c>
      <c r="DL10" s="25">
        <v>35</v>
      </c>
      <c r="DM10" s="25">
        <v>7</v>
      </c>
      <c r="DN10" s="25">
        <v>12</v>
      </c>
      <c r="DO10" s="25">
        <v>15</v>
      </c>
      <c r="DP10" s="25">
        <v>15</v>
      </c>
      <c r="DQ10" s="25">
        <v>30</v>
      </c>
      <c r="DR10" s="25">
        <v>29</v>
      </c>
      <c r="DS10" s="25">
        <v>0</v>
      </c>
      <c r="DT10" s="25">
        <v>27</v>
      </c>
      <c r="DU10" s="25">
        <v>842</v>
      </c>
      <c r="DV10" s="25">
        <v>166</v>
      </c>
      <c r="DW10" s="25">
        <v>290</v>
      </c>
      <c r="DX10" s="25">
        <v>93</v>
      </c>
      <c r="DY10" s="25">
        <v>139</v>
      </c>
      <c r="DZ10" s="25">
        <v>49</v>
      </c>
      <c r="EA10" s="25">
        <v>151</v>
      </c>
      <c r="EB10" s="25">
        <v>71</v>
      </c>
      <c r="EC10" s="25">
        <v>6</v>
      </c>
      <c r="ED10" s="25">
        <v>7</v>
      </c>
      <c r="EE10" s="25">
        <v>34</v>
      </c>
      <c r="EF10" s="25">
        <v>40</v>
      </c>
      <c r="EG10" s="25">
        <v>43</v>
      </c>
      <c r="EH10" s="25">
        <v>30</v>
      </c>
      <c r="EI10" s="25">
        <v>21</v>
      </c>
      <c r="EJ10" s="25">
        <v>31</v>
      </c>
      <c r="EK10" s="25">
        <v>448</v>
      </c>
      <c r="EL10" s="25">
        <v>137</v>
      </c>
      <c r="EM10" s="25">
        <v>0</v>
      </c>
      <c r="EN10" s="25">
        <v>27</v>
      </c>
    </row>
    <row r="11" spans="1:144" x14ac:dyDescent="0.25">
      <c r="A11" s="19">
        <f t="shared" si="8"/>
        <v>5</v>
      </c>
      <c r="B11" s="20" t="str">
        <f t="shared" si="9"/>
        <v>Cache</v>
      </c>
      <c r="C11" s="24" t="s">
        <v>292</v>
      </c>
      <c r="D11" s="24" t="s">
        <v>293</v>
      </c>
      <c r="E11" s="25">
        <v>52445</v>
      </c>
      <c r="F11" s="25">
        <v>868</v>
      </c>
      <c r="G11" s="25">
        <v>35859</v>
      </c>
      <c r="H11" s="25">
        <v>823</v>
      </c>
      <c r="I11" s="25">
        <v>33545</v>
      </c>
      <c r="J11" s="25">
        <v>869</v>
      </c>
      <c r="K11" s="25">
        <v>2314</v>
      </c>
      <c r="L11" s="25">
        <v>246</v>
      </c>
      <c r="M11" s="25">
        <v>3462</v>
      </c>
      <c r="N11" s="25">
        <v>350</v>
      </c>
      <c r="O11" s="25">
        <v>3786</v>
      </c>
      <c r="P11" s="25">
        <v>387</v>
      </c>
      <c r="Q11" s="25">
        <v>5798</v>
      </c>
      <c r="R11" s="25">
        <v>428</v>
      </c>
      <c r="S11" s="25">
        <v>1072</v>
      </c>
      <c r="T11" s="25">
        <v>227</v>
      </c>
      <c r="U11" s="25">
        <v>2411</v>
      </c>
      <c r="V11" s="25">
        <v>254</v>
      </c>
      <c r="W11" s="25">
        <v>57</v>
      </c>
      <c r="X11" s="25">
        <v>36</v>
      </c>
      <c r="Y11" s="25">
        <v>38850</v>
      </c>
      <c r="Z11" s="25">
        <v>1100</v>
      </c>
      <c r="AA11" s="25">
        <v>27554</v>
      </c>
      <c r="AB11" s="25">
        <v>899</v>
      </c>
      <c r="AC11" s="25">
        <v>26007</v>
      </c>
      <c r="AD11" s="25">
        <v>888</v>
      </c>
      <c r="AE11" s="25">
        <v>1547</v>
      </c>
      <c r="AF11" s="25">
        <v>207</v>
      </c>
      <c r="AG11" s="25">
        <v>2705</v>
      </c>
      <c r="AH11" s="25">
        <v>322</v>
      </c>
      <c r="AI11" s="25">
        <v>3070</v>
      </c>
      <c r="AJ11" s="25">
        <v>353</v>
      </c>
      <c r="AK11" s="25">
        <v>3591</v>
      </c>
      <c r="AL11" s="25">
        <v>328</v>
      </c>
      <c r="AM11" s="25">
        <v>802</v>
      </c>
      <c r="AN11" s="25">
        <v>198</v>
      </c>
      <c r="AO11" s="25">
        <v>1108</v>
      </c>
      <c r="AP11" s="25">
        <v>172</v>
      </c>
      <c r="AQ11" s="25">
        <v>20</v>
      </c>
      <c r="AR11" s="25">
        <v>24</v>
      </c>
      <c r="AS11" s="25">
        <v>6109</v>
      </c>
      <c r="AT11" s="25">
        <v>476</v>
      </c>
      <c r="AU11" s="25">
        <v>4317</v>
      </c>
      <c r="AV11" s="25">
        <v>400</v>
      </c>
      <c r="AW11" s="25">
        <v>4065</v>
      </c>
      <c r="AX11" s="25">
        <v>387</v>
      </c>
      <c r="AY11" s="25">
        <v>252</v>
      </c>
      <c r="AZ11" s="25">
        <v>101</v>
      </c>
      <c r="BA11" s="25">
        <v>332</v>
      </c>
      <c r="BB11" s="25">
        <v>110</v>
      </c>
      <c r="BC11" s="25">
        <v>410</v>
      </c>
      <c r="BD11" s="25">
        <v>117</v>
      </c>
      <c r="BE11" s="25">
        <v>649</v>
      </c>
      <c r="BF11" s="25">
        <v>155</v>
      </c>
      <c r="BG11" s="25">
        <v>174</v>
      </c>
      <c r="BH11" s="25">
        <v>70</v>
      </c>
      <c r="BI11" s="25">
        <v>209</v>
      </c>
      <c r="BJ11" s="25">
        <v>85</v>
      </c>
      <c r="BK11" s="25">
        <v>18</v>
      </c>
      <c r="BL11" s="25">
        <v>20</v>
      </c>
      <c r="BM11" s="25">
        <v>946</v>
      </c>
      <c r="BN11" s="25">
        <v>240</v>
      </c>
      <c r="BO11" s="25">
        <v>549</v>
      </c>
      <c r="BP11" s="25">
        <v>184</v>
      </c>
      <c r="BQ11" s="25">
        <v>542</v>
      </c>
      <c r="BR11" s="25">
        <v>184</v>
      </c>
      <c r="BS11" s="25">
        <v>7</v>
      </c>
      <c r="BT11" s="25">
        <v>11</v>
      </c>
      <c r="BU11" s="25">
        <v>76</v>
      </c>
      <c r="BV11" s="25">
        <v>51</v>
      </c>
      <c r="BW11" s="25">
        <v>28</v>
      </c>
      <c r="BX11" s="25">
        <v>27</v>
      </c>
      <c r="BY11" s="25">
        <v>249</v>
      </c>
      <c r="BZ11" s="25">
        <v>114</v>
      </c>
      <c r="CA11" s="25">
        <v>15</v>
      </c>
      <c r="CB11" s="25">
        <v>16</v>
      </c>
      <c r="CC11" s="25">
        <v>29</v>
      </c>
      <c r="CD11" s="25">
        <v>39</v>
      </c>
      <c r="CE11" s="25">
        <v>0</v>
      </c>
      <c r="CF11" s="25">
        <v>27</v>
      </c>
      <c r="CG11" s="25">
        <v>2300</v>
      </c>
      <c r="CH11" s="25">
        <v>329</v>
      </c>
      <c r="CI11" s="25">
        <v>1016</v>
      </c>
      <c r="CJ11" s="25">
        <v>222</v>
      </c>
      <c r="CK11" s="25">
        <v>878</v>
      </c>
      <c r="CL11" s="25">
        <v>200</v>
      </c>
      <c r="CM11" s="25">
        <v>138</v>
      </c>
      <c r="CN11" s="25">
        <v>61</v>
      </c>
      <c r="CO11" s="25">
        <v>165</v>
      </c>
      <c r="CP11" s="25">
        <v>71</v>
      </c>
      <c r="CQ11" s="25">
        <v>164</v>
      </c>
      <c r="CR11" s="25">
        <v>66</v>
      </c>
      <c r="CS11" s="25">
        <v>788</v>
      </c>
      <c r="CT11" s="25">
        <v>203</v>
      </c>
      <c r="CU11" s="25">
        <v>38</v>
      </c>
      <c r="CV11" s="25">
        <v>35</v>
      </c>
      <c r="CW11" s="25">
        <v>123</v>
      </c>
      <c r="CX11" s="25">
        <v>84</v>
      </c>
      <c r="CY11" s="25">
        <v>6</v>
      </c>
      <c r="CZ11" s="25">
        <v>8</v>
      </c>
      <c r="DA11" s="25">
        <v>1918</v>
      </c>
      <c r="DB11" s="25">
        <v>322</v>
      </c>
      <c r="DC11" s="25">
        <v>1139</v>
      </c>
      <c r="DD11" s="25">
        <v>246</v>
      </c>
      <c r="DE11" s="25">
        <v>1100</v>
      </c>
      <c r="DF11" s="25">
        <v>245</v>
      </c>
      <c r="DG11" s="25">
        <v>39</v>
      </c>
      <c r="DH11" s="25">
        <v>24</v>
      </c>
      <c r="DI11" s="25">
        <v>109</v>
      </c>
      <c r="DJ11" s="25">
        <v>73</v>
      </c>
      <c r="DK11" s="25">
        <v>75</v>
      </c>
      <c r="DL11" s="25">
        <v>44</v>
      </c>
      <c r="DM11" s="25">
        <v>448</v>
      </c>
      <c r="DN11" s="25">
        <v>135</v>
      </c>
      <c r="DO11" s="25">
        <v>33</v>
      </c>
      <c r="DP11" s="25">
        <v>25</v>
      </c>
      <c r="DQ11" s="25">
        <v>114</v>
      </c>
      <c r="DR11" s="25">
        <v>71</v>
      </c>
      <c r="DS11" s="25">
        <v>0</v>
      </c>
      <c r="DT11" s="25">
        <v>27</v>
      </c>
      <c r="DU11" s="25">
        <v>2322</v>
      </c>
      <c r="DV11" s="25">
        <v>305</v>
      </c>
      <c r="DW11" s="25">
        <v>1284</v>
      </c>
      <c r="DX11" s="25">
        <v>211</v>
      </c>
      <c r="DY11" s="25">
        <v>953</v>
      </c>
      <c r="DZ11" s="25">
        <v>162</v>
      </c>
      <c r="EA11" s="25">
        <v>331</v>
      </c>
      <c r="EB11" s="25">
        <v>110</v>
      </c>
      <c r="EC11" s="25">
        <v>75</v>
      </c>
      <c r="ED11" s="25">
        <v>46</v>
      </c>
      <c r="EE11" s="25">
        <v>39</v>
      </c>
      <c r="EF11" s="25">
        <v>33</v>
      </c>
      <c r="EG11" s="25">
        <v>73</v>
      </c>
      <c r="EH11" s="25">
        <v>50</v>
      </c>
      <c r="EI11" s="25">
        <v>10</v>
      </c>
      <c r="EJ11" s="25">
        <v>14</v>
      </c>
      <c r="EK11" s="25">
        <v>828</v>
      </c>
      <c r="EL11" s="25">
        <v>153</v>
      </c>
      <c r="EM11" s="25">
        <v>13</v>
      </c>
      <c r="EN11" s="25">
        <v>15</v>
      </c>
    </row>
    <row r="12" spans="1:144" x14ac:dyDescent="0.25">
      <c r="A12" s="19">
        <f t="shared" si="8"/>
        <v>7</v>
      </c>
      <c r="B12" s="20" t="str">
        <f t="shared" si="9"/>
        <v>Carbon</v>
      </c>
      <c r="C12" s="24" t="s">
        <v>294</v>
      </c>
      <c r="D12" s="24" t="s">
        <v>295</v>
      </c>
      <c r="E12" s="25">
        <v>8860</v>
      </c>
      <c r="F12" s="25">
        <v>296</v>
      </c>
      <c r="G12" s="25">
        <v>6243</v>
      </c>
      <c r="H12" s="25">
        <v>284</v>
      </c>
      <c r="I12" s="25">
        <v>5986</v>
      </c>
      <c r="J12" s="25">
        <v>282</v>
      </c>
      <c r="K12" s="25">
        <v>257</v>
      </c>
      <c r="L12" s="25">
        <v>107</v>
      </c>
      <c r="M12" s="25">
        <v>369</v>
      </c>
      <c r="N12" s="25">
        <v>114</v>
      </c>
      <c r="O12" s="25">
        <v>735</v>
      </c>
      <c r="P12" s="25">
        <v>127</v>
      </c>
      <c r="Q12" s="25">
        <v>835</v>
      </c>
      <c r="R12" s="25">
        <v>185</v>
      </c>
      <c r="S12" s="25">
        <v>221</v>
      </c>
      <c r="T12" s="25">
        <v>86</v>
      </c>
      <c r="U12" s="25">
        <v>439</v>
      </c>
      <c r="V12" s="25">
        <v>106</v>
      </c>
      <c r="W12" s="25">
        <v>18</v>
      </c>
      <c r="X12" s="25">
        <v>18</v>
      </c>
      <c r="Y12" s="25">
        <v>6856</v>
      </c>
      <c r="Z12" s="25">
        <v>282</v>
      </c>
      <c r="AA12" s="25">
        <v>4762</v>
      </c>
      <c r="AB12" s="25">
        <v>254</v>
      </c>
      <c r="AC12" s="25">
        <v>4536</v>
      </c>
      <c r="AD12" s="25">
        <v>263</v>
      </c>
      <c r="AE12" s="25">
        <v>226</v>
      </c>
      <c r="AF12" s="25">
        <v>97</v>
      </c>
      <c r="AG12" s="25">
        <v>270</v>
      </c>
      <c r="AH12" s="25">
        <v>90</v>
      </c>
      <c r="AI12" s="25">
        <v>687</v>
      </c>
      <c r="AJ12" s="25">
        <v>122</v>
      </c>
      <c r="AK12" s="25">
        <v>667</v>
      </c>
      <c r="AL12" s="25">
        <v>157</v>
      </c>
      <c r="AM12" s="25">
        <v>205</v>
      </c>
      <c r="AN12" s="25">
        <v>85</v>
      </c>
      <c r="AO12" s="25">
        <v>265</v>
      </c>
      <c r="AP12" s="25">
        <v>85</v>
      </c>
      <c r="AQ12" s="25">
        <v>0</v>
      </c>
      <c r="AR12" s="25">
        <v>21</v>
      </c>
      <c r="AS12" s="25">
        <v>1287</v>
      </c>
      <c r="AT12" s="25">
        <v>180</v>
      </c>
      <c r="AU12" s="25">
        <v>1080</v>
      </c>
      <c r="AV12" s="25">
        <v>159</v>
      </c>
      <c r="AW12" s="25">
        <v>1080</v>
      </c>
      <c r="AX12" s="25">
        <v>159</v>
      </c>
      <c r="AY12" s="25">
        <v>0</v>
      </c>
      <c r="AZ12" s="25">
        <v>21</v>
      </c>
      <c r="BA12" s="25">
        <v>59</v>
      </c>
      <c r="BB12" s="25">
        <v>52</v>
      </c>
      <c r="BC12" s="25">
        <v>25</v>
      </c>
      <c r="BD12" s="25">
        <v>23</v>
      </c>
      <c r="BE12" s="25">
        <v>77</v>
      </c>
      <c r="BF12" s="25">
        <v>60</v>
      </c>
      <c r="BG12" s="25">
        <v>9</v>
      </c>
      <c r="BH12" s="25">
        <v>13</v>
      </c>
      <c r="BI12" s="25">
        <v>37</v>
      </c>
      <c r="BJ12" s="25">
        <v>33</v>
      </c>
      <c r="BK12" s="25">
        <v>0</v>
      </c>
      <c r="BL12" s="25">
        <v>21</v>
      </c>
      <c r="BM12" s="25">
        <v>58</v>
      </c>
      <c r="BN12" s="25">
        <v>46</v>
      </c>
      <c r="BO12" s="25">
        <v>37</v>
      </c>
      <c r="BP12" s="25">
        <v>38</v>
      </c>
      <c r="BQ12" s="25">
        <v>37</v>
      </c>
      <c r="BR12" s="25">
        <v>38</v>
      </c>
      <c r="BS12" s="25">
        <v>0</v>
      </c>
      <c r="BT12" s="25">
        <v>21</v>
      </c>
      <c r="BU12" s="25">
        <v>13</v>
      </c>
      <c r="BV12" s="25">
        <v>18</v>
      </c>
      <c r="BW12" s="25">
        <v>8</v>
      </c>
      <c r="BX12" s="25">
        <v>14</v>
      </c>
      <c r="BY12" s="25">
        <v>0</v>
      </c>
      <c r="BZ12" s="25">
        <v>21</v>
      </c>
      <c r="CA12" s="25">
        <v>0</v>
      </c>
      <c r="CB12" s="25">
        <v>21</v>
      </c>
      <c r="CC12" s="25">
        <v>0</v>
      </c>
      <c r="CD12" s="25">
        <v>21</v>
      </c>
      <c r="CE12" s="25">
        <v>0</v>
      </c>
      <c r="CF12" s="25">
        <v>21</v>
      </c>
      <c r="CG12" s="25">
        <v>281</v>
      </c>
      <c r="CH12" s="25">
        <v>123</v>
      </c>
      <c r="CI12" s="25">
        <v>147</v>
      </c>
      <c r="CJ12" s="25">
        <v>85</v>
      </c>
      <c r="CK12" s="25">
        <v>122</v>
      </c>
      <c r="CL12" s="25">
        <v>81</v>
      </c>
      <c r="CM12" s="25">
        <v>25</v>
      </c>
      <c r="CN12" s="25">
        <v>30</v>
      </c>
      <c r="CO12" s="25">
        <v>27</v>
      </c>
      <c r="CP12" s="25">
        <v>31</v>
      </c>
      <c r="CQ12" s="25">
        <v>10</v>
      </c>
      <c r="CR12" s="25">
        <v>15</v>
      </c>
      <c r="CS12" s="25">
        <v>84</v>
      </c>
      <c r="CT12" s="25">
        <v>90</v>
      </c>
      <c r="CU12" s="25">
        <v>7</v>
      </c>
      <c r="CV12" s="25">
        <v>11</v>
      </c>
      <c r="CW12" s="25">
        <v>6</v>
      </c>
      <c r="CX12" s="25">
        <v>8</v>
      </c>
      <c r="CY12" s="25">
        <v>0</v>
      </c>
      <c r="CZ12" s="25">
        <v>21</v>
      </c>
      <c r="DA12" s="25">
        <v>108</v>
      </c>
      <c r="DB12" s="25">
        <v>66</v>
      </c>
      <c r="DC12" s="25">
        <v>81</v>
      </c>
      <c r="DD12" s="25">
        <v>61</v>
      </c>
      <c r="DE12" s="25">
        <v>81</v>
      </c>
      <c r="DF12" s="25">
        <v>61</v>
      </c>
      <c r="DG12" s="25">
        <v>0</v>
      </c>
      <c r="DH12" s="25">
        <v>21</v>
      </c>
      <c r="DI12" s="25">
        <v>0</v>
      </c>
      <c r="DJ12" s="25">
        <v>21</v>
      </c>
      <c r="DK12" s="25">
        <v>0</v>
      </c>
      <c r="DL12" s="25">
        <v>21</v>
      </c>
      <c r="DM12" s="25">
        <v>7</v>
      </c>
      <c r="DN12" s="25">
        <v>12</v>
      </c>
      <c r="DO12" s="25">
        <v>0</v>
      </c>
      <c r="DP12" s="25">
        <v>21</v>
      </c>
      <c r="DQ12" s="25">
        <v>20</v>
      </c>
      <c r="DR12" s="25">
        <v>20</v>
      </c>
      <c r="DS12" s="25">
        <v>0</v>
      </c>
      <c r="DT12" s="25">
        <v>21</v>
      </c>
      <c r="DU12" s="25">
        <v>270</v>
      </c>
      <c r="DV12" s="25">
        <v>90</v>
      </c>
      <c r="DW12" s="25">
        <v>136</v>
      </c>
      <c r="DX12" s="25">
        <v>64</v>
      </c>
      <c r="DY12" s="25">
        <v>130</v>
      </c>
      <c r="DZ12" s="25">
        <v>63</v>
      </c>
      <c r="EA12" s="25">
        <v>6</v>
      </c>
      <c r="EB12" s="25">
        <v>8</v>
      </c>
      <c r="EC12" s="25">
        <v>0</v>
      </c>
      <c r="ED12" s="25">
        <v>21</v>
      </c>
      <c r="EE12" s="25">
        <v>5</v>
      </c>
      <c r="EF12" s="25">
        <v>8</v>
      </c>
      <c r="EG12" s="25">
        <v>0</v>
      </c>
      <c r="EH12" s="25">
        <v>21</v>
      </c>
      <c r="EI12" s="25">
        <v>0</v>
      </c>
      <c r="EJ12" s="25">
        <v>21</v>
      </c>
      <c r="EK12" s="25">
        <v>111</v>
      </c>
      <c r="EL12" s="25">
        <v>55</v>
      </c>
      <c r="EM12" s="25">
        <v>18</v>
      </c>
      <c r="EN12" s="25">
        <v>18</v>
      </c>
    </row>
    <row r="13" spans="1:144" x14ac:dyDescent="0.25">
      <c r="A13" s="19">
        <f t="shared" si="8"/>
        <v>9</v>
      </c>
      <c r="B13" s="20" t="str">
        <f t="shared" si="9"/>
        <v>Daggett</v>
      </c>
      <c r="C13" s="24" t="s">
        <v>296</v>
      </c>
      <c r="D13" s="24" t="s">
        <v>297</v>
      </c>
      <c r="E13" s="25">
        <v>236</v>
      </c>
      <c r="F13" s="25">
        <v>59</v>
      </c>
      <c r="G13" s="25">
        <v>140</v>
      </c>
      <c r="H13" s="25">
        <v>49</v>
      </c>
      <c r="I13" s="25">
        <v>107</v>
      </c>
      <c r="J13" s="25">
        <v>42</v>
      </c>
      <c r="K13" s="25">
        <v>33</v>
      </c>
      <c r="L13" s="25">
        <v>31</v>
      </c>
      <c r="M13" s="25">
        <v>1</v>
      </c>
      <c r="N13" s="25">
        <v>2</v>
      </c>
      <c r="O13" s="25">
        <v>37</v>
      </c>
      <c r="P13" s="25">
        <v>23</v>
      </c>
      <c r="Q13" s="25">
        <v>10</v>
      </c>
      <c r="R13" s="25">
        <v>16</v>
      </c>
      <c r="S13" s="25">
        <v>24</v>
      </c>
      <c r="T13" s="25">
        <v>20</v>
      </c>
      <c r="U13" s="25">
        <v>24</v>
      </c>
      <c r="V13" s="25">
        <v>17</v>
      </c>
      <c r="W13" s="25">
        <v>0</v>
      </c>
      <c r="X13" s="25">
        <v>11</v>
      </c>
      <c r="Y13" s="25">
        <v>185</v>
      </c>
      <c r="Z13" s="25">
        <v>53</v>
      </c>
      <c r="AA13" s="25">
        <v>96</v>
      </c>
      <c r="AB13" s="25">
        <v>41</v>
      </c>
      <c r="AC13" s="25">
        <v>83</v>
      </c>
      <c r="AD13" s="25">
        <v>40</v>
      </c>
      <c r="AE13" s="25">
        <v>13</v>
      </c>
      <c r="AF13" s="25">
        <v>12</v>
      </c>
      <c r="AG13" s="25">
        <v>0</v>
      </c>
      <c r="AH13" s="25">
        <v>11</v>
      </c>
      <c r="AI13" s="25">
        <v>37</v>
      </c>
      <c r="AJ13" s="25">
        <v>23</v>
      </c>
      <c r="AK13" s="25">
        <v>10</v>
      </c>
      <c r="AL13" s="25">
        <v>16</v>
      </c>
      <c r="AM13" s="25">
        <v>24</v>
      </c>
      <c r="AN13" s="25">
        <v>20</v>
      </c>
      <c r="AO13" s="25">
        <v>18</v>
      </c>
      <c r="AP13" s="25">
        <v>16</v>
      </c>
      <c r="AQ13" s="25">
        <v>0</v>
      </c>
      <c r="AR13" s="25">
        <v>11</v>
      </c>
      <c r="AS13" s="25">
        <v>11</v>
      </c>
      <c r="AT13" s="25">
        <v>9</v>
      </c>
      <c r="AU13" s="25">
        <v>10</v>
      </c>
      <c r="AV13" s="25">
        <v>9</v>
      </c>
      <c r="AW13" s="25">
        <v>10</v>
      </c>
      <c r="AX13" s="25">
        <v>9</v>
      </c>
      <c r="AY13" s="25">
        <v>0</v>
      </c>
      <c r="AZ13" s="25">
        <v>11</v>
      </c>
      <c r="BA13" s="25">
        <v>1</v>
      </c>
      <c r="BB13" s="25">
        <v>2</v>
      </c>
      <c r="BC13" s="25">
        <v>0</v>
      </c>
      <c r="BD13" s="25">
        <v>11</v>
      </c>
      <c r="BE13" s="25">
        <v>0</v>
      </c>
      <c r="BF13" s="25">
        <v>11</v>
      </c>
      <c r="BG13" s="25">
        <v>0</v>
      </c>
      <c r="BH13" s="25">
        <v>11</v>
      </c>
      <c r="BI13" s="25">
        <v>0</v>
      </c>
      <c r="BJ13" s="25">
        <v>11</v>
      </c>
      <c r="BK13" s="25">
        <v>0</v>
      </c>
      <c r="BL13" s="25">
        <v>11</v>
      </c>
      <c r="BM13" s="25">
        <v>2</v>
      </c>
      <c r="BN13" s="25">
        <v>4</v>
      </c>
      <c r="BO13" s="25">
        <v>2</v>
      </c>
      <c r="BP13" s="25">
        <v>4</v>
      </c>
      <c r="BQ13" s="25">
        <v>2</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4</v>
      </c>
      <c r="CH13" s="25">
        <v>5</v>
      </c>
      <c r="CI13" s="25">
        <v>4</v>
      </c>
      <c r="CJ13" s="25">
        <v>5</v>
      </c>
      <c r="CK13" s="25">
        <v>4</v>
      </c>
      <c r="CL13" s="25">
        <v>5</v>
      </c>
      <c r="CM13" s="25">
        <v>0</v>
      </c>
      <c r="CN13" s="25">
        <v>11</v>
      </c>
      <c r="CO13" s="25">
        <v>0</v>
      </c>
      <c r="CP13" s="25">
        <v>11</v>
      </c>
      <c r="CQ13" s="25">
        <v>0</v>
      </c>
      <c r="CR13" s="25">
        <v>11</v>
      </c>
      <c r="CS13" s="25">
        <v>0</v>
      </c>
      <c r="CT13" s="25">
        <v>11</v>
      </c>
      <c r="CU13" s="25">
        <v>0</v>
      </c>
      <c r="CV13" s="25">
        <v>11</v>
      </c>
      <c r="CW13" s="25">
        <v>0</v>
      </c>
      <c r="CX13" s="25">
        <v>11</v>
      </c>
      <c r="CY13" s="25">
        <v>0</v>
      </c>
      <c r="CZ13" s="25">
        <v>11</v>
      </c>
      <c r="DA13" s="25">
        <v>6</v>
      </c>
      <c r="DB13" s="25">
        <v>9</v>
      </c>
      <c r="DC13" s="25">
        <v>6</v>
      </c>
      <c r="DD13" s="25">
        <v>9</v>
      </c>
      <c r="DE13" s="25">
        <v>6</v>
      </c>
      <c r="DF13" s="25">
        <v>9</v>
      </c>
      <c r="DG13" s="25">
        <v>0</v>
      </c>
      <c r="DH13" s="25">
        <v>11</v>
      </c>
      <c r="DI13" s="25">
        <v>0</v>
      </c>
      <c r="DJ13" s="25">
        <v>11</v>
      </c>
      <c r="DK13" s="25">
        <v>0</v>
      </c>
      <c r="DL13" s="25">
        <v>11</v>
      </c>
      <c r="DM13" s="25">
        <v>0</v>
      </c>
      <c r="DN13" s="25">
        <v>11</v>
      </c>
      <c r="DO13" s="25">
        <v>0</v>
      </c>
      <c r="DP13" s="25">
        <v>11</v>
      </c>
      <c r="DQ13" s="25">
        <v>0</v>
      </c>
      <c r="DR13" s="25">
        <v>11</v>
      </c>
      <c r="DS13" s="25">
        <v>0</v>
      </c>
      <c r="DT13" s="25">
        <v>11</v>
      </c>
      <c r="DU13" s="25">
        <v>28</v>
      </c>
      <c r="DV13" s="25">
        <v>31</v>
      </c>
      <c r="DW13" s="25">
        <v>22</v>
      </c>
      <c r="DX13" s="25">
        <v>30</v>
      </c>
      <c r="DY13" s="25">
        <v>2</v>
      </c>
      <c r="DZ13" s="25">
        <v>3</v>
      </c>
      <c r="EA13" s="25">
        <v>20</v>
      </c>
      <c r="EB13" s="25">
        <v>29</v>
      </c>
      <c r="EC13" s="25">
        <v>0</v>
      </c>
      <c r="ED13" s="25">
        <v>11</v>
      </c>
      <c r="EE13" s="25">
        <v>0</v>
      </c>
      <c r="EF13" s="25">
        <v>11</v>
      </c>
      <c r="EG13" s="25">
        <v>0</v>
      </c>
      <c r="EH13" s="25">
        <v>11</v>
      </c>
      <c r="EI13" s="25">
        <v>0</v>
      </c>
      <c r="EJ13" s="25">
        <v>11</v>
      </c>
      <c r="EK13" s="25">
        <v>6</v>
      </c>
      <c r="EL13" s="25">
        <v>7</v>
      </c>
      <c r="EM13" s="25">
        <v>0</v>
      </c>
      <c r="EN13" s="25">
        <v>11</v>
      </c>
    </row>
    <row r="14" spans="1:144" x14ac:dyDescent="0.25">
      <c r="A14" s="19">
        <f t="shared" si="8"/>
        <v>11</v>
      </c>
      <c r="B14" s="20" t="str">
        <f t="shared" si="9"/>
        <v>Davis</v>
      </c>
      <c r="C14" s="24" t="s">
        <v>298</v>
      </c>
      <c r="D14" s="24" t="s">
        <v>299</v>
      </c>
      <c r="E14" s="25">
        <v>140788</v>
      </c>
      <c r="F14" s="25">
        <v>1462</v>
      </c>
      <c r="G14" s="25">
        <v>95323</v>
      </c>
      <c r="H14" s="25">
        <v>1508</v>
      </c>
      <c r="I14" s="25">
        <v>90564</v>
      </c>
      <c r="J14" s="25">
        <v>1519</v>
      </c>
      <c r="K14" s="25">
        <v>4759</v>
      </c>
      <c r="L14" s="25">
        <v>479</v>
      </c>
      <c r="M14" s="25">
        <v>8673</v>
      </c>
      <c r="N14" s="25">
        <v>701</v>
      </c>
      <c r="O14" s="25">
        <v>10485</v>
      </c>
      <c r="P14" s="25">
        <v>681</v>
      </c>
      <c r="Q14" s="25">
        <v>7024</v>
      </c>
      <c r="R14" s="25">
        <v>515</v>
      </c>
      <c r="S14" s="25">
        <v>13196</v>
      </c>
      <c r="T14" s="25">
        <v>743</v>
      </c>
      <c r="U14" s="25">
        <v>5921</v>
      </c>
      <c r="V14" s="25">
        <v>463</v>
      </c>
      <c r="W14" s="25">
        <v>166</v>
      </c>
      <c r="X14" s="25">
        <v>83</v>
      </c>
      <c r="Y14" s="25">
        <v>112345</v>
      </c>
      <c r="Z14" s="25">
        <v>1607</v>
      </c>
      <c r="AA14" s="25">
        <v>77222</v>
      </c>
      <c r="AB14" s="25">
        <v>1445</v>
      </c>
      <c r="AC14" s="25">
        <v>73944</v>
      </c>
      <c r="AD14" s="25">
        <v>1388</v>
      </c>
      <c r="AE14" s="25">
        <v>3278</v>
      </c>
      <c r="AF14" s="25">
        <v>429</v>
      </c>
      <c r="AG14" s="25">
        <v>6546</v>
      </c>
      <c r="AH14" s="25">
        <v>575</v>
      </c>
      <c r="AI14" s="25">
        <v>8868</v>
      </c>
      <c r="AJ14" s="25">
        <v>633</v>
      </c>
      <c r="AK14" s="25">
        <v>5511</v>
      </c>
      <c r="AL14" s="25">
        <v>492</v>
      </c>
      <c r="AM14" s="25">
        <v>11470</v>
      </c>
      <c r="AN14" s="25">
        <v>701</v>
      </c>
      <c r="AO14" s="25">
        <v>2619</v>
      </c>
      <c r="AP14" s="25">
        <v>335</v>
      </c>
      <c r="AQ14" s="25">
        <v>109</v>
      </c>
      <c r="AR14" s="25">
        <v>73</v>
      </c>
      <c r="AS14" s="25">
        <v>14014</v>
      </c>
      <c r="AT14" s="25">
        <v>806</v>
      </c>
      <c r="AU14" s="25">
        <v>9559</v>
      </c>
      <c r="AV14" s="25">
        <v>653</v>
      </c>
      <c r="AW14" s="25">
        <v>9073</v>
      </c>
      <c r="AX14" s="25">
        <v>666</v>
      </c>
      <c r="AY14" s="25">
        <v>486</v>
      </c>
      <c r="AZ14" s="25">
        <v>135</v>
      </c>
      <c r="BA14" s="25">
        <v>972</v>
      </c>
      <c r="BB14" s="25">
        <v>182</v>
      </c>
      <c r="BC14" s="25">
        <v>1036</v>
      </c>
      <c r="BD14" s="25">
        <v>203</v>
      </c>
      <c r="BE14" s="25">
        <v>761</v>
      </c>
      <c r="BF14" s="25">
        <v>177</v>
      </c>
      <c r="BG14" s="25">
        <v>1101</v>
      </c>
      <c r="BH14" s="25">
        <v>213</v>
      </c>
      <c r="BI14" s="25">
        <v>574</v>
      </c>
      <c r="BJ14" s="25">
        <v>176</v>
      </c>
      <c r="BK14" s="25">
        <v>11</v>
      </c>
      <c r="BL14" s="25">
        <v>14</v>
      </c>
      <c r="BM14" s="25">
        <v>3871</v>
      </c>
      <c r="BN14" s="25">
        <v>424</v>
      </c>
      <c r="BO14" s="25">
        <v>1893</v>
      </c>
      <c r="BP14" s="25">
        <v>375</v>
      </c>
      <c r="BQ14" s="25">
        <v>1886</v>
      </c>
      <c r="BR14" s="25">
        <v>374</v>
      </c>
      <c r="BS14" s="25">
        <v>7</v>
      </c>
      <c r="BT14" s="25">
        <v>11</v>
      </c>
      <c r="BU14" s="25">
        <v>915</v>
      </c>
      <c r="BV14" s="25">
        <v>201</v>
      </c>
      <c r="BW14" s="25">
        <v>225</v>
      </c>
      <c r="BX14" s="25">
        <v>100</v>
      </c>
      <c r="BY14" s="25">
        <v>513</v>
      </c>
      <c r="BZ14" s="25">
        <v>140</v>
      </c>
      <c r="CA14" s="25">
        <v>289</v>
      </c>
      <c r="CB14" s="25">
        <v>103</v>
      </c>
      <c r="CC14" s="25">
        <v>36</v>
      </c>
      <c r="CD14" s="25">
        <v>25</v>
      </c>
      <c r="CE14" s="25">
        <v>0</v>
      </c>
      <c r="CF14" s="25">
        <v>27</v>
      </c>
      <c r="CG14" s="25">
        <v>1798</v>
      </c>
      <c r="CH14" s="25">
        <v>296</v>
      </c>
      <c r="CI14" s="25">
        <v>1350</v>
      </c>
      <c r="CJ14" s="25">
        <v>272</v>
      </c>
      <c r="CK14" s="25">
        <v>1253</v>
      </c>
      <c r="CL14" s="25">
        <v>256</v>
      </c>
      <c r="CM14" s="25">
        <v>97</v>
      </c>
      <c r="CN14" s="25">
        <v>51</v>
      </c>
      <c r="CO14" s="25">
        <v>33</v>
      </c>
      <c r="CP14" s="25">
        <v>34</v>
      </c>
      <c r="CQ14" s="25">
        <v>133</v>
      </c>
      <c r="CR14" s="25">
        <v>58</v>
      </c>
      <c r="CS14" s="25">
        <v>20</v>
      </c>
      <c r="CT14" s="25">
        <v>30</v>
      </c>
      <c r="CU14" s="25">
        <v>61</v>
      </c>
      <c r="CV14" s="25">
        <v>49</v>
      </c>
      <c r="CW14" s="25">
        <v>201</v>
      </c>
      <c r="CX14" s="25">
        <v>82</v>
      </c>
      <c r="CY14" s="25">
        <v>0</v>
      </c>
      <c r="CZ14" s="25">
        <v>27</v>
      </c>
      <c r="DA14" s="25">
        <v>2102</v>
      </c>
      <c r="DB14" s="25">
        <v>316</v>
      </c>
      <c r="DC14" s="25">
        <v>1417</v>
      </c>
      <c r="DD14" s="25">
        <v>267</v>
      </c>
      <c r="DE14" s="25">
        <v>1324</v>
      </c>
      <c r="DF14" s="25">
        <v>268</v>
      </c>
      <c r="DG14" s="25">
        <v>93</v>
      </c>
      <c r="DH14" s="25">
        <v>56</v>
      </c>
      <c r="DI14" s="25">
        <v>30</v>
      </c>
      <c r="DJ14" s="25">
        <v>35</v>
      </c>
      <c r="DK14" s="25">
        <v>145</v>
      </c>
      <c r="DL14" s="25">
        <v>75</v>
      </c>
      <c r="DM14" s="25">
        <v>99</v>
      </c>
      <c r="DN14" s="25">
        <v>46</v>
      </c>
      <c r="DO14" s="25">
        <v>135</v>
      </c>
      <c r="DP14" s="25">
        <v>75</v>
      </c>
      <c r="DQ14" s="25">
        <v>270</v>
      </c>
      <c r="DR14" s="25">
        <v>145</v>
      </c>
      <c r="DS14" s="25">
        <v>6</v>
      </c>
      <c r="DT14" s="25">
        <v>10</v>
      </c>
      <c r="DU14" s="25">
        <v>6658</v>
      </c>
      <c r="DV14" s="25">
        <v>481</v>
      </c>
      <c r="DW14" s="25">
        <v>3882</v>
      </c>
      <c r="DX14" s="25">
        <v>365</v>
      </c>
      <c r="DY14" s="25">
        <v>3084</v>
      </c>
      <c r="DZ14" s="25">
        <v>375</v>
      </c>
      <c r="EA14" s="25">
        <v>798</v>
      </c>
      <c r="EB14" s="25">
        <v>169</v>
      </c>
      <c r="EC14" s="25">
        <v>177</v>
      </c>
      <c r="ED14" s="25">
        <v>77</v>
      </c>
      <c r="EE14" s="25">
        <v>78</v>
      </c>
      <c r="EF14" s="25">
        <v>55</v>
      </c>
      <c r="EG14" s="25">
        <v>120</v>
      </c>
      <c r="EH14" s="25">
        <v>89</v>
      </c>
      <c r="EI14" s="25">
        <v>140</v>
      </c>
      <c r="EJ14" s="25">
        <v>113</v>
      </c>
      <c r="EK14" s="25">
        <v>2221</v>
      </c>
      <c r="EL14" s="25">
        <v>269</v>
      </c>
      <c r="EM14" s="25">
        <v>40</v>
      </c>
      <c r="EN14" s="25">
        <v>38</v>
      </c>
    </row>
    <row r="15" spans="1:144" x14ac:dyDescent="0.25">
      <c r="A15" s="19">
        <f t="shared" si="8"/>
        <v>13</v>
      </c>
      <c r="B15" s="20" t="str">
        <f t="shared" si="9"/>
        <v>Duchesne</v>
      </c>
      <c r="C15" s="24" t="s">
        <v>300</v>
      </c>
      <c r="D15" s="24" t="s">
        <v>301</v>
      </c>
      <c r="E15" s="25">
        <v>7515</v>
      </c>
      <c r="F15" s="25">
        <v>269</v>
      </c>
      <c r="G15" s="25">
        <v>5300</v>
      </c>
      <c r="H15" s="25">
        <v>296</v>
      </c>
      <c r="I15" s="25">
        <v>4863</v>
      </c>
      <c r="J15" s="25">
        <v>301</v>
      </c>
      <c r="K15" s="25">
        <v>437</v>
      </c>
      <c r="L15" s="25">
        <v>85</v>
      </c>
      <c r="M15" s="25">
        <v>293</v>
      </c>
      <c r="N15" s="25">
        <v>88</v>
      </c>
      <c r="O15" s="25">
        <v>904</v>
      </c>
      <c r="P15" s="25">
        <v>143</v>
      </c>
      <c r="Q15" s="25">
        <v>436</v>
      </c>
      <c r="R15" s="25">
        <v>110</v>
      </c>
      <c r="S15" s="25">
        <v>175</v>
      </c>
      <c r="T15" s="25">
        <v>52</v>
      </c>
      <c r="U15" s="25">
        <v>386</v>
      </c>
      <c r="V15" s="25">
        <v>99</v>
      </c>
      <c r="W15" s="25">
        <v>21</v>
      </c>
      <c r="X15" s="25">
        <v>22</v>
      </c>
      <c r="Y15" s="25">
        <v>6188</v>
      </c>
      <c r="Z15" s="25">
        <v>271</v>
      </c>
      <c r="AA15" s="25">
        <v>4342</v>
      </c>
      <c r="AB15" s="25">
        <v>267</v>
      </c>
      <c r="AC15" s="25">
        <v>3994</v>
      </c>
      <c r="AD15" s="25">
        <v>267</v>
      </c>
      <c r="AE15" s="25">
        <v>348</v>
      </c>
      <c r="AF15" s="25">
        <v>78</v>
      </c>
      <c r="AG15" s="25">
        <v>234</v>
      </c>
      <c r="AH15" s="25">
        <v>75</v>
      </c>
      <c r="AI15" s="25">
        <v>785</v>
      </c>
      <c r="AJ15" s="25">
        <v>132</v>
      </c>
      <c r="AK15" s="25">
        <v>408</v>
      </c>
      <c r="AL15" s="25">
        <v>109</v>
      </c>
      <c r="AM15" s="25">
        <v>160</v>
      </c>
      <c r="AN15" s="25">
        <v>51</v>
      </c>
      <c r="AO15" s="25">
        <v>240</v>
      </c>
      <c r="AP15" s="25">
        <v>81</v>
      </c>
      <c r="AQ15" s="25">
        <v>19</v>
      </c>
      <c r="AR15" s="25">
        <v>22</v>
      </c>
      <c r="AS15" s="25">
        <v>661</v>
      </c>
      <c r="AT15" s="25">
        <v>146</v>
      </c>
      <c r="AU15" s="25">
        <v>522</v>
      </c>
      <c r="AV15" s="25">
        <v>128</v>
      </c>
      <c r="AW15" s="25">
        <v>522</v>
      </c>
      <c r="AX15" s="25">
        <v>128</v>
      </c>
      <c r="AY15" s="25">
        <v>0</v>
      </c>
      <c r="AZ15" s="25">
        <v>21</v>
      </c>
      <c r="BA15" s="25">
        <v>38</v>
      </c>
      <c r="BB15" s="25">
        <v>34</v>
      </c>
      <c r="BC15" s="25">
        <v>80</v>
      </c>
      <c r="BD15" s="25">
        <v>50</v>
      </c>
      <c r="BE15" s="25">
        <v>6</v>
      </c>
      <c r="BF15" s="25">
        <v>9</v>
      </c>
      <c r="BG15" s="25">
        <v>5</v>
      </c>
      <c r="BH15" s="25">
        <v>7</v>
      </c>
      <c r="BI15" s="25">
        <v>10</v>
      </c>
      <c r="BJ15" s="25">
        <v>13</v>
      </c>
      <c r="BK15" s="25">
        <v>0</v>
      </c>
      <c r="BL15" s="25">
        <v>21</v>
      </c>
      <c r="BM15" s="25">
        <v>21</v>
      </c>
      <c r="BN15" s="25">
        <v>17</v>
      </c>
      <c r="BO15" s="25">
        <v>6</v>
      </c>
      <c r="BP15" s="25">
        <v>9</v>
      </c>
      <c r="BQ15" s="25">
        <v>6</v>
      </c>
      <c r="BR15" s="25">
        <v>9</v>
      </c>
      <c r="BS15" s="25">
        <v>0</v>
      </c>
      <c r="BT15" s="25">
        <v>21</v>
      </c>
      <c r="BU15" s="25">
        <v>0</v>
      </c>
      <c r="BV15" s="25">
        <v>21</v>
      </c>
      <c r="BW15" s="25">
        <v>9</v>
      </c>
      <c r="BX15" s="25">
        <v>9</v>
      </c>
      <c r="BY15" s="25">
        <v>0</v>
      </c>
      <c r="BZ15" s="25">
        <v>21</v>
      </c>
      <c r="CA15" s="25">
        <v>0</v>
      </c>
      <c r="CB15" s="25">
        <v>21</v>
      </c>
      <c r="CC15" s="25">
        <v>6</v>
      </c>
      <c r="CD15" s="25">
        <v>10</v>
      </c>
      <c r="CE15" s="25">
        <v>0</v>
      </c>
      <c r="CF15" s="25">
        <v>21</v>
      </c>
      <c r="CG15" s="25">
        <v>308</v>
      </c>
      <c r="CH15" s="25">
        <v>74</v>
      </c>
      <c r="CI15" s="25">
        <v>215</v>
      </c>
      <c r="CJ15" s="25">
        <v>59</v>
      </c>
      <c r="CK15" s="25">
        <v>161</v>
      </c>
      <c r="CL15" s="25">
        <v>56</v>
      </c>
      <c r="CM15" s="25">
        <v>54</v>
      </c>
      <c r="CN15" s="25">
        <v>31</v>
      </c>
      <c r="CO15" s="25">
        <v>13</v>
      </c>
      <c r="CP15" s="25">
        <v>12</v>
      </c>
      <c r="CQ15" s="25">
        <v>26</v>
      </c>
      <c r="CR15" s="25">
        <v>16</v>
      </c>
      <c r="CS15" s="25">
        <v>15</v>
      </c>
      <c r="CT15" s="25">
        <v>21</v>
      </c>
      <c r="CU15" s="25">
        <v>10</v>
      </c>
      <c r="CV15" s="25">
        <v>13</v>
      </c>
      <c r="CW15" s="25">
        <v>27</v>
      </c>
      <c r="CX15" s="25">
        <v>23</v>
      </c>
      <c r="CY15" s="25">
        <v>2</v>
      </c>
      <c r="CZ15" s="25">
        <v>3</v>
      </c>
      <c r="DA15" s="25">
        <v>62</v>
      </c>
      <c r="DB15" s="25">
        <v>38</v>
      </c>
      <c r="DC15" s="25">
        <v>53</v>
      </c>
      <c r="DD15" s="25">
        <v>37</v>
      </c>
      <c r="DE15" s="25">
        <v>53</v>
      </c>
      <c r="DF15" s="25">
        <v>37</v>
      </c>
      <c r="DG15" s="25">
        <v>0</v>
      </c>
      <c r="DH15" s="25">
        <v>21</v>
      </c>
      <c r="DI15" s="25">
        <v>0</v>
      </c>
      <c r="DJ15" s="25">
        <v>21</v>
      </c>
      <c r="DK15" s="25">
        <v>4</v>
      </c>
      <c r="DL15" s="25">
        <v>5</v>
      </c>
      <c r="DM15" s="25">
        <v>0</v>
      </c>
      <c r="DN15" s="25">
        <v>21</v>
      </c>
      <c r="DO15" s="25">
        <v>0</v>
      </c>
      <c r="DP15" s="25">
        <v>21</v>
      </c>
      <c r="DQ15" s="25">
        <v>5</v>
      </c>
      <c r="DR15" s="25">
        <v>9</v>
      </c>
      <c r="DS15" s="25">
        <v>0</v>
      </c>
      <c r="DT15" s="25">
        <v>21</v>
      </c>
      <c r="DU15" s="25">
        <v>275</v>
      </c>
      <c r="DV15" s="25">
        <v>97</v>
      </c>
      <c r="DW15" s="25">
        <v>162</v>
      </c>
      <c r="DX15" s="25">
        <v>64</v>
      </c>
      <c r="DY15" s="25">
        <v>127</v>
      </c>
      <c r="DZ15" s="25">
        <v>61</v>
      </c>
      <c r="EA15" s="25">
        <v>35</v>
      </c>
      <c r="EB15" s="25">
        <v>22</v>
      </c>
      <c r="EC15" s="25">
        <v>8</v>
      </c>
      <c r="ED15" s="25">
        <v>13</v>
      </c>
      <c r="EE15" s="25">
        <v>0</v>
      </c>
      <c r="EF15" s="25">
        <v>21</v>
      </c>
      <c r="EG15" s="25">
        <v>7</v>
      </c>
      <c r="EH15" s="25">
        <v>9</v>
      </c>
      <c r="EI15" s="25">
        <v>0</v>
      </c>
      <c r="EJ15" s="25">
        <v>21</v>
      </c>
      <c r="EK15" s="25">
        <v>98</v>
      </c>
      <c r="EL15" s="25">
        <v>54</v>
      </c>
      <c r="EM15" s="25">
        <v>0</v>
      </c>
      <c r="EN15" s="25">
        <v>21</v>
      </c>
    </row>
    <row r="16" spans="1:144" x14ac:dyDescent="0.25">
      <c r="A16" s="19">
        <f t="shared" si="8"/>
        <v>15</v>
      </c>
      <c r="B16" s="20" t="str">
        <f t="shared" si="9"/>
        <v>Emery</v>
      </c>
      <c r="C16" s="24" t="s">
        <v>302</v>
      </c>
      <c r="D16" s="24" t="s">
        <v>303</v>
      </c>
      <c r="E16" s="25">
        <v>4267</v>
      </c>
      <c r="F16" s="25">
        <v>157</v>
      </c>
      <c r="G16" s="25">
        <v>3001</v>
      </c>
      <c r="H16" s="25">
        <v>162</v>
      </c>
      <c r="I16" s="25">
        <v>2853</v>
      </c>
      <c r="J16" s="25">
        <v>154</v>
      </c>
      <c r="K16" s="25">
        <v>148</v>
      </c>
      <c r="L16" s="25">
        <v>77</v>
      </c>
      <c r="M16" s="25">
        <v>164</v>
      </c>
      <c r="N16" s="25">
        <v>57</v>
      </c>
      <c r="O16" s="25">
        <v>484</v>
      </c>
      <c r="P16" s="25">
        <v>88</v>
      </c>
      <c r="Q16" s="25">
        <v>292</v>
      </c>
      <c r="R16" s="25">
        <v>67</v>
      </c>
      <c r="S16" s="25">
        <v>121</v>
      </c>
      <c r="T16" s="25">
        <v>45</v>
      </c>
      <c r="U16" s="25">
        <v>189</v>
      </c>
      <c r="V16" s="25">
        <v>62</v>
      </c>
      <c r="W16" s="25">
        <v>16</v>
      </c>
      <c r="X16" s="25">
        <v>15</v>
      </c>
      <c r="Y16" s="25">
        <v>3336</v>
      </c>
      <c r="Z16" s="25">
        <v>156</v>
      </c>
      <c r="AA16" s="25">
        <v>2356</v>
      </c>
      <c r="AB16" s="25">
        <v>167</v>
      </c>
      <c r="AC16" s="25">
        <v>2319</v>
      </c>
      <c r="AD16" s="25">
        <v>162</v>
      </c>
      <c r="AE16" s="25">
        <v>37</v>
      </c>
      <c r="AF16" s="25">
        <v>24</v>
      </c>
      <c r="AG16" s="25">
        <v>150</v>
      </c>
      <c r="AH16" s="25">
        <v>55</v>
      </c>
      <c r="AI16" s="25">
        <v>408</v>
      </c>
      <c r="AJ16" s="25">
        <v>84</v>
      </c>
      <c r="AK16" s="25">
        <v>222</v>
      </c>
      <c r="AL16" s="25">
        <v>61</v>
      </c>
      <c r="AM16" s="25">
        <v>83</v>
      </c>
      <c r="AN16" s="25">
        <v>37</v>
      </c>
      <c r="AO16" s="25">
        <v>113</v>
      </c>
      <c r="AP16" s="25">
        <v>50</v>
      </c>
      <c r="AQ16" s="25">
        <v>4</v>
      </c>
      <c r="AR16" s="25">
        <v>5</v>
      </c>
      <c r="AS16" s="25">
        <v>566</v>
      </c>
      <c r="AT16" s="25">
        <v>101</v>
      </c>
      <c r="AU16" s="25">
        <v>439</v>
      </c>
      <c r="AV16" s="25">
        <v>83</v>
      </c>
      <c r="AW16" s="25">
        <v>432</v>
      </c>
      <c r="AX16" s="25">
        <v>84</v>
      </c>
      <c r="AY16" s="25">
        <v>7</v>
      </c>
      <c r="AZ16" s="25">
        <v>8</v>
      </c>
      <c r="BA16" s="25">
        <v>3</v>
      </c>
      <c r="BB16" s="25">
        <v>4</v>
      </c>
      <c r="BC16" s="25">
        <v>46</v>
      </c>
      <c r="BD16" s="25">
        <v>27</v>
      </c>
      <c r="BE16" s="25">
        <v>55</v>
      </c>
      <c r="BF16" s="25">
        <v>33</v>
      </c>
      <c r="BG16" s="25">
        <v>16</v>
      </c>
      <c r="BH16" s="25">
        <v>19</v>
      </c>
      <c r="BI16" s="25">
        <v>7</v>
      </c>
      <c r="BJ16" s="25">
        <v>8</v>
      </c>
      <c r="BK16" s="25">
        <v>0</v>
      </c>
      <c r="BL16" s="25">
        <v>18</v>
      </c>
      <c r="BM16" s="25">
        <v>2</v>
      </c>
      <c r="BN16" s="25">
        <v>3</v>
      </c>
      <c r="BO16" s="25">
        <v>2</v>
      </c>
      <c r="BP16" s="25">
        <v>3</v>
      </c>
      <c r="BQ16" s="25">
        <v>2</v>
      </c>
      <c r="BR16" s="25">
        <v>3</v>
      </c>
      <c r="BS16" s="25">
        <v>0</v>
      </c>
      <c r="BT16" s="25">
        <v>18</v>
      </c>
      <c r="BU16" s="25">
        <v>0</v>
      </c>
      <c r="BV16" s="25">
        <v>18</v>
      </c>
      <c r="BW16" s="25">
        <v>0</v>
      </c>
      <c r="BX16" s="25">
        <v>18</v>
      </c>
      <c r="BY16" s="25">
        <v>0</v>
      </c>
      <c r="BZ16" s="25">
        <v>18</v>
      </c>
      <c r="CA16" s="25">
        <v>0</v>
      </c>
      <c r="CB16" s="25">
        <v>18</v>
      </c>
      <c r="CC16" s="25">
        <v>0</v>
      </c>
      <c r="CD16" s="25">
        <v>18</v>
      </c>
      <c r="CE16" s="25">
        <v>0</v>
      </c>
      <c r="CF16" s="25">
        <v>18</v>
      </c>
      <c r="CG16" s="25">
        <v>86</v>
      </c>
      <c r="CH16" s="25">
        <v>38</v>
      </c>
      <c r="CI16" s="25">
        <v>40</v>
      </c>
      <c r="CJ16" s="25">
        <v>30</v>
      </c>
      <c r="CK16" s="25">
        <v>23</v>
      </c>
      <c r="CL16" s="25">
        <v>19</v>
      </c>
      <c r="CM16" s="25">
        <v>17</v>
      </c>
      <c r="CN16" s="25">
        <v>22</v>
      </c>
      <c r="CO16" s="25">
        <v>11</v>
      </c>
      <c r="CP16" s="25">
        <v>14</v>
      </c>
      <c r="CQ16" s="25">
        <v>16</v>
      </c>
      <c r="CR16" s="25">
        <v>13</v>
      </c>
      <c r="CS16" s="25">
        <v>4</v>
      </c>
      <c r="CT16" s="25">
        <v>6</v>
      </c>
      <c r="CU16" s="25">
        <v>11</v>
      </c>
      <c r="CV16" s="25">
        <v>14</v>
      </c>
      <c r="CW16" s="25">
        <v>4</v>
      </c>
      <c r="CX16" s="25">
        <v>6</v>
      </c>
      <c r="CY16" s="25">
        <v>0</v>
      </c>
      <c r="CZ16" s="25">
        <v>18</v>
      </c>
      <c r="DA16" s="25">
        <v>18</v>
      </c>
      <c r="DB16" s="25">
        <v>16</v>
      </c>
      <c r="DC16" s="25">
        <v>16</v>
      </c>
      <c r="DD16" s="25">
        <v>16</v>
      </c>
      <c r="DE16" s="25">
        <v>16</v>
      </c>
      <c r="DF16" s="25">
        <v>16</v>
      </c>
      <c r="DG16" s="25">
        <v>0</v>
      </c>
      <c r="DH16" s="25">
        <v>18</v>
      </c>
      <c r="DI16" s="25">
        <v>0</v>
      </c>
      <c r="DJ16" s="25">
        <v>18</v>
      </c>
      <c r="DK16" s="25">
        <v>2</v>
      </c>
      <c r="DL16" s="25">
        <v>5</v>
      </c>
      <c r="DM16" s="25">
        <v>0</v>
      </c>
      <c r="DN16" s="25">
        <v>18</v>
      </c>
      <c r="DO16" s="25">
        <v>0</v>
      </c>
      <c r="DP16" s="25">
        <v>18</v>
      </c>
      <c r="DQ16" s="25">
        <v>0</v>
      </c>
      <c r="DR16" s="25">
        <v>18</v>
      </c>
      <c r="DS16" s="25">
        <v>0</v>
      </c>
      <c r="DT16" s="25">
        <v>18</v>
      </c>
      <c r="DU16" s="25">
        <v>259</v>
      </c>
      <c r="DV16" s="25">
        <v>96</v>
      </c>
      <c r="DW16" s="25">
        <v>148</v>
      </c>
      <c r="DX16" s="25">
        <v>87</v>
      </c>
      <c r="DY16" s="25">
        <v>61</v>
      </c>
      <c r="DZ16" s="25">
        <v>36</v>
      </c>
      <c r="EA16" s="25">
        <v>87</v>
      </c>
      <c r="EB16" s="25">
        <v>74</v>
      </c>
      <c r="EC16" s="25">
        <v>0</v>
      </c>
      <c r="ED16" s="25">
        <v>18</v>
      </c>
      <c r="EE16" s="25">
        <v>12</v>
      </c>
      <c r="EF16" s="25">
        <v>11</v>
      </c>
      <c r="EG16" s="25">
        <v>11</v>
      </c>
      <c r="EH16" s="25">
        <v>16</v>
      </c>
      <c r="EI16" s="25">
        <v>11</v>
      </c>
      <c r="EJ16" s="25">
        <v>18</v>
      </c>
      <c r="EK16" s="25">
        <v>65</v>
      </c>
      <c r="EL16" s="25">
        <v>29</v>
      </c>
      <c r="EM16" s="25">
        <v>12</v>
      </c>
      <c r="EN16" s="25">
        <v>13</v>
      </c>
    </row>
    <row r="17" spans="1:144" x14ac:dyDescent="0.25">
      <c r="A17" s="19">
        <f t="shared" si="8"/>
        <v>17</v>
      </c>
      <c r="B17" s="20" t="str">
        <f t="shared" si="9"/>
        <v>Garfield</v>
      </c>
      <c r="C17" s="24" t="s">
        <v>304</v>
      </c>
      <c r="D17" s="24" t="s">
        <v>305</v>
      </c>
      <c r="E17" s="25">
        <v>2264</v>
      </c>
      <c r="F17" s="25">
        <v>135</v>
      </c>
      <c r="G17" s="25">
        <v>1477</v>
      </c>
      <c r="H17" s="25">
        <v>139</v>
      </c>
      <c r="I17" s="25">
        <v>1389</v>
      </c>
      <c r="J17" s="25">
        <v>136</v>
      </c>
      <c r="K17" s="25">
        <v>88</v>
      </c>
      <c r="L17" s="25">
        <v>40</v>
      </c>
      <c r="M17" s="25">
        <v>157</v>
      </c>
      <c r="N17" s="25">
        <v>47</v>
      </c>
      <c r="O17" s="25">
        <v>183</v>
      </c>
      <c r="P17" s="25">
        <v>53</v>
      </c>
      <c r="Q17" s="25">
        <v>74</v>
      </c>
      <c r="R17" s="25">
        <v>31</v>
      </c>
      <c r="S17" s="25">
        <v>155</v>
      </c>
      <c r="T17" s="25">
        <v>60</v>
      </c>
      <c r="U17" s="25">
        <v>214</v>
      </c>
      <c r="V17" s="25">
        <v>83</v>
      </c>
      <c r="W17" s="25">
        <v>4</v>
      </c>
      <c r="X17" s="25">
        <v>5</v>
      </c>
      <c r="Y17" s="25">
        <v>1650</v>
      </c>
      <c r="Z17" s="25">
        <v>155</v>
      </c>
      <c r="AA17" s="25">
        <v>1032</v>
      </c>
      <c r="AB17" s="25">
        <v>123</v>
      </c>
      <c r="AC17" s="25">
        <v>964</v>
      </c>
      <c r="AD17" s="25">
        <v>116</v>
      </c>
      <c r="AE17" s="25">
        <v>68</v>
      </c>
      <c r="AF17" s="25">
        <v>39</v>
      </c>
      <c r="AG17" s="25">
        <v>132</v>
      </c>
      <c r="AH17" s="25">
        <v>41</v>
      </c>
      <c r="AI17" s="25">
        <v>158</v>
      </c>
      <c r="AJ17" s="25">
        <v>49</v>
      </c>
      <c r="AK17" s="25">
        <v>54</v>
      </c>
      <c r="AL17" s="25">
        <v>28</v>
      </c>
      <c r="AM17" s="25">
        <v>128</v>
      </c>
      <c r="AN17" s="25">
        <v>52</v>
      </c>
      <c r="AO17" s="25">
        <v>146</v>
      </c>
      <c r="AP17" s="25">
        <v>77</v>
      </c>
      <c r="AQ17" s="25">
        <v>0</v>
      </c>
      <c r="AR17" s="25">
        <v>16</v>
      </c>
      <c r="AS17" s="25">
        <v>267</v>
      </c>
      <c r="AT17" s="25">
        <v>67</v>
      </c>
      <c r="AU17" s="25">
        <v>201</v>
      </c>
      <c r="AV17" s="25">
        <v>58</v>
      </c>
      <c r="AW17" s="25">
        <v>201</v>
      </c>
      <c r="AX17" s="25">
        <v>58</v>
      </c>
      <c r="AY17" s="25">
        <v>0</v>
      </c>
      <c r="AZ17" s="25">
        <v>16</v>
      </c>
      <c r="BA17" s="25">
        <v>18</v>
      </c>
      <c r="BB17" s="25">
        <v>18</v>
      </c>
      <c r="BC17" s="25">
        <v>17</v>
      </c>
      <c r="BD17" s="25">
        <v>16</v>
      </c>
      <c r="BE17" s="25">
        <v>20</v>
      </c>
      <c r="BF17" s="25">
        <v>15</v>
      </c>
      <c r="BG17" s="25">
        <v>8</v>
      </c>
      <c r="BH17" s="25">
        <v>7</v>
      </c>
      <c r="BI17" s="25">
        <v>3</v>
      </c>
      <c r="BJ17" s="25">
        <v>4</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183</v>
      </c>
      <c r="CH17" s="25">
        <v>69</v>
      </c>
      <c r="CI17" s="25">
        <v>143</v>
      </c>
      <c r="CJ17" s="25">
        <v>60</v>
      </c>
      <c r="CK17" s="25">
        <v>130</v>
      </c>
      <c r="CL17" s="25">
        <v>58</v>
      </c>
      <c r="CM17" s="25">
        <v>13</v>
      </c>
      <c r="CN17" s="25">
        <v>11</v>
      </c>
      <c r="CO17" s="25">
        <v>6</v>
      </c>
      <c r="CP17" s="25">
        <v>9</v>
      </c>
      <c r="CQ17" s="25">
        <v>2</v>
      </c>
      <c r="CR17" s="25">
        <v>5</v>
      </c>
      <c r="CS17" s="25">
        <v>0</v>
      </c>
      <c r="CT17" s="25">
        <v>16</v>
      </c>
      <c r="CU17" s="25">
        <v>19</v>
      </c>
      <c r="CV17" s="25">
        <v>24</v>
      </c>
      <c r="CW17" s="25">
        <v>10</v>
      </c>
      <c r="CX17" s="25">
        <v>8</v>
      </c>
      <c r="CY17" s="25">
        <v>3</v>
      </c>
      <c r="CZ17" s="25">
        <v>5</v>
      </c>
      <c r="DA17" s="25">
        <v>55</v>
      </c>
      <c r="DB17" s="25">
        <v>53</v>
      </c>
      <c r="DC17" s="25">
        <v>53</v>
      </c>
      <c r="DD17" s="25">
        <v>52</v>
      </c>
      <c r="DE17" s="25">
        <v>52</v>
      </c>
      <c r="DF17" s="25">
        <v>52</v>
      </c>
      <c r="DG17" s="25">
        <v>1</v>
      </c>
      <c r="DH17" s="25">
        <v>3</v>
      </c>
      <c r="DI17" s="25">
        <v>0</v>
      </c>
      <c r="DJ17" s="25">
        <v>16</v>
      </c>
      <c r="DK17" s="25">
        <v>0</v>
      </c>
      <c r="DL17" s="25">
        <v>16</v>
      </c>
      <c r="DM17" s="25">
        <v>0</v>
      </c>
      <c r="DN17" s="25">
        <v>16</v>
      </c>
      <c r="DO17" s="25">
        <v>0</v>
      </c>
      <c r="DP17" s="25">
        <v>16</v>
      </c>
      <c r="DQ17" s="25">
        <v>2</v>
      </c>
      <c r="DR17" s="25">
        <v>3</v>
      </c>
      <c r="DS17" s="25">
        <v>0</v>
      </c>
      <c r="DT17" s="25">
        <v>16</v>
      </c>
      <c r="DU17" s="25">
        <v>109</v>
      </c>
      <c r="DV17" s="25">
        <v>42</v>
      </c>
      <c r="DW17" s="25">
        <v>48</v>
      </c>
      <c r="DX17" s="25">
        <v>28</v>
      </c>
      <c r="DY17" s="25">
        <v>42</v>
      </c>
      <c r="DZ17" s="25">
        <v>28</v>
      </c>
      <c r="EA17" s="25">
        <v>6</v>
      </c>
      <c r="EB17" s="25">
        <v>5</v>
      </c>
      <c r="EC17" s="25">
        <v>1</v>
      </c>
      <c r="ED17" s="25">
        <v>2</v>
      </c>
      <c r="EE17" s="25">
        <v>6</v>
      </c>
      <c r="EF17" s="25">
        <v>9</v>
      </c>
      <c r="EG17" s="25">
        <v>0</v>
      </c>
      <c r="EH17" s="25">
        <v>16</v>
      </c>
      <c r="EI17" s="25">
        <v>0</v>
      </c>
      <c r="EJ17" s="25">
        <v>16</v>
      </c>
      <c r="EK17" s="25">
        <v>53</v>
      </c>
      <c r="EL17" s="25">
        <v>29</v>
      </c>
      <c r="EM17" s="25">
        <v>1</v>
      </c>
      <c r="EN17" s="25">
        <v>2</v>
      </c>
    </row>
    <row r="18" spans="1:144" x14ac:dyDescent="0.25">
      <c r="A18" s="19">
        <f t="shared" si="8"/>
        <v>19</v>
      </c>
      <c r="B18" s="20" t="str">
        <f t="shared" si="9"/>
        <v>Grand</v>
      </c>
      <c r="C18" s="24" t="s">
        <v>306</v>
      </c>
      <c r="D18" s="24" t="s">
        <v>307</v>
      </c>
      <c r="E18" s="25">
        <v>4679</v>
      </c>
      <c r="F18" s="25">
        <v>286</v>
      </c>
      <c r="G18" s="25">
        <v>2946</v>
      </c>
      <c r="H18" s="25">
        <v>295</v>
      </c>
      <c r="I18" s="25">
        <v>2797</v>
      </c>
      <c r="J18" s="25">
        <v>299</v>
      </c>
      <c r="K18" s="25">
        <v>149</v>
      </c>
      <c r="L18" s="25">
        <v>91</v>
      </c>
      <c r="M18" s="25">
        <v>277</v>
      </c>
      <c r="N18" s="25">
        <v>107</v>
      </c>
      <c r="O18" s="25">
        <v>436</v>
      </c>
      <c r="P18" s="25">
        <v>157</v>
      </c>
      <c r="Q18" s="25">
        <v>233</v>
      </c>
      <c r="R18" s="25">
        <v>144</v>
      </c>
      <c r="S18" s="25">
        <v>298</v>
      </c>
      <c r="T18" s="25">
        <v>168</v>
      </c>
      <c r="U18" s="25">
        <v>489</v>
      </c>
      <c r="V18" s="25">
        <v>140</v>
      </c>
      <c r="W18" s="25">
        <v>0</v>
      </c>
      <c r="X18" s="25">
        <v>16</v>
      </c>
      <c r="Y18" s="25">
        <v>3101</v>
      </c>
      <c r="Z18" s="25">
        <v>379</v>
      </c>
      <c r="AA18" s="25">
        <v>1854</v>
      </c>
      <c r="AB18" s="25">
        <v>291</v>
      </c>
      <c r="AC18" s="25">
        <v>1748</v>
      </c>
      <c r="AD18" s="25">
        <v>269</v>
      </c>
      <c r="AE18" s="25">
        <v>106</v>
      </c>
      <c r="AF18" s="25">
        <v>83</v>
      </c>
      <c r="AG18" s="25">
        <v>141</v>
      </c>
      <c r="AH18" s="25">
        <v>82</v>
      </c>
      <c r="AI18" s="25">
        <v>343</v>
      </c>
      <c r="AJ18" s="25">
        <v>149</v>
      </c>
      <c r="AK18" s="25">
        <v>213</v>
      </c>
      <c r="AL18" s="25">
        <v>140</v>
      </c>
      <c r="AM18" s="25">
        <v>253</v>
      </c>
      <c r="AN18" s="25">
        <v>140</v>
      </c>
      <c r="AO18" s="25">
        <v>297</v>
      </c>
      <c r="AP18" s="25">
        <v>116</v>
      </c>
      <c r="AQ18" s="25">
        <v>0</v>
      </c>
      <c r="AR18" s="25">
        <v>16</v>
      </c>
      <c r="AS18" s="25">
        <v>614</v>
      </c>
      <c r="AT18" s="25">
        <v>209</v>
      </c>
      <c r="AU18" s="25">
        <v>427</v>
      </c>
      <c r="AV18" s="25">
        <v>189</v>
      </c>
      <c r="AW18" s="25">
        <v>420</v>
      </c>
      <c r="AX18" s="25">
        <v>189</v>
      </c>
      <c r="AY18" s="25">
        <v>7</v>
      </c>
      <c r="AZ18" s="25">
        <v>13</v>
      </c>
      <c r="BA18" s="25">
        <v>9</v>
      </c>
      <c r="BB18" s="25">
        <v>15</v>
      </c>
      <c r="BC18" s="25">
        <v>63</v>
      </c>
      <c r="BD18" s="25">
        <v>55</v>
      </c>
      <c r="BE18" s="25">
        <v>20</v>
      </c>
      <c r="BF18" s="25">
        <v>25</v>
      </c>
      <c r="BG18" s="25">
        <v>13</v>
      </c>
      <c r="BH18" s="25">
        <v>20</v>
      </c>
      <c r="BI18" s="25">
        <v>82</v>
      </c>
      <c r="BJ18" s="25">
        <v>56</v>
      </c>
      <c r="BK18" s="25">
        <v>0</v>
      </c>
      <c r="BL18" s="25">
        <v>16</v>
      </c>
      <c r="BM18" s="25">
        <v>17</v>
      </c>
      <c r="BN18" s="25">
        <v>27</v>
      </c>
      <c r="BO18" s="25">
        <v>0</v>
      </c>
      <c r="BP18" s="25">
        <v>16</v>
      </c>
      <c r="BQ18" s="25">
        <v>0</v>
      </c>
      <c r="BR18" s="25">
        <v>16</v>
      </c>
      <c r="BS18" s="25">
        <v>0</v>
      </c>
      <c r="BT18" s="25">
        <v>16</v>
      </c>
      <c r="BU18" s="25">
        <v>17</v>
      </c>
      <c r="BV18" s="25">
        <v>27</v>
      </c>
      <c r="BW18" s="25">
        <v>0</v>
      </c>
      <c r="BX18" s="25">
        <v>16</v>
      </c>
      <c r="BY18" s="25">
        <v>0</v>
      </c>
      <c r="BZ18" s="25">
        <v>16</v>
      </c>
      <c r="CA18" s="25">
        <v>0</v>
      </c>
      <c r="CB18" s="25">
        <v>16</v>
      </c>
      <c r="CC18" s="25">
        <v>0</v>
      </c>
      <c r="CD18" s="25">
        <v>16</v>
      </c>
      <c r="CE18" s="25">
        <v>0</v>
      </c>
      <c r="CF18" s="25">
        <v>16</v>
      </c>
      <c r="CG18" s="25">
        <v>317</v>
      </c>
      <c r="CH18" s="25">
        <v>173</v>
      </c>
      <c r="CI18" s="25">
        <v>228</v>
      </c>
      <c r="CJ18" s="25">
        <v>165</v>
      </c>
      <c r="CK18" s="25">
        <v>228</v>
      </c>
      <c r="CL18" s="25">
        <v>165</v>
      </c>
      <c r="CM18" s="25">
        <v>0</v>
      </c>
      <c r="CN18" s="25">
        <v>16</v>
      </c>
      <c r="CO18" s="25">
        <v>46</v>
      </c>
      <c r="CP18" s="25">
        <v>42</v>
      </c>
      <c r="CQ18" s="25">
        <v>23</v>
      </c>
      <c r="CR18" s="25">
        <v>29</v>
      </c>
      <c r="CS18" s="25">
        <v>0</v>
      </c>
      <c r="CT18" s="25">
        <v>16</v>
      </c>
      <c r="CU18" s="25">
        <v>0</v>
      </c>
      <c r="CV18" s="25">
        <v>16</v>
      </c>
      <c r="CW18" s="25">
        <v>20</v>
      </c>
      <c r="CX18" s="25">
        <v>30</v>
      </c>
      <c r="CY18" s="25">
        <v>0</v>
      </c>
      <c r="CZ18" s="25">
        <v>16</v>
      </c>
      <c r="DA18" s="25">
        <v>372</v>
      </c>
      <c r="DB18" s="25">
        <v>162</v>
      </c>
      <c r="DC18" s="25">
        <v>286</v>
      </c>
      <c r="DD18" s="25">
        <v>147</v>
      </c>
      <c r="DE18" s="25">
        <v>277</v>
      </c>
      <c r="DF18" s="25">
        <v>150</v>
      </c>
      <c r="DG18" s="25">
        <v>9</v>
      </c>
      <c r="DH18" s="25">
        <v>17</v>
      </c>
      <c r="DI18" s="25">
        <v>39</v>
      </c>
      <c r="DJ18" s="25">
        <v>42</v>
      </c>
      <c r="DK18" s="25">
        <v>7</v>
      </c>
      <c r="DL18" s="25">
        <v>14</v>
      </c>
      <c r="DM18" s="25">
        <v>0</v>
      </c>
      <c r="DN18" s="25">
        <v>16</v>
      </c>
      <c r="DO18" s="25">
        <v>19</v>
      </c>
      <c r="DP18" s="25">
        <v>33</v>
      </c>
      <c r="DQ18" s="25">
        <v>21</v>
      </c>
      <c r="DR18" s="25">
        <v>37</v>
      </c>
      <c r="DS18" s="25">
        <v>0</v>
      </c>
      <c r="DT18" s="25">
        <v>16</v>
      </c>
      <c r="DU18" s="25">
        <v>258</v>
      </c>
      <c r="DV18" s="25">
        <v>124</v>
      </c>
      <c r="DW18" s="25">
        <v>151</v>
      </c>
      <c r="DX18" s="25">
        <v>108</v>
      </c>
      <c r="DY18" s="25">
        <v>124</v>
      </c>
      <c r="DZ18" s="25">
        <v>106</v>
      </c>
      <c r="EA18" s="25">
        <v>27</v>
      </c>
      <c r="EB18" s="25">
        <v>28</v>
      </c>
      <c r="EC18" s="25">
        <v>25</v>
      </c>
      <c r="ED18" s="25">
        <v>32</v>
      </c>
      <c r="EE18" s="25">
        <v>0</v>
      </c>
      <c r="EF18" s="25">
        <v>16</v>
      </c>
      <c r="EG18" s="25">
        <v>0</v>
      </c>
      <c r="EH18" s="25">
        <v>16</v>
      </c>
      <c r="EI18" s="25">
        <v>13</v>
      </c>
      <c r="EJ18" s="25">
        <v>23</v>
      </c>
      <c r="EK18" s="25">
        <v>69</v>
      </c>
      <c r="EL18" s="25">
        <v>58</v>
      </c>
      <c r="EM18" s="25">
        <v>0</v>
      </c>
      <c r="EN18" s="25">
        <v>16</v>
      </c>
    </row>
    <row r="19" spans="1:144" x14ac:dyDescent="0.25">
      <c r="A19" s="19">
        <f t="shared" si="8"/>
        <v>21</v>
      </c>
      <c r="B19" s="20" t="str">
        <f t="shared" si="9"/>
        <v>Iron</v>
      </c>
      <c r="C19" s="24" t="s">
        <v>308</v>
      </c>
      <c r="D19" s="24" t="s">
        <v>309</v>
      </c>
      <c r="E19" s="25">
        <v>18425</v>
      </c>
      <c r="F19" s="25">
        <v>688</v>
      </c>
      <c r="G19" s="25">
        <v>12920</v>
      </c>
      <c r="H19" s="25">
        <v>677</v>
      </c>
      <c r="I19" s="25">
        <v>12040</v>
      </c>
      <c r="J19" s="25">
        <v>690</v>
      </c>
      <c r="K19" s="25">
        <v>880</v>
      </c>
      <c r="L19" s="25">
        <v>195</v>
      </c>
      <c r="M19" s="25">
        <v>668</v>
      </c>
      <c r="N19" s="25">
        <v>173</v>
      </c>
      <c r="O19" s="25">
        <v>1512</v>
      </c>
      <c r="P19" s="25">
        <v>247</v>
      </c>
      <c r="Q19" s="25">
        <v>1852</v>
      </c>
      <c r="R19" s="25">
        <v>385</v>
      </c>
      <c r="S19" s="25">
        <v>447</v>
      </c>
      <c r="T19" s="25">
        <v>142</v>
      </c>
      <c r="U19" s="25">
        <v>999</v>
      </c>
      <c r="V19" s="25">
        <v>212</v>
      </c>
      <c r="W19" s="25">
        <v>27</v>
      </c>
      <c r="X19" s="25">
        <v>30</v>
      </c>
      <c r="Y19" s="25">
        <v>14190</v>
      </c>
      <c r="Z19" s="25">
        <v>683</v>
      </c>
      <c r="AA19" s="25">
        <v>10119</v>
      </c>
      <c r="AB19" s="25">
        <v>669</v>
      </c>
      <c r="AC19" s="25">
        <v>9476</v>
      </c>
      <c r="AD19" s="25">
        <v>681</v>
      </c>
      <c r="AE19" s="25">
        <v>643</v>
      </c>
      <c r="AF19" s="25">
        <v>170</v>
      </c>
      <c r="AG19" s="25">
        <v>520</v>
      </c>
      <c r="AH19" s="25">
        <v>146</v>
      </c>
      <c r="AI19" s="25">
        <v>1367</v>
      </c>
      <c r="AJ19" s="25">
        <v>235</v>
      </c>
      <c r="AK19" s="25">
        <v>1398</v>
      </c>
      <c r="AL19" s="25">
        <v>271</v>
      </c>
      <c r="AM19" s="25">
        <v>326</v>
      </c>
      <c r="AN19" s="25">
        <v>111</v>
      </c>
      <c r="AO19" s="25">
        <v>433</v>
      </c>
      <c r="AP19" s="25">
        <v>167</v>
      </c>
      <c r="AQ19" s="25">
        <v>27</v>
      </c>
      <c r="AR19" s="25">
        <v>30</v>
      </c>
      <c r="AS19" s="25">
        <v>2345</v>
      </c>
      <c r="AT19" s="25">
        <v>411</v>
      </c>
      <c r="AU19" s="25">
        <v>1817</v>
      </c>
      <c r="AV19" s="25">
        <v>382</v>
      </c>
      <c r="AW19" s="25">
        <v>1687</v>
      </c>
      <c r="AX19" s="25">
        <v>364</v>
      </c>
      <c r="AY19" s="25">
        <v>130</v>
      </c>
      <c r="AZ19" s="25">
        <v>93</v>
      </c>
      <c r="BA19" s="25">
        <v>67</v>
      </c>
      <c r="BB19" s="25">
        <v>62</v>
      </c>
      <c r="BC19" s="25">
        <v>92</v>
      </c>
      <c r="BD19" s="25">
        <v>55</v>
      </c>
      <c r="BE19" s="25">
        <v>169</v>
      </c>
      <c r="BF19" s="25">
        <v>97</v>
      </c>
      <c r="BG19" s="25">
        <v>66</v>
      </c>
      <c r="BH19" s="25">
        <v>61</v>
      </c>
      <c r="BI19" s="25">
        <v>134</v>
      </c>
      <c r="BJ19" s="25">
        <v>71</v>
      </c>
      <c r="BK19" s="25">
        <v>0</v>
      </c>
      <c r="BL19" s="25">
        <v>24</v>
      </c>
      <c r="BM19" s="25">
        <v>63</v>
      </c>
      <c r="BN19" s="25">
        <v>63</v>
      </c>
      <c r="BO19" s="25">
        <v>37</v>
      </c>
      <c r="BP19" s="25">
        <v>47</v>
      </c>
      <c r="BQ19" s="25">
        <v>37</v>
      </c>
      <c r="BR19" s="25">
        <v>47</v>
      </c>
      <c r="BS19" s="25">
        <v>0</v>
      </c>
      <c r="BT19" s="25">
        <v>24</v>
      </c>
      <c r="BU19" s="25">
        <v>0</v>
      </c>
      <c r="BV19" s="25">
        <v>24</v>
      </c>
      <c r="BW19" s="25">
        <v>0</v>
      </c>
      <c r="BX19" s="25">
        <v>24</v>
      </c>
      <c r="BY19" s="25">
        <v>18</v>
      </c>
      <c r="BZ19" s="25">
        <v>31</v>
      </c>
      <c r="CA19" s="25">
        <v>0</v>
      </c>
      <c r="CB19" s="25">
        <v>24</v>
      </c>
      <c r="CC19" s="25">
        <v>8</v>
      </c>
      <c r="CD19" s="25">
        <v>11</v>
      </c>
      <c r="CE19" s="25">
        <v>0</v>
      </c>
      <c r="CF19" s="25">
        <v>24</v>
      </c>
      <c r="CG19" s="25">
        <v>1013</v>
      </c>
      <c r="CH19" s="25">
        <v>242</v>
      </c>
      <c r="CI19" s="25">
        <v>608</v>
      </c>
      <c r="CJ19" s="25">
        <v>183</v>
      </c>
      <c r="CK19" s="25">
        <v>565</v>
      </c>
      <c r="CL19" s="25">
        <v>182</v>
      </c>
      <c r="CM19" s="25">
        <v>43</v>
      </c>
      <c r="CN19" s="25">
        <v>34</v>
      </c>
      <c r="CO19" s="25">
        <v>80</v>
      </c>
      <c r="CP19" s="25">
        <v>57</v>
      </c>
      <c r="CQ19" s="25">
        <v>34</v>
      </c>
      <c r="CR19" s="25">
        <v>37</v>
      </c>
      <c r="CS19" s="25">
        <v>151</v>
      </c>
      <c r="CT19" s="25">
        <v>139</v>
      </c>
      <c r="CU19" s="25">
        <v>33</v>
      </c>
      <c r="CV19" s="25">
        <v>31</v>
      </c>
      <c r="CW19" s="25">
        <v>107</v>
      </c>
      <c r="CX19" s="25">
        <v>71</v>
      </c>
      <c r="CY19" s="25">
        <v>0</v>
      </c>
      <c r="CZ19" s="25">
        <v>24</v>
      </c>
      <c r="DA19" s="25">
        <v>334</v>
      </c>
      <c r="DB19" s="25">
        <v>141</v>
      </c>
      <c r="DC19" s="25">
        <v>172</v>
      </c>
      <c r="DD19" s="25">
        <v>95</v>
      </c>
      <c r="DE19" s="25">
        <v>157</v>
      </c>
      <c r="DF19" s="25">
        <v>89</v>
      </c>
      <c r="DG19" s="25">
        <v>15</v>
      </c>
      <c r="DH19" s="25">
        <v>23</v>
      </c>
      <c r="DI19" s="25">
        <v>0</v>
      </c>
      <c r="DJ19" s="25">
        <v>24</v>
      </c>
      <c r="DK19" s="25">
        <v>19</v>
      </c>
      <c r="DL19" s="25">
        <v>32</v>
      </c>
      <c r="DM19" s="25">
        <v>91</v>
      </c>
      <c r="DN19" s="25">
        <v>56</v>
      </c>
      <c r="DO19" s="25">
        <v>22</v>
      </c>
      <c r="DP19" s="25">
        <v>24</v>
      </c>
      <c r="DQ19" s="25">
        <v>30</v>
      </c>
      <c r="DR19" s="25">
        <v>40</v>
      </c>
      <c r="DS19" s="25">
        <v>0</v>
      </c>
      <c r="DT19" s="25">
        <v>24</v>
      </c>
      <c r="DU19" s="25">
        <v>480</v>
      </c>
      <c r="DV19" s="25">
        <v>142</v>
      </c>
      <c r="DW19" s="25">
        <v>167</v>
      </c>
      <c r="DX19" s="25">
        <v>95</v>
      </c>
      <c r="DY19" s="25">
        <v>118</v>
      </c>
      <c r="DZ19" s="25">
        <v>81</v>
      </c>
      <c r="EA19" s="25">
        <v>49</v>
      </c>
      <c r="EB19" s="25">
        <v>40</v>
      </c>
      <c r="EC19" s="25">
        <v>1</v>
      </c>
      <c r="ED19" s="25">
        <v>3</v>
      </c>
      <c r="EE19" s="25">
        <v>0</v>
      </c>
      <c r="EF19" s="25">
        <v>24</v>
      </c>
      <c r="EG19" s="25">
        <v>25</v>
      </c>
      <c r="EH19" s="25">
        <v>29</v>
      </c>
      <c r="EI19" s="25">
        <v>0</v>
      </c>
      <c r="EJ19" s="25">
        <v>24</v>
      </c>
      <c r="EK19" s="25">
        <v>287</v>
      </c>
      <c r="EL19" s="25">
        <v>105</v>
      </c>
      <c r="EM19" s="25">
        <v>0</v>
      </c>
      <c r="EN19" s="25">
        <v>24</v>
      </c>
    </row>
    <row r="20" spans="1:144" x14ac:dyDescent="0.25">
      <c r="A20" s="19">
        <f t="shared" si="8"/>
        <v>23</v>
      </c>
      <c r="B20" s="20" t="str">
        <f t="shared" si="9"/>
        <v>Juab</v>
      </c>
      <c r="C20" s="24" t="s">
        <v>310</v>
      </c>
      <c r="D20" s="24" t="s">
        <v>311</v>
      </c>
      <c r="E20" s="25">
        <v>4277</v>
      </c>
      <c r="F20" s="25">
        <v>207</v>
      </c>
      <c r="G20" s="25">
        <v>3065</v>
      </c>
      <c r="H20" s="25">
        <v>193</v>
      </c>
      <c r="I20" s="25">
        <v>2928</v>
      </c>
      <c r="J20" s="25">
        <v>190</v>
      </c>
      <c r="K20" s="25">
        <v>137</v>
      </c>
      <c r="L20" s="25">
        <v>48</v>
      </c>
      <c r="M20" s="25">
        <v>210</v>
      </c>
      <c r="N20" s="25">
        <v>55</v>
      </c>
      <c r="O20" s="25">
        <v>446</v>
      </c>
      <c r="P20" s="25">
        <v>100</v>
      </c>
      <c r="Q20" s="25">
        <v>310</v>
      </c>
      <c r="R20" s="25">
        <v>77</v>
      </c>
      <c r="S20" s="25">
        <v>92</v>
      </c>
      <c r="T20" s="25">
        <v>41</v>
      </c>
      <c r="U20" s="25">
        <v>151</v>
      </c>
      <c r="V20" s="25">
        <v>57</v>
      </c>
      <c r="W20" s="25">
        <v>3</v>
      </c>
      <c r="X20" s="25">
        <v>4</v>
      </c>
      <c r="Y20" s="25">
        <v>3271</v>
      </c>
      <c r="Z20" s="25">
        <v>233</v>
      </c>
      <c r="AA20" s="25">
        <v>2340</v>
      </c>
      <c r="AB20" s="25">
        <v>214</v>
      </c>
      <c r="AC20" s="25">
        <v>2258</v>
      </c>
      <c r="AD20" s="25">
        <v>207</v>
      </c>
      <c r="AE20" s="25">
        <v>82</v>
      </c>
      <c r="AF20" s="25">
        <v>41</v>
      </c>
      <c r="AG20" s="25">
        <v>154</v>
      </c>
      <c r="AH20" s="25">
        <v>49</v>
      </c>
      <c r="AI20" s="25">
        <v>367</v>
      </c>
      <c r="AJ20" s="25">
        <v>87</v>
      </c>
      <c r="AK20" s="25">
        <v>302</v>
      </c>
      <c r="AL20" s="25">
        <v>77</v>
      </c>
      <c r="AM20" s="25">
        <v>33</v>
      </c>
      <c r="AN20" s="25">
        <v>25</v>
      </c>
      <c r="AO20" s="25">
        <v>72</v>
      </c>
      <c r="AP20" s="25">
        <v>38</v>
      </c>
      <c r="AQ20" s="25">
        <v>3</v>
      </c>
      <c r="AR20" s="25">
        <v>4</v>
      </c>
      <c r="AS20" s="25">
        <v>625</v>
      </c>
      <c r="AT20" s="25">
        <v>133</v>
      </c>
      <c r="AU20" s="25">
        <v>466</v>
      </c>
      <c r="AV20" s="25">
        <v>120</v>
      </c>
      <c r="AW20" s="25">
        <v>443</v>
      </c>
      <c r="AX20" s="25">
        <v>118</v>
      </c>
      <c r="AY20" s="25">
        <v>23</v>
      </c>
      <c r="AZ20" s="25">
        <v>19</v>
      </c>
      <c r="BA20" s="25">
        <v>37</v>
      </c>
      <c r="BB20" s="25">
        <v>32</v>
      </c>
      <c r="BC20" s="25">
        <v>47</v>
      </c>
      <c r="BD20" s="25">
        <v>39</v>
      </c>
      <c r="BE20" s="25">
        <v>3</v>
      </c>
      <c r="BF20" s="25">
        <v>4</v>
      </c>
      <c r="BG20" s="25">
        <v>44</v>
      </c>
      <c r="BH20" s="25">
        <v>32</v>
      </c>
      <c r="BI20" s="25">
        <v>28</v>
      </c>
      <c r="BJ20" s="25">
        <v>29</v>
      </c>
      <c r="BK20" s="25">
        <v>0</v>
      </c>
      <c r="BL20" s="25">
        <v>18</v>
      </c>
      <c r="BM20" s="25">
        <v>15</v>
      </c>
      <c r="BN20" s="25">
        <v>13</v>
      </c>
      <c r="BO20" s="25">
        <v>2</v>
      </c>
      <c r="BP20" s="25">
        <v>3</v>
      </c>
      <c r="BQ20" s="25">
        <v>2</v>
      </c>
      <c r="BR20" s="25">
        <v>3</v>
      </c>
      <c r="BS20" s="25">
        <v>0</v>
      </c>
      <c r="BT20" s="25">
        <v>18</v>
      </c>
      <c r="BU20" s="25">
        <v>6</v>
      </c>
      <c r="BV20" s="25">
        <v>7</v>
      </c>
      <c r="BW20" s="25">
        <v>0</v>
      </c>
      <c r="BX20" s="25">
        <v>18</v>
      </c>
      <c r="BY20" s="25">
        <v>0</v>
      </c>
      <c r="BZ20" s="25">
        <v>18</v>
      </c>
      <c r="CA20" s="25">
        <v>7</v>
      </c>
      <c r="CB20" s="25">
        <v>11</v>
      </c>
      <c r="CC20" s="25">
        <v>0</v>
      </c>
      <c r="CD20" s="25">
        <v>18</v>
      </c>
      <c r="CE20" s="25">
        <v>0</v>
      </c>
      <c r="CF20" s="25">
        <v>18</v>
      </c>
      <c r="CG20" s="25">
        <v>126</v>
      </c>
      <c r="CH20" s="25">
        <v>46</v>
      </c>
      <c r="CI20" s="25">
        <v>92</v>
      </c>
      <c r="CJ20" s="25">
        <v>41</v>
      </c>
      <c r="CK20" s="25">
        <v>87</v>
      </c>
      <c r="CL20" s="25">
        <v>39</v>
      </c>
      <c r="CM20" s="25">
        <v>5</v>
      </c>
      <c r="CN20" s="25">
        <v>8</v>
      </c>
      <c r="CO20" s="25">
        <v>13</v>
      </c>
      <c r="CP20" s="25">
        <v>15</v>
      </c>
      <c r="CQ20" s="25">
        <v>7</v>
      </c>
      <c r="CR20" s="25">
        <v>9</v>
      </c>
      <c r="CS20" s="25">
        <v>5</v>
      </c>
      <c r="CT20" s="25">
        <v>6</v>
      </c>
      <c r="CU20" s="25">
        <v>0</v>
      </c>
      <c r="CV20" s="25">
        <v>18</v>
      </c>
      <c r="CW20" s="25">
        <v>9</v>
      </c>
      <c r="CX20" s="25">
        <v>13</v>
      </c>
      <c r="CY20" s="25">
        <v>0</v>
      </c>
      <c r="CZ20" s="25">
        <v>18</v>
      </c>
      <c r="DA20" s="25">
        <v>58</v>
      </c>
      <c r="DB20" s="25">
        <v>37</v>
      </c>
      <c r="DC20" s="25">
        <v>25</v>
      </c>
      <c r="DD20" s="25">
        <v>24</v>
      </c>
      <c r="DE20" s="25">
        <v>25</v>
      </c>
      <c r="DF20" s="25">
        <v>24</v>
      </c>
      <c r="DG20" s="25">
        <v>0</v>
      </c>
      <c r="DH20" s="25">
        <v>18</v>
      </c>
      <c r="DI20" s="25">
        <v>0</v>
      </c>
      <c r="DJ20" s="25">
        <v>18</v>
      </c>
      <c r="DK20" s="25">
        <v>25</v>
      </c>
      <c r="DL20" s="25">
        <v>25</v>
      </c>
      <c r="DM20" s="25">
        <v>0</v>
      </c>
      <c r="DN20" s="25">
        <v>18</v>
      </c>
      <c r="DO20" s="25">
        <v>8</v>
      </c>
      <c r="DP20" s="25">
        <v>13</v>
      </c>
      <c r="DQ20" s="25">
        <v>0</v>
      </c>
      <c r="DR20" s="25">
        <v>18</v>
      </c>
      <c r="DS20" s="25">
        <v>0</v>
      </c>
      <c r="DT20" s="25">
        <v>18</v>
      </c>
      <c r="DU20" s="25">
        <v>182</v>
      </c>
      <c r="DV20" s="25">
        <v>70</v>
      </c>
      <c r="DW20" s="25">
        <v>140</v>
      </c>
      <c r="DX20" s="25">
        <v>61</v>
      </c>
      <c r="DY20" s="25">
        <v>113</v>
      </c>
      <c r="DZ20" s="25">
        <v>51</v>
      </c>
      <c r="EA20" s="25">
        <v>27</v>
      </c>
      <c r="EB20" s="25">
        <v>25</v>
      </c>
      <c r="EC20" s="25">
        <v>0</v>
      </c>
      <c r="ED20" s="25">
        <v>18</v>
      </c>
      <c r="EE20" s="25">
        <v>0</v>
      </c>
      <c r="EF20" s="25">
        <v>18</v>
      </c>
      <c r="EG20" s="25">
        <v>0</v>
      </c>
      <c r="EH20" s="25">
        <v>18</v>
      </c>
      <c r="EI20" s="25">
        <v>0</v>
      </c>
      <c r="EJ20" s="25">
        <v>18</v>
      </c>
      <c r="EK20" s="25">
        <v>42</v>
      </c>
      <c r="EL20" s="25">
        <v>24</v>
      </c>
      <c r="EM20" s="25">
        <v>0</v>
      </c>
      <c r="EN20" s="25">
        <v>18</v>
      </c>
    </row>
    <row r="21" spans="1:144" x14ac:dyDescent="0.25">
      <c r="A21" s="19">
        <f t="shared" si="8"/>
        <v>25</v>
      </c>
      <c r="B21" s="20" t="str">
        <f t="shared" si="9"/>
        <v>Kane</v>
      </c>
      <c r="C21" s="24" t="s">
        <v>312</v>
      </c>
      <c r="D21" s="24" t="s">
        <v>313</v>
      </c>
      <c r="E21" s="25">
        <v>3121</v>
      </c>
      <c r="F21" s="25">
        <v>190</v>
      </c>
      <c r="G21" s="25">
        <v>1731</v>
      </c>
      <c r="H21" s="25">
        <v>208</v>
      </c>
      <c r="I21" s="25">
        <v>1551</v>
      </c>
      <c r="J21" s="25">
        <v>212</v>
      </c>
      <c r="K21" s="25">
        <v>180</v>
      </c>
      <c r="L21" s="25">
        <v>80</v>
      </c>
      <c r="M21" s="25">
        <v>456</v>
      </c>
      <c r="N21" s="25">
        <v>138</v>
      </c>
      <c r="O21" s="25">
        <v>358</v>
      </c>
      <c r="P21" s="25">
        <v>115</v>
      </c>
      <c r="Q21" s="25">
        <v>189</v>
      </c>
      <c r="R21" s="25">
        <v>92</v>
      </c>
      <c r="S21" s="25">
        <v>170</v>
      </c>
      <c r="T21" s="25">
        <v>109</v>
      </c>
      <c r="U21" s="25">
        <v>190</v>
      </c>
      <c r="V21" s="25">
        <v>87</v>
      </c>
      <c r="W21" s="25">
        <v>27</v>
      </c>
      <c r="X21" s="25">
        <v>29</v>
      </c>
      <c r="Y21" s="25">
        <v>2333</v>
      </c>
      <c r="Z21" s="25">
        <v>180</v>
      </c>
      <c r="AA21" s="25">
        <v>1248</v>
      </c>
      <c r="AB21" s="25">
        <v>179</v>
      </c>
      <c r="AC21" s="25">
        <v>1145</v>
      </c>
      <c r="AD21" s="25">
        <v>174</v>
      </c>
      <c r="AE21" s="25">
        <v>103</v>
      </c>
      <c r="AF21" s="25">
        <v>72</v>
      </c>
      <c r="AG21" s="25">
        <v>383</v>
      </c>
      <c r="AH21" s="25">
        <v>134</v>
      </c>
      <c r="AI21" s="25">
        <v>296</v>
      </c>
      <c r="AJ21" s="25">
        <v>108</v>
      </c>
      <c r="AK21" s="25">
        <v>170</v>
      </c>
      <c r="AL21" s="25">
        <v>91</v>
      </c>
      <c r="AM21" s="25">
        <v>167</v>
      </c>
      <c r="AN21" s="25">
        <v>108</v>
      </c>
      <c r="AO21" s="25">
        <v>69</v>
      </c>
      <c r="AP21" s="25">
        <v>40</v>
      </c>
      <c r="AQ21" s="25">
        <v>0</v>
      </c>
      <c r="AR21" s="25">
        <v>16</v>
      </c>
      <c r="AS21" s="25">
        <v>298</v>
      </c>
      <c r="AT21" s="25">
        <v>126</v>
      </c>
      <c r="AU21" s="25">
        <v>204</v>
      </c>
      <c r="AV21" s="25">
        <v>104</v>
      </c>
      <c r="AW21" s="25">
        <v>203</v>
      </c>
      <c r="AX21" s="25">
        <v>104</v>
      </c>
      <c r="AY21" s="25">
        <v>1</v>
      </c>
      <c r="AZ21" s="25">
        <v>3</v>
      </c>
      <c r="BA21" s="25">
        <v>50</v>
      </c>
      <c r="BB21" s="25">
        <v>47</v>
      </c>
      <c r="BC21" s="25">
        <v>9</v>
      </c>
      <c r="BD21" s="25">
        <v>15</v>
      </c>
      <c r="BE21" s="25">
        <v>17</v>
      </c>
      <c r="BF21" s="25">
        <v>19</v>
      </c>
      <c r="BG21" s="25">
        <v>0</v>
      </c>
      <c r="BH21" s="25">
        <v>16</v>
      </c>
      <c r="BI21" s="25">
        <v>16</v>
      </c>
      <c r="BJ21" s="25">
        <v>23</v>
      </c>
      <c r="BK21" s="25">
        <v>2</v>
      </c>
      <c r="BL21" s="25">
        <v>3</v>
      </c>
      <c r="BM21" s="25">
        <v>0</v>
      </c>
      <c r="BN21" s="25">
        <v>16</v>
      </c>
      <c r="BO21" s="25">
        <v>0</v>
      </c>
      <c r="BP21" s="25">
        <v>16</v>
      </c>
      <c r="BQ21" s="25">
        <v>0</v>
      </c>
      <c r="BR21" s="25">
        <v>16</v>
      </c>
      <c r="BS21" s="25">
        <v>0</v>
      </c>
      <c r="BT21" s="25">
        <v>16</v>
      </c>
      <c r="BU21" s="25">
        <v>0</v>
      </c>
      <c r="BV21" s="25">
        <v>16</v>
      </c>
      <c r="BW21" s="25">
        <v>0</v>
      </c>
      <c r="BX21" s="25">
        <v>16</v>
      </c>
      <c r="BY21" s="25">
        <v>0</v>
      </c>
      <c r="BZ21" s="25">
        <v>16</v>
      </c>
      <c r="CA21" s="25">
        <v>0</v>
      </c>
      <c r="CB21" s="25">
        <v>16</v>
      </c>
      <c r="CC21" s="25">
        <v>0</v>
      </c>
      <c r="CD21" s="25">
        <v>16</v>
      </c>
      <c r="CE21" s="25">
        <v>0</v>
      </c>
      <c r="CF21" s="25">
        <v>16</v>
      </c>
      <c r="CG21" s="25">
        <v>200</v>
      </c>
      <c r="CH21" s="25">
        <v>96</v>
      </c>
      <c r="CI21" s="25">
        <v>147</v>
      </c>
      <c r="CJ21" s="25">
        <v>79</v>
      </c>
      <c r="CK21" s="25">
        <v>123</v>
      </c>
      <c r="CL21" s="25">
        <v>78</v>
      </c>
      <c r="CM21" s="25">
        <v>24</v>
      </c>
      <c r="CN21" s="25">
        <v>25</v>
      </c>
      <c r="CO21" s="25">
        <v>9</v>
      </c>
      <c r="CP21" s="25">
        <v>16</v>
      </c>
      <c r="CQ21" s="25">
        <v>44</v>
      </c>
      <c r="CR21" s="25">
        <v>33</v>
      </c>
      <c r="CS21" s="25">
        <v>0</v>
      </c>
      <c r="CT21" s="25">
        <v>16</v>
      </c>
      <c r="CU21" s="25">
        <v>0</v>
      </c>
      <c r="CV21" s="25">
        <v>16</v>
      </c>
      <c r="CW21" s="25">
        <v>0</v>
      </c>
      <c r="CX21" s="25">
        <v>16</v>
      </c>
      <c r="CY21" s="25">
        <v>0</v>
      </c>
      <c r="CZ21" s="25">
        <v>16</v>
      </c>
      <c r="DA21" s="25">
        <v>66</v>
      </c>
      <c r="DB21" s="25">
        <v>42</v>
      </c>
      <c r="DC21" s="25">
        <v>38</v>
      </c>
      <c r="DD21" s="25">
        <v>30</v>
      </c>
      <c r="DE21" s="25">
        <v>29</v>
      </c>
      <c r="DF21" s="25">
        <v>26</v>
      </c>
      <c r="DG21" s="25">
        <v>9</v>
      </c>
      <c r="DH21" s="25">
        <v>14</v>
      </c>
      <c r="DI21" s="25">
        <v>0</v>
      </c>
      <c r="DJ21" s="25">
        <v>16</v>
      </c>
      <c r="DK21" s="25">
        <v>9</v>
      </c>
      <c r="DL21" s="25">
        <v>15</v>
      </c>
      <c r="DM21" s="25">
        <v>2</v>
      </c>
      <c r="DN21" s="25">
        <v>3</v>
      </c>
      <c r="DO21" s="25">
        <v>0</v>
      </c>
      <c r="DP21" s="25">
        <v>16</v>
      </c>
      <c r="DQ21" s="25">
        <v>17</v>
      </c>
      <c r="DR21" s="25">
        <v>26</v>
      </c>
      <c r="DS21" s="25">
        <v>0</v>
      </c>
      <c r="DT21" s="25">
        <v>16</v>
      </c>
      <c r="DU21" s="25">
        <v>224</v>
      </c>
      <c r="DV21" s="25">
        <v>113</v>
      </c>
      <c r="DW21" s="25">
        <v>94</v>
      </c>
      <c r="DX21" s="25">
        <v>64</v>
      </c>
      <c r="DY21" s="25">
        <v>51</v>
      </c>
      <c r="DZ21" s="25">
        <v>38</v>
      </c>
      <c r="EA21" s="25">
        <v>43</v>
      </c>
      <c r="EB21" s="25">
        <v>50</v>
      </c>
      <c r="EC21" s="25">
        <v>14</v>
      </c>
      <c r="ED21" s="25">
        <v>24</v>
      </c>
      <c r="EE21" s="25">
        <v>0</v>
      </c>
      <c r="EF21" s="25">
        <v>16</v>
      </c>
      <c r="EG21" s="25">
        <v>0</v>
      </c>
      <c r="EH21" s="25">
        <v>16</v>
      </c>
      <c r="EI21" s="25">
        <v>3</v>
      </c>
      <c r="EJ21" s="25">
        <v>4</v>
      </c>
      <c r="EK21" s="25">
        <v>88</v>
      </c>
      <c r="EL21" s="25">
        <v>74</v>
      </c>
      <c r="EM21" s="25">
        <v>25</v>
      </c>
      <c r="EN21" s="25">
        <v>29</v>
      </c>
    </row>
    <row r="22" spans="1:144" x14ac:dyDescent="0.25">
      <c r="A22" s="19">
        <f t="shared" si="8"/>
        <v>27</v>
      </c>
      <c r="B22" s="20" t="str">
        <f t="shared" si="9"/>
        <v>Millard</v>
      </c>
      <c r="C22" s="24" t="s">
        <v>314</v>
      </c>
      <c r="D22" s="24" t="s">
        <v>315</v>
      </c>
      <c r="E22" s="25">
        <v>5120</v>
      </c>
      <c r="F22" s="25">
        <v>243</v>
      </c>
      <c r="G22" s="25">
        <v>3560</v>
      </c>
      <c r="H22" s="25">
        <v>257</v>
      </c>
      <c r="I22" s="25">
        <v>3382</v>
      </c>
      <c r="J22" s="25">
        <v>254</v>
      </c>
      <c r="K22" s="25">
        <v>178</v>
      </c>
      <c r="L22" s="25">
        <v>55</v>
      </c>
      <c r="M22" s="25">
        <v>301</v>
      </c>
      <c r="N22" s="25">
        <v>82</v>
      </c>
      <c r="O22" s="25">
        <v>493</v>
      </c>
      <c r="P22" s="25">
        <v>112</v>
      </c>
      <c r="Q22" s="25">
        <v>232</v>
      </c>
      <c r="R22" s="25">
        <v>61</v>
      </c>
      <c r="S22" s="25">
        <v>87</v>
      </c>
      <c r="T22" s="25">
        <v>30</v>
      </c>
      <c r="U22" s="25">
        <v>427</v>
      </c>
      <c r="V22" s="25">
        <v>99</v>
      </c>
      <c r="W22" s="25">
        <v>20</v>
      </c>
      <c r="X22" s="25">
        <v>20</v>
      </c>
      <c r="Y22" s="25">
        <v>3792</v>
      </c>
      <c r="Z22" s="25">
        <v>256</v>
      </c>
      <c r="AA22" s="25">
        <v>2778</v>
      </c>
      <c r="AB22" s="25">
        <v>248</v>
      </c>
      <c r="AC22" s="25">
        <v>2654</v>
      </c>
      <c r="AD22" s="25">
        <v>249</v>
      </c>
      <c r="AE22" s="25">
        <v>124</v>
      </c>
      <c r="AF22" s="25">
        <v>49</v>
      </c>
      <c r="AG22" s="25">
        <v>210</v>
      </c>
      <c r="AH22" s="25">
        <v>73</v>
      </c>
      <c r="AI22" s="25">
        <v>365</v>
      </c>
      <c r="AJ22" s="25">
        <v>93</v>
      </c>
      <c r="AK22" s="25">
        <v>165</v>
      </c>
      <c r="AL22" s="25">
        <v>52</v>
      </c>
      <c r="AM22" s="25">
        <v>64</v>
      </c>
      <c r="AN22" s="25">
        <v>27</v>
      </c>
      <c r="AO22" s="25">
        <v>201</v>
      </c>
      <c r="AP22" s="25">
        <v>69</v>
      </c>
      <c r="AQ22" s="25">
        <v>9</v>
      </c>
      <c r="AR22" s="25">
        <v>11</v>
      </c>
      <c r="AS22" s="25">
        <v>876</v>
      </c>
      <c r="AT22" s="25">
        <v>153</v>
      </c>
      <c r="AU22" s="25">
        <v>582</v>
      </c>
      <c r="AV22" s="25">
        <v>121</v>
      </c>
      <c r="AW22" s="25">
        <v>566</v>
      </c>
      <c r="AX22" s="25">
        <v>121</v>
      </c>
      <c r="AY22" s="25">
        <v>16</v>
      </c>
      <c r="AZ22" s="25">
        <v>13</v>
      </c>
      <c r="BA22" s="25">
        <v>90</v>
      </c>
      <c r="BB22" s="25">
        <v>52</v>
      </c>
      <c r="BC22" s="25">
        <v>94</v>
      </c>
      <c r="BD22" s="25">
        <v>58</v>
      </c>
      <c r="BE22" s="25">
        <v>46</v>
      </c>
      <c r="BF22" s="25">
        <v>29</v>
      </c>
      <c r="BG22" s="25">
        <v>10</v>
      </c>
      <c r="BH22" s="25">
        <v>10</v>
      </c>
      <c r="BI22" s="25">
        <v>44</v>
      </c>
      <c r="BJ22" s="25">
        <v>27</v>
      </c>
      <c r="BK22" s="25">
        <v>10</v>
      </c>
      <c r="BL22" s="25">
        <v>16</v>
      </c>
      <c r="BM22" s="25">
        <v>12</v>
      </c>
      <c r="BN22" s="25">
        <v>15</v>
      </c>
      <c r="BO22" s="25">
        <v>9</v>
      </c>
      <c r="BP22" s="25">
        <v>14</v>
      </c>
      <c r="BQ22" s="25">
        <v>9</v>
      </c>
      <c r="BR22" s="25">
        <v>14</v>
      </c>
      <c r="BS22" s="25">
        <v>0</v>
      </c>
      <c r="BT22" s="25">
        <v>18</v>
      </c>
      <c r="BU22" s="25">
        <v>0</v>
      </c>
      <c r="BV22" s="25">
        <v>18</v>
      </c>
      <c r="BW22" s="25">
        <v>3</v>
      </c>
      <c r="BX22" s="25">
        <v>4</v>
      </c>
      <c r="BY22" s="25">
        <v>0</v>
      </c>
      <c r="BZ22" s="25">
        <v>18</v>
      </c>
      <c r="CA22" s="25">
        <v>0</v>
      </c>
      <c r="CB22" s="25">
        <v>18</v>
      </c>
      <c r="CC22" s="25">
        <v>0</v>
      </c>
      <c r="CD22" s="25">
        <v>18</v>
      </c>
      <c r="CE22" s="25">
        <v>0</v>
      </c>
      <c r="CF22" s="25">
        <v>18</v>
      </c>
      <c r="CG22" s="25">
        <v>154</v>
      </c>
      <c r="CH22" s="25">
        <v>97</v>
      </c>
      <c r="CI22" s="25">
        <v>81</v>
      </c>
      <c r="CJ22" s="25">
        <v>76</v>
      </c>
      <c r="CK22" s="25">
        <v>64</v>
      </c>
      <c r="CL22" s="25">
        <v>73</v>
      </c>
      <c r="CM22" s="25">
        <v>17</v>
      </c>
      <c r="CN22" s="25">
        <v>18</v>
      </c>
      <c r="CO22" s="25">
        <v>0</v>
      </c>
      <c r="CP22" s="25">
        <v>18</v>
      </c>
      <c r="CQ22" s="25">
        <v>21</v>
      </c>
      <c r="CR22" s="25">
        <v>19</v>
      </c>
      <c r="CS22" s="25">
        <v>10</v>
      </c>
      <c r="CT22" s="25">
        <v>11</v>
      </c>
      <c r="CU22" s="25">
        <v>6</v>
      </c>
      <c r="CV22" s="25">
        <v>7</v>
      </c>
      <c r="CW22" s="25">
        <v>36</v>
      </c>
      <c r="CX22" s="25">
        <v>25</v>
      </c>
      <c r="CY22" s="25">
        <v>0</v>
      </c>
      <c r="CZ22" s="25">
        <v>18</v>
      </c>
      <c r="DA22" s="25">
        <v>90</v>
      </c>
      <c r="DB22" s="25">
        <v>47</v>
      </c>
      <c r="DC22" s="25">
        <v>52</v>
      </c>
      <c r="DD22" s="25">
        <v>33</v>
      </c>
      <c r="DE22" s="25">
        <v>52</v>
      </c>
      <c r="DF22" s="25">
        <v>33</v>
      </c>
      <c r="DG22" s="25">
        <v>0</v>
      </c>
      <c r="DH22" s="25">
        <v>18</v>
      </c>
      <c r="DI22" s="25">
        <v>1</v>
      </c>
      <c r="DJ22" s="25">
        <v>3</v>
      </c>
      <c r="DK22" s="25">
        <v>10</v>
      </c>
      <c r="DL22" s="25">
        <v>9</v>
      </c>
      <c r="DM22" s="25">
        <v>7</v>
      </c>
      <c r="DN22" s="25">
        <v>11</v>
      </c>
      <c r="DO22" s="25">
        <v>5</v>
      </c>
      <c r="DP22" s="25">
        <v>7</v>
      </c>
      <c r="DQ22" s="25">
        <v>15</v>
      </c>
      <c r="DR22" s="25">
        <v>19</v>
      </c>
      <c r="DS22" s="25">
        <v>0</v>
      </c>
      <c r="DT22" s="25">
        <v>18</v>
      </c>
      <c r="DU22" s="25">
        <v>196</v>
      </c>
      <c r="DV22" s="25">
        <v>71</v>
      </c>
      <c r="DW22" s="25">
        <v>58</v>
      </c>
      <c r="DX22" s="25">
        <v>32</v>
      </c>
      <c r="DY22" s="25">
        <v>37</v>
      </c>
      <c r="DZ22" s="25">
        <v>23</v>
      </c>
      <c r="EA22" s="25">
        <v>21</v>
      </c>
      <c r="EB22" s="25">
        <v>20</v>
      </c>
      <c r="EC22" s="25">
        <v>0</v>
      </c>
      <c r="ED22" s="25">
        <v>18</v>
      </c>
      <c r="EE22" s="25">
        <v>0</v>
      </c>
      <c r="EF22" s="25">
        <v>18</v>
      </c>
      <c r="EG22" s="25">
        <v>4</v>
      </c>
      <c r="EH22" s="25">
        <v>5</v>
      </c>
      <c r="EI22" s="25">
        <v>2</v>
      </c>
      <c r="EJ22" s="25">
        <v>3</v>
      </c>
      <c r="EK22" s="25">
        <v>131</v>
      </c>
      <c r="EL22" s="25">
        <v>59</v>
      </c>
      <c r="EM22" s="25">
        <v>1</v>
      </c>
      <c r="EN22" s="25">
        <v>3</v>
      </c>
    </row>
    <row r="23" spans="1:144" x14ac:dyDescent="0.25">
      <c r="A23" s="19">
        <f t="shared" si="8"/>
        <v>29</v>
      </c>
      <c r="B23" s="20" t="str">
        <f t="shared" si="9"/>
        <v>Morgan</v>
      </c>
      <c r="C23" s="24" t="s">
        <v>316</v>
      </c>
      <c r="D23" s="24" t="s">
        <v>317</v>
      </c>
      <c r="E23" s="25">
        <v>4067</v>
      </c>
      <c r="F23" s="25">
        <v>207</v>
      </c>
      <c r="G23" s="25">
        <v>3013</v>
      </c>
      <c r="H23" s="25">
        <v>227</v>
      </c>
      <c r="I23" s="25">
        <v>2704</v>
      </c>
      <c r="J23" s="25">
        <v>247</v>
      </c>
      <c r="K23" s="25">
        <v>309</v>
      </c>
      <c r="L23" s="25">
        <v>108</v>
      </c>
      <c r="M23" s="25">
        <v>134</v>
      </c>
      <c r="N23" s="25">
        <v>50</v>
      </c>
      <c r="O23" s="25">
        <v>370</v>
      </c>
      <c r="P23" s="25">
        <v>123</v>
      </c>
      <c r="Q23" s="25">
        <v>118</v>
      </c>
      <c r="R23" s="25">
        <v>65</v>
      </c>
      <c r="S23" s="25">
        <v>230</v>
      </c>
      <c r="T23" s="25">
        <v>76</v>
      </c>
      <c r="U23" s="25">
        <v>202</v>
      </c>
      <c r="V23" s="25">
        <v>70</v>
      </c>
      <c r="W23" s="25">
        <v>0</v>
      </c>
      <c r="X23" s="25">
        <v>18</v>
      </c>
      <c r="Y23" s="25">
        <v>3328</v>
      </c>
      <c r="Z23" s="25">
        <v>232</v>
      </c>
      <c r="AA23" s="25">
        <v>2504</v>
      </c>
      <c r="AB23" s="25">
        <v>254</v>
      </c>
      <c r="AC23" s="25">
        <v>2252</v>
      </c>
      <c r="AD23" s="25">
        <v>267</v>
      </c>
      <c r="AE23" s="25">
        <v>252</v>
      </c>
      <c r="AF23" s="25">
        <v>87</v>
      </c>
      <c r="AG23" s="25">
        <v>118</v>
      </c>
      <c r="AH23" s="25">
        <v>49</v>
      </c>
      <c r="AI23" s="25">
        <v>308</v>
      </c>
      <c r="AJ23" s="25">
        <v>115</v>
      </c>
      <c r="AK23" s="25">
        <v>105</v>
      </c>
      <c r="AL23" s="25">
        <v>62</v>
      </c>
      <c r="AM23" s="25">
        <v>208</v>
      </c>
      <c r="AN23" s="25">
        <v>76</v>
      </c>
      <c r="AO23" s="25">
        <v>85</v>
      </c>
      <c r="AP23" s="25">
        <v>45</v>
      </c>
      <c r="AQ23" s="25">
        <v>0</v>
      </c>
      <c r="AR23" s="25">
        <v>18</v>
      </c>
      <c r="AS23" s="25">
        <v>407</v>
      </c>
      <c r="AT23" s="25">
        <v>117</v>
      </c>
      <c r="AU23" s="25">
        <v>313</v>
      </c>
      <c r="AV23" s="25">
        <v>96</v>
      </c>
      <c r="AW23" s="25">
        <v>302</v>
      </c>
      <c r="AX23" s="25">
        <v>94</v>
      </c>
      <c r="AY23" s="25">
        <v>11</v>
      </c>
      <c r="AZ23" s="25">
        <v>17</v>
      </c>
      <c r="BA23" s="25">
        <v>3</v>
      </c>
      <c r="BB23" s="25">
        <v>6</v>
      </c>
      <c r="BC23" s="25">
        <v>44</v>
      </c>
      <c r="BD23" s="25">
        <v>36</v>
      </c>
      <c r="BE23" s="25">
        <v>8</v>
      </c>
      <c r="BF23" s="25">
        <v>10</v>
      </c>
      <c r="BG23" s="25">
        <v>22</v>
      </c>
      <c r="BH23" s="25">
        <v>21</v>
      </c>
      <c r="BI23" s="25">
        <v>17</v>
      </c>
      <c r="BJ23" s="25">
        <v>24</v>
      </c>
      <c r="BK23" s="25">
        <v>0</v>
      </c>
      <c r="BL23" s="25">
        <v>18</v>
      </c>
      <c r="BM23" s="25">
        <v>0</v>
      </c>
      <c r="BN23" s="25">
        <v>18</v>
      </c>
      <c r="BO23" s="25">
        <v>0</v>
      </c>
      <c r="BP23" s="25">
        <v>18</v>
      </c>
      <c r="BQ23" s="25">
        <v>0</v>
      </c>
      <c r="BR23" s="25">
        <v>18</v>
      </c>
      <c r="BS23" s="25">
        <v>0</v>
      </c>
      <c r="BT23" s="25">
        <v>18</v>
      </c>
      <c r="BU23" s="25">
        <v>0</v>
      </c>
      <c r="BV23" s="25">
        <v>18</v>
      </c>
      <c r="BW23" s="25">
        <v>0</v>
      </c>
      <c r="BX23" s="25">
        <v>18</v>
      </c>
      <c r="BY23" s="25">
        <v>0</v>
      </c>
      <c r="BZ23" s="25">
        <v>18</v>
      </c>
      <c r="CA23" s="25">
        <v>0</v>
      </c>
      <c r="CB23" s="25">
        <v>18</v>
      </c>
      <c r="CC23" s="25">
        <v>0</v>
      </c>
      <c r="CD23" s="25">
        <v>18</v>
      </c>
      <c r="CE23" s="25">
        <v>0</v>
      </c>
      <c r="CF23" s="25">
        <v>18</v>
      </c>
      <c r="CG23" s="25">
        <v>79</v>
      </c>
      <c r="CH23" s="25">
        <v>51</v>
      </c>
      <c r="CI23" s="25">
        <v>45</v>
      </c>
      <c r="CJ23" s="25">
        <v>41</v>
      </c>
      <c r="CK23" s="25">
        <v>35</v>
      </c>
      <c r="CL23" s="25">
        <v>25</v>
      </c>
      <c r="CM23" s="25">
        <v>10</v>
      </c>
      <c r="CN23" s="25">
        <v>19</v>
      </c>
      <c r="CO23" s="25">
        <v>0</v>
      </c>
      <c r="CP23" s="25">
        <v>18</v>
      </c>
      <c r="CQ23" s="25">
        <v>6</v>
      </c>
      <c r="CR23" s="25">
        <v>10</v>
      </c>
      <c r="CS23" s="25">
        <v>0</v>
      </c>
      <c r="CT23" s="25">
        <v>18</v>
      </c>
      <c r="CU23" s="25">
        <v>0</v>
      </c>
      <c r="CV23" s="25">
        <v>18</v>
      </c>
      <c r="CW23" s="25">
        <v>28</v>
      </c>
      <c r="CX23" s="25">
        <v>27</v>
      </c>
      <c r="CY23" s="25">
        <v>0</v>
      </c>
      <c r="CZ23" s="25">
        <v>18</v>
      </c>
      <c r="DA23" s="25">
        <v>51</v>
      </c>
      <c r="DB23" s="25">
        <v>40</v>
      </c>
      <c r="DC23" s="25">
        <v>51</v>
      </c>
      <c r="DD23" s="25">
        <v>40</v>
      </c>
      <c r="DE23" s="25">
        <v>51</v>
      </c>
      <c r="DF23" s="25">
        <v>40</v>
      </c>
      <c r="DG23" s="25">
        <v>0</v>
      </c>
      <c r="DH23" s="25">
        <v>18</v>
      </c>
      <c r="DI23" s="25">
        <v>0</v>
      </c>
      <c r="DJ23" s="25">
        <v>18</v>
      </c>
      <c r="DK23" s="25">
        <v>0</v>
      </c>
      <c r="DL23" s="25">
        <v>18</v>
      </c>
      <c r="DM23" s="25">
        <v>0</v>
      </c>
      <c r="DN23" s="25">
        <v>18</v>
      </c>
      <c r="DO23" s="25">
        <v>0</v>
      </c>
      <c r="DP23" s="25">
        <v>18</v>
      </c>
      <c r="DQ23" s="25">
        <v>0</v>
      </c>
      <c r="DR23" s="25">
        <v>18</v>
      </c>
      <c r="DS23" s="25">
        <v>0</v>
      </c>
      <c r="DT23" s="25">
        <v>18</v>
      </c>
      <c r="DU23" s="25">
        <v>202</v>
      </c>
      <c r="DV23" s="25">
        <v>71</v>
      </c>
      <c r="DW23" s="25">
        <v>100</v>
      </c>
      <c r="DX23" s="25">
        <v>55</v>
      </c>
      <c r="DY23" s="25">
        <v>64</v>
      </c>
      <c r="DZ23" s="25">
        <v>48</v>
      </c>
      <c r="EA23" s="25">
        <v>36</v>
      </c>
      <c r="EB23" s="25">
        <v>36</v>
      </c>
      <c r="EC23" s="25">
        <v>13</v>
      </c>
      <c r="ED23" s="25">
        <v>11</v>
      </c>
      <c r="EE23" s="25">
        <v>12</v>
      </c>
      <c r="EF23" s="25">
        <v>15</v>
      </c>
      <c r="EG23" s="25">
        <v>5</v>
      </c>
      <c r="EH23" s="25">
        <v>9</v>
      </c>
      <c r="EI23" s="25">
        <v>0</v>
      </c>
      <c r="EJ23" s="25">
        <v>18</v>
      </c>
      <c r="EK23" s="25">
        <v>72</v>
      </c>
      <c r="EL23" s="25">
        <v>41</v>
      </c>
      <c r="EM23" s="25">
        <v>0</v>
      </c>
      <c r="EN23" s="25">
        <v>18</v>
      </c>
    </row>
    <row r="24" spans="1:144" x14ac:dyDescent="0.25">
      <c r="A24" s="19">
        <f t="shared" si="8"/>
        <v>31</v>
      </c>
      <c r="B24" s="20" t="str">
        <f t="shared" si="9"/>
        <v>Piute</v>
      </c>
      <c r="C24" s="24" t="s">
        <v>318</v>
      </c>
      <c r="D24" s="24" t="s">
        <v>319</v>
      </c>
      <c r="E24" s="25">
        <v>593</v>
      </c>
      <c r="F24" s="25">
        <v>74</v>
      </c>
      <c r="G24" s="25">
        <v>281</v>
      </c>
      <c r="H24" s="25">
        <v>51</v>
      </c>
      <c r="I24" s="25">
        <v>253</v>
      </c>
      <c r="J24" s="25">
        <v>45</v>
      </c>
      <c r="K24" s="25">
        <v>28</v>
      </c>
      <c r="L24" s="25">
        <v>17</v>
      </c>
      <c r="M24" s="25">
        <v>28</v>
      </c>
      <c r="N24" s="25">
        <v>12</v>
      </c>
      <c r="O24" s="25">
        <v>101</v>
      </c>
      <c r="P24" s="25">
        <v>41</v>
      </c>
      <c r="Q24" s="25">
        <v>119</v>
      </c>
      <c r="R24" s="25">
        <v>44</v>
      </c>
      <c r="S24" s="25">
        <v>16</v>
      </c>
      <c r="T24" s="25">
        <v>11</v>
      </c>
      <c r="U24" s="25">
        <v>48</v>
      </c>
      <c r="V24" s="25">
        <v>18</v>
      </c>
      <c r="W24" s="25">
        <v>0</v>
      </c>
      <c r="X24" s="25">
        <v>11</v>
      </c>
      <c r="Y24" s="25">
        <v>468</v>
      </c>
      <c r="Z24" s="25">
        <v>73</v>
      </c>
      <c r="AA24" s="25">
        <v>218</v>
      </c>
      <c r="AB24" s="25">
        <v>51</v>
      </c>
      <c r="AC24" s="25">
        <v>200</v>
      </c>
      <c r="AD24" s="25">
        <v>48</v>
      </c>
      <c r="AE24" s="25">
        <v>18</v>
      </c>
      <c r="AF24" s="25">
        <v>12</v>
      </c>
      <c r="AG24" s="25">
        <v>25</v>
      </c>
      <c r="AH24" s="25">
        <v>12</v>
      </c>
      <c r="AI24" s="25">
        <v>92</v>
      </c>
      <c r="AJ24" s="25">
        <v>39</v>
      </c>
      <c r="AK24" s="25">
        <v>98</v>
      </c>
      <c r="AL24" s="25">
        <v>41</v>
      </c>
      <c r="AM24" s="25">
        <v>13</v>
      </c>
      <c r="AN24" s="25">
        <v>11</v>
      </c>
      <c r="AO24" s="25">
        <v>22</v>
      </c>
      <c r="AP24" s="25">
        <v>12</v>
      </c>
      <c r="AQ24" s="25">
        <v>0</v>
      </c>
      <c r="AR24" s="25">
        <v>11</v>
      </c>
      <c r="AS24" s="25">
        <v>31</v>
      </c>
      <c r="AT24" s="25">
        <v>17</v>
      </c>
      <c r="AU24" s="25">
        <v>7</v>
      </c>
      <c r="AV24" s="25">
        <v>6</v>
      </c>
      <c r="AW24" s="25">
        <v>7</v>
      </c>
      <c r="AX24" s="25">
        <v>6</v>
      </c>
      <c r="AY24" s="25">
        <v>0</v>
      </c>
      <c r="AZ24" s="25">
        <v>11</v>
      </c>
      <c r="BA24" s="25">
        <v>2</v>
      </c>
      <c r="BB24" s="25">
        <v>3</v>
      </c>
      <c r="BC24" s="25">
        <v>6</v>
      </c>
      <c r="BD24" s="25">
        <v>8</v>
      </c>
      <c r="BE24" s="25">
        <v>12</v>
      </c>
      <c r="BF24" s="25">
        <v>14</v>
      </c>
      <c r="BG24" s="25">
        <v>0</v>
      </c>
      <c r="BH24" s="25">
        <v>11</v>
      </c>
      <c r="BI24" s="25">
        <v>4</v>
      </c>
      <c r="BJ24" s="25">
        <v>5</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22</v>
      </c>
      <c r="CH24" s="25">
        <v>12</v>
      </c>
      <c r="CI24" s="25">
        <v>18</v>
      </c>
      <c r="CJ24" s="25">
        <v>11</v>
      </c>
      <c r="CK24" s="25">
        <v>13</v>
      </c>
      <c r="CL24" s="25">
        <v>9</v>
      </c>
      <c r="CM24" s="25">
        <v>5</v>
      </c>
      <c r="CN24" s="25">
        <v>7</v>
      </c>
      <c r="CO24" s="25">
        <v>1</v>
      </c>
      <c r="CP24" s="25">
        <v>4</v>
      </c>
      <c r="CQ24" s="25">
        <v>3</v>
      </c>
      <c r="CR24" s="25">
        <v>3</v>
      </c>
      <c r="CS24" s="25">
        <v>0</v>
      </c>
      <c r="CT24" s="25">
        <v>11</v>
      </c>
      <c r="CU24" s="25">
        <v>0</v>
      </c>
      <c r="CV24" s="25">
        <v>11</v>
      </c>
      <c r="CW24" s="25">
        <v>0</v>
      </c>
      <c r="CX24" s="25">
        <v>11</v>
      </c>
      <c r="CY24" s="25">
        <v>0</v>
      </c>
      <c r="CZ24" s="25">
        <v>11</v>
      </c>
      <c r="DA24" s="25">
        <v>27</v>
      </c>
      <c r="DB24" s="25">
        <v>17</v>
      </c>
      <c r="DC24" s="25">
        <v>21</v>
      </c>
      <c r="DD24" s="25">
        <v>17</v>
      </c>
      <c r="DE24" s="25">
        <v>21</v>
      </c>
      <c r="DF24" s="25">
        <v>17</v>
      </c>
      <c r="DG24" s="25">
        <v>0</v>
      </c>
      <c r="DH24" s="25">
        <v>11</v>
      </c>
      <c r="DI24" s="25">
        <v>0</v>
      </c>
      <c r="DJ24" s="25">
        <v>11</v>
      </c>
      <c r="DK24" s="25">
        <v>0</v>
      </c>
      <c r="DL24" s="25">
        <v>11</v>
      </c>
      <c r="DM24" s="25">
        <v>0</v>
      </c>
      <c r="DN24" s="25">
        <v>11</v>
      </c>
      <c r="DO24" s="25">
        <v>0</v>
      </c>
      <c r="DP24" s="25">
        <v>11</v>
      </c>
      <c r="DQ24" s="25">
        <v>6</v>
      </c>
      <c r="DR24" s="25">
        <v>7</v>
      </c>
      <c r="DS24" s="25">
        <v>0</v>
      </c>
      <c r="DT24" s="25">
        <v>11</v>
      </c>
      <c r="DU24" s="25">
        <v>45</v>
      </c>
      <c r="DV24" s="25">
        <v>22</v>
      </c>
      <c r="DW24" s="25">
        <v>17</v>
      </c>
      <c r="DX24" s="25">
        <v>14</v>
      </c>
      <c r="DY24" s="25">
        <v>12</v>
      </c>
      <c r="DZ24" s="25">
        <v>12</v>
      </c>
      <c r="EA24" s="25">
        <v>5</v>
      </c>
      <c r="EB24" s="25">
        <v>8</v>
      </c>
      <c r="EC24" s="25">
        <v>0</v>
      </c>
      <c r="ED24" s="25">
        <v>11</v>
      </c>
      <c r="EE24" s="25">
        <v>0</v>
      </c>
      <c r="EF24" s="25">
        <v>11</v>
      </c>
      <c r="EG24" s="25">
        <v>9</v>
      </c>
      <c r="EH24" s="25">
        <v>12</v>
      </c>
      <c r="EI24" s="25">
        <v>3</v>
      </c>
      <c r="EJ24" s="25">
        <v>3</v>
      </c>
      <c r="EK24" s="25">
        <v>16</v>
      </c>
      <c r="EL24" s="25">
        <v>9</v>
      </c>
      <c r="EM24" s="25">
        <v>0</v>
      </c>
      <c r="EN24" s="25">
        <v>11</v>
      </c>
    </row>
    <row r="25" spans="1:144" x14ac:dyDescent="0.25">
      <c r="A25" s="19">
        <f t="shared" si="8"/>
        <v>33</v>
      </c>
      <c r="B25" s="20" t="str">
        <f t="shared" si="9"/>
        <v>Rich</v>
      </c>
      <c r="C25" s="24" t="s">
        <v>320</v>
      </c>
      <c r="D25" s="24" t="s">
        <v>321</v>
      </c>
      <c r="E25" s="25">
        <v>847</v>
      </c>
      <c r="F25" s="25">
        <v>94</v>
      </c>
      <c r="G25" s="25">
        <v>503</v>
      </c>
      <c r="H25" s="25">
        <v>77</v>
      </c>
      <c r="I25" s="25">
        <v>409</v>
      </c>
      <c r="J25" s="25">
        <v>72</v>
      </c>
      <c r="K25" s="25">
        <v>94</v>
      </c>
      <c r="L25" s="25">
        <v>35</v>
      </c>
      <c r="M25" s="25">
        <v>38</v>
      </c>
      <c r="N25" s="25">
        <v>30</v>
      </c>
      <c r="O25" s="25">
        <v>141</v>
      </c>
      <c r="P25" s="25">
        <v>61</v>
      </c>
      <c r="Q25" s="25">
        <v>45</v>
      </c>
      <c r="R25" s="25">
        <v>16</v>
      </c>
      <c r="S25" s="25">
        <v>4</v>
      </c>
      <c r="T25" s="25">
        <v>4</v>
      </c>
      <c r="U25" s="25">
        <v>104</v>
      </c>
      <c r="V25" s="25">
        <v>51</v>
      </c>
      <c r="W25" s="25">
        <v>12</v>
      </c>
      <c r="X25" s="25">
        <v>18</v>
      </c>
      <c r="Y25" s="25">
        <v>602</v>
      </c>
      <c r="Z25" s="25">
        <v>96</v>
      </c>
      <c r="AA25" s="25">
        <v>344</v>
      </c>
      <c r="AB25" s="25">
        <v>71</v>
      </c>
      <c r="AC25" s="25">
        <v>274</v>
      </c>
      <c r="AD25" s="25">
        <v>64</v>
      </c>
      <c r="AE25" s="25">
        <v>70</v>
      </c>
      <c r="AF25" s="25">
        <v>34</v>
      </c>
      <c r="AG25" s="25">
        <v>36</v>
      </c>
      <c r="AH25" s="25">
        <v>30</v>
      </c>
      <c r="AI25" s="25">
        <v>126</v>
      </c>
      <c r="AJ25" s="25">
        <v>60</v>
      </c>
      <c r="AK25" s="25">
        <v>41</v>
      </c>
      <c r="AL25" s="25">
        <v>16</v>
      </c>
      <c r="AM25" s="25">
        <v>4</v>
      </c>
      <c r="AN25" s="25">
        <v>4</v>
      </c>
      <c r="AO25" s="25">
        <v>51</v>
      </c>
      <c r="AP25" s="25">
        <v>33</v>
      </c>
      <c r="AQ25" s="25">
        <v>0</v>
      </c>
      <c r="AR25" s="25">
        <v>11</v>
      </c>
      <c r="AS25" s="25">
        <v>88</v>
      </c>
      <c r="AT25" s="25">
        <v>27</v>
      </c>
      <c r="AU25" s="25">
        <v>78</v>
      </c>
      <c r="AV25" s="25">
        <v>27</v>
      </c>
      <c r="AW25" s="25">
        <v>73</v>
      </c>
      <c r="AX25" s="25">
        <v>26</v>
      </c>
      <c r="AY25" s="25">
        <v>5</v>
      </c>
      <c r="AZ25" s="25">
        <v>4</v>
      </c>
      <c r="BA25" s="25">
        <v>0</v>
      </c>
      <c r="BB25" s="25">
        <v>11</v>
      </c>
      <c r="BC25" s="25">
        <v>7</v>
      </c>
      <c r="BD25" s="25">
        <v>7</v>
      </c>
      <c r="BE25" s="25">
        <v>0</v>
      </c>
      <c r="BF25" s="25">
        <v>11</v>
      </c>
      <c r="BG25" s="25">
        <v>0</v>
      </c>
      <c r="BH25" s="25">
        <v>11</v>
      </c>
      <c r="BI25" s="25">
        <v>3</v>
      </c>
      <c r="BJ25" s="25">
        <v>4</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57</v>
      </c>
      <c r="CH25" s="25">
        <v>25</v>
      </c>
      <c r="CI25" s="25">
        <v>38</v>
      </c>
      <c r="CJ25" s="25">
        <v>19</v>
      </c>
      <c r="CK25" s="25">
        <v>35</v>
      </c>
      <c r="CL25" s="25">
        <v>18</v>
      </c>
      <c r="CM25" s="25">
        <v>3</v>
      </c>
      <c r="CN25" s="25">
        <v>5</v>
      </c>
      <c r="CO25" s="25">
        <v>0</v>
      </c>
      <c r="CP25" s="25">
        <v>11</v>
      </c>
      <c r="CQ25" s="25">
        <v>6</v>
      </c>
      <c r="CR25" s="25">
        <v>10</v>
      </c>
      <c r="CS25" s="25">
        <v>2</v>
      </c>
      <c r="CT25" s="25">
        <v>3</v>
      </c>
      <c r="CU25" s="25">
        <v>0</v>
      </c>
      <c r="CV25" s="25">
        <v>11</v>
      </c>
      <c r="CW25" s="25">
        <v>11</v>
      </c>
      <c r="CX25" s="25">
        <v>10</v>
      </c>
      <c r="CY25" s="25">
        <v>0</v>
      </c>
      <c r="CZ25" s="25">
        <v>11</v>
      </c>
      <c r="DA25" s="25">
        <v>54</v>
      </c>
      <c r="DB25" s="25">
        <v>45</v>
      </c>
      <c r="DC25" s="25">
        <v>24</v>
      </c>
      <c r="DD25" s="25">
        <v>27</v>
      </c>
      <c r="DE25" s="25">
        <v>23</v>
      </c>
      <c r="DF25" s="25">
        <v>27</v>
      </c>
      <c r="DG25" s="25">
        <v>1</v>
      </c>
      <c r="DH25" s="25">
        <v>2</v>
      </c>
      <c r="DI25" s="25">
        <v>0</v>
      </c>
      <c r="DJ25" s="25">
        <v>11</v>
      </c>
      <c r="DK25" s="25">
        <v>0</v>
      </c>
      <c r="DL25" s="25">
        <v>11</v>
      </c>
      <c r="DM25" s="25">
        <v>0</v>
      </c>
      <c r="DN25" s="25">
        <v>11</v>
      </c>
      <c r="DO25" s="25">
        <v>0</v>
      </c>
      <c r="DP25" s="25">
        <v>11</v>
      </c>
      <c r="DQ25" s="25">
        <v>30</v>
      </c>
      <c r="DR25" s="25">
        <v>38</v>
      </c>
      <c r="DS25" s="25">
        <v>0</v>
      </c>
      <c r="DT25" s="25">
        <v>11</v>
      </c>
      <c r="DU25" s="25">
        <v>44</v>
      </c>
      <c r="DV25" s="25">
        <v>23</v>
      </c>
      <c r="DW25" s="25">
        <v>19</v>
      </c>
      <c r="DX25" s="25">
        <v>14</v>
      </c>
      <c r="DY25" s="25">
        <v>4</v>
      </c>
      <c r="DZ25" s="25">
        <v>4</v>
      </c>
      <c r="EA25" s="25">
        <v>15</v>
      </c>
      <c r="EB25" s="25">
        <v>12</v>
      </c>
      <c r="EC25" s="25">
        <v>0</v>
      </c>
      <c r="ED25" s="25">
        <v>11</v>
      </c>
      <c r="EE25" s="25">
        <v>2</v>
      </c>
      <c r="EF25" s="25">
        <v>4</v>
      </c>
      <c r="EG25" s="25">
        <v>2</v>
      </c>
      <c r="EH25" s="25">
        <v>2</v>
      </c>
      <c r="EI25" s="25">
        <v>0</v>
      </c>
      <c r="EJ25" s="25">
        <v>11</v>
      </c>
      <c r="EK25" s="25">
        <v>9</v>
      </c>
      <c r="EL25" s="25">
        <v>5</v>
      </c>
      <c r="EM25" s="25">
        <v>12</v>
      </c>
      <c r="EN25" s="25">
        <v>18</v>
      </c>
    </row>
    <row r="26" spans="1:144" x14ac:dyDescent="0.25">
      <c r="A26" s="19">
        <f t="shared" si="8"/>
        <v>35</v>
      </c>
      <c r="B26" s="20" t="str">
        <f t="shared" si="9"/>
        <v>Salt Lake</v>
      </c>
      <c r="C26" s="24" t="s">
        <v>322</v>
      </c>
      <c r="D26" s="24" t="s">
        <v>323</v>
      </c>
      <c r="E26" s="25">
        <v>504160</v>
      </c>
      <c r="F26" s="25">
        <v>2689</v>
      </c>
      <c r="G26" s="25">
        <v>374567</v>
      </c>
      <c r="H26" s="25">
        <v>2767</v>
      </c>
      <c r="I26" s="25">
        <v>355784</v>
      </c>
      <c r="J26" s="25">
        <v>2829</v>
      </c>
      <c r="K26" s="25">
        <v>18783</v>
      </c>
      <c r="L26" s="25">
        <v>928</v>
      </c>
      <c r="M26" s="25">
        <v>34213</v>
      </c>
      <c r="N26" s="25">
        <v>1464</v>
      </c>
      <c r="O26" s="25">
        <v>27907</v>
      </c>
      <c r="P26" s="25">
        <v>1359</v>
      </c>
      <c r="Q26" s="25">
        <v>31438</v>
      </c>
      <c r="R26" s="25">
        <v>1370</v>
      </c>
      <c r="S26" s="25">
        <v>11497</v>
      </c>
      <c r="T26" s="25">
        <v>658</v>
      </c>
      <c r="U26" s="25">
        <v>23978</v>
      </c>
      <c r="V26" s="25">
        <v>1041</v>
      </c>
      <c r="W26" s="25">
        <v>560</v>
      </c>
      <c r="X26" s="25">
        <v>152</v>
      </c>
      <c r="Y26" s="25">
        <v>384435</v>
      </c>
      <c r="Z26" s="25">
        <v>3324</v>
      </c>
      <c r="AA26" s="25">
        <v>289831</v>
      </c>
      <c r="AB26" s="25">
        <v>2968</v>
      </c>
      <c r="AC26" s="25">
        <v>276773</v>
      </c>
      <c r="AD26" s="25">
        <v>3071</v>
      </c>
      <c r="AE26" s="25">
        <v>13058</v>
      </c>
      <c r="AF26" s="25">
        <v>695</v>
      </c>
      <c r="AG26" s="25">
        <v>25660</v>
      </c>
      <c r="AH26" s="25">
        <v>1170</v>
      </c>
      <c r="AI26" s="25">
        <v>22896</v>
      </c>
      <c r="AJ26" s="25">
        <v>1241</v>
      </c>
      <c r="AK26" s="25">
        <v>23638</v>
      </c>
      <c r="AL26" s="25">
        <v>1059</v>
      </c>
      <c r="AM26" s="25">
        <v>9037</v>
      </c>
      <c r="AN26" s="25">
        <v>603</v>
      </c>
      <c r="AO26" s="25">
        <v>13095</v>
      </c>
      <c r="AP26" s="25">
        <v>745</v>
      </c>
      <c r="AQ26" s="25">
        <v>278</v>
      </c>
      <c r="AR26" s="25">
        <v>92</v>
      </c>
      <c r="AS26" s="25">
        <v>58703</v>
      </c>
      <c r="AT26" s="25">
        <v>1884</v>
      </c>
      <c r="AU26" s="25">
        <v>45112</v>
      </c>
      <c r="AV26" s="25">
        <v>1790</v>
      </c>
      <c r="AW26" s="25">
        <v>43359</v>
      </c>
      <c r="AX26" s="25">
        <v>1776</v>
      </c>
      <c r="AY26" s="25">
        <v>1753</v>
      </c>
      <c r="AZ26" s="25">
        <v>297</v>
      </c>
      <c r="BA26" s="25">
        <v>3876</v>
      </c>
      <c r="BB26" s="25">
        <v>392</v>
      </c>
      <c r="BC26" s="25">
        <v>2930</v>
      </c>
      <c r="BD26" s="25">
        <v>336</v>
      </c>
      <c r="BE26" s="25">
        <v>3073</v>
      </c>
      <c r="BF26" s="25">
        <v>410</v>
      </c>
      <c r="BG26" s="25">
        <v>1382</v>
      </c>
      <c r="BH26" s="25">
        <v>261</v>
      </c>
      <c r="BI26" s="25">
        <v>2157</v>
      </c>
      <c r="BJ26" s="25">
        <v>369</v>
      </c>
      <c r="BK26" s="25">
        <v>173</v>
      </c>
      <c r="BL26" s="25">
        <v>109</v>
      </c>
      <c r="BM26" s="25">
        <v>17311</v>
      </c>
      <c r="BN26" s="25">
        <v>1043</v>
      </c>
      <c r="BO26" s="25">
        <v>11209</v>
      </c>
      <c r="BP26" s="25">
        <v>774</v>
      </c>
      <c r="BQ26" s="25">
        <v>11107</v>
      </c>
      <c r="BR26" s="25">
        <v>768</v>
      </c>
      <c r="BS26" s="25">
        <v>102</v>
      </c>
      <c r="BT26" s="25">
        <v>57</v>
      </c>
      <c r="BU26" s="25">
        <v>2241</v>
      </c>
      <c r="BV26" s="25">
        <v>353</v>
      </c>
      <c r="BW26" s="25">
        <v>770</v>
      </c>
      <c r="BX26" s="25">
        <v>190</v>
      </c>
      <c r="BY26" s="25">
        <v>2491</v>
      </c>
      <c r="BZ26" s="25">
        <v>375</v>
      </c>
      <c r="CA26" s="25">
        <v>443</v>
      </c>
      <c r="CB26" s="25">
        <v>134</v>
      </c>
      <c r="CC26" s="25">
        <v>157</v>
      </c>
      <c r="CD26" s="25">
        <v>70</v>
      </c>
      <c r="CE26" s="25">
        <v>0</v>
      </c>
      <c r="CF26" s="25">
        <v>27</v>
      </c>
      <c r="CG26" s="25">
        <v>10851</v>
      </c>
      <c r="CH26" s="25">
        <v>768</v>
      </c>
      <c r="CI26" s="25">
        <v>7424</v>
      </c>
      <c r="CJ26" s="25">
        <v>667</v>
      </c>
      <c r="CK26" s="25">
        <v>7122</v>
      </c>
      <c r="CL26" s="25">
        <v>647</v>
      </c>
      <c r="CM26" s="25">
        <v>302</v>
      </c>
      <c r="CN26" s="25">
        <v>117</v>
      </c>
      <c r="CO26" s="25">
        <v>941</v>
      </c>
      <c r="CP26" s="25">
        <v>251</v>
      </c>
      <c r="CQ26" s="25">
        <v>484</v>
      </c>
      <c r="CR26" s="25">
        <v>126</v>
      </c>
      <c r="CS26" s="25">
        <v>1055</v>
      </c>
      <c r="CT26" s="25">
        <v>218</v>
      </c>
      <c r="CU26" s="25">
        <v>150</v>
      </c>
      <c r="CV26" s="25">
        <v>82</v>
      </c>
      <c r="CW26" s="25">
        <v>783</v>
      </c>
      <c r="CX26" s="25">
        <v>202</v>
      </c>
      <c r="CY26" s="25">
        <v>14</v>
      </c>
      <c r="CZ26" s="25">
        <v>22</v>
      </c>
      <c r="DA26" s="25">
        <v>10274</v>
      </c>
      <c r="DB26" s="25">
        <v>822</v>
      </c>
      <c r="DC26" s="25">
        <v>7605</v>
      </c>
      <c r="DD26" s="25">
        <v>680</v>
      </c>
      <c r="DE26" s="25">
        <v>7231</v>
      </c>
      <c r="DF26" s="25">
        <v>634</v>
      </c>
      <c r="DG26" s="25">
        <v>374</v>
      </c>
      <c r="DH26" s="25">
        <v>159</v>
      </c>
      <c r="DI26" s="25">
        <v>676</v>
      </c>
      <c r="DJ26" s="25">
        <v>127</v>
      </c>
      <c r="DK26" s="25">
        <v>635</v>
      </c>
      <c r="DL26" s="25">
        <v>203</v>
      </c>
      <c r="DM26" s="25">
        <v>737</v>
      </c>
      <c r="DN26" s="25">
        <v>167</v>
      </c>
      <c r="DO26" s="25">
        <v>297</v>
      </c>
      <c r="DP26" s="25">
        <v>96</v>
      </c>
      <c r="DQ26" s="25">
        <v>324</v>
      </c>
      <c r="DR26" s="25">
        <v>139</v>
      </c>
      <c r="DS26" s="25">
        <v>0</v>
      </c>
      <c r="DT26" s="25">
        <v>27</v>
      </c>
      <c r="DU26" s="25">
        <v>22586</v>
      </c>
      <c r="DV26" s="25">
        <v>1087</v>
      </c>
      <c r="DW26" s="25">
        <v>13386</v>
      </c>
      <c r="DX26" s="25">
        <v>847</v>
      </c>
      <c r="DY26" s="25">
        <v>10192</v>
      </c>
      <c r="DZ26" s="25">
        <v>749</v>
      </c>
      <c r="EA26" s="25">
        <v>3194</v>
      </c>
      <c r="EB26" s="25">
        <v>444</v>
      </c>
      <c r="EC26" s="25">
        <v>819</v>
      </c>
      <c r="ED26" s="25">
        <v>172</v>
      </c>
      <c r="EE26" s="25">
        <v>192</v>
      </c>
      <c r="EF26" s="25">
        <v>76</v>
      </c>
      <c r="EG26" s="25">
        <v>444</v>
      </c>
      <c r="EH26" s="25">
        <v>127</v>
      </c>
      <c r="EI26" s="25">
        <v>188</v>
      </c>
      <c r="EJ26" s="25">
        <v>80</v>
      </c>
      <c r="EK26" s="25">
        <v>7462</v>
      </c>
      <c r="EL26" s="25">
        <v>583</v>
      </c>
      <c r="EM26" s="25">
        <v>95</v>
      </c>
      <c r="EN26" s="25">
        <v>69</v>
      </c>
    </row>
    <row r="27" spans="1:144" x14ac:dyDescent="0.25">
      <c r="A27" s="19">
        <f t="shared" si="8"/>
        <v>37</v>
      </c>
      <c r="B27" s="20" t="str">
        <f t="shared" si="9"/>
        <v>San Juan</v>
      </c>
      <c r="C27" s="24" t="s">
        <v>324</v>
      </c>
      <c r="D27" s="24" t="s">
        <v>325</v>
      </c>
      <c r="E27" s="25">
        <v>4885</v>
      </c>
      <c r="F27" s="25">
        <v>273</v>
      </c>
      <c r="G27" s="25">
        <v>2824</v>
      </c>
      <c r="H27" s="25">
        <v>246</v>
      </c>
      <c r="I27" s="25">
        <v>2644</v>
      </c>
      <c r="J27" s="25">
        <v>236</v>
      </c>
      <c r="K27" s="25">
        <v>180</v>
      </c>
      <c r="L27" s="25">
        <v>78</v>
      </c>
      <c r="M27" s="25">
        <v>285</v>
      </c>
      <c r="N27" s="25">
        <v>85</v>
      </c>
      <c r="O27" s="25">
        <v>883</v>
      </c>
      <c r="P27" s="25">
        <v>159</v>
      </c>
      <c r="Q27" s="25">
        <v>379</v>
      </c>
      <c r="R27" s="25">
        <v>87</v>
      </c>
      <c r="S27" s="25">
        <v>269</v>
      </c>
      <c r="T27" s="25">
        <v>83</v>
      </c>
      <c r="U27" s="25">
        <v>232</v>
      </c>
      <c r="V27" s="25">
        <v>81</v>
      </c>
      <c r="W27" s="25">
        <v>13</v>
      </c>
      <c r="X27" s="25">
        <v>18</v>
      </c>
      <c r="Y27" s="25">
        <v>3440</v>
      </c>
      <c r="Z27" s="25">
        <v>274</v>
      </c>
      <c r="AA27" s="25">
        <v>1990</v>
      </c>
      <c r="AB27" s="25">
        <v>224</v>
      </c>
      <c r="AC27" s="25">
        <v>1885</v>
      </c>
      <c r="AD27" s="25">
        <v>211</v>
      </c>
      <c r="AE27" s="25">
        <v>105</v>
      </c>
      <c r="AF27" s="25">
        <v>60</v>
      </c>
      <c r="AG27" s="25">
        <v>204</v>
      </c>
      <c r="AH27" s="25">
        <v>71</v>
      </c>
      <c r="AI27" s="25">
        <v>685</v>
      </c>
      <c r="AJ27" s="25">
        <v>149</v>
      </c>
      <c r="AK27" s="25">
        <v>254</v>
      </c>
      <c r="AL27" s="25">
        <v>72</v>
      </c>
      <c r="AM27" s="25">
        <v>231</v>
      </c>
      <c r="AN27" s="25">
        <v>81</v>
      </c>
      <c r="AO27" s="25">
        <v>63</v>
      </c>
      <c r="AP27" s="25">
        <v>41</v>
      </c>
      <c r="AQ27" s="25">
        <v>13</v>
      </c>
      <c r="AR27" s="25">
        <v>18</v>
      </c>
      <c r="AS27" s="25">
        <v>680</v>
      </c>
      <c r="AT27" s="25">
        <v>163</v>
      </c>
      <c r="AU27" s="25">
        <v>474</v>
      </c>
      <c r="AV27" s="25">
        <v>131</v>
      </c>
      <c r="AW27" s="25">
        <v>458</v>
      </c>
      <c r="AX27" s="25">
        <v>131</v>
      </c>
      <c r="AY27" s="25">
        <v>16</v>
      </c>
      <c r="AZ27" s="25">
        <v>17</v>
      </c>
      <c r="BA27" s="25">
        <v>38</v>
      </c>
      <c r="BB27" s="25">
        <v>28</v>
      </c>
      <c r="BC27" s="25">
        <v>106</v>
      </c>
      <c r="BD27" s="25">
        <v>59</v>
      </c>
      <c r="BE27" s="25">
        <v>28</v>
      </c>
      <c r="BF27" s="25">
        <v>24</v>
      </c>
      <c r="BG27" s="25">
        <v>20</v>
      </c>
      <c r="BH27" s="25">
        <v>17</v>
      </c>
      <c r="BI27" s="25">
        <v>14</v>
      </c>
      <c r="BJ27" s="25">
        <v>18</v>
      </c>
      <c r="BK27" s="25">
        <v>0</v>
      </c>
      <c r="BL27" s="25">
        <v>18</v>
      </c>
      <c r="BM27" s="25">
        <v>16</v>
      </c>
      <c r="BN27" s="25">
        <v>14</v>
      </c>
      <c r="BO27" s="25">
        <v>13</v>
      </c>
      <c r="BP27" s="25">
        <v>12</v>
      </c>
      <c r="BQ27" s="25">
        <v>13</v>
      </c>
      <c r="BR27" s="25">
        <v>12</v>
      </c>
      <c r="BS27" s="25">
        <v>0</v>
      </c>
      <c r="BT27" s="25">
        <v>18</v>
      </c>
      <c r="BU27" s="25">
        <v>0</v>
      </c>
      <c r="BV27" s="25">
        <v>18</v>
      </c>
      <c r="BW27" s="25">
        <v>0</v>
      </c>
      <c r="BX27" s="25">
        <v>18</v>
      </c>
      <c r="BY27" s="25">
        <v>3</v>
      </c>
      <c r="BZ27" s="25">
        <v>6</v>
      </c>
      <c r="CA27" s="25">
        <v>0</v>
      </c>
      <c r="CB27" s="25">
        <v>18</v>
      </c>
      <c r="CC27" s="25">
        <v>0</v>
      </c>
      <c r="CD27" s="25">
        <v>18</v>
      </c>
      <c r="CE27" s="25">
        <v>0</v>
      </c>
      <c r="CF27" s="25">
        <v>18</v>
      </c>
      <c r="CG27" s="25">
        <v>305</v>
      </c>
      <c r="CH27" s="25">
        <v>80</v>
      </c>
      <c r="CI27" s="25">
        <v>161</v>
      </c>
      <c r="CJ27" s="25">
        <v>59</v>
      </c>
      <c r="CK27" s="25">
        <v>136</v>
      </c>
      <c r="CL27" s="25">
        <v>51</v>
      </c>
      <c r="CM27" s="25">
        <v>25</v>
      </c>
      <c r="CN27" s="25">
        <v>29</v>
      </c>
      <c r="CO27" s="25">
        <v>17</v>
      </c>
      <c r="CP27" s="25">
        <v>16</v>
      </c>
      <c r="CQ27" s="25">
        <v>69</v>
      </c>
      <c r="CR27" s="25">
        <v>44</v>
      </c>
      <c r="CS27" s="25">
        <v>55</v>
      </c>
      <c r="CT27" s="25">
        <v>32</v>
      </c>
      <c r="CU27" s="25">
        <v>0</v>
      </c>
      <c r="CV27" s="25">
        <v>18</v>
      </c>
      <c r="CW27" s="25">
        <v>3</v>
      </c>
      <c r="CX27" s="25">
        <v>6</v>
      </c>
      <c r="CY27" s="25">
        <v>0</v>
      </c>
      <c r="CZ27" s="25">
        <v>18</v>
      </c>
      <c r="DA27" s="25">
        <v>52</v>
      </c>
      <c r="DB27" s="25">
        <v>28</v>
      </c>
      <c r="DC27" s="25">
        <v>22</v>
      </c>
      <c r="DD27" s="25">
        <v>20</v>
      </c>
      <c r="DE27" s="25">
        <v>22</v>
      </c>
      <c r="DF27" s="25">
        <v>20</v>
      </c>
      <c r="DG27" s="25">
        <v>0</v>
      </c>
      <c r="DH27" s="25">
        <v>18</v>
      </c>
      <c r="DI27" s="25">
        <v>0</v>
      </c>
      <c r="DJ27" s="25">
        <v>18</v>
      </c>
      <c r="DK27" s="25">
        <v>13</v>
      </c>
      <c r="DL27" s="25">
        <v>12</v>
      </c>
      <c r="DM27" s="25">
        <v>13</v>
      </c>
      <c r="DN27" s="25">
        <v>13</v>
      </c>
      <c r="DO27" s="25">
        <v>4</v>
      </c>
      <c r="DP27" s="25">
        <v>9</v>
      </c>
      <c r="DQ27" s="25">
        <v>0</v>
      </c>
      <c r="DR27" s="25">
        <v>18</v>
      </c>
      <c r="DS27" s="25">
        <v>0</v>
      </c>
      <c r="DT27" s="25">
        <v>18</v>
      </c>
      <c r="DU27" s="25">
        <v>392</v>
      </c>
      <c r="DV27" s="25">
        <v>108</v>
      </c>
      <c r="DW27" s="25">
        <v>164</v>
      </c>
      <c r="DX27" s="25">
        <v>63</v>
      </c>
      <c r="DY27" s="25">
        <v>130</v>
      </c>
      <c r="DZ27" s="25">
        <v>53</v>
      </c>
      <c r="EA27" s="25">
        <v>34</v>
      </c>
      <c r="EB27" s="25">
        <v>33</v>
      </c>
      <c r="EC27" s="25">
        <v>26</v>
      </c>
      <c r="ED27" s="25">
        <v>27</v>
      </c>
      <c r="EE27" s="25">
        <v>10</v>
      </c>
      <c r="EF27" s="25">
        <v>15</v>
      </c>
      <c r="EG27" s="25">
        <v>26</v>
      </c>
      <c r="EH27" s="25">
        <v>27</v>
      </c>
      <c r="EI27" s="25">
        <v>14</v>
      </c>
      <c r="EJ27" s="25">
        <v>22</v>
      </c>
      <c r="EK27" s="25">
        <v>152</v>
      </c>
      <c r="EL27" s="25">
        <v>75</v>
      </c>
      <c r="EM27" s="25">
        <v>0</v>
      </c>
      <c r="EN27" s="25">
        <v>18</v>
      </c>
    </row>
    <row r="28" spans="1:144" x14ac:dyDescent="0.25">
      <c r="A28" s="19">
        <f t="shared" si="8"/>
        <v>39</v>
      </c>
      <c r="B28" s="20" t="str">
        <f t="shared" si="9"/>
        <v>Sanpete</v>
      </c>
      <c r="C28" s="24" t="s">
        <v>326</v>
      </c>
      <c r="D28" s="24" t="s">
        <v>327</v>
      </c>
      <c r="E28" s="25">
        <v>10032</v>
      </c>
      <c r="F28" s="25">
        <v>452</v>
      </c>
      <c r="G28" s="25">
        <v>6719</v>
      </c>
      <c r="H28" s="25">
        <v>419</v>
      </c>
      <c r="I28" s="25">
        <v>6100</v>
      </c>
      <c r="J28" s="25">
        <v>376</v>
      </c>
      <c r="K28" s="25">
        <v>619</v>
      </c>
      <c r="L28" s="25">
        <v>157</v>
      </c>
      <c r="M28" s="25">
        <v>614</v>
      </c>
      <c r="N28" s="25">
        <v>112</v>
      </c>
      <c r="O28" s="25">
        <v>816</v>
      </c>
      <c r="P28" s="25">
        <v>170</v>
      </c>
      <c r="Q28" s="25">
        <v>1071</v>
      </c>
      <c r="R28" s="25">
        <v>182</v>
      </c>
      <c r="S28" s="25">
        <v>136</v>
      </c>
      <c r="T28" s="25">
        <v>64</v>
      </c>
      <c r="U28" s="25">
        <v>665</v>
      </c>
      <c r="V28" s="25">
        <v>116</v>
      </c>
      <c r="W28" s="25">
        <v>11</v>
      </c>
      <c r="X28" s="25">
        <v>13</v>
      </c>
      <c r="Y28" s="25">
        <v>7076</v>
      </c>
      <c r="Z28" s="25">
        <v>415</v>
      </c>
      <c r="AA28" s="25">
        <v>4521</v>
      </c>
      <c r="AB28" s="25">
        <v>347</v>
      </c>
      <c r="AC28" s="25">
        <v>4227</v>
      </c>
      <c r="AD28" s="25">
        <v>337</v>
      </c>
      <c r="AE28" s="25">
        <v>294</v>
      </c>
      <c r="AF28" s="25">
        <v>81</v>
      </c>
      <c r="AG28" s="25">
        <v>509</v>
      </c>
      <c r="AH28" s="25">
        <v>102</v>
      </c>
      <c r="AI28" s="25">
        <v>728</v>
      </c>
      <c r="AJ28" s="25">
        <v>160</v>
      </c>
      <c r="AK28" s="25">
        <v>836</v>
      </c>
      <c r="AL28" s="25">
        <v>166</v>
      </c>
      <c r="AM28" s="25">
        <v>116</v>
      </c>
      <c r="AN28" s="25">
        <v>55</v>
      </c>
      <c r="AO28" s="25">
        <v>359</v>
      </c>
      <c r="AP28" s="25">
        <v>92</v>
      </c>
      <c r="AQ28" s="25">
        <v>7</v>
      </c>
      <c r="AR28" s="25">
        <v>10</v>
      </c>
      <c r="AS28" s="25">
        <v>1615</v>
      </c>
      <c r="AT28" s="25">
        <v>241</v>
      </c>
      <c r="AU28" s="25">
        <v>1276</v>
      </c>
      <c r="AV28" s="25">
        <v>231</v>
      </c>
      <c r="AW28" s="25">
        <v>1184</v>
      </c>
      <c r="AX28" s="25">
        <v>222</v>
      </c>
      <c r="AY28" s="25">
        <v>92</v>
      </c>
      <c r="AZ28" s="25">
        <v>92</v>
      </c>
      <c r="BA28" s="25">
        <v>43</v>
      </c>
      <c r="BB28" s="25">
        <v>24</v>
      </c>
      <c r="BC28" s="25">
        <v>57</v>
      </c>
      <c r="BD28" s="25">
        <v>35</v>
      </c>
      <c r="BE28" s="25">
        <v>161</v>
      </c>
      <c r="BF28" s="25">
        <v>53</v>
      </c>
      <c r="BG28" s="25">
        <v>20</v>
      </c>
      <c r="BH28" s="25">
        <v>31</v>
      </c>
      <c r="BI28" s="25">
        <v>54</v>
      </c>
      <c r="BJ28" s="25">
        <v>28</v>
      </c>
      <c r="BK28" s="25">
        <v>4</v>
      </c>
      <c r="BL28" s="25">
        <v>7</v>
      </c>
      <c r="BM28" s="25">
        <v>36</v>
      </c>
      <c r="BN28" s="25">
        <v>35</v>
      </c>
      <c r="BO28" s="25">
        <v>21</v>
      </c>
      <c r="BP28" s="25">
        <v>31</v>
      </c>
      <c r="BQ28" s="25">
        <v>21</v>
      </c>
      <c r="BR28" s="25">
        <v>31</v>
      </c>
      <c r="BS28" s="25">
        <v>0</v>
      </c>
      <c r="BT28" s="25">
        <v>21</v>
      </c>
      <c r="BU28" s="25">
        <v>9</v>
      </c>
      <c r="BV28" s="25">
        <v>21</v>
      </c>
      <c r="BW28" s="25">
        <v>6</v>
      </c>
      <c r="BX28" s="25">
        <v>9</v>
      </c>
      <c r="BY28" s="25">
        <v>0</v>
      </c>
      <c r="BZ28" s="25">
        <v>21</v>
      </c>
      <c r="CA28" s="25">
        <v>0</v>
      </c>
      <c r="CB28" s="25">
        <v>21</v>
      </c>
      <c r="CC28" s="25">
        <v>0</v>
      </c>
      <c r="CD28" s="25">
        <v>21</v>
      </c>
      <c r="CE28" s="25">
        <v>0</v>
      </c>
      <c r="CF28" s="25">
        <v>21</v>
      </c>
      <c r="CG28" s="25">
        <v>434</v>
      </c>
      <c r="CH28" s="25">
        <v>141</v>
      </c>
      <c r="CI28" s="25">
        <v>331</v>
      </c>
      <c r="CJ28" s="25">
        <v>127</v>
      </c>
      <c r="CK28" s="25">
        <v>312</v>
      </c>
      <c r="CL28" s="25">
        <v>125</v>
      </c>
      <c r="CM28" s="25">
        <v>19</v>
      </c>
      <c r="CN28" s="25">
        <v>17</v>
      </c>
      <c r="CO28" s="25">
        <v>26</v>
      </c>
      <c r="CP28" s="25">
        <v>23</v>
      </c>
      <c r="CQ28" s="25">
        <v>22</v>
      </c>
      <c r="CR28" s="25">
        <v>19</v>
      </c>
      <c r="CS28" s="25">
        <v>38</v>
      </c>
      <c r="CT28" s="25">
        <v>35</v>
      </c>
      <c r="CU28" s="25">
        <v>0</v>
      </c>
      <c r="CV28" s="25">
        <v>21</v>
      </c>
      <c r="CW28" s="25">
        <v>17</v>
      </c>
      <c r="CX28" s="25">
        <v>16</v>
      </c>
      <c r="CY28" s="25">
        <v>0</v>
      </c>
      <c r="CZ28" s="25">
        <v>21</v>
      </c>
      <c r="DA28" s="25">
        <v>223</v>
      </c>
      <c r="DB28" s="25">
        <v>86</v>
      </c>
      <c r="DC28" s="25">
        <v>158</v>
      </c>
      <c r="DD28" s="25">
        <v>73</v>
      </c>
      <c r="DE28" s="25">
        <v>143</v>
      </c>
      <c r="DF28" s="25">
        <v>72</v>
      </c>
      <c r="DG28" s="25">
        <v>15</v>
      </c>
      <c r="DH28" s="25">
        <v>12</v>
      </c>
      <c r="DI28" s="25">
        <v>6</v>
      </c>
      <c r="DJ28" s="25">
        <v>9</v>
      </c>
      <c r="DK28" s="25">
        <v>0</v>
      </c>
      <c r="DL28" s="25">
        <v>21</v>
      </c>
      <c r="DM28" s="25">
        <v>28</v>
      </c>
      <c r="DN28" s="25">
        <v>23</v>
      </c>
      <c r="DO28" s="25">
        <v>0</v>
      </c>
      <c r="DP28" s="25">
        <v>21</v>
      </c>
      <c r="DQ28" s="25">
        <v>31</v>
      </c>
      <c r="DR28" s="25">
        <v>32</v>
      </c>
      <c r="DS28" s="25">
        <v>0</v>
      </c>
      <c r="DT28" s="25">
        <v>21</v>
      </c>
      <c r="DU28" s="25">
        <v>648</v>
      </c>
      <c r="DV28" s="25">
        <v>193</v>
      </c>
      <c r="DW28" s="25">
        <v>412</v>
      </c>
      <c r="DX28" s="25">
        <v>169</v>
      </c>
      <c r="DY28" s="25">
        <v>213</v>
      </c>
      <c r="DZ28" s="25">
        <v>108</v>
      </c>
      <c r="EA28" s="25">
        <v>199</v>
      </c>
      <c r="EB28" s="25">
        <v>129</v>
      </c>
      <c r="EC28" s="25">
        <v>21</v>
      </c>
      <c r="ED28" s="25">
        <v>19</v>
      </c>
      <c r="EE28" s="25">
        <v>3</v>
      </c>
      <c r="EF28" s="25">
        <v>4</v>
      </c>
      <c r="EG28" s="25">
        <v>8</v>
      </c>
      <c r="EH28" s="25">
        <v>15</v>
      </c>
      <c r="EI28" s="25">
        <v>0</v>
      </c>
      <c r="EJ28" s="25">
        <v>21</v>
      </c>
      <c r="EK28" s="25">
        <v>204</v>
      </c>
      <c r="EL28" s="25">
        <v>75</v>
      </c>
      <c r="EM28" s="25">
        <v>0</v>
      </c>
      <c r="EN28" s="25">
        <v>21</v>
      </c>
    </row>
    <row r="29" spans="1:144" x14ac:dyDescent="0.25">
      <c r="A29" s="19">
        <f t="shared" si="8"/>
        <v>41</v>
      </c>
      <c r="B29" s="20" t="str">
        <f t="shared" si="9"/>
        <v>Sevier</v>
      </c>
      <c r="C29" s="24" t="s">
        <v>328</v>
      </c>
      <c r="D29" s="24" t="s">
        <v>329</v>
      </c>
      <c r="E29" s="25">
        <v>8153</v>
      </c>
      <c r="F29" s="25">
        <v>334</v>
      </c>
      <c r="G29" s="25">
        <v>5669</v>
      </c>
      <c r="H29" s="25">
        <v>344</v>
      </c>
      <c r="I29" s="25">
        <v>5257</v>
      </c>
      <c r="J29" s="25">
        <v>342</v>
      </c>
      <c r="K29" s="25">
        <v>412</v>
      </c>
      <c r="L29" s="25">
        <v>113</v>
      </c>
      <c r="M29" s="25">
        <v>263</v>
      </c>
      <c r="N29" s="25">
        <v>82</v>
      </c>
      <c r="O29" s="25">
        <v>538</v>
      </c>
      <c r="P29" s="25">
        <v>131</v>
      </c>
      <c r="Q29" s="25">
        <v>880</v>
      </c>
      <c r="R29" s="25">
        <v>156</v>
      </c>
      <c r="S29" s="25">
        <v>235</v>
      </c>
      <c r="T29" s="25">
        <v>66</v>
      </c>
      <c r="U29" s="25">
        <v>457</v>
      </c>
      <c r="V29" s="25">
        <v>107</v>
      </c>
      <c r="W29" s="25">
        <v>111</v>
      </c>
      <c r="X29" s="25">
        <v>79</v>
      </c>
      <c r="Y29" s="25">
        <v>6417</v>
      </c>
      <c r="Z29" s="25">
        <v>382</v>
      </c>
      <c r="AA29" s="25">
        <v>4499</v>
      </c>
      <c r="AB29" s="25">
        <v>344</v>
      </c>
      <c r="AC29" s="25">
        <v>4232</v>
      </c>
      <c r="AD29" s="25">
        <v>345</v>
      </c>
      <c r="AE29" s="25">
        <v>267</v>
      </c>
      <c r="AF29" s="25">
        <v>85</v>
      </c>
      <c r="AG29" s="25">
        <v>215</v>
      </c>
      <c r="AH29" s="25">
        <v>79</v>
      </c>
      <c r="AI29" s="25">
        <v>475</v>
      </c>
      <c r="AJ29" s="25">
        <v>130</v>
      </c>
      <c r="AK29" s="25">
        <v>768</v>
      </c>
      <c r="AL29" s="25">
        <v>149</v>
      </c>
      <c r="AM29" s="25">
        <v>226</v>
      </c>
      <c r="AN29" s="25">
        <v>63</v>
      </c>
      <c r="AO29" s="25">
        <v>194</v>
      </c>
      <c r="AP29" s="25">
        <v>72</v>
      </c>
      <c r="AQ29" s="25">
        <v>40</v>
      </c>
      <c r="AR29" s="25">
        <v>31</v>
      </c>
      <c r="AS29" s="25">
        <v>928</v>
      </c>
      <c r="AT29" s="25">
        <v>174</v>
      </c>
      <c r="AU29" s="25">
        <v>745</v>
      </c>
      <c r="AV29" s="25">
        <v>165</v>
      </c>
      <c r="AW29" s="25">
        <v>742</v>
      </c>
      <c r="AX29" s="25">
        <v>165</v>
      </c>
      <c r="AY29" s="25">
        <v>3</v>
      </c>
      <c r="AZ29" s="25">
        <v>4</v>
      </c>
      <c r="BA29" s="25">
        <v>21</v>
      </c>
      <c r="BB29" s="25">
        <v>19</v>
      </c>
      <c r="BC29" s="25">
        <v>42</v>
      </c>
      <c r="BD29" s="25">
        <v>27</v>
      </c>
      <c r="BE29" s="25">
        <v>64</v>
      </c>
      <c r="BF29" s="25">
        <v>33</v>
      </c>
      <c r="BG29" s="25">
        <v>5</v>
      </c>
      <c r="BH29" s="25">
        <v>9</v>
      </c>
      <c r="BI29" s="25">
        <v>36</v>
      </c>
      <c r="BJ29" s="25">
        <v>28</v>
      </c>
      <c r="BK29" s="25">
        <v>15</v>
      </c>
      <c r="BL29" s="25">
        <v>20</v>
      </c>
      <c r="BM29" s="25">
        <v>50</v>
      </c>
      <c r="BN29" s="25">
        <v>27</v>
      </c>
      <c r="BO29" s="25">
        <v>21</v>
      </c>
      <c r="BP29" s="25">
        <v>17</v>
      </c>
      <c r="BQ29" s="25">
        <v>21</v>
      </c>
      <c r="BR29" s="25">
        <v>17</v>
      </c>
      <c r="BS29" s="25">
        <v>0</v>
      </c>
      <c r="BT29" s="25">
        <v>21</v>
      </c>
      <c r="BU29" s="25">
        <v>7</v>
      </c>
      <c r="BV29" s="25">
        <v>12</v>
      </c>
      <c r="BW29" s="25">
        <v>6</v>
      </c>
      <c r="BX29" s="25">
        <v>9</v>
      </c>
      <c r="BY29" s="25">
        <v>0</v>
      </c>
      <c r="BZ29" s="25">
        <v>21</v>
      </c>
      <c r="CA29" s="25">
        <v>3</v>
      </c>
      <c r="CB29" s="25">
        <v>6</v>
      </c>
      <c r="CC29" s="25">
        <v>13</v>
      </c>
      <c r="CD29" s="25">
        <v>16</v>
      </c>
      <c r="CE29" s="25">
        <v>0</v>
      </c>
      <c r="CF29" s="25">
        <v>21</v>
      </c>
      <c r="CG29" s="25">
        <v>139</v>
      </c>
      <c r="CH29" s="25">
        <v>60</v>
      </c>
      <c r="CI29" s="25">
        <v>84</v>
      </c>
      <c r="CJ29" s="25">
        <v>51</v>
      </c>
      <c r="CK29" s="25">
        <v>46</v>
      </c>
      <c r="CL29" s="25">
        <v>32</v>
      </c>
      <c r="CM29" s="25">
        <v>38</v>
      </c>
      <c r="CN29" s="25">
        <v>39</v>
      </c>
      <c r="CO29" s="25">
        <v>2</v>
      </c>
      <c r="CP29" s="25">
        <v>4</v>
      </c>
      <c r="CQ29" s="25">
        <v>2</v>
      </c>
      <c r="CR29" s="25">
        <v>4</v>
      </c>
      <c r="CS29" s="25">
        <v>1</v>
      </c>
      <c r="CT29" s="25">
        <v>3</v>
      </c>
      <c r="CU29" s="25">
        <v>0</v>
      </c>
      <c r="CV29" s="25">
        <v>21</v>
      </c>
      <c r="CW29" s="25">
        <v>43</v>
      </c>
      <c r="CX29" s="25">
        <v>34</v>
      </c>
      <c r="CY29" s="25">
        <v>7</v>
      </c>
      <c r="CZ29" s="25">
        <v>10</v>
      </c>
      <c r="DA29" s="25">
        <v>170</v>
      </c>
      <c r="DB29" s="25">
        <v>74</v>
      </c>
      <c r="DC29" s="25">
        <v>101</v>
      </c>
      <c r="DD29" s="25">
        <v>58</v>
      </c>
      <c r="DE29" s="25">
        <v>92</v>
      </c>
      <c r="DF29" s="25">
        <v>57</v>
      </c>
      <c r="DG29" s="25">
        <v>9</v>
      </c>
      <c r="DH29" s="25">
        <v>13</v>
      </c>
      <c r="DI29" s="25">
        <v>4</v>
      </c>
      <c r="DJ29" s="25">
        <v>8</v>
      </c>
      <c r="DK29" s="25">
        <v>0</v>
      </c>
      <c r="DL29" s="25">
        <v>21</v>
      </c>
      <c r="DM29" s="25">
        <v>12</v>
      </c>
      <c r="DN29" s="25">
        <v>13</v>
      </c>
      <c r="DO29" s="25">
        <v>1</v>
      </c>
      <c r="DP29" s="25">
        <v>3</v>
      </c>
      <c r="DQ29" s="25">
        <v>7</v>
      </c>
      <c r="DR29" s="25">
        <v>12</v>
      </c>
      <c r="DS29" s="25">
        <v>45</v>
      </c>
      <c r="DT29" s="25">
        <v>34</v>
      </c>
      <c r="DU29" s="25">
        <v>449</v>
      </c>
      <c r="DV29" s="25">
        <v>116</v>
      </c>
      <c r="DW29" s="25">
        <v>219</v>
      </c>
      <c r="DX29" s="25">
        <v>91</v>
      </c>
      <c r="DY29" s="25">
        <v>124</v>
      </c>
      <c r="DZ29" s="25">
        <v>71</v>
      </c>
      <c r="EA29" s="25">
        <v>95</v>
      </c>
      <c r="EB29" s="25">
        <v>55</v>
      </c>
      <c r="EC29" s="25">
        <v>14</v>
      </c>
      <c r="ED29" s="25">
        <v>21</v>
      </c>
      <c r="EE29" s="25">
        <v>13</v>
      </c>
      <c r="EF29" s="25">
        <v>19</v>
      </c>
      <c r="EG29" s="25">
        <v>35</v>
      </c>
      <c r="EH29" s="25">
        <v>27</v>
      </c>
      <c r="EI29" s="25">
        <v>0</v>
      </c>
      <c r="EJ29" s="25">
        <v>21</v>
      </c>
      <c r="EK29" s="25">
        <v>164</v>
      </c>
      <c r="EL29" s="25">
        <v>67</v>
      </c>
      <c r="EM29" s="25">
        <v>4</v>
      </c>
      <c r="EN29" s="25">
        <v>6</v>
      </c>
    </row>
    <row r="30" spans="1:144" x14ac:dyDescent="0.25">
      <c r="A30" s="19">
        <f t="shared" si="8"/>
        <v>43</v>
      </c>
      <c r="B30" s="20" t="str">
        <f t="shared" si="9"/>
        <v>Summit</v>
      </c>
      <c r="C30" s="24" t="s">
        <v>330</v>
      </c>
      <c r="D30" s="24" t="s">
        <v>331</v>
      </c>
      <c r="E30" s="25">
        <v>19261</v>
      </c>
      <c r="F30" s="25">
        <v>509</v>
      </c>
      <c r="G30" s="25">
        <v>14266</v>
      </c>
      <c r="H30" s="25">
        <v>510</v>
      </c>
      <c r="I30" s="25">
        <v>12463</v>
      </c>
      <c r="J30" s="25">
        <v>558</v>
      </c>
      <c r="K30" s="25">
        <v>1803</v>
      </c>
      <c r="L30" s="25">
        <v>331</v>
      </c>
      <c r="M30" s="25">
        <v>1213</v>
      </c>
      <c r="N30" s="25">
        <v>228</v>
      </c>
      <c r="O30" s="25">
        <v>1254</v>
      </c>
      <c r="P30" s="25">
        <v>225</v>
      </c>
      <c r="Q30" s="25">
        <v>761</v>
      </c>
      <c r="R30" s="25">
        <v>175</v>
      </c>
      <c r="S30" s="25">
        <v>348</v>
      </c>
      <c r="T30" s="25">
        <v>118</v>
      </c>
      <c r="U30" s="25">
        <v>1400</v>
      </c>
      <c r="V30" s="25">
        <v>230</v>
      </c>
      <c r="W30" s="25">
        <v>19</v>
      </c>
      <c r="X30" s="25">
        <v>15</v>
      </c>
      <c r="Y30" s="25">
        <v>14590</v>
      </c>
      <c r="Z30" s="25">
        <v>477</v>
      </c>
      <c r="AA30" s="25">
        <v>11033</v>
      </c>
      <c r="AB30" s="25">
        <v>507</v>
      </c>
      <c r="AC30" s="25">
        <v>10176</v>
      </c>
      <c r="AD30" s="25">
        <v>531</v>
      </c>
      <c r="AE30" s="25">
        <v>857</v>
      </c>
      <c r="AF30" s="25">
        <v>203</v>
      </c>
      <c r="AG30" s="25">
        <v>945</v>
      </c>
      <c r="AH30" s="25">
        <v>211</v>
      </c>
      <c r="AI30" s="25">
        <v>1049</v>
      </c>
      <c r="AJ30" s="25">
        <v>214</v>
      </c>
      <c r="AK30" s="25">
        <v>578</v>
      </c>
      <c r="AL30" s="25">
        <v>141</v>
      </c>
      <c r="AM30" s="25">
        <v>268</v>
      </c>
      <c r="AN30" s="25">
        <v>109</v>
      </c>
      <c r="AO30" s="25">
        <v>713</v>
      </c>
      <c r="AP30" s="25">
        <v>168</v>
      </c>
      <c r="AQ30" s="25">
        <v>4</v>
      </c>
      <c r="AR30" s="25">
        <v>6</v>
      </c>
      <c r="AS30" s="25">
        <v>1429</v>
      </c>
      <c r="AT30" s="25">
        <v>265</v>
      </c>
      <c r="AU30" s="25">
        <v>988</v>
      </c>
      <c r="AV30" s="25">
        <v>227</v>
      </c>
      <c r="AW30" s="25">
        <v>779</v>
      </c>
      <c r="AX30" s="25">
        <v>184</v>
      </c>
      <c r="AY30" s="25">
        <v>209</v>
      </c>
      <c r="AZ30" s="25">
        <v>127</v>
      </c>
      <c r="BA30" s="25">
        <v>158</v>
      </c>
      <c r="BB30" s="25">
        <v>85</v>
      </c>
      <c r="BC30" s="25">
        <v>119</v>
      </c>
      <c r="BD30" s="25">
        <v>74</v>
      </c>
      <c r="BE30" s="25">
        <v>32</v>
      </c>
      <c r="BF30" s="25">
        <v>26</v>
      </c>
      <c r="BG30" s="25">
        <v>59</v>
      </c>
      <c r="BH30" s="25">
        <v>43</v>
      </c>
      <c r="BI30" s="25">
        <v>73</v>
      </c>
      <c r="BJ30" s="25">
        <v>54</v>
      </c>
      <c r="BK30" s="25">
        <v>0</v>
      </c>
      <c r="BL30" s="25">
        <v>24</v>
      </c>
      <c r="BM30" s="25">
        <v>359</v>
      </c>
      <c r="BN30" s="25">
        <v>206</v>
      </c>
      <c r="BO30" s="25">
        <v>323</v>
      </c>
      <c r="BP30" s="25">
        <v>204</v>
      </c>
      <c r="BQ30" s="25">
        <v>323</v>
      </c>
      <c r="BR30" s="25">
        <v>204</v>
      </c>
      <c r="BS30" s="25">
        <v>0</v>
      </c>
      <c r="BT30" s="25">
        <v>24</v>
      </c>
      <c r="BU30" s="25">
        <v>17</v>
      </c>
      <c r="BV30" s="25">
        <v>24</v>
      </c>
      <c r="BW30" s="25">
        <v>19</v>
      </c>
      <c r="BX30" s="25">
        <v>31</v>
      </c>
      <c r="BY30" s="25">
        <v>0</v>
      </c>
      <c r="BZ30" s="25">
        <v>24</v>
      </c>
      <c r="CA30" s="25">
        <v>0</v>
      </c>
      <c r="CB30" s="25">
        <v>24</v>
      </c>
      <c r="CC30" s="25">
        <v>0</v>
      </c>
      <c r="CD30" s="25">
        <v>24</v>
      </c>
      <c r="CE30" s="25">
        <v>0</v>
      </c>
      <c r="CF30" s="25">
        <v>24</v>
      </c>
      <c r="CG30" s="25">
        <v>209</v>
      </c>
      <c r="CH30" s="25">
        <v>87</v>
      </c>
      <c r="CI30" s="25">
        <v>155</v>
      </c>
      <c r="CJ30" s="25">
        <v>80</v>
      </c>
      <c r="CK30" s="25">
        <v>139</v>
      </c>
      <c r="CL30" s="25">
        <v>75</v>
      </c>
      <c r="CM30" s="25">
        <v>16</v>
      </c>
      <c r="CN30" s="25">
        <v>24</v>
      </c>
      <c r="CO30" s="25">
        <v>0</v>
      </c>
      <c r="CP30" s="25">
        <v>24</v>
      </c>
      <c r="CQ30" s="25">
        <v>0</v>
      </c>
      <c r="CR30" s="25">
        <v>24</v>
      </c>
      <c r="CS30" s="25">
        <v>30</v>
      </c>
      <c r="CT30" s="25">
        <v>24</v>
      </c>
      <c r="CU30" s="25">
        <v>8</v>
      </c>
      <c r="CV30" s="25">
        <v>10</v>
      </c>
      <c r="CW30" s="25">
        <v>16</v>
      </c>
      <c r="CX30" s="25">
        <v>16</v>
      </c>
      <c r="CY30" s="25">
        <v>0</v>
      </c>
      <c r="CZ30" s="25">
        <v>24</v>
      </c>
      <c r="DA30" s="25">
        <v>422</v>
      </c>
      <c r="DB30" s="25">
        <v>124</v>
      </c>
      <c r="DC30" s="25">
        <v>336</v>
      </c>
      <c r="DD30" s="25">
        <v>128</v>
      </c>
      <c r="DE30" s="25">
        <v>257</v>
      </c>
      <c r="DF30" s="25">
        <v>112</v>
      </c>
      <c r="DG30" s="25">
        <v>79</v>
      </c>
      <c r="DH30" s="25">
        <v>65</v>
      </c>
      <c r="DI30" s="25">
        <v>25</v>
      </c>
      <c r="DJ30" s="25">
        <v>35</v>
      </c>
      <c r="DK30" s="25">
        <v>6</v>
      </c>
      <c r="DL30" s="25">
        <v>11</v>
      </c>
      <c r="DM30" s="25">
        <v>21</v>
      </c>
      <c r="DN30" s="25">
        <v>25</v>
      </c>
      <c r="DO30" s="25">
        <v>0</v>
      </c>
      <c r="DP30" s="25">
        <v>24</v>
      </c>
      <c r="DQ30" s="25">
        <v>34</v>
      </c>
      <c r="DR30" s="25">
        <v>34</v>
      </c>
      <c r="DS30" s="25">
        <v>0</v>
      </c>
      <c r="DT30" s="25">
        <v>24</v>
      </c>
      <c r="DU30" s="25">
        <v>2252</v>
      </c>
      <c r="DV30" s="25">
        <v>338</v>
      </c>
      <c r="DW30" s="25">
        <v>1431</v>
      </c>
      <c r="DX30" s="25">
        <v>276</v>
      </c>
      <c r="DY30" s="25">
        <v>789</v>
      </c>
      <c r="DZ30" s="25">
        <v>182</v>
      </c>
      <c r="EA30" s="25">
        <v>642</v>
      </c>
      <c r="EB30" s="25">
        <v>182</v>
      </c>
      <c r="EC30" s="25">
        <v>68</v>
      </c>
      <c r="ED30" s="25">
        <v>63</v>
      </c>
      <c r="EE30" s="25">
        <v>61</v>
      </c>
      <c r="EF30" s="25">
        <v>49</v>
      </c>
      <c r="EG30" s="25">
        <v>100</v>
      </c>
      <c r="EH30" s="25">
        <v>102</v>
      </c>
      <c r="EI30" s="25">
        <v>13</v>
      </c>
      <c r="EJ30" s="25">
        <v>8</v>
      </c>
      <c r="EK30" s="25">
        <v>564</v>
      </c>
      <c r="EL30" s="25">
        <v>170</v>
      </c>
      <c r="EM30" s="25">
        <v>15</v>
      </c>
      <c r="EN30" s="25">
        <v>15</v>
      </c>
    </row>
    <row r="31" spans="1:144" x14ac:dyDescent="0.25">
      <c r="A31" s="19">
        <f t="shared" si="8"/>
        <v>45</v>
      </c>
      <c r="B31" s="20" t="str">
        <f t="shared" si="9"/>
        <v>Tooele</v>
      </c>
      <c r="C31" s="24" t="s">
        <v>332</v>
      </c>
      <c r="D31" s="24" t="s">
        <v>333</v>
      </c>
      <c r="E31" s="25">
        <v>25377</v>
      </c>
      <c r="F31" s="25">
        <v>628</v>
      </c>
      <c r="G31" s="25">
        <v>17413</v>
      </c>
      <c r="H31" s="25">
        <v>703</v>
      </c>
      <c r="I31" s="25">
        <v>16922</v>
      </c>
      <c r="J31" s="25">
        <v>718</v>
      </c>
      <c r="K31" s="25">
        <v>491</v>
      </c>
      <c r="L31" s="25">
        <v>188</v>
      </c>
      <c r="M31" s="25">
        <v>1249</v>
      </c>
      <c r="N31" s="25">
        <v>351</v>
      </c>
      <c r="O31" s="25">
        <v>2084</v>
      </c>
      <c r="P31" s="25">
        <v>326</v>
      </c>
      <c r="Q31" s="25">
        <v>1346</v>
      </c>
      <c r="R31" s="25">
        <v>272</v>
      </c>
      <c r="S31" s="25">
        <v>2332</v>
      </c>
      <c r="T31" s="25">
        <v>323</v>
      </c>
      <c r="U31" s="25">
        <v>927</v>
      </c>
      <c r="V31" s="25">
        <v>206</v>
      </c>
      <c r="W31" s="25">
        <v>26</v>
      </c>
      <c r="X31" s="25">
        <v>25</v>
      </c>
      <c r="Y31" s="25">
        <v>17235</v>
      </c>
      <c r="Z31" s="25">
        <v>750</v>
      </c>
      <c r="AA31" s="25">
        <v>11981</v>
      </c>
      <c r="AB31" s="25">
        <v>759</v>
      </c>
      <c r="AC31" s="25">
        <v>11743</v>
      </c>
      <c r="AD31" s="25">
        <v>770</v>
      </c>
      <c r="AE31" s="25">
        <v>238</v>
      </c>
      <c r="AF31" s="25">
        <v>99</v>
      </c>
      <c r="AG31" s="25">
        <v>910</v>
      </c>
      <c r="AH31" s="25">
        <v>256</v>
      </c>
      <c r="AI31" s="25">
        <v>1636</v>
      </c>
      <c r="AJ31" s="25">
        <v>282</v>
      </c>
      <c r="AK31" s="25">
        <v>931</v>
      </c>
      <c r="AL31" s="25">
        <v>225</v>
      </c>
      <c r="AM31" s="25">
        <v>1383</v>
      </c>
      <c r="AN31" s="25">
        <v>282</v>
      </c>
      <c r="AO31" s="25">
        <v>372</v>
      </c>
      <c r="AP31" s="25">
        <v>121</v>
      </c>
      <c r="AQ31" s="25">
        <v>22</v>
      </c>
      <c r="AR31" s="25">
        <v>24</v>
      </c>
      <c r="AS31" s="25">
        <v>5136</v>
      </c>
      <c r="AT31" s="25">
        <v>534</v>
      </c>
      <c r="AU31" s="25">
        <v>3690</v>
      </c>
      <c r="AV31" s="25">
        <v>435</v>
      </c>
      <c r="AW31" s="25">
        <v>3627</v>
      </c>
      <c r="AX31" s="25">
        <v>427</v>
      </c>
      <c r="AY31" s="25">
        <v>63</v>
      </c>
      <c r="AZ31" s="25">
        <v>72</v>
      </c>
      <c r="BA31" s="25">
        <v>189</v>
      </c>
      <c r="BB31" s="25">
        <v>107</v>
      </c>
      <c r="BC31" s="25">
        <v>321</v>
      </c>
      <c r="BD31" s="25">
        <v>126</v>
      </c>
      <c r="BE31" s="25">
        <v>317</v>
      </c>
      <c r="BF31" s="25">
        <v>175</v>
      </c>
      <c r="BG31" s="25">
        <v>550</v>
      </c>
      <c r="BH31" s="25">
        <v>155</v>
      </c>
      <c r="BI31" s="25">
        <v>65</v>
      </c>
      <c r="BJ31" s="25">
        <v>55</v>
      </c>
      <c r="BK31" s="25">
        <v>4</v>
      </c>
      <c r="BL31" s="25">
        <v>7</v>
      </c>
      <c r="BM31" s="25">
        <v>761</v>
      </c>
      <c r="BN31" s="25">
        <v>211</v>
      </c>
      <c r="BO31" s="25">
        <v>523</v>
      </c>
      <c r="BP31" s="25">
        <v>173</v>
      </c>
      <c r="BQ31" s="25">
        <v>523</v>
      </c>
      <c r="BR31" s="25">
        <v>173</v>
      </c>
      <c r="BS31" s="25">
        <v>0</v>
      </c>
      <c r="BT31" s="25">
        <v>27</v>
      </c>
      <c r="BU31" s="25">
        <v>86</v>
      </c>
      <c r="BV31" s="25">
        <v>62</v>
      </c>
      <c r="BW31" s="25">
        <v>0</v>
      </c>
      <c r="BX31" s="25">
        <v>27</v>
      </c>
      <c r="BY31" s="25">
        <v>74</v>
      </c>
      <c r="BZ31" s="25">
        <v>62</v>
      </c>
      <c r="CA31" s="25">
        <v>78</v>
      </c>
      <c r="CB31" s="25">
        <v>69</v>
      </c>
      <c r="CC31" s="25">
        <v>0</v>
      </c>
      <c r="CD31" s="25">
        <v>27</v>
      </c>
      <c r="CE31" s="25">
        <v>0</v>
      </c>
      <c r="CF31" s="25">
        <v>27</v>
      </c>
      <c r="CG31" s="25">
        <v>694</v>
      </c>
      <c r="CH31" s="25">
        <v>169</v>
      </c>
      <c r="CI31" s="25">
        <v>342</v>
      </c>
      <c r="CJ31" s="25">
        <v>133</v>
      </c>
      <c r="CK31" s="25">
        <v>339</v>
      </c>
      <c r="CL31" s="25">
        <v>133</v>
      </c>
      <c r="CM31" s="25">
        <v>3</v>
      </c>
      <c r="CN31" s="25">
        <v>7</v>
      </c>
      <c r="CO31" s="25">
        <v>11</v>
      </c>
      <c r="CP31" s="25">
        <v>16</v>
      </c>
      <c r="CQ31" s="25">
        <v>52</v>
      </c>
      <c r="CR31" s="25">
        <v>44</v>
      </c>
      <c r="CS31" s="25">
        <v>24</v>
      </c>
      <c r="CT31" s="25">
        <v>27</v>
      </c>
      <c r="CU31" s="25">
        <v>231</v>
      </c>
      <c r="CV31" s="25">
        <v>82</v>
      </c>
      <c r="CW31" s="25">
        <v>34</v>
      </c>
      <c r="CX31" s="25">
        <v>30</v>
      </c>
      <c r="CY31" s="25">
        <v>0</v>
      </c>
      <c r="CZ31" s="25">
        <v>27</v>
      </c>
      <c r="DA31" s="25">
        <v>541</v>
      </c>
      <c r="DB31" s="25">
        <v>180</v>
      </c>
      <c r="DC31" s="25">
        <v>371</v>
      </c>
      <c r="DD31" s="25">
        <v>148</v>
      </c>
      <c r="DE31" s="25">
        <v>369</v>
      </c>
      <c r="DF31" s="25">
        <v>148</v>
      </c>
      <c r="DG31" s="25">
        <v>2</v>
      </c>
      <c r="DH31" s="25">
        <v>3</v>
      </c>
      <c r="DI31" s="25">
        <v>18</v>
      </c>
      <c r="DJ31" s="25">
        <v>20</v>
      </c>
      <c r="DK31" s="25">
        <v>27</v>
      </c>
      <c r="DL31" s="25">
        <v>42</v>
      </c>
      <c r="DM31" s="25">
        <v>0</v>
      </c>
      <c r="DN31" s="25">
        <v>27</v>
      </c>
      <c r="DO31" s="25">
        <v>54</v>
      </c>
      <c r="DP31" s="25">
        <v>43</v>
      </c>
      <c r="DQ31" s="25">
        <v>71</v>
      </c>
      <c r="DR31" s="25">
        <v>76</v>
      </c>
      <c r="DS31" s="25">
        <v>0</v>
      </c>
      <c r="DT31" s="25">
        <v>27</v>
      </c>
      <c r="DU31" s="25">
        <v>1010</v>
      </c>
      <c r="DV31" s="25">
        <v>218</v>
      </c>
      <c r="DW31" s="25">
        <v>506</v>
      </c>
      <c r="DX31" s="25">
        <v>161</v>
      </c>
      <c r="DY31" s="25">
        <v>321</v>
      </c>
      <c r="DZ31" s="25">
        <v>121</v>
      </c>
      <c r="EA31" s="25">
        <v>185</v>
      </c>
      <c r="EB31" s="25">
        <v>92</v>
      </c>
      <c r="EC31" s="25">
        <v>35</v>
      </c>
      <c r="ED31" s="25">
        <v>37</v>
      </c>
      <c r="EE31" s="25">
        <v>48</v>
      </c>
      <c r="EF31" s="25">
        <v>71</v>
      </c>
      <c r="EG31" s="25">
        <v>0</v>
      </c>
      <c r="EH31" s="25">
        <v>27</v>
      </c>
      <c r="EI31" s="25">
        <v>36</v>
      </c>
      <c r="EJ31" s="25">
        <v>30</v>
      </c>
      <c r="EK31" s="25">
        <v>385</v>
      </c>
      <c r="EL31" s="25">
        <v>137</v>
      </c>
      <c r="EM31" s="25">
        <v>0</v>
      </c>
      <c r="EN31" s="25">
        <v>27</v>
      </c>
    </row>
    <row r="32" spans="1:144" x14ac:dyDescent="0.25">
      <c r="A32" s="19">
        <f t="shared" si="8"/>
        <v>47</v>
      </c>
      <c r="B32" s="20" t="str">
        <f t="shared" si="9"/>
        <v>Uintah</v>
      </c>
      <c r="C32" s="24" t="s">
        <v>334</v>
      </c>
      <c r="D32" s="24" t="s">
        <v>335</v>
      </c>
      <c r="E32" s="25">
        <v>14233</v>
      </c>
      <c r="F32" s="25">
        <v>482</v>
      </c>
      <c r="G32" s="25">
        <v>10198</v>
      </c>
      <c r="H32" s="25">
        <v>489</v>
      </c>
      <c r="I32" s="25">
        <v>9529</v>
      </c>
      <c r="J32" s="25">
        <v>463</v>
      </c>
      <c r="K32" s="25">
        <v>669</v>
      </c>
      <c r="L32" s="25">
        <v>180</v>
      </c>
      <c r="M32" s="25">
        <v>611</v>
      </c>
      <c r="N32" s="25">
        <v>171</v>
      </c>
      <c r="O32" s="25">
        <v>1684</v>
      </c>
      <c r="P32" s="25">
        <v>244</v>
      </c>
      <c r="Q32" s="25">
        <v>462</v>
      </c>
      <c r="R32" s="25">
        <v>136</v>
      </c>
      <c r="S32" s="25">
        <v>481</v>
      </c>
      <c r="T32" s="25">
        <v>128</v>
      </c>
      <c r="U32" s="25">
        <v>773</v>
      </c>
      <c r="V32" s="25">
        <v>192</v>
      </c>
      <c r="W32" s="25">
        <v>24</v>
      </c>
      <c r="X32" s="25">
        <v>30</v>
      </c>
      <c r="Y32" s="25">
        <v>11624</v>
      </c>
      <c r="Z32" s="25">
        <v>522</v>
      </c>
      <c r="AA32" s="25">
        <v>8471</v>
      </c>
      <c r="AB32" s="25">
        <v>464</v>
      </c>
      <c r="AC32" s="25">
        <v>8065</v>
      </c>
      <c r="AD32" s="25">
        <v>437</v>
      </c>
      <c r="AE32" s="25">
        <v>406</v>
      </c>
      <c r="AF32" s="25">
        <v>131</v>
      </c>
      <c r="AG32" s="25">
        <v>445</v>
      </c>
      <c r="AH32" s="25">
        <v>145</v>
      </c>
      <c r="AI32" s="25">
        <v>1476</v>
      </c>
      <c r="AJ32" s="25">
        <v>247</v>
      </c>
      <c r="AK32" s="25">
        <v>375</v>
      </c>
      <c r="AL32" s="25">
        <v>120</v>
      </c>
      <c r="AM32" s="25">
        <v>357</v>
      </c>
      <c r="AN32" s="25">
        <v>94</v>
      </c>
      <c r="AO32" s="25">
        <v>496</v>
      </c>
      <c r="AP32" s="25">
        <v>154</v>
      </c>
      <c r="AQ32" s="25">
        <v>4</v>
      </c>
      <c r="AR32" s="25">
        <v>6</v>
      </c>
      <c r="AS32" s="25">
        <v>1489</v>
      </c>
      <c r="AT32" s="25">
        <v>271</v>
      </c>
      <c r="AU32" s="25">
        <v>1170</v>
      </c>
      <c r="AV32" s="25">
        <v>251</v>
      </c>
      <c r="AW32" s="25">
        <v>1075</v>
      </c>
      <c r="AX32" s="25">
        <v>250</v>
      </c>
      <c r="AY32" s="25">
        <v>95</v>
      </c>
      <c r="AZ32" s="25">
        <v>69</v>
      </c>
      <c r="BA32" s="25">
        <v>59</v>
      </c>
      <c r="BB32" s="25">
        <v>47</v>
      </c>
      <c r="BC32" s="25">
        <v>158</v>
      </c>
      <c r="BD32" s="25">
        <v>85</v>
      </c>
      <c r="BE32" s="25">
        <v>38</v>
      </c>
      <c r="BF32" s="25">
        <v>33</v>
      </c>
      <c r="BG32" s="25">
        <v>23</v>
      </c>
      <c r="BH32" s="25">
        <v>26</v>
      </c>
      <c r="BI32" s="25">
        <v>41</v>
      </c>
      <c r="BJ32" s="25">
        <v>34</v>
      </c>
      <c r="BK32" s="25">
        <v>0</v>
      </c>
      <c r="BL32" s="25">
        <v>24</v>
      </c>
      <c r="BM32" s="25">
        <v>91</v>
      </c>
      <c r="BN32" s="25">
        <v>64</v>
      </c>
      <c r="BO32" s="25">
        <v>46</v>
      </c>
      <c r="BP32" s="25">
        <v>37</v>
      </c>
      <c r="BQ32" s="25">
        <v>46</v>
      </c>
      <c r="BR32" s="25">
        <v>37</v>
      </c>
      <c r="BS32" s="25">
        <v>0</v>
      </c>
      <c r="BT32" s="25">
        <v>24</v>
      </c>
      <c r="BU32" s="25">
        <v>0</v>
      </c>
      <c r="BV32" s="25">
        <v>24</v>
      </c>
      <c r="BW32" s="25">
        <v>0</v>
      </c>
      <c r="BX32" s="25">
        <v>24</v>
      </c>
      <c r="BY32" s="25">
        <v>0</v>
      </c>
      <c r="BZ32" s="25">
        <v>24</v>
      </c>
      <c r="CA32" s="25">
        <v>8</v>
      </c>
      <c r="CB32" s="25">
        <v>15</v>
      </c>
      <c r="CC32" s="25">
        <v>17</v>
      </c>
      <c r="CD32" s="25">
        <v>25</v>
      </c>
      <c r="CE32" s="25">
        <v>20</v>
      </c>
      <c r="CF32" s="25">
        <v>30</v>
      </c>
      <c r="CG32" s="25">
        <v>145</v>
      </c>
      <c r="CH32" s="25">
        <v>95</v>
      </c>
      <c r="CI32" s="25">
        <v>108</v>
      </c>
      <c r="CJ32" s="25">
        <v>88</v>
      </c>
      <c r="CK32" s="25">
        <v>104</v>
      </c>
      <c r="CL32" s="25">
        <v>88</v>
      </c>
      <c r="CM32" s="25">
        <v>4</v>
      </c>
      <c r="CN32" s="25">
        <v>6</v>
      </c>
      <c r="CO32" s="25">
        <v>10</v>
      </c>
      <c r="CP32" s="25">
        <v>15</v>
      </c>
      <c r="CQ32" s="25">
        <v>8</v>
      </c>
      <c r="CR32" s="25">
        <v>11</v>
      </c>
      <c r="CS32" s="25">
        <v>5</v>
      </c>
      <c r="CT32" s="25">
        <v>7</v>
      </c>
      <c r="CU32" s="25">
        <v>14</v>
      </c>
      <c r="CV32" s="25">
        <v>22</v>
      </c>
      <c r="CW32" s="25">
        <v>0</v>
      </c>
      <c r="CX32" s="25">
        <v>24</v>
      </c>
      <c r="CY32" s="25">
        <v>0</v>
      </c>
      <c r="CZ32" s="25">
        <v>24</v>
      </c>
      <c r="DA32" s="25">
        <v>351</v>
      </c>
      <c r="DB32" s="25">
        <v>150</v>
      </c>
      <c r="DC32" s="25">
        <v>140</v>
      </c>
      <c r="DD32" s="25">
        <v>70</v>
      </c>
      <c r="DE32" s="25">
        <v>139</v>
      </c>
      <c r="DF32" s="25">
        <v>70</v>
      </c>
      <c r="DG32" s="25">
        <v>1</v>
      </c>
      <c r="DH32" s="25">
        <v>4</v>
      </c>
      <c r="DI32" s="25">
        <v>91</v>
      </c>
      <c r="DJ32" s="25">
        <v>69</v>
      </c>
      <c r="DK32" s="25">
        <v>37</v>
      </c>
      <c r="DL32" s="25">
        <v>55</v>
      </c>
      <c r="DM32" s="25">
        <v>11</v>
      </c>
      <c r="DN32" s="25">
        <v>16</v>
      </c>
      <c r="DO32" s="25">
        <v>67</v>
      </c>
      <c r="DP32" s="25">
        <v>79</v>
      </c>
      <c r="DQ32" s="25">
        <v>5</v>
      </c>
      <c r="DR32" s="25">
        <v>8</v>
      </c>
      <c r="DS32" s="25">
        <v>0</v>
      </c>
      <c r="DT32" s="25">
        <v>24</v>
      </c>
      <c r="DU32" s="25">
        <v>533</v>
      </c>
      <c r="DV32" s="25">
        <v>137</v>
      </c>
      <c r="DW32" s="25">
        <v>263</v>
      </c>
      <c r="DX32" s="25">
        <v>117</v>
      </c>
      <c r="DY32" s="25">
        <v>100</v>
      </c>
      <c r="DZ32" s="25">
        <v>58</v>
      </c>
      <c r="EA32" s="25">
        <v>163</v>
      </c>
      <c r="EB32" s="25">
        <v>100</v>
      </c>
      <c r="EC32" s="25">
        <v>6</v>
      </c>
      <c r="ED32" s="25">
        <v>7</v>
      </c>
      <c r="EE32" s="25">
        <v>5</v>
      </c>
      <c r="EF32" s="25">
        <v>8</v>
      </c>
      <c r="EG32" s="25">
        <v>33</v>
      </c>
      <c r="EH32" s="25">
        <v>41</v>
      </c>
      <c r="EI32" s="25">
        <v>12</v>
      </c>
      <c r="EJ32" s="25">
        <v>19</v>
      </c>
      <c r="EK32" s="25">
        <v>214</v>
      </c>
      <c r="EL32" s="25">
        <v>72</v>
      </c>
      <c r="EM32" s="25">
        <v>0</v>
      </c>
      <c r="EN32" s="25">
        <v>24</v>
      </c>
    </row>
    <row r="33" spans="1:144" x14ac:dyDescent="0.25">
      <c r="A33" s="19">
        <f t="shared" si="8"/>
        <v>49</v>
      </c>
      <c r="B33" s="20" t="str">
        <f t="shared" si="9"/>
        <v>Utah</v>
      </c>
      <c r="C33" s="24" t="s">
        <v>336</v>
      </c>
      <c r="D33" s="24" t="s">
        <v>337</v>
      </c>
      <c r="E33" s="25">
        <v>221591</v>
      </c>
      <c r="F33" s="25">
        <v>1930</v>
      </c>
      <c r="G33" s="25">
        <v>157995</v>
      </c>
      <c r="H33" s="25">
        <v>1906</v>
      </c>
      <c r="I33" s="25">
        <v>148128</v>
      </c>
      <c r="J33" s="25">
        <v>1870</v>
      </c>
      <c r="K33" s="25">
        <v>9867</v>
      </c>
      <c r="L33" s="25">
        <v>584</v>
      </c>
      <c r="M33" s="25">
        <v>24328</v>
      </c>
      <c r="N33" s="25">
        <v>1105</v>
      </c>
      <c r="O33" s="25">
        <v>13967</v>
      </c>
      <c r="P33" s="25">
        <v>830</v>
      </c>
      <c r="Q33" s="25">
        <v>11515</v>
      </c>
      <c r="R33" s="25">
        <v>687</v>
      </c>
      <c r="S33" s="25">
        <v>3267</v>
      </c>
      <c r="T33" s="25">
        <v>405</v>
      </c>
      <c r="U33" s="25">
        <v>10166</v>
      </c>
      <c r="V33" s="25">
        <v>600</v>
      </c>
      <c r="W33" s="25">
        <v>353</v>
      </c>
      <c r="X33" s="25">
        <v>139</v>
      </c>
      <c r="Y33" s="25">
        <v>161714</v>
      </c>
      <c r="Z33" s="25">
        <v>1863</v>
      </c>
      <c r="AA33" s="25">
        <v>119009</v>
      </c>
      <c r="AB33" s="25">
        <v>1798</v>
      </c>
      <c r="AC33" s="25">
        <v>112648</v>
      </c>
      <c r="AD33" s="25">
        <v>1808</v>
      </c>
      <c r="AE33" s="25">
        <v>6361</v>
      </c>
      <c r="AF33" s="25">
        <v>467</v>
      </c>
      <c r="AG33" s="25">
        <v>15059</v>
      </c>
      <c r="AH33" s="25">
        <v>816</v>
      </c>
      <c r="AI33" s="25">
        <v>11584</v>
      </c>
      <c r="AJ33" s="25">
        <v>710</v>
      </c>
      <c r="AK33" s="25">
        <v>9037</v>
      </c>
      <c r="AL33" s="25">
        <v>628</v>
      </c>
      <c r="AM33" s="25">
        <v>2418</v>
      </c>
      <c r="AN33" s="25">
        <v>354</v>
      </c>
      <c r="AO33" s="25">
        <v>4383</v>
      </c>
      <c r="AP33" s="25">
        <v>424</v>
      </c>
      <c r="AQ33" s="25">
        <v>224</v>
      </c>
      <c r="AR33" s="25">
        <v>96</v>
      </c>
      <c r="AS33" s="25">
        <v>27512</v>
      </c>
      <c r="AT33" s="25">
        <v>1126</v>
      </c>
      <c r="AU33" s="25">
        <v>20184</v>
      </c>
      <c r="AV33" s="25">
        <v>1090</v>
      </c>
      <c r="AW33" s="25">
        <v>19262</v>
      </c>
      <c r="AX33" s="25">
        <v>1088</v>
      </c>
      <c r="AY33" s="25">
        <v>922</v>
      </c>
      <c r="AZ33" s="25">
        <v>220</v>
      </c>
      <c r="BA33" s="25">
        <v>2751</v>
      </c>
      <c r="BB33" s="25">
        <v>398</v>
      </c>
      <c r="BC33" s="25">
        <v>1495</v>
      </c>
      <c r="BD33" s="25">
        <v>226</v>
      </c>
      <c r="BE33" s="25">
        <v>1367</v>
      </c>
      <c r="BF33" s="25">
        <v>230</v>
      </c>
      <c r="BG33" s="25">
        <v>565</v>
      </c>
      <c r="BH33" s="25">
        <v>138</v>
      </c>
      <c r="BI33" s="25">
        <v>1112</v>
      </c>
      <c r="BJ33" s="25">
        <v>227</v>
      </c>
      <c r="BK33" s="25">
        <v>38</v>
      </c>
      <c r="BL33" s="25">
        <v>31</v>
      </c>
      <c r="BM33" s="25">
        <v>3840</v>
      </c>
      <c r="BN33" s="25">
        <v>395</v>
      </c>
      <c r="BO33" s="25">
        <v>2425</v>
      </c>
      <c r="BP33" s="25">
        <v>316</v>
      </c>
      <c r="BQ33" s="25">
        <v>2371</v>
      </c>
      <c r="BR33" s="25">
        <v>318</v>
      </c>
      <c r="BS33" s="25">
        <v>54</v>
      </c>
      <c r="BT33" s="25">
        <v>40</v>
      </c>
      <c r="BU33" s="25">
        <v>834</v>
      </c>
      <c r="BV33" s="25">
        <v>171</v>
      </c>
      <c r="BW33" s="25">
        <v>176</v>
      </c>
      <c r="BX33" s="25">
        <v>128</v>
      </c>
      <c r="BY33" s="25">
        <v>332</v>
      </c>
      <c r="BZ33" s="25">
        <v>99</v>
      </c>
      <c r="CA33" s="25">
        <v>26</v>
      </c>
      <c r="CB33" s="25">
        <v>23</v>
      </c>
      <c r="CC33" s="25">
        <v>47</v>
      </c>
      <c r="CD33" s="25">
        <v>42</v>
      </c>
      <c r="CE33" s="25">
        <v>0</v>
      </c>
      <c r="CF33" s="25">
        <v>27</v>
      </c>
      <c r="CG33" s="25">
        <v>10113</v>
      </c>
      <c r="CH33" s="25">
        <v>758</v>
      </c>
      <c r="CI33" s="25">
        <v>5156</v>
      </c>
      <c r="CJ33" s="25">
        <v>501</v>
      </c>
      <c r="CK33" s="25">
        <v>4923</v>
      </c>
      <c r="CL33" s="25">
        <v>522</v>
      </c>
      <c r="CM33" s="25">
        <v>233</v>
      </c>
      <c r="CN33" s="25">
        <v>87</v>
      </c>
      <c r="CO33" s="25">
        <v>3810</v>
      </c>
      <c r="CP33" s="25">
        <v>562</v>
      </c>
      <c r="CQ33" s="25">
        <v>370</v>
      </c>
      <c r="CR33" s="25">
        <v>124</v>
      </c>
      <c r="CS33" s="25">
        <v>338</v>
      </c>
      <c r="CT33" s="25">
        <v>102</v>
      </c>
      <c r="CU33" s="25">
        <v>49</v>
      </c>
      <c r="CV33" s="25">
        <v>31</v>
      </c>
      <c r="CW33" s="25">
        <v>373</v>
      </c>
      <c r="CX33" s="25">
        <v>128</v>
      </c>
      <c r="CY33" s="25">
        <v>17</v>
      </c>
      <c r="CZ33" s="25">
        <v>24</v>
      </c>
      <c r="DA33" s="25">
        <v>5015</v>
      </c>
      <c r="DB33" s="25">
        <v>441</v>
      </c>
      <c r="DC33" s="25">
        <v>3207</v>
      </c>
      <c r="DD33" s="25">
        <v>323</v>
      </c>
      <c r="DE33" s="25">
        <v>3113</v>
      </c>
      <c r="DF33" s="25">
        <v>316</v>
      </c>
      <c r="DG33" s="25">
        <v>94</v>
      </c>
      <c r="DH33" s="25">
        <v>46</v>
      </c>
      <c r="DI33" s="25">
        <v>1077</v>
      </c>
      <c r="DJ33" s="25">
        <v>232</v>
      </c>
      <c r="DK33" s="25">
        <v>122</v>
      </c>
      <c r="DL33" s="25">
        <v>76</v>
      </c>
      <c r="DM33" s="25">
        <v>274</v>
      </c>
      <c r="DN33" s="25">
        <v>125</v>
      </c>
      <c r="DO33" s="25">
        <v>130</v>
      </c>
      <c r="DP33" s="25">
        <v>78</v>
      </c>
      <c r="DQ33" s="25">
        <v>205</v>
      </c>
      <c r="DR33" s="25">
        <v>93</v>
      </c>
      <c r="DS33" s="25">
        <v>0</v>
      </c>
      <c r="DT33" s="25">
        <v>27</v>
      </c>
      <c r="DU33" s="25">
        <v>13397</v>
      </c>
      <c r="DV33" s="25">
        <v>748</v>
      </c>
      <c r="DW33" s="25">
        <v>8014</v>
      </c>
      <c r="DX33" s="25">
        <v>641</v>
      </c>
      <c r="DY33" s="25">
        <v>5811</v>
      </c>
      <c r="DZ33" s="25">
        <v>494</v>
      </c>
      <c r="EA33" s="25">
        <v>2203</v>
      </c>
      <c r="EB33" s="25">
        <v>346</v>
      </c>
      <c r="EC33" s="25">
        <v>797</v>
      </c>
      <c r="ED33" s="25">
        <v>220</v>
      </c>
      <c r="EE33" s="25">
        <v>220</v>
      </c>
      <c r="EF33" s="25">
        <v>122</v>
      </c>
      <c r="EG33" s="25">
        <v>167</v>
      </c>
      <c r="EH33" s="25">
        <v>90</v>
      </c>
      <c r="EI33" s="25">
        <v>79</v>
      </c>
      <c r="EJ33" s="25">
        <v>44</v>
      </c>
      <c r="EK33" s="25">
        <v>4046</v>
      </c>
      <c r="EL33" s="25">
        <v>407</v>
      </c>
      <c r="EM33" s="25">
        <v>74</v>
      </c>
      <c r="EN33" s="25">
        <v>65</v>
      </c>
    </row>
    <row r="34" spans="1:144" x14ac:dyDescent="0.25">
      <c r="A34" s="19">
        <f t="shared" si="8"/>
        <v>51</v>
      </c>
      <c r="B34" s="20" t="str">
        <f t="shared" si="9"/>
        <v>Wasatch</v>
      </c>
      <c r="C34" s="24" t="s">
        <v>338</v>
      </c>
      <c r="D34" s="24" t="s">
        <v>339</v>
      </c>
      <c r="E34" s="25">
        <v>11059</v>
      </c>
      <c r="F34" s="25">
        <v>424</v>
      </c>
      <c r="G34" s="25">
        <v>8001</v>
      </c>
      <c r="H34" s="25">
        <v>441</v>
      </c>
      <c r="I34" s="25">
        <v>6726</v>
      </c>
      <c r="J34" s="25">
        <v>393</v>
      </c>
      <c r="K34" s="25">
        <v>1275</v>
      </c>
      <c r="L34" s="25">
        <v>295</v>
      </c>
      <c r="M34" s="25">
        <v>610</v>
      </c>
      <c r="N34" s="25">
        <v>226</v>
      </c>
      <c r="O34" s="25">
        <v>1139</v>
      </c>
      <c r="P34" s="25">
        <v>215</v>
      </c>
      <c r="Q34" s="25">
        <v>390</v>
      </c>
      <c r="R34" s="25">
        <v>123</v>
      </c>
      <c r="S34" s="25">
        <v>206</v>
      </c>
      <c r="T34" s="25">
        <v>126</v>
      </c>
      <c r="U34" s="25">
        <v>682</v>
      </c>
      <c r="V34" s="25">
        <v>197</v>
      </c>
      <c r="W34" s="25">
        <v>31</v>
      </c>
      <c r="X34" s="25">
        <v>33</v>
      </c>
      <c r="Y34" s="25">
        <v>8559</v>
      </c>
      <c r="Z34" s="25">
        <v>504</v>
      </c>
      <c r="AA34" s="25">
        <v>6256</v>
      </c>
      <c r="AB34" s="25">
        <v>516</v>
      </c>
      <c r="AC34" s="25">
        <v>5371</v>
      </c>
      <c r="AD34" s="25">
        <v>438</v>
      </c>
      <c r="AE34" s="25">
        <v>885</v>
      </c>
      <c r="AF34" s="25">
        <v>284</v>
      </c>
      <c r="AG34" s="25">
        <v>491</v>
      </c>
      <c r="AH34" s="25">
        <v>217</v>
      </c>
      <c r="AI34" s="25">
        <v>954</v>
      </c>
      <c r="AJ34" s="25">
        <v>195</v>
      </c>
      <c r="AK34" s="25">
        <v>332</v>
      </c>
      <c r="AL34" s="25">
        <v>106</v>
      </c>
      <c r="AM34" s="25">
        <v>104</v>
      </c>
      <c r="AN34" s="25">
        <v>77</v>
      </c>
      <c r="AO34" s="25">
        <v>422</v>
      </c>
      <c r="AP34" s="25">
        <v>156</v>
      </c>
      <c r="AQ34" s="25">
        <v>0</v>
      </c>
      <c r="AR34" s="25">
        <v>21</v>
      </c>
      <c r="AS34" s="25">
        <v>1090</v>
      </c>
      <c r="AT34" s="25">
        <v>254</v>
      </c>
      <c r="AU34" s="25">
        <v>821</v>
      </c>
      <c r="AV34" s="25">
        <v>213</v>
      </c>
      <c r="AW34" s="25">
        <v>704</v>
      </c>
      <c r="AX34" s="25">
        <v>200</v>
      </c>
      <c r="AY34" s="25">
        <v>117</v>
      </c>
      <c r="AZ34" s="25">
        <v>83</v>
      </c>
      <c r="BA34" s="25">
        <v>52</v>
      </c>
      <c r="BB34" s="25">
        <v>36</v>
      </c>
      <c r="BC34" s="25">
        <v>91</v>
      </c>
      <c r="BD34" s="25">
        <v>68</v>
      </c>
      <c r="BE34" s="25">
        <v>41</v>
      </c>
      <c r="BF34" s="25">
        <v>39</v>
      </c>
      <c r="BG34" s="25">
        <v>31</v>
      </c>
      <c r="BH34" s="25">
        <v>39</v>
      </c>
      <c r="BI34" s="25">
        <v>49</v>
      </c>
      <c r="BJ34" s="25">
        <v>48</v>
      </c>
      <c r="BK34" s="25">
        <v>5</v>
      </c>
      <c r="BL34" s="25">
        <v>8</v>
      </c>
      <c r="BM34" s="25">
        <v>44</v>
      </c>
      <c r="BN34" s="25">
        <v>60</v>
      </c>
      <c r="BO34" s="25">
        <v>44</v>
      </c>
      <c r="BP34" s="25">
        <v>60</v>
      </c>
      <c r="BQ34" s="25">
        <v>44</v>
      </c>
      <c r="BR34" s="25">
        <v>60</v>
      </c>
      <c r="BS34" s="25">
        <v>0</v>
      </c>
      <c r="BT34" s="25">
        <v>21</v>
      </c>
      <c r="BU34" s="25">
        <v>0</v>
      </c>
      <c r="BV34" s="25">
        <v>21</v>
      </c>
      <c r="BW34" s="25">
        <v>0</v>
      </c>
      <c r="BX34" s="25">
        <v>21</v>
      </c>
      <c r="BY34" s="25">
        <v>0</v>
      </c>
      <c r="BZ34" s="25">
        <v>21</v>
      </c>
      <c r="CA34" s="25">
        <v>0</v>
      </c>
      <c r="CB34" s="25">
        <v>21</v>
      </c>
      <c r="CC34" s="25">
        <v>0</v>
      </c>
      <c r="CD34" s="25">
        <v>21</v>
      </c>
      <c r="CE34" s="25">
        <v>0</v>
      </c>
      <c r="CF34" s="25">
        <v>21</v>
      </c>
      <c r="CG34" s="25">
        <v>210</v>
      </c>
      <c r="CH34" s="25">
        <v>97</v>
      </c>
      <c r="CI34" s="25">
        <v>138</v>
      </c>
      <c r="CJ34" s="25">
        <v>86</v>
      </c>
      <c r="CK34" s="25">
        <v>131</v>
      </c>
      <c r="CL34" s="25">
        <v>88</v>
      </c>
      <c r="CM34" s="25">
        <v>7</v>
      </c>
      <c r="CN34" s="25">
        <v>10</v>
      </c>
      <c r="CO34" s="25">
        <v>15</v>
      </c>
      <c r="CP34" s="25">
        <v>23</v>
      </c>
      <c r="CQ34" s="25">
        <v>0</v>
      </c>
      <c r="CR34" s="25">
        <v>21</v>
      </c>
      <c r="CS34" s="25">
        <v>17</v>
      </c>
      <c r="CT34" s="25">
        <v>29</v>
      </c>
      <c r="CU34" s="25">
        <v>0</v>
      </c>
      <c r="CV34" s="25">
        <v>21</v>
      </c>
      <c r="CW34" s="25">
        <v>40</v>
      </c>
      <c r="CX34" s="25">
        <v>37</v>
      </c>
      <c r="CY34" s="25">
        <v>0</v>
      </c>
      <c r="CZ34" s="25">
        <v>21</v>
      </c>
      <c r="DA34" s="25">
        <v>242</v>
      </c>
      <c r="DB34" s="25">
        <v>95</v>
      </c>
      <c r="DC34" s="25">
        <v>169</v>
      </c>
      <c r="DD34" s="25">
        <v>80</v>
      </c>
      <c r="DE34" s="25">
        <v>158</v>
      </c>
      <c r="DF34" s="25">
        <v>79</v>
      </c>
      <c r="DG34" s="25">
        <v>11</v>
      </c>
      <c r="DH34" s="25">
        <v>16</v>
      </c>
      <c r="DI34" s="25">
        <v>12</v>
      </c>
      <c r="DJ34" s="25">
        <v>18</v>
      </c>
      <c r="DK34" s="25">
        <v>55</v>
      </c>
      <c r="DL34" s="25">
        <v>51</v>
      </c>
      <c r="DM34" s="25">
        <v>0</v>
      </c>
      <c r="DN34" s="25">
        <v>21</v>
      </c>
      <c r="DO34" s="25">
        <v>0</v>
      </c>
      <c r="DP34" s="25">
        <v>21</v>
      </c>
      <c r="DQ34" s="25">
        <v>6</v>
      </c>
      <c r="DR34" s="25">
        <v>10</v>
      </c>
      <c r="DS34" s="25">
        <v>0</v>
      </c>
      <c r="DT34" s="25">
        <v>21</v>
      </c>
      <c r="DU34" s="25">
        <v>914</v>
      </c>
      <c r="DV34" s="25">
        <v>204</v>
      </c>
      <c r="DW34" s="25">
        <v>573</v>
      </c>
      <c r="DX34" s="25">
        <v>189</v>
      </c>
      <c r="DY34" s="25">
        <v>318</v>
      </c>
      <c r="DZ34" s="25">
        <v>129</v>
      </c>
      <c r="EA34" s="25">
        <v>255</v>
      </c>
      <c r="EB34" s="25">
        <v>128</v>
      </c>
      <c r="EC34" s="25">
        <v>40</v>
      </c>
      <c r="ED34" s="25">
        <v>38</v>
      </c>
      <c r="EE34" s="25">
        <v>39</v>
      </c>
      <c r="EF34" s="25">
        <v>48</v>
      </c>
      <c r="EG34" s="25">
        <v>0</v>
      </c>
      <c r="EH34" s="25">
        <v>21</v>
      </c>
      <c r="EI34" s="25">
        <v>71</v>
      </c>
      <c r="EJ34" s="25">
        <v>94</v>
      </c>
      <c r="EK34" s="25">
        <v>165</v>
      </c>
      <c r="EL34" s="25">
        <v>80</v>
      </c>
      <c r="EM34" s="25">
        <v>26</v>
      </c>
      <c r="EN34" s="25">
        <v>32</v>
      </c>
    </row>
    <row r="35" spans="1:144" x14ac:dyDescent="0.25">
      <c r="A35" s="19">
        <f t="shared" si="8"/>
        <v>53</v>
      </c>
      <c r="B35" s="20" t="str">
        <f t="shared" si="9"/>
        <v>Washington</v>
      </c>
      <c r="C35" s="24" t="s">
        <v>340</v>
      </c>
      <c r="D35" s="24" t="s">
        <v>341</v>
      </c>
      <c r="E35" s="25">
        <v>52697</v>
      </c>
      <c r="F35" s="25">
        <v>1084</v>
      </c>
      <c r="G35" s="25">
        <v>38261</v>
      </c>
      <c r="H35" s="25">
        <v>1103</v>
      </c>
      <c r="I35" s="25">
        <v>35147</v>
      </c>
      <c r="J35" s="25">
        <v>1099</v>
      </c>
      <c r="K35" s="25">
        <v>3114</v>
      </c>
      <c r="L35" s="25">
        <v>379</v>
      </c>
      <c r="M35" s="25">
        <v>4048</v>
      </c>
      <c r="N35" s="25">
        <v>574</v>
      </c>
      <c r="O35" s="25">
        <v>3946</v>
      </c>
      <c r="P35" s="25">
        <v>433</v>
      </c>
      <c r="Q35" s="25">
        <v>2468</v>
      </c>
      <c r="R35" s="25">
        <v>382</v>
      </c>
      <c r="S35" s="25">
        <v>828</v>
      </c>
      <c r="T35" s="25">
        <v>239</v>
      </c>
      <c r="U35" s="25">
        <v>3049</v>
      </c>
      <c r="V35" s="25">
        <v>427</v>
      </c>
      <c r="W35" s="25">
        <v>97</v>
      </c>
      <c r="X35" s="25">
        <v>64</v>
      </c>
      <c r="Y35" s="25">
        <v>42174</v>
      </c>
      <c r="Z35" s="25">
        <v>1101</v>
      </c>
      <c r="AA35" s="25">
        <v>30702</v>
      </c>
      <c r="AB35" s="25">
        <v>998</v>
      </c>
      <c r="AC35" s="25">
        <v>28493</v>
      </c>
      <c r="AD35" s="25">
        <v>986</v>
      </c>
      <c r="AE35" s="25">
        <v>2209</v>
      </c>
      <c r="AF35" s="25">
        <v>389</v>
      </c>
      <c r="AG35" s="25">
        <v>3542</v>
      </c>
      <c r="AH35" s="25">
        <v>548</v>
      </c>
      <c r="AI35" s="25">
        <v>3402</v>
      </c>
      <c r="AJ35" s="25">
        <v>412</v>
      </c>
      <c r="AK35" s="25">
        <v>2011</v>
      </c>
      <c r="AL35" s="25">
        <v>360</v>
      </c>
      <c r="AM35" s="25">
        <v>573</v>
      </c>
      <c r="AN35" s="25">
        <v>202</v>
      </c>
      <c r="AO35" s="25">
        <v>1886</v>
      </c>
      <c r="AP35" s="25">
        <v>359</v>
      </c>
      <c r="AQ35" s="25">
        <v>58</v>
      </c>
      <c r="AR35" s="25">
        <v>49</v>
      </c>
      <c r="AS35" s="25">
        <v>5218</v>
      </c>
      <c r="AT35" s="25">
        <v>566</v>
      </c>
      <c r="AU35" s="25">
        <v>4042</v>
      </c>
      <c r="AV35" s="25">
        <v>497</v>
      </c>
      <c r="AW35" s="25">
        <v>3824</v>
      </c>
      <c r="AX35" s="25">
        <v>520</v>
      </c>
      <c r="AY35" s="25">
        <v>218</v>
      </c>
      <c r="AZ35" s="25">
        <v>104</v>
      </c>
      <c r="BA35" s="25">
        <v>230</v>
      </c>
      <c r="BB35" s="25">
        <v>133</v>
      </c>
      <c r="BC35" s="25">
        <v>331</v>
      </c>
      <c r="BD35" s="25">
        <v>125</v>
      </c>
      <c r="BE35" s="25">
        <v>291</v>
      </c>
      <c r="BF35" s="25">
        <v>128</v>
      </c>
      <c r="BG35" s="25">
        <v>92</v>
      </c>
      <c r="BH35" s="25">
        <v>55</v>
      </c>
      <c r="BI35" s="25">
        <v>211</v>
      </c>
      <c r="BJ35" s="25">
        <v>101</v>
      </c>
      <c r="BK35" s="25">
        <v>21</v>
      </c>
      <c r="BL35" s="25">
        <v>35</v>
      </c>
      <c r="BM35" s="25">
        <v>164</v>
      </c>
      <c r="BN35" s="25">
        <v>86</v>
      </c>
      <c r="BO35" s="25">
        <v>109</v>
      </c>
      <c r="BP35" s="25">
        <v>73</v>
      </c>
      <c r="BQ35" s="25">
        <v>109</v>
      </c>
      <c r="BR35" s="25">
        <v>73</v>
      </c>
      <c r="BS35" s="25">
        <v>0</v>
      </c>
      <c r="BT35" s="25">
        <v>27</v>
      </c>
      <c r="BU35" s="25">
        <v>14</v>
      </c>
      <c r="BV35" s="25">
        <v>25</v>
      </c>
      <c r="BW35" s="25">
        <v>23</v>
      </c>
      <c r="BX35" s="25">
        <v>29</v>
      </c>
      <c r="BY35" s="25">
        <v>0</v>
      </c>
      <c r="BZ35" s="25">
        <v>27</v>
      </c>
      <c r="CA35" s="25">
        <v>0</v>
      </c>
      <c r="CB35" s="25">
        <v>27</v>
      </c>
      <c r="CC35" s="25">
        <v>18</v>
      </c>
      <c r="CD35" s="25">
        <v>28</v>
      </c>
      <c r="CE35" s="25">
        <v>0</v>
      </c>
      <c r="CF35" s="25">
        <v>27</v>
      </c>
      <c r="CG35" s="25">
        <v>1475</v>
      </c>
      <c r="CH35" s="25">
        <v>318</v>
      </c>
      <c r="CI35" s="25">
        <v>1113</v>
      </c>
      <c r="CJ35" s="25">
        <v>292</v>
      </c>
      <c r="CK35" s="25">
        <v>955</v>
      </c>
      <c r="CL35" s="25">
        <v>266</v>
      </c>
      <c r="CM35" s="25">
        <v>158</v>
      </c>
      <c r="CN35" s="25">
        <v>106</v>
      </c>
      <c r="CO35" s="25">
        <v>97</v>
      </c>
      <c r="CP35" s="25">
        <v>75</v>
      </c>
      <c r="CQ35" s="25">
        <v>41</v>
      </c>
      <c r="CR35" s="25">
        <v>31</v>
      </c>
      <c r="CS35" s="25">
        <v>32</v>
      </c>
      <c r="CT35" s="25">
        <v>32</v>
      </c>
      <c r="CU35" s="25">
        <v>69</v>
      </c>
      <c r="CV35" s="25">
        <v>84</v>
      </c>
      <c r="CW35" s="25">
        <v>123</v>
      </c>
      <c r="CX35" s="25">
        <v>70</v>
      </c>
      <c r="CY35" s="25">
        <v>0</v>
      </c>
      <c r="CZ35" s="25">
        <v>27</v>
      </c>
      <c r="DA35" s="25">
        <v>1148</v>
      </c>
      <c r="DB35" s="25">
        <v>258</v>
      </c>
      <c r="DC35" s="25">
        <v>766</v>
      </c>
      <c r="DD35" s="25">
        <v>220</v>
      </c>
      <c r="DE35" s="25">
        <v>745</v>
      </c>
      <c r="DF35" s="25">
        <v>216</v>
      </c>
      <c r="DG35" s="25">
        <v>21</v>
      </c>
      <c r="DH35" s="25">
        <v>35</v>
      </c>
      <c r="DI35" s="25">
        <v>100</v>
      </c>
      <c r="DJ35" s="25">
        <v>66</v>
      </c>
      <c r="DK35" s="25">
        <v>88</v>
      </c>
      <c r="DL35" s="25">
        <v>52</v>
      </c>
      <c r="DM35" s="25">
        <v>96</v>
      </c>
      <c r="DN35" s="25">
        <v>97</v>
      </c>
      <c r="DO35" s="25">
        <v>25</v>
      </c>
      <c r="DP35" s="25">
        <v>36</v>
      </c>
      <c r="DQ35" s="25">
        <v>73</v>
      </c>
      <c r="DR35" s="25">
        <v>60</v>
      </c>
      <c r="DS35" s="25">
        <v>0</v>
      </c>
      <c r="DT35" s="25">
        <v>27</v>
      </c>
      <c r="DU35" s="25">
        <v>2518</v>
      </c>
      <c r="DV35" s="25">
        <v>359</v>
      </c>
      <c r="DW35" s="25">
        <v>1529</v>
      </c>
      <c r="DX35" s="25">
        <v>291</v>
      </c>
      <c r="DY35" s="25">
        <v>1021</v>
      </c>
      <c r="DZ35" s="25">
        <v>261</v>
      </c>
      <c r="EA35" s="25">
        <v>508</v>
      </c>
      <c r="EB35" s="25">
        <v>194</v>
      </c>
      <c r="EC35" s="25">
        <v>65</v>
      </c>
      <c r="ED35" s="25">
        <v>50</v>
      </c>
      <c r="EE35" s="25">
        <v>61</v>
      </c>
      <c r="EF35" s="25">
        <v>48</v>
      </c>
      <c r="EG35" s="25">
        <v>38</v>
      </c>
      <c r="EH35" s="25">
        <v>33</v>
      </c>
      <c r="EI35" s="25">
        <v>69</v>
      </c>
      <c r="EJ35" s="25">
        <v>55</v>
      </c>
      <c r="EK35" s="25">
        <v>738</v>
      </c>
      <c r="EL35" s="25">
        <v>207</v>
      </c>
      <c r="EM35" s="25">
        <v>18</v>
      </c>
      <c r="EN35" s="25">
        <v>30</v>
      </c>
    </row>
    <row r="36" spans="1:144" x14ac:dyDescent="0.25">
      <c r="A36" s="19">
        <f t="shared" si="8"/>
        <v>55</v>
      </c>
      <c r="B36" s="20" t="str">
        <f t="shared" si="9"/>
        <v>Wayne</v>
      </c>
      <c r="C36" s="24" t="s">
        <v>342</v>
      </c>
      <c r="D36" s="24" t="s">
        <v>343</v>
      </c>
      <c r="E36" s="25">
        <v>1238</v>
      </c>
      <c r="F36" s="25">
        <v>104</v>
      </c>
      <c r="G36" s="25">
        <v>755</v>
      </c>
      <c r="H36" s="25">
        <v>100</v>
      </c>
      <c r="I36" s="25">
        <v>589</v>
      </c>
      <c r="J36" s="25">
        <v>113</v>
      </c>
      <c r="K36" s="25">
        <v>166</v>
      </c>
      <c r="L36" s="25">
        <v>70</v>
      </c>
      <c r="M36" s="25">
        <v>42</v>
      </c>
      <c r="N36" s="25">
        <v>23</v>
      </c>
      <c r="O36" s="25">
        <v>102</v>
      </c>
      <c r="P36" s="25">
        <v>43</v>
      </c>
      <c r="Q36" s="25">
        <v>75</v>
      </c>
      <c r="R36" s="25">
        <v>40</v>
      </c>
      <c r="S36" s="25">
        <v>131</v>
      </c>
      <c r="T36" s="25">
        <v>55</v>
      </c>
      <c r="U36" s="25">
        <v>131</v>
      </c>
      <c r="V36" s="25">
        <v>54</v>
      </c>
      <c r="W36" s="25">
        <v>2</v>
      </c>
      <c r="X36" s="25">
        <v>4</v>
      </c>
      <c r="Y36" s="25">
        <v>831</v>
      </c>
      <c r="Z36" s="25">
        <v>112</v>
      </c>
      <c r="AA36" s="25">
        <v>509</v>
      </c>
      <c r="AB36" s="25">
        <v>89</v>
      </c>
      <c r="AC36" s="25">
        <v>444</v>
      </c>
      <c r="AD36" s="25">
        <v>90</v>
      </c>
      <c r="AE36" s="25">
        <v>65</v>
      </c>
      <c r="AF36" s="25">
        <v>35</v>
      </c>
      <c r="AG36" s="25">
        <v>39</v>
      </c>
      <c r="AH36" s="25">
        <v>22</v>
      </c>
      <c r="AI36" s="25">
        <v>88</v>
      </c>
      <c r="AJ36" s="25">
        <v>42</v>
      </c>
      <c r="AK36" s="25">
        <v>42</v>
      </c>
      <c r="AL36" s="25">
        <v>18</v>
      </c>
      <c r="AM36" s="25">
        <v>85</v>
      </c>
      <c r="AN36" s="25">
        <v>37</v>
      </c>
      <c r="AO36" s="25">
        <v>68</v>
      </c>
      <c r="AP36" s="25">
        <v>36</v>
      </c>
      <c r="AQ36" s="25">
        <v>0</v>
      </c>
      <c r="AR36" s="25">
        <v>11</v>
      </c>
      <c r="AS36" s="25">
        <v>155</v>
      </c>
      <c r="AT36" s="25">
        <v>67</v>
      </c>
      <c r="AU36" s="25">
        <v>103</v>
      </c>
      <c r="AV36" s="25">
        <v>58</v>
      </c>
      <c r="AW36" s="25">
        <v>88</v>
      </c>
      <c r="AX36" s="25">
        <v>56</v>
      </c>
      <c r="AY36" s="25">
        <v>15</v>
      </c>
      <c r="AZ36" s="25">
        <v>15</v>
      </c>
      <c r="BA36" s="25">
        <v>0</v>
      </c>
      <c r="BB36" s="25">
        <v>11</v>
      </c>
      <c r="BC36" s="25">
        <v>5</v>
      </c>
      <c r="BD36" s="25">
        <v>6</v>
      </c>
      <c r="BE36" s="25">
        <v>3</v>
      </c>
      <c r="BF36" s="25">
        <v>5</v>
      </c>
      <c r="BG36" s="25">
        <v>33</v>
      </c>
      <c r="BH36" s="25">
        <v>29</v>
      </c>
      <c r="BI36" s="25">
        <v>11</v>
      </c>
      <c r="BJ36" s="25">
        <v>10</v>
      </c>
      <c r="BK36" s="25">
        <v>0</v>
      </c>
      <c r="BL36" s="25">
        <v>11</v>
      </c>
      <c r="BM36" s="25">
        <v>24</v>
      </c>
      <c r="BN36" s="25">
        <v>27</v>
      </c>
      <c r="BO36" s="25">
        <v>20</v>
      </c>
      <c r="BP36" s="25">
        <v>26</v>
      </c>
      <c r="BQ36" s="25">
        <v>0</v>
      </c>
      <c r="BR36" s="25">
        <v>11</v>
      </c>
      <c r="BS36" s="25">
        <v>20</v>
      </c>
      <c r="BT36" s="25">
        <v>26</v>
      </c>
      <c r="BU36" s="25">
        <v>0</v>
      </c>
      <c r="BV36" s="25">
        <v>11</v>
      </c>
      <c r="BW36" s="25">
        <v>0</v>
      </c>
      <c r="BX36" s="25">
        <v>11</v>
      </c>
      <c r="BY36" s="25">
        <v>0</v>
      </c>
      <c r="BZ36" s="25">
        <v>11</v>
      </c>
      <c r="CA36" s="25">
        <v>4</v>
      </c>
      <c r="CB36" s="25">
        <v>7</v>
      </c>
      <c r="CC36" s="25">
        <v>0</v>
      </c>
      <c r="CD36" s="25">
        <v>11</v>
      </c>
      <c r="CE36" s="25">
        <v>0</v>
      </c>
      <c r="CF36" s="25">
        <v>11</v>
      </c>
      <c r="CG36" s="25">
        <v>128</v>
      </c>
      <c r="CH36" s="25">
        <v>56</v>
      </c>
      <c r="CI36" s="25">
        <v>95</v>
      </c>
      <c r="CJ36" s="25">
        <v>57</v>
      </c>
      <c r="CK36" s="25">
        <v>40</v>
      </c>
      <c r="CL36" s="25">
        <v>23</v>
      </c>
      <c r="CM36" s="25">
        <v>55</v>
      </c>
      <c r="CN36" s="25">
        <v>55</v>
      </c>
      <c r="CO36" s="25">
        <v>3</v>
      </c>
      <c r="CP36" s="25">
        <v>6</v>
      </c>
      <c r="CQ36" s="25">
        <v>9</v>
      </c>
      <c r="CR36" s="25">
        <v>10</v>
      </c>
      <c r="CS36" s="25">
        <v>7</v>
      </c>
      <c r="CT36" s="25">
        <v>10</v>
      </c>
      <c r="CU36" s="25">
        <v>6</v>
      </c>
      <c r="CV36" s="25">
        <v>7</v>
      </c>
      <c r="CW36" s="25">
        <v>6</v>
      </c>
      <c r="CX36" s="25">
        <v>13</v>
      </c>
      <c r="CY36" s="25">
        <v>2</v>
      </c>
      <c r="CZ36" s="25">
        <v>4</v>
      </c>
      <c r="DA36" s="25">
        <v>0</v>
      </c>
      <c r="DB36" s="25">
        <v>11</v>
      </c>
      <c r="DC36" s="25">
        <v>0</v>
      </c>
      <c r="DD36" s="25">
        <v>11</v>
      </c>
      <c r="DE36" s="25">
        <v>0</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100</v>
      </c>
      <c r="DV36" s="25">
        <v>45</v>
      </c>
      <c r="DW36" s="25">
        <v>28</v>
      </c>
      <c r="DX36" s="25">
        <v>24</v>
      </c>
      <c r="DY36" s="25">
        <v>17</v>
      </c>
      <c r="DZ36" s="25">
        <v>19</v>
      </c>
      <c r="EA36" s="25">
        <v>11</v>
      </c>
      <c r="EB36" s="25">
        <v>10</v>
      </c>
      <c r="EC36" s="25">
        <v>0</v>
      </c>
      <c r="ED36" s="25">
        <v>11</v>
      </c>
      <c r="EE36" s="25">
        <v>0</v>
      </c>
      <c r="EF36" s="25">
        <v>11</v>
      </c>
      <c r="EG36" s="25">
        <v>23</v>
      </c>
      <c r="EH36" s="25">
        <v>38</v>
      </c>
      <c r="EI36" s="25">
        <v>3</v>
      </c>
      <c r="EJ36" s="25">
        <v>4</v>
      </c>
      <c r="EK36" s="25">
        <v>46</v>
      </c>
      <c r="EL36" s="25">
        <v>32</v>
      </c>
      <c r="EM36" s="25">
        <v>0</v>
      </c>
      <c r="EN36" s="25">
        <v>11</v>
      </c>
    </row>
    <row r="37" spans="1:144" x14ac:dyDescent="0.25">
      <c r="A37" s="19">
        <f t="shared" si="8"/>
        <v>57</v>
      </c>
      <c r="B37" s="20" t="str">
        <f t="shared" si="9"/>
        <v>Weber</v>
      </c>
      <c r="C37" s="24" t="s">
        <v>344</v>
      </c>
      <c r="D37" s="24" t="s">
        <v>345</v>
      </c>
      <c r="E37" s="25">
        <v>105102</v>
      </c>
      <c r="F37" s="25">
        <v>1086</v>
      </c>
      <c r="G37" s="25">
        <v>73198</v>
      </c>
      <c r="H37" s="25">
        <v>1351</v>
      </c>
      <c r="I37" s="25">
        <v>69514</v>
      </c>
      <c r="J37" s="25">
        <v>1374</v>
      </c>
      <c r="K37" s="25">
        <v>3684</v>
      </c>
      <c r="L37" s="25">
        <v>404</v>
      </c>
      <c r="M37" s="25">
        <v>5824</v>
      </c>
      <c r="N37" s="25">
        <v>535</v>
      </c>
      <c r="O37" s="25">
        <v>6682</v>
      </c>
      <c r="P37" s="25">
        <v>480</v>
      </c>
      <c r="Q37" s="25">
        <v>4742</v>
      </c>
      <c r="R37" s="25">
        <v>437</v>
      </c>
      <c r="S37" s="25">
        <v>10900</v>
      </c>
      <c r="T37" s="25">
        <v>654</v>
      </c>
      <c r="U37" s="25">
        <v>3654</v>
      </c>
      <c r="V37" s="25">
        <v>420</v>
      </c>
      <c r="W37" s="25">
        <v>102</v>
      </c>
      <c r="X37" s="25">
        <v>79</v>
      </c>
      <c r="Y37" s="25">
        <v>83432</v>
      </c>
      <c r="Z37" s="25">
        <v>1243</v>
      </c>
      <c r="AA37" s="25">
        <v>57830</v>
      </c>
      <c r="AB37" s="25">
        <v>1335</v>
      </c>
      <c r="AC37" s="25">
        <v>55194</v>
      </c>
      <c r="AD37" s="25">
        <v>1302</v>
      </c>
      <c r="AE37" s="25">
        <v>2636</v>
      </c>
      <c r="AF37" s="25">
        <v>355</v>
      </c>
      <c r="AG37" s="25">
        <v>4687</v>
      </c>
      <c r="AH37" s="25">
        <v>505</v>
      </c>
      <c r="AI37" s="25">
        <v>5631</v>
      </c>
      <c r="AJ37" s="25">
        <v>424</v>
      </c>
      <c r="AK37" s="25">
        <v>3792</v>
      </c>
      <c r="AL37" s="25">
        <v>373</v>
      </c>
      <c r="AM37" s="25">
        <v>9316</v>
      </c>
      <c r="AN37" s="25">
        <v>640</v>
      </c>
      <c r="AO37" s="25">
        <v>2123</v>
      </c>
      <c r="AP37" s="25">
        <v>330</v>
      </c>
      <c r="AQ37" s="25">
        <v>53</v>
      </c>
      <c r="AR37" s="25">
        <v>69</v>
      </c>
      <c r="AS37" s="25">
        <v>13136</v>
      </c>
      <c r="AT37" s="25">
        <v>889</v>
      </c>
      <c r="AU37" s="25">
        <v>10057</v>
      </c>
      <c r="AV37" s="25">
        <v>775</v>
      </c>
      <c r="AW37" s="25">
        <v>9693</v>
      </c>
      <c r="AX37" s="25">
        <v>779</v>
      </c>
      <c r="AY37" s="25">
        <v>364</v>
      </c>
      <c r="AZ37" s="25">
        <v>113</v>
      </c>
      <c r="BA37" s="25">
        <v>570</v>
      </c>
      <c r="BB37" s="25">
        <v>156</v>
      </c>
      <c r="BC37" s="25">
        <v>596</v>
      </c>
      <c r="BD37" s="25">
        <v>147</v>
      </c>
      <c r="BE37" s="25">
        <v>427</v>
      </c>
      <c r="BF37" s="25">
        <v>116</v>
      </c>
      <c r="BG37" s="25">
        <v>1204</v>
      </c>
      <c r="BH37" s="25">
        <v>271</v>
      </c>
      <c r="BI37" s="25">
        <v>249</v>
      </c>
      <c r="BJ37" s="25">
        <v>97</v>
      </c>
      <c r="BK37" s="25">
        <v>33</v>
      </c>
      <c r="BL37" s="25">
        <v>30</v>
      </c>
      <c r="BM37" s="25">
        <v>1911</v>
      </c>
      <c r="BN37" s="25">
        <v>310</v>
      </c>
      <c r="BO37" s="25">
        <v>1242</v>
      </c>
      <c r="BP37" s="25">
        <v>260</v>
      </c>
      <c r="BQ37" s="25">
        <v>1229</v>
      </c>
      <c r="BR37" s="25">
        <v>260</v>
      </c>
      <c r="BS37" s="25">
        <v>13</v>
      </c>
      <c r="BT37" s="25">
        <v>16</v>
      </c>
      <c r="BU37" s="25">
        <v>232</v>
      </c>
      <c r="BV37" s="25">
        <v>95</v>
      </c>
      <c r="BW37" s="25">
        <v>80</v>
      </c>
      <c r="BX37" s="25">
        <v>46</v>
      </c>
      <c r="BY37" s="25">
        <v>190</v>
      </c>
      <c r="BZ37" s="25">
        <v>87</v>
      </c>
      <c r="CA37" s="25">
        <v>137</v>
      </c>
      <c r="CB37" s="25">
        <v>101</v>
      </c>
      <c r="CC37" s="25">
        <v>30</v>
      </c>
      <c r="CD37" s="25">
        <v>27</v>
      </c>
      <c r="CE37" s="25">
        <v>0</v>
      </c>
      <c r="CF37" s="25">
        <v>27</v>
      </c>
      <c r="CG37" s="25">
        <v>1559</v>
      </c>
      <c r="CH37" s="25">
        <v>305</v>
      </c>
      <c r="CI37" s="25">
        <v>1025</v>
      </c>
      <c r="CJ37" s="25">
        <v>251</v>
      </c>
      <c r="CK37" s="25">
        <v>968</v>
      </c>
      <c r="CL37" s="25">
        <v>246</v>
      </c>
      <c r="CM37" s="25">
        <v>57</v>
      </c>
      <c r="CN37" s="25">
        <v>40</v>
      </c>
      <c r="CO37" s="25">
        <v>94</v>
      </c>
      <c r="CP37" s="25">
        <v>52</v>
      </c>
      <c r="CQ37" s="25">
        <v>206</v>
      </c>
      <c r="CR37" s="25">
        <v>92</v>
      </c>
      <c r="CS37" s="25">
        <v>117</v>
      </c>
      <c r="CT37" s="25">
        <v>82</v>
      </c>
      <c r="CU37" s="25">
        <v>50</v>
      </c>
      <c r="CV37" s="25">
        <v>57</v>
      </c>
      <c r="CW37" s="25">
        <v>67</v>
      </c>
      <c r="CX37" s="25">
        <v>44</v>
      </c>
      <c r="CY37" s="25">
        <v>0</v>
      </c>
      <c r="CZ37" s="25">
        <v>27</v>
      </c>
      <c r="DA37" s="25">
        <v>1595</v>
      </c>
      <c r="DB37" s="25">
        <v>303</v>
      </c>
      <c r="DC37" s="25">
        <v>1082</v>
      </c>
      <c r="DD37" s="25">
        <v>257</v>
      </c>
      <c r="DE37" s="25">
        <v>1002</v>
      </c>
      <c r="DF37" s="25">
        <v>237</v>
      </c>
      <c r="DG37" s="25">
        <v>80</v>
      </c>
      <c r="DH37" s="25">
        <v>80</v>
      </c>
      <c r="DI37" s="25">
        <v>106</v>
      </c>
      <c r="DJ37" s="25">
        <v>66</v>
      </c>
      <c r="DK37" s="25">
        <v>152</v>
      </c>
      <c r="DL37" s="25">
        <v>101</v>
      </c>
      <c r="DM37" s="25">
        <v>62</v>
      </c>
      <c r="DN37" s="25">
        <v>57</v>
      </c>
      <c r="DO37" s="25">
        <v>93</v>
      </c>
      <c r="DP37" s="25">
        <v>60</v>
      </c>
      <c r="DQ37" s="25">
        <v>100</v>
      </c>
      <c r="DR37" s="25">
        <v>66</v>
      </c>
      <c r="DS37" s="25">
        <v>0</v>
      </c>
      <c r="DT37" s="25">
        <v>27</v>
      </c>
      <c r="DU37" s="25">
        <v>3469</v>
      </c>
      <c r="DV37" s="25">
        <v>349</v>
      </c>
      <c r="DW37" s="25">
        <v>1962</v>
      </c>
      <c r="DX37" s="25">
        <v>281</v>
      </c>
      <c r="DY37" s="25">
        <v>1428</v>
      </c>
      <c r="DZ37" s="25">
        <v>234</v>
      </c>
      <c r="EA37" s="25">
        <v>534</v>
      </c>
      <c r="EB37" s="25">
        <v>140</v>
      </c>
      <c r="EC37" s="25">
        <v>135</v>
      </c>
      <c r="ED37" s="25">
        <v>77</v>
      </c>
      <c r="EE37" s="25">
        <v>17</v>
      </c>
      <c r="EF37" s="25">
        <v>19</v>
      </c>
      <c r="EG37" s="25">
        <v>154</v>
      </c>
      <c r="EH37" s="25">
        <v>60</v>
      </c>
      <c r="EI37" s="25">
        <v>100</v>
      </c>
      <c r="EJ37" s="25">
        <v>55</v>
      </c>
      <c r="EK37" s="25">
        <v>1085</v>
      </c>
      <c r="EL37" s="25">
        <v>198</v>
      </c>
      <c r="EM37" s="25">
        <v>16</v>
      </c>
      <c r="EN37" s="25">
        <v>20</v>
      </c>
    </row>
    <row r="39" spans="1:144" x14ac:dyDescent="0.25">
      <c r="A39" s="19">
        <f>VLOOKUP($C39, lu_GEOID, 2, FALSE)</f>
        <v>101</v>
      </c>
      <c r="B39" s="20" t="str">
        <f>VLOOKUP($C39, lu_GEOID, 3, FALSE)</f>
        <v>Wasatch Front</v>
      </c>
      <c r="C39" s="17" t="s">
        <v>401</v>
      </c>
      <c r="D39" s="21" t="str">
        <f>B39</f>
        <v>Wasatch Front</v>
      </c>
      <c r="E39" s="22">
        <f>E14 + E26 + E33 + E37</f>
        <v>971641</v>
      </c>
      <c r="F39" s="22">
        <f t="shared" ref="F39:BQ39" si="10">F14 + F26 + F33 + F37</f>
        <v>7167</v>
      </c>
      <c r="G39" s="22">
        <f t="shared" si="10"/>
        <v>701083</v>
      </c>
      <c r="H39" s="22">
        <f t="shared" si="10"/>
        <v>7532</v>
      </c>
      <c r="I39" s="22">
        <f t="shared" si="10"/>
        <v>663990</v>
      </c>
      <c r="J39" s="22">
        <f t="shared" si="10"/>
        <v>7592</v>
      </c>
      <c r="K39" s="22">
        <f t="shared" si="10"/>
        <v>37093</v>
      </c>
      <c r="L39" s="22">
        <f t="shared" si="10"/>
        <v>2395</v>
      </c>
      <c r="M39" s="22">
        <f t="shared" si="10"/>
        <v>73038</v>
      </c>
      <c r="N39" s="22">
        <f t="shared" si="10"/>
        <v>3805</v>
      </c>
      <c r="O39" s="22">
        <f t="shared" si="10"/>
        <v>59041</v>
      </c>
      <c r="P39" s="22">
        <f t="shared" si="10"/>
        <v>3350</v>
      </c>
      <c r="Q39" s="22">
        <f t="shared" si="10"/>
        <v>54719</v>
      </c>
      <c r="R39" s="22">
        <f t="shared" si="10"/>
        <v>3009</v>
      </c>
      <c r="S39" s="22">
        <f t="shared" si="10"/>
        <v>38860</v>
      </c>
      <c r="T39" s="22">
        <f t="shared" si="10"/>
        <v>2460</v>
      </c>
      <c r="U39" s="22">
        <f t="shared" si="10"/>
        <v>43719</v>
      </c>
      <c r="V39" s="22">
        <f t="shared" si="10"/>
        <v>2524</v>
      </c>
      <c r="W39" s="22">
        <f t="shared" si="10"/>
        <v>1181</v>
      </c>
      <c r="X39" s="22">
        <f t="shared" si="10"/>
        <v>453</v>
      </c>
      <c r="Y39" s="22">
        <f t="shared" si="10"/>
        <v>741926</v>
      </c>
      <c r="Z39" s="22">
        <f t="shared" si="10"/>
        <v>8037</v>
      </c>
      <c r="AA39" s="22">
        <f t="shared" si="10"/>
        <v>543892</v>
      </c>
      <c r="AB39" s="22">
        <f t="shared" si="10"/>
        <v>7546</v>
      </c>
      <c r="AC39" s="22">
        <f t="shared" si="10"/>
        <v>518559</v>
      </c>
      <c r="AD39" s="22">
        <f t="shared" si="10"/>
        <v>7569</v>
      </c>
      <c r="AE39" s="22">
        <f t="shared" si="10"/>
        <v>25333</v>
      </c>
      <c r="AF39" s="22">
        <f t="shared" si="10"/>
        <v>1946</v>
      </c>
      <c r="AG39" s="22">
        <f t="shared" si="10"/>
        <v>51952</v>
      </c>
      <c r="AH39" s="22">
        <f t="shared" si="10"/>
        <v>3066</v>
      </c>
      <c r="AI39" s="22">
        <f t="shared" si="10"/>
        <v>48979</v>
      </c>
      <c r="AJ39" s="22">
        <f t="shared" si="10"/>
        <v>3008</v>
      </c>
      <c r="AK39" s="22">
        <f t="shared" si="10"/>
        <v>41978</v>
      </c>
      <c r="AL39" s="22">
        <f t="shared" si="10"/>
        <v>2552</v>
      </c>
      <c r="AM39" s="22">
        <f t="shared" si="10"/>
        <v>32241</v>
      </c>
      <c r="AN39" s="22">
        <f t="shared" si="10"/>
        <v>2298</v>
      </c>
      <c r="AO39" s="22">
        <f t="shared" si="10"/>
        <v>22220</v>
      </c>
      <c r="AP39" s="22">
        <f t="shared" si="10"/>
        <v>1834</v>
      </c>
      <c r="AQ39" s="22">
        <f t="shared" si="10"/>
        <v>664</v>
      </c>
      <c r="AR39" s="22">
        <f t="shared" si="10"/>
        <v>330</v>
      </c>
      <c r="AS39" s="22">
        <f t="shared" si="10"/>
        <v>113365</v>
      </c>
      <c r="AT39" s="22">
        <f t="shared" si="10"/>
        <v>4705</v>
      </c>
      <c r="AU39" s="22">
        <f t="shared" si="10"/>
        <v>84912</v>
      </c>
      <c r="AV39" s="22">
        <f t="shared" si="10"/>
        <v>4308</v>
      </c>
      <c r="AW39" s="22">
        <f t="shared" si="10"/>
        <v>81387</v>
      </c>
      <c r="AX39" s="22">
        <f t="shared" si="10"/>
        <v>4309</v>
      </c>
      <c r="AY39" s="22">
        <f t="shared" si="10"/>
        <v>3525</v>
      </c>
      <c r="AZ39" s="22">
        <f t="shared" si="10"/>
        <v>765</v>
      </c>
      <c r="BA39" s="22">
        <f t="shared" si="10"/>
        <v>8169</v>
      </c>
      <c r="BB39" s="22">
        <f t="shared" si="10"/>
        <v>1128</v>
      </c>
      <c r="BC39" s="22">
        <f t="shared" si="10"/>
        <v>6057</v>
      </c>
      <c r="BD39" s="22">
        <f t="shared" si="10"/>
        <v>912</v>
      </c>
      <c r="BE39" s="22">
        <f t="shared" si="10"/>
        <v>5628</v>
      </c>
      <c r="BF39" s="22">
        <f t="shared" si="10"/>
        <v>933</v>
      </c>
      <c r="BG39" s="22">
        <f t="shared" si="10"/>
        <v>4252</v>
      </c>
      <c r="BH39" s="22">
        <f t="shared" si="10"/>
        <v>883</v>
      </c>
      <c r="BI39" s="22">
        <f t="shared" si="10"/>
        <v>4092</v>
      </c>
      <c r="BJ39" s="22">
        <f t="shared" si="10"/>
        <v>869</v>
      </c>
      <c r="BK39" s="22">
        <f t="shared" si="10"/>
        <v>255</v>
      </c>
      <c r="BL39" s="22">
        <f t="shared" si="10"/>
        <v>184</v>
      </c>
      <c r="BM39" s="22">
        <f t="shared" si="10"/>
        <v>26933</v>
      </c>
      <c r="BN39" s="22">
        <f t="shared" si="10"/>
        <v>2172</v>
      </c>
      <c r="BO39" s="22">
        <f t="shared" si="10"/>
        <v>16769</v>
      </c>
      <c r="BP39" s="22">
        <f t="shared" si="10"/>
        <v>1725</v>
      </c>
      <c r="BQ39" s="22">
        <f t="shared" si="10"/>
        <v>16593</v>
      </c>
      <c r="BR39" s="22">
        <f t="shared" ref="BR39:EC39" si="11">BR14 + BR26 + BR33 + BR37</f>
        <v>1720</v>
      </c>
      <c r="BS39" s="22">
        <f t="shared" si="11"/>
        <v>176</v>
      </c>
      <c r="BT39" s="22">
        <f t="shared" si="11"/>
        <v>124</v>
      </c>
      <c r="BU39" s="22">
        <f t="shared" si="11"/>
        <v>4222</v>
      </c>
      <c r="BV39" s="22">
        <f t="shared" si="11"/>
        <v>820</v>
      </c>
      <c r="BW39" s="22">
        <f t="shared" si="11"/>
        <v>1251</v>
      </c>
      <c r="BX39" s="22">
        <f t="shared" si="11"/>
        <v>464</v>
      </c>
      <c r="BY39" s="22">
        <f t="shared" si="11"/>
        <v>3526</v>
      </c>
      <c r="BZ39" s="22">
        <f t="shared" si="11"/>
        <v>701</v>
      </c>
      <c r="CA39" s="22">
        <f t="shared" si="11"/>
        <v>895</v>
      </c>
      <c r="CB39" s="22">
        <f t="shared" si="11"/>
        <v>361</v>
      </c>
      <c r="CC39" s="22">
        <f t="shared" si="11"/>
        <v>270</v>
      </c>
      <c r="CD39" s="22">
        <f t="shared" si="11"/>
        <v>164</v>
      </c>
      <c r="CE39" s="22">
        <f t="shared" si="11"/>
        <v>0</v>
      </c>
      <c r="CF39" s="22">
        <f t="shared" si="11"/>
        <v>108</v>
      </c>
      <c r="CG39" s="22">
        <f t="shared" si="11"/>
        <v>24321</v>
      </c>
      <c r="CH39" s="22">
        <f t="shared" si="11"/>
        <v>2127</v>
      </c>
      <c r="CI39" s="22">
        <f t="shared" si="11"/>
        <v>14955</v>
      </c>
      <c r="CJ39" s="22">
        <f t="shared" si="11"/>
        <v>1691</v>
      </c>
      <c r="CK39" s="22">
        <f t="shared" si="11"/>
        <v>14266</v>
      </c>
      <c r="CL39" s="22">
        <f t="shared" si="11"/>
        <v>1671</v>
      </c>
      <c r="CM39" s="22">
        <f t="shared" si="11"/>
        <v>689</v>
      </c>
      <c r="CN39" s="22">
        <f t="shared" si="11"/>
        <v>295</v>
      </c>
      <c r="CO39" s="22">
        <f t="shared" si="11"/>
        <v>4878</v>
      </c>
      <c r="CP39" s="22">
        <f t="shared" si="11"/>
        <v>899</v>
      </c>
      <c r="CQ39" s="22">
        <f t="shared" si="11"/>
        <v>1193</v>
      </c>
      <c r="CR39" s="22">
        <f t="shared" si="11"/>
        <v>400</v>
      </c>
      <c r="CS39" s="22">
        <f t="shared" si="11"/>
        <v>1530</v>
      </c>
      <c r="CT39" s="22">
        <f t="shared" si="11"/>
        <v>432</v>
      </c>
      <c r="CU39" s="22">
        <f t="shared" si="11"/>
        <v>310</v>
      </c>
      <c r="CV39" s="22">
        <f t="shared" si="11"/>
        <v>219</v>
      </c>
      <c r="CW39" s="22">
        <f t="shared" si="11"/>
        <v>1424</v>
      </c>
      <c r="CX39" s="22">
        <f t="shared" si="11"/>
        <v>456</v>
      </c>
      <c r="CY39" s="22">
        <f t="shared" si="11"/>
        <v>31</v>
      </c>
      <c r="CZ39" s="22">
        <f t="shared" si="11"/>
        <v>100</v>
      </c>
      <c r="DA39" s="22">
        <f t="shared" si="11"/>
        <v>18986</v>
      </c>
      <c r="DB39" s="22">
        <f t="shared" si="11"/>
        <v>1882</v>
      </c>
      <c r="DC39" s="22">
        <f t="shared" si="11"/>
        <v>13311</v>
      </c>
      <c r="DD39" s="22">
        <f t="shared" si="11"/>
        <v>1527</v>
      </c>
      <c r="DE39" s="22">
        <f t="shared" si="11"/>
        <v>12670</v>
      </c>
      <c r="DF39" s="22">
        <f t="shared" si="11"/>
        <v>1455</v>
      </c>
      <c r="DG39" s="22">
        <f t="shared" si="11"/>
        <v>641</v>
      </c>
      <c r="DH39" s="22">
        <f t="shared" si="11"/>
        <v>341</v>
      </c>
      <c r="DI39" s="22">
        <f t="shared" si="11"/>
        <v>1889</v>
      </c>
      <c r="DJ39" s="22">
        <f t="shared" si="11"/>
        <v>460</v>
      </c>
      <c r="DK39" s="22">
        <f t="shared" si="11"/>
        <v>1054</v>
      </c>
      <c r="DL39" s="22">
        <f t="shared" si="11"/>
        <v>455</v>
      </c>
      <c r="DM39" s="22">
        <f t="shared" si="11"/>
        <v>1172</v>
      </c>
      <c r="DN39" s="22">
        <f t="shared" si="11"/>
        <v>395</v>
      </c>
      <c r="DO39" s="22">
        <f t="shared" si="11"/>
        <v>655</v>
      </c>
      <c r="DP39" s="22">
        <f t="shared" si="11"/>
        <v>309</v>
      </c>
      <c r="DQ39" s="22">
        <f t="shared" si="11"/>
        <v>899</v>
      </c>
      <c r="DR39" s="22">
        <f t="shared" si="11"/>
        <v>443</v>
      </c>
      <c r="DS39" s="22">
        <f t="shared" si="11"/>
        <v>6</v>
      </c>
      <c r="DT39" s="22">
        <f t="shared" si="11"/>
        <v>91</v>
      </c>
      <c r="DU39" s="22">
        <f t="shared" si="11"/>
        <v>46110</v>
      </c>
      <c r="DV39" s="22">
        <f t="shared" si="11"/>
        <v>2665</v>
      </c>
      <c r="DW39" s="22">
        <f t="shared" si="11"/>
        <v>27244</v>
      </c>
      <c r="DX39" s="22">
        <f t="shared" si="11"/>
        <v>2134</v>
      </c>
      <c r="DY39" s="22">
        <f t="shared" si="11"/>
        <v>20515</v>
      </c>
      <c r="DZ39" s="22">
        <f t="shared" si="11"/>
        <v>1852</v>
      </c>
      <c r="EA39" s="22">
        <f t="shared" si="11"/>
        <v>6729</v>
      </c>
      <c r="EB39" s="22">
        <f t="shared" si="11"/>
        <v>1099</v>
      </c>
      <c r="EC39" s="22">
        <f t="shared" si="11"/>
        <v>1928</v>
      </c>
      <c r="ED39" s="22">
        <f t="shared" ref="ED39:EN39" si="12">ED14 + ED26 + ED33 + ED37</f>
        <v>546</v>
      </c>
      <c r="EE39" s="22">
        <f t="shared" si="12"/>
        <v>507</v>
      </c>
      <c r="EF39" s="22">
        <f t="shared" si="12"/>
        <v>272</v>
      </c>
      <c r="EG39" s="22">
        <f t="shared" si="12"/>
        <v>885</v>
      </c>
      <c r="EH39" s="22">
        <f t="shared" si="12"/>
        <v>366</v>
      </c>
      <c r="EI39" s="22">
        <f t="shared" si="12"/>
        <v>507</v>
      </c>
      <c r="EJ39" s="22">
        <f t="shared" si="12"/>
        <v>292</v>
      </c>
      <c r="EK39" s="22">
        <f t="shared" si="12"/>
        <v>14814</v>
      </c>
      <c r="EL39" s="22">
        <f t="shared" si="12"/>
        <v>1457</v>
      </c>
      <c r="EM39" s="22">
        <f t="shared" si="12"/>
        <v>225</v>
      </c>
      <c r="EN39" s="22">
        <f t="shared" si="12"/>
        <v>192</v>
      </c>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141337148</v>
      </c>
      <c r="F7" s="25">
        <v>142073</v>
      </c>
      <c r="G7" s="25">
        <v>99886840</v>
      </c>
      <c r="H7" s="25">
        <v>59408</v>
      </c>
      <c r="I7" s="25">
        <v>95004070</v>
      </c>
      <c r="J7" s="25">
        <v>65403</v>
      </c>
      <c r="K7" s="25">
        <v>4882770</v>
      </c>
      <c r="L7" s="25">
        <v>19138</v>
      </c>
      <c r="M7" s="25">
        <v>11360259</v>
      </c>
      <c r="N7" s="25">
        <v>62399</v>
      </c>
      <c r="O7" s="25">
        <v>9991299</v>
      </c>
      <c r="P7" s="25">
        <v>57053</v>
      </c>
      <c r="Q7" s="25">
        <v>6572634</v>
      </c>
      <c r="R7" s="25">
        <v>38898</v>
      </c>
      <c r="S7" s="25">
        <v>4832391</v>
      </c>
      <c r="T7" s="25">
        <v>27239</v>
      </c>
      <c r="U7" s="25">
        <v>8485910</v>
      </c>
      <c r="V7" s="25">
        <v>19547</v>
      </c>
      <c r="W7" s="25">
        <v>207815</v>
      </c>
      <c r="X7" s="25">
        <v>2909</v>
      </c>
      <c r="Y7" s="25">
        <v>107990698</v>
      </c>
      <c r="Z7" s="25">
        <v>109172</v>
      </c>
      <c r="AA7" s="25">
        <v>77256833</v>
      </c>
      <c r="AB7" s="25">
        <v>59107</v>
      </c>
      <c r="AC7" s="25">
        <v>73951905</v>
      </c>
      <c r="AD7" s="25">
        <v>63307</v>
      </c>
      <c r="AE7" s="25">
        <v>3304928</v>
      </c>
      <c r="AF7" s="25">
        <v>16932</v>
      </c>
      <c r="AG7" s="25">
        <v>8598050</v>
      </c>
      <c r="AH7" s="25">
        <v>47347</v>
      </c>
      <c r="AI7" s="25">
        <v>8283069</v>
      </c>
      <c r="AJ7" s="25">
        <v>42312</v>
      </c>
      <c r="AK7" s="25">
        <v>5102920</v>
      </c>
      <c r="AL7" s="25">
        <v>29895</v>
      </c>
      <c r="AM7" s="25">
        <v>3652650</v>
      </c>
      <c r="AN7" s="25">
        <v>21375</v>
      </c>
      <c r="AO7" s="25">
        <v>4990619</v>
      </c>
      <c r="AP7" s="25">
        <v>14486</v>
      </c>
      <c r="AQ7" s="25">
        <v>106557</v>
      </c>
      <c r="AR7" s="25">
        <v>2391</v>
      </c>
      <c r="AS7" s="25">
        <v>13554363</v>
      </c>
      <c r="AT7" s="25">
        <v>61669</v>
      </c>
      <c r="AU7" s="25">
        <v>9712140</v>
      </c>
      <c r="AV7" s="25">
        <v>29811</v>
      </c>
      <c r="AW7" s="25">
        <v>9270437</v>
      </c>
      <c r="AX7" s="25">
        <v>28061</v>
      </c>
      <c r="AY7" s="25">
        <v>441703</v>
      </c>
      <c r="AZ7" s="25">
        <v>5657</v>
      </c>
      <c r="BA7" s="25">
        <v>1033875</v>
      </c>
      <c r="BB7" s="25">
        <v>13109</v>
      </c>
      <c r="BC7" s="25">
        <v>864386</v>
      </c>
      <c r="BD7" s="25">
        <v>13491</v>
      </c>
      <c r="BE7" s="25">
        <v>649727</v>
      </c>
      <c r="BF7" s="25">
        <v>9952</v>
      </c>
      <c r="BG7" s="25">
        <v>440167</v>
      </c>
      <c r="BH7" s="25">
        <v>6645</v>
      </c>
      <c r="BI7" s="25">
        <v>820077</v>
      </c>
      <c r="BJ7" s="25">
        <v>7406</v>
      </c>
      <c r="BK7" s="25">
        <v>33991</v>
      </c>
      <c r="BL7" s="25">
        <v>1280</v>
      </c>
      <c r="BM7" s="25">
        <v>7157671</v>
      </c>
      <c r="BN7" s="25">
        <v>18697</v>
      </c>
      <c r="BO7" s="25">
        <v>5191765</v>
      </c>
      <c r="BP7" s="25">
        <v>19514</v>
      </c>
      <c r="BQ7" s="25">
        <v>5102700</v>
      </c>
      <c r="BR7" s="25">
        <v>19897</v>
      </c>
      <c r="BS7" s="25">
        <v>89065</v>
      </c>
      <c r="BT7" s="25">
        <v>2418</v>
      </c>
      <c r="BU7" s="25">
        <v>721868</v>
      </c>
      <c r="BV7" s="25">
        <v>6971</v>
      </c>
      <c r="BW7" s="25">
        <v>408004</v>
      </c>
      <c r="BX7" s="25">
        <v>4821</v>
      </c>
      <c r="BY7" s="25">
        <v>283513</v>
      </c>
      <c r="BZ7" s="25">
        <v>3638</v>
      </c>
      <c r="CA7" s="25">
        <v>296784</v>
      </c>
      <c r="CB7" s="25">
        <v>3749</v>
      </c>
      <c r="CC7" s="25">
        <v>250899</v>
      </c>
      <c r="CD7" s="25">
        <v>4112</v>
      </c>
      <c r="CE7" s="25">
        <v>4838</v>
      </c>
      <c r="CF7" s="25">
        <v>483</v>
      </c>
      <c r="CG7" s="25">
        <v>3932118</v>
      </c>
      <c r="CH7" s="25">
        <v>17452</v>
      </c>
      <c r="CI7" s="25">
        <v>2515618</v>
      </c>
      <c r="CJ7" s="25">
        <v>15896</v>
      </c>
      <c r="CK7" s="25">
        <v>2378819</v>
      </c>
      <c r="CL7" s="25">
        <v>15679</v>
      </c>
      <c r="CM7" s="25">
        <v>136799</v>
      </c>
      <c r="CN7" s="25">
        <v>2639</v>
      </c>
      <c r="CO7" s="25">
        <v>481841</v>
      </c>
      <c r="CP7" s="25">
        <v>4488</v>
      </c>
      <c r="CQ7" s="25">
        <v>191882</v>
      </c>
      <c r="CR7" s="25">
        <v>2963</v>
      </c>
      <c r="CS7" s="25">
        <v>250204</v>
      </c>
      <c r="CT7" s="25">
        <v>4342</v>
      </c>
      <c r="CU7" s="25">
        <v>192097</v>
      </c>
      <c r="CV7" s="25">
        <v>3966</v>
      </c>
      <c r="CW7" s="25">
        <v>288150</v>
      </c>
      <c r="CX7" s="25">
        <v>3130</v>
      </c>
      <c r="CY7" s="25">
        <v>12326</v>
      </c>
      <c r="CZ7" s="25">
        <v>879</v>
      </c>
      <c r="DA7" s="25">
        <v>2530707</v>
      </c>
      <c r="DB7" s="25">
        <v>13746</v>
      </c>
      <c r="DC7" s="25">
        <v>1821813</v>
      </c>
      <c r="DD7" s="25">
        <v>12724</v>
      </c>
      <c r="DE7" s="25">
        <v>1746922</v>
      </c>
      <c r="DF7" s="25">
        <v>12500</v>
      </c>
      <c r="DG7" s="25">
        <v>74891</v>
      </c>
      <c r="DH7" s="25">
        <v>2056</v>
      </c>
      <c r="DI7" s="25">
        <v>196001</v>
      </c>
      <c r="DJ7" s="25">
        <v>3168</v>
      </c>
      <c r="DK7" s="25">
        <v>121815</v>
      </c>
      <c r="DL7" s="25">
        <v>2489</v>
      </c>
      <c r="DM7" s="25">
        <v>124489</v>
      </c>
      <c r="DN7" s="25">
        <v>2481</v>
      </c>
      <c r="DO7" s="25">
        <v>86053</v>
      </c>
      <c r="DP7" s="25">
        <v>2530</v>
      </c>
      <c r="DQ7" s="25">
        <v>175397</v>
      </c>
      <c r="DR7" s="25">
        <v>3360</v>
      </c>
      <c r="DS7" s="25">
        <v>5139</v>
      </c>
      <c r="DT7" s="25">
        <v>525</v>
      </c>
      <c r="DU7" s="25">
        <v>6171591</v>
      </c>
      <c r="DV7" s="25">
        <v>19620</v>
      </c>
      <c r="DW7" s="25">
        <v>3388671</v>
      </c>
      <c r="DX7" s="25">
        <v>14198</v>
      </c>
      <c r="DY7" s="25">
        <v>2553287</v>
      </c>
      <c r="DZ7" s="25">
        <v>12725</v>
      </c>
      <c r="EA7" s="25">
        <v>835384</v>
      </c>
      <c r="EB7" s="25">
        <v>7672</v>
      </c>
      <c r="EC7" s="25">
        <v>328624</v>
      </c>
      <c r="ED7" s="25">
        <v>4239</v>
      </c>
      <c r="EE7" s="25">
        <v>122143</v>
      </c>
      <c r="EF7" s="25">
        <v>2348</v>
      </c>
      <c r="EG7" s="25">
        <v>161781</v>
      </c>
      <c r="EH7" s="25">
        <v>2749</v>
      </c>
      <c r="EI7" s="25">
        <v>164640</v>
      </c>
      <c r="EJ7" s="25">
        <v>3873</v>
      </c>
      <c r="EK7" s="25">
        <v>1960768</v>
      </c>
      <c r="EL7" s="25">
        <v>13500</v>
      </c>
      <c r="EM7" s="25">
        <v>44964</v>
      </c>
      <c r="EN7" s="25">
        <v>1523</v>
      </c>
    </row>
    <row r="8" spans="1:144" x14ac:dyDescent="0.25">
      <c r="A8" s="19">
        <f t="shared" si="8"/>
        <v>1049</v>
      </c>
      <c r="B8" s="20" t="str">
        <f t="shared" si="9"/>
        <v>State of Utah</v>
      </c>
      <c r="C8" s="24" t="s">
        <v>286</v>
      </c>
      <c r="D8" s="24" t="s">
        <v>287</v>
      </c>
      <c r="E8" s="25">
        <v>1282333</v>
      </c>
      <c r="F8" s="25">
        <v>3939</v>
      </c>
      <c r="G8" s="25">
        <v>926615</v>
      </c>
      <c r="H8" s="25">
        <v>4796</v>
      </c>
      <c r="I8" s="25">
        <v>874116</v>
      </c>
      <c r="J8" s="25">
        <v>5014</v>
      </c>
      <c r="K8" s="25">
        <v>52499</v>
      </c>
      <c r="L8" s="25">
        <v>1625</v>
      </c>
      <c r="M8" s="25">
        <v>90754</v>
      </c>
      <c r="N8" s="25">
        <v>2097</v>
      </c>
      <c r="O8" s="25">
        <v>81945</v>
      </c>
      <c r="P8" s="25">
        <v>2043</v>
      </c>
      <c r="Q8" s="25">
        <v>74741</v>
      </c>
      <c r="R8" s="25">
        <v>1878</v>
      </c>
      <c r="S8" s="25">
        <v>47545</v>
      </c>
      <c r="T8" s="25">
        <v>1519</v>
      </c>
      <c r="U8" s="25">
        <v>59050</v>
      </c>
      <c r="V8" s="25">
        <v>1491</v>
      </c>
      <c r="W8" s="25">
        <v>1683</v>
      </c>
      <c r="X8" s="25">
        <v>270</v>
      </c>
      <c r="Y8" s="25">
        <v>978566</v>
      </c>
      <c r="Z8" s="25">
        <v>4536</v>
      </c>
      <c r="AA8" s="25">
        <v>717866</v>
      </c>
      <c r="AB8" s="25">
        <v>4847</v>
      </c>
      <c r="AC8" s="25">
        <v>682999</v>
      </c>
      <c r="AD8" s="25">
        <v>5088</v>
      </c>
      <c r="AE8" s="25">
        <v>34867</v>
      </c>
      <c r="AF8" s="25">
        <v>1380</v>
      </c>
      <c r="AG8" s="25">
        <v>66324</v>
      </c>
      <c r="AH8" s="25">
        <v>1896</v>
      </c>
      <c r="AI8" s="25">
        <v>67787</v>
      </c>
      <c r="AJ8" s="25">
        <v>1821</v>
      </c>
      <c r="AK8" s="25">
        <v>56694</v>
      </c>
      <c r="AL8" s="25">
        <v>1636</v>
      </c>
      <c r="AM8" s="25">
        <v>38079</v>
      </c>
      <c r="AN8" s="25">
        <v>1308</v>
      </c>
      <c r="AO8" s="25">
        <v>30995</v>
      </c>
      <c r="AP8" s="25">
        <v>1189</v>
      </c>
      <c r="AQ8" s="25">
        <v>821</v>
      </c>
      <c r="AR8" s="25">
        <v>170</v>
      </c>
      <c r="AS8" s="25">
        <v>152602</v>
      </c>
      <c r="AT8" s="25">
        <v>3093</v>
      </c>
      <c r="AU8" s="25">
        <v>114891</v>
      </c>
      <c r="AV8" s="25">
        <v>2815</v>
      </c>
      <c r="AW8" s="25">
        <v>109813</v>
      </c>
      <c r="AX8" s="25">
        <v>2782</v>
      </c>
      <c r="AY8" s="25">
        <v>5078</v>
      </c>
      <c r="AZ8" s="25">
        <v>433</v>
      </c>
      <c r="BA8" s="25">
        <v>9844</v>
      </c>
      <c r="BB8" s="25">
        <v>577</v>
      </c>
      <c r="BC8" s="25">
        <v>8482</v>
      </c>
      <c r="BD8" s="25">
        <v>648</v>
      </c>
      <c r="BE8" s="25">
        <v>8010</v>
      </c>
      <c r="BF8" s="25">
        <v>533</v>
      </c>
      <c r="BG8" s="25">
        <v>5917</v>
      </c>
      <c r="BH8" s="25">
        <v>574</v>
      </c>
      <c r="BI8" s="25">
        <v>5088</v>
      </c>
      <c r="BJ8" s="25">
        <v>556</v>
      </c>
      <c r="BK8" s="25">
        <v>370</v>
      </c>
      <c r="BL8" s="25">
        <v>125</v>
      </c>
      <c r="BM8" s="25">
        <v>30823</v>
      </c>
      <c r="BN8" s="25">
        <v>1330</v>
      </c>
      <c r="BO8" s="25">
        <v>18992</v>
      </c>
      <c r="BP8" s="25">
        <v>1020</v>
      </c>
      <c r="BQ8" s="25">
        <v>18778</v>
      </c>
      <c r="BR8" s="25">
        <v>1019</v>
      </c>
      <c r="BS8" s="25">
        <v>214</v>
      </c>
      <c r="BT8" s="25">
        <v>92</v>
      </c>
      <c r="BU8" s="25">
        <v>4612</v>
      </c>
      <c r="BV8" s="25">
        <v>502</v>
      </c>
      <c r="BW8" s="25">
        <v>1611</v>
      </c>
      <c r="BX8" s="25">
        <v>214</v>
      </c>
      <c r="BY8" s="25">
        <v>4157</v>
      </c>
      <c r="BZ8" s="25">
        <v>428</v>
      </c>
      <c r="CA8" s="25">
        <v>1056</v>
      </c>
      <c r="CB8" s="25">
        <v>205</v>
      </c>
      <c r="CC8" s="25">
        <v>376</v>
      </c>
      <c r="CD8" s="25">
        <v>110</v>
      </c>
      <c r="CE8" s="25">
        <v>19</v>
      </c>
      <c r="CF8" s="25">
        <v>28</v>
      </c>
      <c r="CG8" s="25">
        <v>32668</v>
      </c>
      <c r="CH8" s="25">
        <v>1304</v>
      </c>
      <c r="CI8" s="25">
        <v>20085</v>
      </c>
      <c r="CJ8" s="25">
        <v>995</v>
      </c>
      <c r="CK8" s="25">
        <v>18872</v>
      </c>
      <c r="CL8" s="25">
        <v>983</v>
      </c>
      <c r="CM8" s="25">
        <v>1213</v>
      </c>
      <c r="CN8" s="25">
        <v>183</v>
      </c>
      <c r="CO8" s="25">
        <v>5150</v>
      </c>
      <c r="CP8" s="25">
        <v>536</v>
      </c>
      <c r="CQ8" s="25">
        <v>1781</v>
      </c>
      <c r="CR8" s="25">
        <v>248</v>
      </c>
      <c r="CS8" s="25">
        <v>2792</v>
      </c>
      <c r="CT8" s="25">
        <v>372</v>
      </c>
      <c r="CU8" s="25">
        <v>722</v>
      </c>
      <c r="CV8" s="25">
        <v>165</v>
      </c>
      <c r="CW8" s="25">
        <v>2085</v>
      </c>
      <c r="CX8" s="25">
        <v>368</v>
      </c>
      <c r="CY8" s="25">
        <v>53</v>
      </c>
      <c r="CZ8" s="25">
        <v>33</v>
      </c>
      <c r="DA8" s="25">
        <v>25073</v>
      </c>
      <c r="DB8" s="25">
        <v>1116</v>
      </c>
      <c r="DC8" s="25">
        <v>17437</v>
      </c>
      <c r="DD8" s="25">
        <v>934</v>
      </c>
      <c r="DE8" s="25">
        <v>16564</v>
      </c>
      <c r="DF8" s="25">
        <v>925</v>
      </c>
      <c r="DG8" s="25">
        <v>873</v>
      </c>
      <c r="DH8" s="25">
        <v>173</v>
      </c>
      <c r="DI8" s="25">
        <v>2368</v>
      </c>
      <c r="DJ8" s="25">
        <v>311</v>
      </c>
      <c r="DK8" s="25">
        <v>1335</v>
      </c>
      <c r="DL8" s="25">
        <v>204</v>
      </c>
      <c r="DM8" s="25">
        <v>1731</v>
      </c>
      <c r="DN8" s="25">
        <v>281</v>
      </c>
      <c r="DO8" s="25">
        <v>875</v>
      </c>
      <c r="DP8" s="25">
        <v>175</v>
      </c>
      <c r="DQ8" s="25">
        <v>1273</v>
      </c>
      <c r="DR8" s="25">
        <v>260</v>
      </c>
      <c r="DS8" s="25">
        <v>54</v>
      </c>
      <c r="DT8" s="25">
        <v>48</v>
      </c>
      <c r="DU8" s="25">
        <v>62601</v>
      </c>
      <c r="DV8" s="25">
        <v>1596</v>
      </c>
      <c r="DW8" s="25">
        <v>37344</v>
      </c>
      <c r="DX8" s="25">
        <v>1328</v>
      </c>
      <c r="DY8" s="25">
        <v>27090</v>
      </c>
      <c r="DZ8" s="25">
        <v>1227</v>
      </c>
      <c r="EA8" s="25">
        <v>10254</v>
      </c>
      <c r="EB8" s="25">
        <v>645</v>
      </c>
      <c r="EC8" s="25">
        <v>2456</v>
      </c>
      <c r="ED8" s="25">
        <v>248</v>
      </c>
      <c r="EE8" s="25">
        <v>949</v>
      </c>
      <c r="EF8" s="25">
        <v>189</v>
      </c>
      <c r="EG8" s="25">
        <v>1357</v>
      </c>
      <c r="EH8" s="25">
        <v>222</v>
      </c>
      <c r="EI8" s="25">
        <v>896</v>
      </c>
      <c r="EJ8" s="25">
        <v>215</v>
      </c>
      <c r="EK8" s="25">
        <v>19233</v>
      </c>
      <c r="EL8" s="25">
        <v>738</v>
      </c>
      <c r="EM8" s="25">
        <v>366</v>
      </c>
      <c r="EN8" s="25">
        <v>123</v>
      </c>
    </row>
    <row r="9" spans="1:144" x14ac:dyDescent="0.25">
      <c r="A9" s="19">
        <f t="shared" si="8"/>
        <v>1</v>
      </c>
      <c r="B9" s="20" t="str">
        <f t="shared" si="9"/>
        <v>Beaver</v>
      </c>
      <c r="C9" s="24" t="s">
        <v>288</v>
      </c>
      <c r="D9" s="24" t="s">
        <v>289</v>
      </c>
      <c r="E9" s="25">
        <v>2702</v>
      </c>
      <c r="F9" s="25">
        <v>180</v>
      </c>
      <c r="G9" s="25">
        <v>1913</v>
      </c>
      <c r="H9" s="25">
        <v>151</v>
      </c>
      <c r="I9" s="25">
        <v>1789</v>
      </c>
      <c r="J9" s="25">
        <v>171</v>
      </c>
      <c r="K9" s="25">
        <v>124</v>
      </c>
      <c r="L9" s="25">
        <v>54</v>
      </c>
      <c r="M9" s="25">
        <v>66</v>
      </c>
      <c r="N9" s="25">
        <v>34</v>
      </c>
      <c r="O9" s="25">
        <v>319</v>
      </c>
      <c r="P9" s="25">
        <v>85</v>
      </c>
      <c r="Q9" s="25">
        <v>172</v>
      </c>
      <c r="R9" s="25">
        <v>62</v>
      </c>
      <c r="S9" s="25">
        <v>64</v>
      </c>
      <c r="T9" s="25">
        <v>55</v>
      </c>
      <c r="U9" s="25">
        <v>159</v>
      </c>
      <c r="V9" s="25">
        <v>67</v>
      </c>
      <c r="W9" s="25">
        <v>9</v>
      </c>
      <c r="X9" s="25">
        <v>14</v>
      </c>
      <c r="Y9" s="25">
        <v>2251</v>
      </c>
      <c r="Z9" s="25">
        <v>196</v>
      </c>
      <c r="AA9" s="25">
        <v>1625</v>
      </c>
      <c r="AB9" s="25">
        <v>164</v>
      </c>
      <c r="AC9" s="25">
        <v>1521</v>
      </c>
      <c r="AD9" s="25">
        <v>169</v>
      </c>
      <c r="AE9" s="25">
        <v>104</v>
      </c>
      <c r="AF9" s="25">
        <v>55</v>
      </c>
      <c r="AG9" s="25">
        <v>64</v>
      </c>
      <c r="AH9" s="25">
        <v>34</v>
      </c>
      <c r="AI9" s="25">
        <v>263</v>
      </c>
      <c r="AJ9" s="25">
        <v>82</v>
      </c>
      <c r="AK9" s="25">
        <v>163</v>
      </c>
      <c r="AL9" s="25">
        <v>60</v>
      </c>
      <c r="AM9" s="25">
        <v>46</v>
      </c>
      <c r="AN9" s="25">
        <v>49</v>
      </c>
      <c r="AO9" s="25">
        <v>81</v>
      </c>
      <c r="AP9" s="25">
        <v>58</v>
      </c>
      <c r="AQ9" s="25">
        <v>9</v>
      </c>
      <c r="AR9" s="25">
        <v>14</v>
      </c>
      <c r="AS9" s="25">
        <v>279</v>
      </c>
      <c r="AT9" s="25">
        <v>102</v>
      </c>
      <c r="AU9" s="25">
        <v>200</v>
      </c>
      <c r="AV9" s="25">
        <v>96</v>
      </c>
      <c r="AW9" s="25">
        <v>192</v>
      </c>
      <c r="AX9" s="25">
        <v>98</v>
      </c>
      <c r="AY9" s="25">
        <v>8</v>
      </c>
      <c r="AZ9" s="25">
        <v>10</v>
      </c>
      <c r="BA9" s="25">
        <v>2</v>
      </c>
      <c r="BB9" s="25">
        <v>5</v>
      </c>
      <c r="BC9" s="25">
        <v>37</v>
      </c>
      <c r="BD9" s="25">
        <v>33</v>
      </c>
      <c r="BE9" s="25">
        <v>9</v>
      </c>
      <c r="BF9" s="25">
        <v>11</v>
      </c>
      <c r="BG9" s="25">
        <v>11</v>
      </c>
      <c r="BH9" s="25">
        <v>16</v>
      </c>
      <c r="BI9" s="25">
        <v>20</v>
      </c>
      <c r="BJ9" s="25">
        <v>15</v>
      </c>
      <c r="BK9" s="25">
        <v>0</v>
      </c>
      <c r="BL9" s="25">
        <v>16</v>
      </c>
      <c r="BM9" s="25">
        <v>9</v>
      </c>
      <c r="BN9" s="25">
        <v>15</v>
      </c>
      <c r="BO9" s="25">
        <v>9</v>
      </c>
      <c r="BP9" s="25">
        <v>15</v>
      </c>
      <c r="BQ9" s="25">
        <v>9</v>
      </c>
      <c r="BR9" s="25">
        <v>15</v>
      </c>
      <c r="BS9" s="25">
        <v>0</v>
      </c>
      <c r="BT9" s="25">
        <v>16</v>
      </c>
      <c r="BU9" s="25">
        <v>0</v>
      </c>
      <c r="BV9" s="25">
        <v>16</v>
      </c>
      <c r="BW9" s="25">
        <v>0</v>
      </c>
      <c r="BX9" s="25">
        <v>16</v>
      </c>
      <c r="BY9" s="25">
        <v>0</v>
      </c>
      <c r="BZ9" s="25">
        <v>16</v>
      </c>
      <c r="CA9" s="25">
        <v>0</v>
      </c>
      <c r="CB9" s="25">
        <v>16</v>
      </c>
      <c r="CC9" s="25">
        <v>0</v>
      </c>
      <c r="CD9" s="25">
        <v>16</v>
      </c>
      <c r="CE9" s="25">
        <v>0</v>
      </c>
      <c r="CF9" s="25">
        <v>16</v>
      </c>
      <c r="CG9" s="25">
        <v>75</v>
      </c>
      <c r="CH9" s="25">
        <v>42</v>
      </c>
      <c r="CI9" s="25">
        <v>28</v>
      </c>
      <c r="CJ9" s="25">
        <v>23</v>
      </c>
      <c r="CK9" s="25">
        <v>28</v>
      </c>
      <c r="CL9" s="25">
        <v>23</v>
      </c>
      <c r="CM9" s="25">
        <v>0</v>
      </c>
      <c r="CN9" s="25">
        <v>16</v>
      </c>
      <c r="CO9" s="25">
        <v>0</v>
      </c>
      <c r="CP9" s="25">
        <v>16</v>
      </c>
      <c r="CQ9" s="25">
        <v>19</v>
      </c>
      <c r="CR9" s="25">
        <v>15</v>
      </c>
      <c r="CS9" s="25">
        <v>0</v>
      </c>
      <c r="CT9" s="25">
        <v>16</v>
      </c>
      <c r="CU9" s="25">
        <v>7</v>
      </c>
      <c r="CV9" s="25">
        <v>13</v>
      </c>
      <c r="CW9" s="25">
        <v>21</v>
      </c>
      <c r="CX9" s="25">
        <v>28</v>
      </c>
      <c r="CY9" s="25">
        <v>0</v>
      </c>
      <c r="CZ9" s="25">
        <v>16</v>
      </c>
      <c r="DA9" s="25">
        <v>18</v>
      </c>
      <c r="DB9" s="25">
        <v>29</v>
      </c>
      <c r="DC9" s="25">
        <v>18</v>
      </c>
      <c r="DD9" s="25">
        <v>29</v>
      </c>
      <c r="DE9" s="25">
        <v>18</v>
      </c>
      <c r="DF9" s="25">
        <v>29</v>
      </c>
      <c r="DG9" s="25">
        <v>0</v>
      </c>
      <c r="DH9" s="25">
        <v>16</v>
      </c>
      <c r="DI9" s="25">
        <v>0</v>
      </c>
      <c r="DJ9" s="25">
        <v>16</v>
      </c>
      <c r="DK9" s="25">
        <v>0</v>
      </c>
      <c r="DL9" s="25">
        <v>16</v>
      </c>
      <c r="DM9" s="25">
        <v>0</v>
      </c>
      <c r="DN9" s="25">
        <v>16</v>
      </c>
      <c r="DO9" s="25">
        <v>0</v>
      </c>
      <c r="DP9" s="25">
        <v>16</v>
      </c>
      <c r="DQ9" s="25">
        <v>0</v>
      </c>
      <c r="DR9" s="25">
        <v>16</v>
      </c>
      <c r="DS9" s="25">
        <v>0</v>
      </c>
      <c r="DT9" s="25">
        <v>16</v>
      </c>
      <c r="DU9" s="25">
        <v>70</v>
      </c>
      <c r="DV9" s="25">
        <v>34</v>
      </c>
      <c r="DW9" s="25">
        <v>33</v>
      </c>
      <c r="DX9" s="25">
        <v>24</v>
      </c>
      <c r="DY9" s="25">
        <v>21</v>
      </c>
      <c r="DZ9" s="25">
        <v>19</v>
      </c>
      <c r="EA9" s="25">
        <v>12</v>
      </c>
      <c r="EB9" s="25">
        <v>14</v>
      </c>
      <c r="EC9" s="25">
        <v>0</v>
      </c>
      <c r="ED9" s="25">
        <v>16</v>
      </c>
      <c r="EE9" s="25">
        <v>0</v>
      </c>
      <c r="EF9" s="25">
        <v>16</v>
      </c>
      <c r="EG9" s="25">
        <v>0</v>
      </c>
      <c r="EH9" s="25">
        <v>16</v>
      </c>
      <c r="EI9" s="25">
        <v>0</v>
      </c>
      <c r="EJ9" s="25">
        <v>16</v>
      </c>
      <c r="EK9" s="25">
        <v>37</v>
      </c>
      <c r="EL9" s="25">
        <v>25</v>
      </c>
      <c r="EM9" s="25">
        <v>0</v>
      </c>
      <c r="EN9" s="25">
        <v>16</v>
      </c>
    </row>
    <row r="10" spans="1:144" x14ac:dyDescent="0.25">
      <c r="A10" s="19">
        <f t="shared" si="8"/>
        <v>3</v>
      </c>
      <c r="B10" s="20" t="str">
        <f t="shared" si="9"/>
        <v>Box Elder</v>
      </c>
      <c r="C10" s="24" t="s">
        <v>290</v>
      </c>
      <c r="D10" s="24" t="s">
        <v>291</v>
      </c>
      <c r="E10" s="25">
        <v>21231</v>
      </c>
      <c r="F10" s="25">
        <v>493</v>
      </c>
      <c r="G10" s="25">
        <v>16157</v>
      </c>
      <c r="H10" s="25">
        <v>558</v>
      </c>
      <c r="I10" s="25">
        <v>15309</v>
      </c>
      <c r="J10" s="25">
        <v>549</v>
      </c>
      <c r="K10" s="25">
        <v>848</v>
      </c>
      <c r="L10" s="25">
        <v>152</v>
      </c>
      <c r="M10" s="25">
        <v>710</v>
      </c>
      <c r="N10" s="25">
        <v>148</v>
      </c>
      <c r="O10" s="25">
        <v>1527</v>
      </c>
      <c r="P10" s="25">
        <v>224</v>
      </c>
      <c r="Q10" s="25">
        <v>919</v>
      </c>
      <c r="R10" s="25">
        <v>155</v>
      </c>
      <c r="S10" s="25">
        <v>892</v>
      </c>
      <c r="T10" s="25">
        <v>181</v>
      </c>
      <c r="U10" s="25">
        <v>1025</v>
      </c>
      <c r="V10" s="25">
        <v>207</v>
      </c>
      <c r="W10" s="25">
        <v>1</v>
      </c>
      <c r="X10" s="25">
        <v>3</v>
      </c>
      <c r="Y10" s="25">
        <v>16636</v>
      </c>
      <c r="Z10" s="25">
        <v>545</v>
      </c>
      <c r="AA10" s="25">
        <v>12916</v>
      </c>
      <c r="AB10" s="25">
        <v>544</v>
      </c>
      <c r="AC10" s="25">
        <v>12372</v>
      </c>
      <c r="AD10" s="25">
        <v>543</v>
      </c>
      <c r="AE10" s="25">
        <v>544</v>
      </c>
      <c r="AF10" s="25">
        <v>123</v>
      </c>
      <c r="AG10" s="25">
        <v>608</v>
      </c>
      <c r="AH10" s="25">
        <v>137</v>
      </c>
      <c r="AI10" s="25">
        <v>1316</v>
      </c>
      <c r="AJ10" s="25">
        <v>198</v>
      </c>
      <c r="AK10" s="25">
        <v>744</v>
      </c>
      <c r="AL10" s="25">
        <v>141</v>
      </c>
      <c r="AM10" s="25">
        <v>583</v>
      </c>
      <c r="AN10" s="25">
        <v>137</v>
      </c>
      <c r="AO10" s="25">
        <v>468</v>
      </c>
      <c r="AP10" s="25">
        <v>137</v>
      </c>
      <c r="AQ10" s="25">
        <v>1</v>
      </c>
      <c r="AR10" s="25">
        <v>3</v>
      </c>
      <c r="AS10" s="25">
        <v>3074</v>
      </c>
      <c r="AT10" s="25">
        <v>312</v>
      </c>
      <c r="AU10" s="25">
        <v>2380</v>
      </c>
      <c r="AV10" s="25">
        <v>282</v>
      </c>
      <c r="AW10" s="25">
        <v>2276</v>
      </c>
      <c r="AX10" s="25">
        <v>278</v>
      </c>
      <c r="AY10" s="25">
        <v>104</v>
      </c>
      <c r="AZ10" s="25">
        <v>53</v>
      </c>
      <c r="BA10" s="25">
        <v>74</v>
      </c>
      <c r="BB10" s="25">
        <v>37</v>
      </c>
      <c r="BC10" s="25">
        <v>133</v>
      </c>
      <c r="BD10" s="25">
        <v>69</v>
      </c>
      <c r="BE10" s="25">
        <v>77</v>
      </c>
      <c r="BF10" s="25">
        <v>35</v>
      </c>
      <c r="BG10" s="25">
        <v>249</v>
      </c>
      <c r="BH10" s="25">
        <v>102</v>
      </c>
      <c r="BI10" s="25">
        <v>161</v>
      </c>
      <c r="BJ10" s="25">
        <v>85</v>
      </c>
      <c r="BK10" s="25">
        <v>0</v>
      </c>
      <c r="BL10" s="25">
        <v>27</v>
      </c>
      <c r="BM10" s="25">
        <v>166</v>
      </c>
      <c r="BN10" s="25">
        <v>82</v>
      </c>
      <c r="BO10" s="25">
        <v>109</v>
      </c>
      <c r="BP10" s="25">
        <v>71</v>
      </c>
      <c r="BQ10" s="25">
        <v>109</v>
      </c>
      <c r="BR10" s="25">
        <v>71</v>
      </c>
      <c r="BS10" s="25">
        <v>0</v>
      </c>
      <c r="BT10" s="25">
        <v>27</v>
      </c>
      <c r="BU10" s="25">
        <v>0</v>
      </c>
      <c r="BV10" s="25">
        <v>27</v>
      </c>
      <c r="BW10" s="25">
        <v>13</v>
      </c>
      <c r="BX10" s="25">
        <v>14</v>
      </c>
      <c r="BY10" s="25">
        <v>26</v>
      </c>
      <c r="BZ10" s="25">
        <v>27</v>
      </c>
      <c r="CA10" s="25">
        <v>18</v>
      </c>
      <c r="CB10" s="25">
        <v>20</v>
      </c>
      <c r="CC10" s="25">
        <v>0</v>
      </c>
      <c r="CD10" s="25">
        <v>27</v>
      </c>
      <c r="CE10" s="25">
        <v>0</v>
      </c>
      <c r="CF10" s="25">
        <v>27</v>
      </c>
      <c r="CG10" s="25">
        <v>352</v>
      </c>
      <c r="CH10" s="25">
        <v>112</v>
      </c>
      <c r="CI10" s="25">
        <v>262</v>
      </c>
      <c r="CJ10" s="25">
        <v>106</v>
      </c>
      <c r="CK10" s="25">
        <v>231</v>
      </c>
      <c r="CL10" s="25">
        <v>101</v>
      </c>
      <c r="CM10" s="25">
        <v>31</v>
      </c>
      <c r="CN10" s="25">
        <v>25</v>
      </c>
      <c r="CO10" s="25">
        <v>4</v>
      </c>
      <c r="CP10" s="25">
        <v>6</v>
      </c>
      <c r="CQ10" s="25">
        <v>17</v>
      </c>
      <c r="CR10" s="25">
        <v>20</v>
      </c>
      <c r="CS10" s="25">
        <v>23</v>
      </c>
      <c r="CT10" s="25">
        <v>29</v>
      </c>
      <c r="CU10" s="25">
        <v>5</v>
      </c>
      <c r="CV10" s="25">
        <v>6</v>
      </c>
      <c r="CW10" s="25">
        <v>41</v>
      </c>
      <c r="CX10" s="25">
        <v>30</v>
      </c>
      <c r="CY10" s="25">
        <v>0</v>
      </c>
      <c r="CZ10" s="25">
        <v>27</v>
      </c>
      <c r="DA10" s="25">
        <v>270</v>
      </c>
      <c r="DB10" s="25">
        <v>87</v>
      </c>
      <c r="DC10" s="25">
        <v>168</v>
      </c>
      <c r="DD10" s="25">
        <v>60</v>
      </c>
      <c r="DE10" s="25">
        <v>164</v>
      </c>
      <c r="DF10" s="25">
        <v>60</v>
      </c>
      <c r="DG10" s="25">
        <v>4</v>
      </c>
      <c r="DH10" s="25">
        <v>5</v>
      </c>
      <c r="DI10" s="25">
        <v>11</v>
      </c>
      <c r="DJ10" s="25">
        <v>14</v>
      </c>
      <c r="DK10" s="25">
        <v>42</v>
      </c>
      <c r="DL10" s="25">
        <v>28</v>
      </c>
      <c r="DM10" s="25">
        <v>9</v>
      </c>
      <c r="DN10" s="25">
        <v>14</v>
      </c>
      <c r="DO10" s="25">
        <v>14</v>
      </c>
      <c r="DP10" s="25">
        <v>13</v>
      </c>
      <c r="DQ10" s="25">
        <v>26</v>
      </c>
      <c r="DR10" s="25">
        <v>29</v>
      </c>
      <c r="DS10" s="25">
        <v>0</v>
      </c>
      <c r="DT10" s="25">
        <v>27</v>
      </c>
      <c r="DU10" s="25">
        <v>733</v>
      </c>
      <c r="DV10" s="25">
        <v>138</v>
      </c>
      <c r="DW10" s="25">
        <v>322</v>
      </c>
      <c r="DX10" s="25">
        <v>106</v>
      </c>
      <c r="DY10" s="25">
        <v>157</v>
      </c>
      <c r="DZ10" s="25">
        <v>56</v>
      </c>
      <c r="EA10" s="25">
        <v>165</v>
      </c>
      <c r="EB10" s="25">
        <v>79</v>
      </c>
      <c r="EC10" s="25">
        <v>13</v>
      </c>
      <c r="ED10" s="25">
        <v>12</v>
      </c>
      <c r="EE10" s="25">
        <v>6</v>
      </c>
      <c r="EF10" s="25">
        <v>7</v>
      </c>
      <c r="EG10" s="25">
        <v>40</v>
      </c>
      <c r="EH10" s="25">
        <v>31</v>
      </c>
      <c r="EI10" s="25">
        <v>23</v>
      </c>
      <c r="EJ10" s="25">
        <v>29</v>
      </c>
      <c r="EK10" s="25">
        <v>329</v>
      </c>
      <c r="EL10" s="25">
        <v>94</v>
      </c>
      <c r="EM10" s="25">
        <v>0</v>
      </c>
      <c r="EN10" s="25">
        <v>27</v>
      </c>
    </row>
    <row r="11" spans="1:144" x14ac:dyDescent="0.25">
      <c r="A11" s="19">
        <f t="shared" si="8"/>
        <v>5</v>
      </c>
      <c r="B11" s="20" t="str">
        <f t="shared" si="9"/>
        <v>Cache</v>
      </c>
      <c r="C11" s="24" t="s">
        <v>292</v>
      </c>
      <c r="D11" s="24" t="s">
        <v>293</v>
      </c>
      <c r="E11" s="25">
        <v>52893</v>
      </c>
      <c r="F11" s="25">
        <v>721</v>
      </c>
      <c r="G11" s="25">
        <v>36571</v>
      </c>
      <c r="H11" s="25">
        <v>858</v>
      </c>
      <c r="I11" s="25">
        <v>34306</v>
      </c>
      <c r="J11" s="25">
        <v>840</v>
      </c>
      <c r="K11" s="25">
        <v>2265</v>
      </c>
      <c r="L11" s="25">
        <v>234</v>
      </c>
      <c r="M11" s="25">
        <v>3450</v>
      </c>
      <c r="N11" s="25">
        <v>363</v>
      </c>
      <c r="O11" s="25">
        <v>3786</v>
      </c>
      <c r="P11" s="25">
        <v>370</v>
      </c>
      <c r="Q11" s="25">
        <v>5499</v>
      </c>
      <c r="R11" s="25">
        <v>474</v>
      </c>
      <c r="S11" s="25">
        <v>987</v>
      </c>
      <c r="T11" s="25">
        <v>179</v>
      </c>
      <c r="U11" s="25">
        <v>2525</v>
      </c>
      <c r="V11" s="25">
        <v>270</v>
      </c>
      <c r="W11" s="25">
        <v>75</v>
      </c>
      <c r="X11" s="25">
        <v>40</v>
      </c>
      <c r="Y11" s="25">
        <v>39897</v>
      </c>
      <c r="Z11" s="25">
        <v>891</v>
      </c>
      <c r="AA11" s="25">
        <v>28453</v>
      </c>
      <c r="AB11" s="25">
        <v>874</v>
      </c>
      <c r="AC11" s="25">
        <v>26897</v>
      </c>
      <c r="AD11" s="25">
        <v>861</v>
      </c>
      <c r="AE11" s="25">
        <v>1556</v>
      </c>
      <c r="AF11" s="25">
        <v>188</v>
      </c>
      <c r="AG11" s="25">
        <v>2756</v>
      </c>
      <c r="AH11" s="25">
        <v>318</v>
      </c>
      <c r="AI11" s="25">
        <v>3086</v>
      </c>
      <c r="AJ11" s="25">
        <v>303</v>
      </c>
      <c r="AK11" s="25">
        <v>3555</v>
      </c>
      <c r="AL11" s="25">
        <v>322</v>
      </c>
      <c r="AM11" s="25">
        <v>767</v>
      </c>
      <c r="AN11" s="25">
        <v>163</v>
      </c>
      <c r="AO11" s="25">
        <v>1246</v>
      </c>
      <c r="AP11" s="25">
        <v>188</v>
      </c>
      <c r="AQ11" s="25">
        <v>34</v>
      </c>
      <c r="AR11" s="25">
        <v>29</v>
      </c>
      <c r="AS11" s="25">
        <v>5945</v>
      </c>
      <c r="AT11" s="25">
        <v>488</v>
      </c>
      <c r="AU11" s="25">
        <v>4309</v>
      </c>
      <c r="AV11" s="25">
        <v>441</v>
      </c>
      <c r="AW11" s="25">
        <v>4087</v>
      </c>
      <c r="AX11" s="25">
        <v>431</v>
      </c>
      <c r="AY11" s="25">
        <v>222</v>
      </c>
      <c r="AZ11" s="25">
        <v>82</v>
      </c>
      <c r="BA11" s="25">
        <v>273</v>
      </c>
      <c r="BB11" s="25">
        <v>91</v>
      </c>
      <c r="BC11" s="25">
        <v>385</v>
      </c>
      <c r="BD11" s="25">
        <v>126</v>
      </c>
      <c r="BE11" s="25">
        <v>638</v>
      </c>
      <c r="BF11" s="25">
        <v>164</v>
      </c>
      <c r="BG11" s="25">
        <v>118</v>
      </c>
      <c r="BH11" s="25">
        <v>46</v>
      </c>
      <c r="BI11" s="25">
        <v>208</v>
      </c>
      <c r="BJ11" s="25">
        <v>128</v>
      </c>
      <c r="BK11" s="25">
        <v>14</v>
      </c>
      <c r="BL11" s="25">
        <v>20</v>
      </c>
      <c r="BM11" s="25">
        <v>967</v>
      </c>
      <c r="BN11" s="25">
        <v>199</v>
      </c>
      <c r="BO11" s="25">
        <v>604</v>
      </c>
      <c r="BP11" s="25">
        <v>173</v>
      </c>
      <c r="BQ11" s="25">
        <v>586</v>
      </c>
      <c r="BR11" s="25">
        <v>174</v>
      </c>
      <c r="BS11" s="25">
        <v>18</v>
      </c>
      <c r="BT11" s="25">
        <v>24</v>
      </c>
      <c r="BU11" s="25">
        <v>81</v>
      </c>
      <c r="BV11" s="25">
        <v>51</v>
      </c>
      <c r="BW11" s="25">
        <v>32</v>
      </c>
      <c r="BX11" s="25">
        <v>26</v>
      </c>
      <c r="BY11" s="25">
        <v>227</v>
      </c>
      <c r="BZ11" s="25">
        <v>95</v>
      </c>
      <c r="CA11" s="25">
        <v>5</v>
      </c>
      <c r="CB11" s="25">
        <v>8</v>
      </c>
      <c r="CC11" s="25">
        <v>18</v>
      </c>
      <c r="CD11" s="25">
        <v>17</v>
      </c>
      <c r="CE11" s="25">
        <v>0</v>
      </c>
      <c r="CF11" s="25">
        <v>27</v>
      </c>
      <c r="CG11" s="25">
        <v>2264</v>
      </c>
      <c r="CH11" s="25">
        <v>284</v>
      </c>
      <c r="CI11" s="25">
        <v>1004</v>
      </c>
      <c r="CJ11" s="25">
        <v>182</v>
      </c>
      <c r="CK11" s="25">
        <v>884</v>
      </c>
      <c r="CL11" s="25">
        <v>171</v>
      </c>
      <c r="CM11" s="25">
        <v>120</v>
      </c>
      <c r="CN11" s="25">
        <v>55</v>
      </c>
      <c r="CO11" s="25">
        <v>172</v>
      </c>
      <c r="CP11" s="25">
        <v>69</v>
      </c>
      <c r="CQ11" s="25">
        <v>177</v>
      </c>
      <c r="CR11" s="25">
        <v>70</v>
      </c>
      <c r="CS11" s="25">
        <v>729</v>
      </c>
      <c r="CT11" s="25">
        <v>200</v>
      </c>
      <c r="CU11" s="25">
        <v>39</v>
      </c>
      <c r="CV11" s="25">
        <v>28</v>
      </c>
      <c r="CW11" s="25">
        <v>134</v>
      </c>
      <c r="CX11" s="25">
        <v>90</v>
      </c>
      <c r="CY11" s="25">
        <v>9</v>
      </c>
      <c r="CZ11" s="25">
        <v>10</v>
      </c>
      <c r="DA11" s="25">
        <v>1623</v>
      </c>
      <c r="DB11" s="25">
        <v>270</v>
      </c>
      <c r="DC11" s="25">
        <v>1019</v>
      </c>
      <c r="DD11" s="25">
        <v>207</v>
      </c>
      <c r="DE11" s="25">
        <v>982</v>
      </c>
      <c r="DF11" s="25">
        <v>209</v>
      </c>
      <c r="DG11" s="25">
        <v>37</v>
      </c>
      <c r="DH11" s="25">
        <v>22</v>
      </c>
      <c r="DI11" s="25">
        <v>113</v>
      </c>
      <c r="DJ11" s="25">
        <v>64</v>
      </c>
      <c r="DK11" s="25">
        <v>50</v>
      </c>
      <c r="DL11" s="25">
        <v>35</v>
      </c>
      <c r="DM11" s="25">
        <v>251</v>
      </c>
      <c r="DN11" s="25">
        <v>93</v>
      </c>
      <c r="DO11" s="25">
        <v>31</v>
      </c>
      <c r="DP11" s="25">
        <v>29</v>
      </c>
      <c r="DQ11" s="25">
        <v>159</v>
      </c>
      <c r="DR11" s="25">
        <v>86</v>
      </c>
      <c r="DS11" s="25">
        <v>0</v>
      </c>
      <c r="DT11" s="25">
        <v>27</v>
      </c>
      <c r="DU11" s="25">
        <v>2197</v>
      </c>
      <c r="DV11" s="25">
        <v>266</v>
      </c>
      <c r="DW11" s="25">
        <v>1182</v>
      </c>
      <c r="DX11" s="25">
        <v>195</v>
      </c>
      <c r="DY11" s="25">
        <v>870</v>
      </c>
      <c r="DZ11" s="25">
        <v>165</v>
      </c>
      <c r="EA11" s="25">
        <v>312</v>
      </c>
      <c r="EB11" s="25">
        <v>84</v>
      </c>
      <c r="EC11" s="25">
        <v>55</v>
      </c>
      <c r="ED11" s="25">
        <v>35</v>
      </c>
      <c r="EE11" s="25">
        <v>56</v>
      </c>
      <c r="EF11" s="25">
        <v>43</v>
      </c>
      <c r="EG11" s="25">
        <v>99</v>
      </c>
      <c r="EH11" s="25">
        <v>59</v>
      </c>
      <c r="EI11" s="25">
        <v>27</v>
      </c>
      <c r="EJ11" s="25">
        <v>26</v>
      </c>
      <c r="EK11" s="25">
        <v>760</v>
      </c>
      <c r="EL11" s="25">
        <v>145</v>
      </c>
      <c r="EM11" s="25">
        <v>18</v>
      </c>
      <c r="EN11" s="25">
        <v>16</v>
      </c>
    </row>
    <row r="12" spans="1:144" x14ac:dyDescent="0.25">
      <c r="A12" s="19">
        <f t="shared" si="8"/>
        <v>7</v>
      </c>
      <c r="B12" s="20" t="str">
        <f t="shared" si="9"/>
        <v>Carbon</v>
      </c>
      <c r="C12" s="24" t="s">
        <v>294</v>
      </c>
      <c r="D12" s="24" t="s">
        <v>295</v>
      </c>
      <c r="E12" s="25">
        <v>8958</v>
      </c>
      <c r="F12" s="25">
        <v>330</v>
      </c>
      <c r="G12" s="25">
        <v>6397</v>
      </c>
      <c r="H12" s="25">
        <v>368</v>
      </c>
      <c r="I12" s="25">
        <v>6213</v>
      </c>
      <c r="J12" s="25">
        <v>363</v>
      </c>
      <c r="K12" s="25">
        <v>184</v>
      </c>
      <c r="L12" s="25">
        <v>74</v>
      </c>
      <c r="M12" s="25">
        <v>327</v>
      </c>
      <c r="N12" s="25">
        <v>89</v>
      </c>
      <c r="O12" s="25">
        <v>816</v>
      </c>
      <c r="P12" s="25">
        <v>181</v>
      </c>
      <c r="Q12" s="25">
        <v>753</v>
      </c>
      <c r="R12" s="25">
        <v>134</v>
      </c>
      <c r="S12" s="25">
        <v>204</v>
      </c>
      <c r="T12" s="25">
        <v>88</v>
      </c>
      <c r="U12" s="25">
        <v>441</v>
      </c>
      <c r="V12" s="25">
        <v>103</v>
      </c>
      <c r="W12" s="25">
        <v>20</v>
      </c>
      <c r="X12" s="25">
        <v>19</v>
      </c>
      <c r="Y12" s="25">
        <v>7118</v>
      </c>
      <c r="Z12" s="25">
        <v>346</v>
      </c>
      <c r="AA12" s="25">
        <v>5060</v>
      </c>
      <c r="AB12" s="25">
        <v>350</v>
      </c>
      <c r="AC12" s="25">
        <v>4914</v>
      </c>
      <c r="AD12" s="25">
        <v>344</v>
      </c>
      <c r="AE12" s="25">
        <v>146</v>
      </c>
      <c r="AF12" s="25">
        <v>70</v>
      </c>
      <c r="AG12" s="25">
        <v>246</v>
      </c>
      <c r="AH12" s="25">
        <v>77</v>
      </c>
      <c r="AI12" s="25">
        <v>762</v>
      </c>
      <c r="AJ12" s="25">
        <v>174</v>
      </c>
      <c r="AK12" s="25">
        <v>602</v>
      </c>
      <c r="AL12" s="25">
        <v>111</v>
      </c>
      <c r="AM12" s="25">
        <v>189</v>
      </c>
      <c r="AN12" s="25">
        <v>85</v>
      </c>
      <c r="AO12" s="25">
        <v>253</v>
      </c>
      <c r="AP12" s="25">
        <v>80</v>
      </c>
      <c r="AQ12" s="25">
        <v>6</v>
      </c>
      <c r="AR12" s="25">
        <v>12</v>
      </c>
      <c r="AS12" s="25">
        <v>1258</v>
      </c>
      <c r="AT12" s="25">
        <v>195</v>
      </c>
      <c r="AU12" s="25">
        <v>987</v>
      </c>
      <c r="AV12" s="25">
        <v>169</v>
      </c>
      <c r="AW12" s="25">
        <v>978</v>
      </c>
      <c r="AX12" s="25">
        <v>169</v>
      </c>
      <c r="AY12" s="25">
        <v>9</v>
      </c>
      <c r="AZ12" s="25">
        <v>14</v>
      </c>
      <c r="BA12" s="25">
        <v>63</v>
      </c>
      <c r="BB12" s="25">
        <v>43</v>
      </c>
      <c r="BC12" s="25">
        <v>28</v>
      </c>
      <c r="BD12" s="25">
        <v>25</v>
      </c>
      <c r="BE12" s="25">
        <v>111</v>
      </c>
      <c r="BF12" s="25">
        <v>70</v>
      </c>
      <c r="BG12" s="25">
        <v>9</v>
      </c>
      <c r="BH12" s="25">
        <v>14</v>
      </c>
      <c r="BI12" s="25">
        <v>60</v>
      </c>
      <c r="BJ12" s="25">
        <v>43</v>
      </c>
      <c r="BK12" s="25">
        <v>0</v>
      </c>
      <c r="BL12" s="25">
        <v>21</v>
      </c>
      <c r="BM12" s="25">
        <v>39</v>
      </c>
      <c r="BN12" s="25">
        <v>34</v>
      </c>
      <c r="BO12" s="25">
        <v>25</v>
      </c>
      <c r="BP12" s="25">
        <v>29</v>
      </c>
      <c r="BQ12" s="25">
        <v>25</v>
      </c>
      <c r="BR12" s="25">
        <v>29</v>
      </c>
      <c r="BS12" s="25">
        <v>0</v>
      </c>
      <c r="BT12" s="25">
        <v>21</v>
      </c>
      <c r="BU12" s="25">
        <v>8</v>
      </c>
      <c r="BV12" s="25">
        <v>14</v>
      </c>
      <c r="BW12" s="25">
        <v>6</v>
      </c>
      <c r="BX12" s="25">
        <v>10</v>
      </c>
      <c r="BY12" s="25">
        <v>0</v>
      </c>
      <c r="BZ12" s="25">
        <v>21</v>
      </c>
      <c r="CA12" s="25">
        <v>0</v>
      </c>
      <c r="CB12" s="25">
        <v>21</v>
      </c>
      <c r="CC12" s="25">
        <v>0</v>
      </c>
      <c r="CD12" s="25">
        <v>21</v>
      </c>
      <c r="CE12" s="25">
        <v>0</v>
      </c>
      <c r="CF12" s="25">
        <v>21</v>
      </c>
      <c r="CG12" s="25">
        <v>172</v>
      </c>
      <c r="CH12" s="25">
        <v>86</v>
      </c>
      <c r="CI12" s="25">
        <v>112</v>
      </c>
      <c r="CJ12" s="25">
        <v>69</v>
      </c>
      <c r="CK12" s="25">
        <v>104</v>
      </c>
      <c r="CL12" s="25">
        <v>65</v>
      </c>
      <c r="CM12" s="25">
        <v>8</v>
      </c>
      <c r="CN12" s="25">
        <v>13</v>
      </c>
      <c r="CO12" s="25">
        <v>10</v>
      </c>
      <c r="CP12" s="25">
        <v>16</v>
      </c>
      <c r="CQ12" s="25">
        <v>13</v>
      </c>
      <c r="CR12" s="25">
        <v>16</v>
      </c>
      <c r="CS12" s="25">
        <v>31</v>
      </c>
      <c r="CT12" s="25">
        <v>33</v>
      </c>
      <c r="CU12" s="25">
        <v>6</v>
      </c>
      <c r="CV12" s="25">
        <v>9</v>
      </c>
      <c r="CW12" s="25">
        <v>0</v>
      </c>
      <c r="CX12" s="25">
        <v>21</v>
      </c>
      <c r="CY12" s="25">
        <v>0</v>
      </c>
      <c r="CZ12" s="25">
        <v>21</v>
      </c>
      <c r="DA12" s="25">
        <v>104</v>
      </c>
      <c r="DB12" s="25">
        <v>62</v>
      </c>
      <c r="DC12" s="25">
        <v>83</v>
      </c>
      <c r="DD12" s="25">
        <v>54</v>
      </c>
      <c r="DE12" s="25">
        <v>83</v>
      </c>
      <c r="DF12" s="25">
        <v>54</v>
      </c>
      <c r="DG12" s="25">
        <v>0</v>
      </c>
      <c r="DH12" s="25">
        <v>21</v>
      </c>
      <c r="DI12" s="25">
        <v>0</v>
      </c>
      <c r="DJ12" s="25">
        <v>21</v>
      </c>
      <c r="DK12" s="25">
        <v>0</v>
      </c>
      <c r="DL12" s="25">
        <v>21</v>
      </c>
      <c r="DM12" s="25">
        <v>9</v>
      </c>
      <c r="DN12" s="25">
        <v>14</v>
      </c>
      <c r="DO12" s="25">
        <v>0</v>
      </c>
      <c r="DP12" s="25">
        <v>21</v>
      </c>
      <c r="DQ12" s="25">
        <v>12</v>
      </c>
      <c r="DR12" s="25">
        <v>16</v>
      </c>
      <c r="DS12" s="25">
        <v>0</v>
      </c>
      <c r="DT12" s="25">
        <v>21</v>
      </c>
      <c r="DU12" s="25">
        <v>267</v>
      </c>
      <c r="DV12" s="25">
        <v>80</v>
      </c>
      <c r="DW12" s="25">
        <v>130</v>
      </c>
      <c r="DX12" s="25">
        <v>59</v>
      </c>
      <c r="DY12" s="25">
        <v>109</v>
      </c>
      <c r="DZ12" s="25">
        <v>54</v>
      </c>
      <c r="EA12" s="25">
        <v>21</v>
      </c>
      <c r="EB12" s="25">
        <v>19</v>
      </c>
      <c r="EC12" s="25">
        <v>0</v>
      </c>
      <c r="ED12" s="25">
        <v>21</v>
      </c>
      <c r="EE12" s="25">
        <v>7</v>
      </c>
      <c r="EF12" s="25">
        <v>12</v>
      </c>
      <c r="EG12" s="25">
        <v>0</v>
      </c>
      <c r="EH12" s="25">
        <v>21</v>
      </c>
      <c r="EI12" s="25">
        <v>0</v>
      </c>
      <c r="EJ12" s="25">
        <v>21</v>
      </c>
      <c r="EK12" s="25">
        <v>116</v>
      </c>
      <c r="EL12" s="25">
        <v>55</v>
      </c>
      <c r="EM12" s="25">
        <v>14</v>
      </c>
      <c r="EN12" s="25">
        <v>15</v>
      </c>
    </row>
    <row r="13" spans="1:144" x14ac:dyDescent="0.25">
      <c r="A13" s="19">
        <f t="shared" si="8"/>
        <v>9</v>
      </c>
      <c r="B13" s="20" t="str">
        <f t="shared" si="9"/>
        <v>Daggett</v>
      </c>
      <c r="C13" s="24" t="s">
        <v>296</v>
      </c>
      <c r="D13" s="24" t="s">
        <v>297</v>
      </c>
      <c r="E13" s="25">
        <v>200</v>
      </c>
      <c r="F13" s="25">
        <v>57</v>
      </c>
      <c r="G13" s="25">
        <v>116</v>
      </c>
      <c r="H13" s="25">
        <v>48</v>
      </c>
      <c r="I13" s="25">
        <v>78</v>
      </c>
      <c r="J13" s="25">
        <v>30</v>
      </c>
      <c r="K13" s="25">
        <v>38</v>
      </c>
      <c r="L13" s="25">
        <v>36</v>
      </c>
      <c r="M13" s="25">
        <v>2</v>
      </c>
      <c r="N13" s="25">
        <v>4</v>
      </c>
      <c r="O13" s="25">
        <v>34</v>
      </c>
      <c r="P13" s="25">
        <v>18</v>
      </c>
      <c r="Q13" s="25">
        <v>9</v>
      </c>
      <c r="R13" s="25">
        <v>14</v>
      </c>
      <c r="S13" s="25">
        <v>23</v>
      </c>
      <c r="T13" s="25">
        <v>15</v>
      </c>
      <c r="U13" s="25">
        <v>16</v>
      </c>
      <c r="V13" s="25">
        <v>11</v>
      </c>
      <c r="W13" s="25">
        <v>0</v>
      </c>
      <c r="X13" s="25">
        <v>11</v>
      </c>
      <c r="Y13" s="25">
        <v>147</v>
      </c>
      <c r="Z13" s="25">
        <v>45</v>
      </c>
      <c r="AA13" s="25">
        <v>71</v>
      </c>
      <c r="AB13" s="25">
        <v>32</v>
      </c>
      <c r="AC13" s="25">
        <v>55</v>
      </c>
      <c r="AD13" s="25">
        <v>25</v>
      </c>
      <c r="AE13" s="25">
        <v>16</v>
      </c>
      <c r="AF13" s="25">
        <v>16</v>
      </c>
      <c r="AG13" s="25">
        <v>0</v>
      </c>
      <c r="AH13" s="25">
        <v>11</v>
      </c>
      <c r="AI13" s="25">
        <v>34</v>
      </c>
      <c r="AJ13" s="25">
        <v>18</v>
      </c>
      <c r="AK13" s="25">
        <v>9</v>
      </c>
      <c r="AL13" s="25">
        <v>14</v>
      </c>
      <c r="AM13" s="25">
        <v>23</v>
      </c>
      <c r="AN13" s="25">
        <v>15</v>
      </c>
      <c r="AO13" s="25">
        <v>10</v>
      </c>
      <c r="AP13" s="25">
        <v>8</v>
      </c>
      <c r="AQ13" s="25">
        <v>0</v>
      </c>
      <c r="AR13" s="25">
        <v>11</v>
      </c>
      <c r="AS13" s="25">
        <v>12</v>
      </c>
      <c r="AT13" s="25">
        <v>9</v>
      </c>
      <c r="AU13" s="25">
        <v>10</v>
      </c>
      <c r="AV13" s="25">
        <v>7</v>
      </c>
      <c r="AW13" s="25">
        <v>10</v>
      </c>
      <c r="AX13" s="25">
        <v>7</v>
      </c>
      <c r="AY13" s="25">
        <v>0</v>
      </c>
      <c r="AZ13" s="25">
        <v>11</v>
      </c>
      <c r="BA13" s="25">
        <v>2</v>
      </c>
      <c r="BB13" s="25">
        <v>4</v>
      </c>
      <c r="BC13" s="25">
        <v>0</v>
      </c>
      <c r="BD13" s="25">
        <v>11</v>
      </c>
      <c r="BE13" s="25">
        <v>0</v>
      </c>
      <c r="BF13" s="25">
        <v>11</v>
      </c>
      <c r="BG13" s="25">
        <v>0</v>
      </c>
      <c r="BH13" s="25">
        <v>11</v>
      </c>
      <c r="BI13" s="25">
        <v>0</v>
      </c>
      <c r="BJ13" s="25">
        <v>11</v>
      </c>
      <c r="BK13" s="25">
        <v>0</v>
      </c>
      <c r="BL13" s="25">
        <v>11</v>
      </c>
      <c r="BM13" s="25">
        <v>2</v>
      </c>
      <c r="BN13" s="25">
        <v>3</v>
      </c>
      <c r="BO13" s="25">
        <v>2</v>
      </c>
      <c r="BP13" s="25">
        <v>3</v>
      </c>
      <c r="BQ13" s="25">
        <v>2</v>
      </c>
      <c r="BR13" s="25">
        <v>3</v>
      </c>
      <c r="BS13" s="25">
        <v>0</v>
      </c>
      <c r="BT13" s="25">
        <v>11</v>
      </c>
      <c r="BU13" s="25">
        <v>0</v>
      </c>
      <c r="BV13" s="25">
        <v>11</v>
      </c>
      <c r="BW13" s="25">
        <v>0</v>
      </c>
      <c r="BX13" s="25">
        <v>11</v>
      </c>
      <c r="BY13" s="25">
        <v>0</v>
      </c>
      <c r="BZ13" s="25">
        <v>11</v>
      </c>
      <c r="CA13" s="25">
        <v>0</v>
      </c>
      <c r="CB13" s="25">
        <v>11</v>
      </c>
      <c r="CC13" s="25">
        <v>0</v>
      </c>
      <c r="CD13" s="25">
        <v>11</v>
      </c>
      <c r="CE13" s="25">
        <v>0</v>
      </c>
      <c r="CF13" s="25">
        <v>11</v>
      </c>
      <c r="CG13" s="25">
        <v>2</v>
      </c>
      <c r="CH13" s="25">
        <v>3</v>
      </c>
      <c r="CI13" s="25">
        <v>2</v>
      </c>
      <c r="CJ13" s="25">
        <v>3</v>
      </c>
      <c r="CK13" s="25">
        <v>2</v>
      </c>
      <c r="CL13" s="25">
        <v>3</v>
      </c>
      <c r="CM13" s="25">
        <v>0</v>
      </c>
      <c r="CN13" s="25">
        <v>11</v>
      </c>
      <c r="CO13" s="25">
        <v>0</v>
      </c>
      <c r="CP13" s="25">
        <v>11</v>
      </c>
      <c r="CQ13" s="25">
        <v>0</v>
      </c>
      <c r="CR13" s="25">
        <v>11</v>
      </c>
      <c r="CS13" s="25">
        <v>0</v>
      </c>
      <c r="CT13" s="25">
        <v>11</v>
      </c>
      <c r="CU13" s="25">
        <v>0</v>
      </c>
      <c r="CV13" s="25">
        <v>11</v>
      </c>
      <c r="CW13" s="25">
        <v>0</v>
      </c>
      <c r="CX13" s="25">
        <v>11</v>
      </c>
      <c r="CY13" s="25">
        <v>0</v>
      </c>
      <c r="CZ13" s="25">
        <v>11</v>
      </c>
      <c r="DA13" s="25">
        <v>6</v>
      </c>
      <c r="DB13" s="25">
        <v>9</v>
      </c>
      <c r="DC13" s="25">
        <v>6</v>
      </c>
      <c r="DD13" s="25">
        <v>9</v>
      </c>
      <c r="DE13" s="25">
        <v>6</v>
      </c>
      <c r="DF13" s="25">
        <v>9</v>
      </c>
      <c r="DG13" s="25">
        <v>0</v>
      </c>
      <c r="DH13" s="25">
        <v>11</v>
      </c>
      <c r="DI13" s="25">
        <v>0</v>
      </c>
      <c r="DJ13" s="25">
        <v>11</v>
      </c>
      <c r="DK13" s="25">
        <v>0</v>
      </c>
      <c r="DL13" s="25">
        <v>11</v>
      </c>
      <c r="DM13" s="25">
        <v>0</v>
      </c>
      <c r="DN13" s="25">
        <v>11</v>
      </c>
      <c r="DO13" s="25">
        <v>0</v>
      </c>
      <c r="DP13" s="25">
        <v>11</v>
      </c>
      <c r="DQ13" s="25">
        <v>0</v>
      </c>
      <c r="DR13" s="25">
        <v>11</v>
      </c>
      <c r="DS13" s="25">
        <v>0</v>
      </c>
      <c r="DT13" s="25">
        <v>11</v>
      </c>
      <c r="DU13" s="25">
        <v>31</v>
      </c>
      <c r="DV13" s="25">
        <v>33</v>
      </c>
      <c r="DW13" s="25">
        <v>25</v>
      </c>
      <c r="DX13" s="25">
        <v>32</v>
      </c>
      <c r="DY13" s="25">
        <v>3</v>
      </c>
      <c r="DZ13" s="25">
        <v>5</v>
      </c>
      <c r="EA13" s="25">
        <v>22</v>
      </c>
      <c r="EB13" s="25">
        <v>31</v>
      </c>
      <c r="EC13" s="25">
        <v>0</v>
      </c>
      <c r="ED13" s="25">
        <v>11</v>
      </c>
      <c r="EE13" s="25">
        <v>0</v>
      </c>
      <c r="EF13" s="25">
        <v>11</v>
      </c>
      <c r="EG13" s="25">
        <v>0</v>
      </c>
      <c r="EH13" s="25">
        <v>11</v>
      </c>
      <c r="EI13" s="25">
        <v>0</v>
      </c>
      <c r="EJ13" s="25">
        <v>11</v>
      </c>
      <c r="EK13" s="25">
        <v>6</v>
      </c>
      <c r="EL13" s="25">
        <v>7</v>
      </c>
      <c r="EM13" s="25">
        <v>0</v>
      </c>
      <c r="EN13" s="25">
        <v>11</v>
      </c>
    </row>
    <row r="14" spans="1:144" x14ac:dyDescent="0.25">
      <c r="A14" s="19">
        <f t="shared" si="8"/>
        <v>11</v>
      </c>
      <c r="B14" s="20" t="str">
        <f t="shared" si="9"/>
        <v>Davis</v>
      </c>
      <c r="C14" s="24" t="s">
        <v>298</v>
      </c>
      <c r="D14" s="24" t="s">
        <v>299</v>
      </c>
      <c r="E14" s="25">
        <v>143686</v>
      </c>
      <c r="F14" s="25">
        <v>1340</v>
      </c>
      <c r="G14" s="25">
        <v>97350</v>
      </c>
      <c r="H14" s="25">
        <v>1636</v>
      </c>
      <c r="I14" s="25">
        <v>92524</v>
      </c>
      <c r="J14" s="25">
        <v>1602</v>
      </c>
      <c r="K14" s="25">
        <v>4826</v>
      </c>
      <c r="L14" s="25">
        <v>383</v>
      </c>
      <c r="M14" s="25">
        <v>9529</v>
      </c>
      <c r="N14" s="25">
        <v>591</v>
      </c>
      <c r="O14" s="25">
        <v>9795</v>
      </c>
      <c r="P14" s="25">
        <v>604</v>
      </c>
      <c r="Q14" s="25">
        <v>7370</v>
      </c>
      <c r="R14" s="25">
        <v>577</v>
      </c>
      <c r="S14" s="25">
        <v>13410</v>
      </c>
      <c r="T14" s="25">
        <v>871</v>
      </c>
      <c r="U14" s="25">
        <v>6090</v>
      </c>
      <c r="V14" s="25">
        <v>529</v>
      </c>
      <c r="W14" s="25">
        <v>142</v>
      </c>
      <c r="X14" s="25">
        <v>61</v>
      </c>
      <c r="Y14" s="25">
        <v>115162</v>
      </c>
      <c r="Z14" s="25">
        <v>1670</v>
      </c>
      <c r="AA14" s="25">
        <v>79357</v>
      </c>
      <c r="AB14" s="25">
        <v>1604</v>
      </c>
      <c r="AC14" s="25">
        <v>76035</v>
      </c>
      <c r="AD14" s="25">
        <v>1617</v>
      </c>
      <c r="AE14" s="25">
        <v>3322</v>
      </c>
      <c r="AF14" s="25">
        <v>338</v>
      </c>
      <c r="AG14" s="25">
        <v>7149</v>
      </c>
      <c r="AH14" s="25">
        <v>492</v>
      </c>
      <c r="AI14" s="25">
        <v>8282</v>
      </c>
      <c r="AJ14" s="25">
        <v>558</v>
      </c>
      <c r="AK14" s="25">
        <v>5735</v>
      </c>
      <c r="AL14" s="25">
        <v>476</v>
      </c>
      <c r="AM14" s="25">
        <v>11681</v>
      </c>
      <c r="AN14" s="25">
        <v>749</v>
      </c>
      <c r="AO14" s="25">
        <v>2901</v>
      </c>
      <c r="AP14" s="25">
        <v>345</v>
      </c>
      <c r="AQ14" s="25">
        <v>57</v>
      </c>
      <c r="AR14" s="25">
        <v>37</v>
      </c>
      <c r="AS14" s="25">
        <v>13449</v>
      </c>
      <c r="AT14" s="25">
        <v>755</v>
      </c>
      <c r="AU14" s="25">
        <v>8981</v>
      </c>
      <c r="AV14" s="25">
        <v>593</v>
      </c>
      <c r="AW14" s="25">
        <v>8451</v>
      </c>
      <c r="AX14" s="25">
        <v>588</v>
      </c>
      <c r="AY14" s="25">
        <v>530</v>
      </c>
      <c r="AZ14" s="25">
        <v>143</v>
      </c>
      <c r="BA14" s="25">
        <v>1063</v>
      </c>
      <c r="BB14" s="25">
        <v>198</v>
      </c>
      <c r="BC14" s="25">
        <v>890</v>
      </c>
      <c r="BD14" s="25">
        <v>168</v>
      </c>
      <c r="BE14" s="25">
        <v>836</v>
      </c>
      <c r="BF14" s="25">
        <v>219</v>
      </c>
      <c r="BG14" s="25">
        <v>1085</v>
      </c>
      <c r="BH14" s="25">
        <v>188</v>
      </c>
      <c r="BI14" s="25">
        <v>569</v>
      </c>
      <c r="BJ14" s="25">
        <v>174</v>
      </c>
      <c r="BK14" s="25">
        <v>25</v>
      </c>
      <c r="BL14" s="25">
        <v>24</v>
      </c>
      <c r="BM14" s="25">
        <v>3783</v>
      </c>
      <c r="BN14" s="25">
        <v>410</v>
      </c>
      <c r="BO14" s="25">
        <v>1642</v>
      </c>
      <c r="BP14" s="25">
        <v>250</v>
      </c>
      <c r="BQ14" s="25">
        <v>1620</v>
      </c>
      <c r="BR14" s="25">
        <v>253</v>
      </c>
      <c r="BS14" s="25">
        <v>22</v>
      </c>
      <c r="BT14" s="25">
        <v>20</v>
      </c>
      <c r="BU14" s="25">
        <v>1016</v>
      </c>
      <c r="BV14" s="25">
        <v>234</v>
      </c>
      <c r="BW14" s="25">
        <v>289</v>
      </c>
      <c r="BX14" s="25">
        <v>123</v>
      </c>
      <c r="BY14" s="25">
        <v>556</v>
      </c>
      <c r="BZ14" s="25">
        <v>147</v>
      </c>
      <c r="CA14" s="25">
        <v>229</v>
      </c>
      <c r="CB14" s="25">
        <v>105</v>
      </c>
      <c r="CC14" s="25">
        <v>51</v>
      </c>
      <c r="CD14" s="25">
        <v>37</v>
      </c>
      <c r="CE14" s="25">
        <v>0</v>
      </c>
      <c r="CF14" s="25">
        <v>27</v>
      </c>
      <c r="CG14" s="25">
        <v>1929</v>
      </c>
      <c r="CH14" s="25">
        <v>314</v>
      </c>
      <c r="CI14" s="25">
        <v>1572</v>
      </c>
      <c r="CJ14" s="25">
        <v>306</v>
      </c>
      <c r="CK14" s="25">
        <v>1511</v>
      </c>
      <c r="CL14" s="25">
        <v>305</v>
      </c>
      <c r="CM14" s="25">
        <v>61</v>
      </c>
      <c r="CN14" s="25">
        <v>34</v>
      </c>
      <c r="CO14" s="25">
        <v>28</v>
      </c>
      <c r="CP14" s="25">
        <v>30</v>
      </c>
      <c r="CQ14" s="25">
        <v>100</v>
      </c>
      <c r="CR14" s="25">
        <v>58</v>
      </c>
      <c r="CS14" s="25">
        <v>21</v>
      </c>
      <c r="CT14" s="25">
        <v>24</v>
      </c>
      <c r="CU14" s="25">
        <v>81</v>
      </c>
      <c r="CV14" s="25">
        <v>56</v>
      </c>
      <c r="CW14" s="25">
        <v>127</v>
      </c>
      <c r="CX14" s="25">
        <v>66</v>
      </c>
      <c r="CY14" s="25">
        <v>0</v>
      </c>
      <c r="CZ14" s="25">
        <v>27</v>
      </c>
      <c r="DA14" s="25">
        <v>2257</v>
      </c>
      <c r="DB14" s="25">
        <v>365</v>
      </c>
      <c r="DC14" s="25">
        <v>1621</v>
      </c>
      <c r="DD14" s="25">
        <v>306</v>
      </c>
      <c r="DE14" s="25">
        <v>1562</v>
      </c>
      <c r="DF14" s="25">
        <v>308</v>
      </c>
      <c r="DG14" s="25">
        <v>59</v>
      </c>
      <c r="DH14" s="25">
        <v>45</v>
      </c>
      <c r="DI14" s="25">
        <v>47</v>
      </c>
      <c r="DJ14" s="25">
        <v>40</v>
      </c>
      <c r="DK14" s="25">
        <v>149</v>
      </c>
      <c r="DL14" s="25">
        <v>75</v>
      </c>
      <c r="DM14" s="25">
        <v>82</v>
      </c>
      <c r="DN14" s="25">
        <v>45</v>
      </c>
      <c r="DO14" s="25">
        <v>115</v>
      </c>
      <c r="DP14" s="25">
        <v>71</v>
      </c>
      <c r="DQ14" s="25">
        <v>237</v>
      </c>
      <c r="DR14" s="25">
        <v>132</v>
      </c>
      <c r="DS14" s="25">
        <v>6</v>
      </c>
      <c r="DT14" s="25">
        <v>11</v>
      </c>
      <c r="DU14" s="25">
        <v>7106</v>
      </c>
      <c r="DV14" s="25">
        <v>507</v>
      </c>
      <c r="DW14" s="25">
        <v>4177</v>
      </c>
      <c r="DX14" s="25">
        <v>417</v>
      </c>
      <c r="DY14" s="25">
        <v>3345</v>
      </c>
      <c r="DZ14" s="25">
        <v>358</v>
      </c>
      <c r="EA14" s="25">
        <v>832</v>
      </c>
      <c r="EB14" s="25">
        <v>155</v>
      </c>
      <c r="EC14" s="25">
        <v>226</v>
      </c>
      <c r="ED14" s="25">
        <v>74</v>
      </c>
      <c r="EE14" s="25">
        <v>85</v>
      </c>
      <c r="EF14" s="25">
        <v>51</v>
      </c>
      <c r="EG14" s="25">
        <v>140</v>
      </c>
      <c r="EH14" s="25">
        <v>83</v>
      </c>
      <c r="EI14" s="25">
        <v>219</v>
      </c>
      <c r="EJ14" s="25">
        <v>130</v>
      </c>
      <c r="EK14" s="25">
        <v>2205</v>
      </c>
      <c r="EL14" s="25">
        <v>337</v>
      </c>
      <c r="EM14" s="25">
        <v>54</v>
      </c>
      <c r="EN14" s="25">
        <v>45</v>
      </c>
    </row>
    <row r="15" spans="1:144" x14ac:dyDescent="0.25">
      <c r="A15" s="19">
        <f t="shared" si="8"/>
        <v>13</v>
      </c>
      <c r="B15" s="20" t="str">
        <f t="shared" si="9"/>
        <v>Duchesne</v>
      </c>
      <c r="C15" s="24" t="s">
        <v>300</v>
      </c>
      <c r="D15" s="24" t="s">
        <v>301</v>
      </c>
      <c r="E15" s="25">
        <v>7662</v>
      </c>
      <c r="F15" s="25">
        <v>285</v>
      </c>
      <c r="G15" s="25">
        <v>5571</v>
      </c>
      <c r="H15" s="25">
        <v>243</v>
      </c>
      <c r="I15" s="25">
        <v>5033</v>
      </c>
      <c r="J15" s="25">
        <v>248</v>
      </c>
      <c r="K15" s="25">
        <v>538</v>
      </c>
      <c r="L15" s="25">
        <v>107</v>
      </c>
      <c r="M15" s="25">
        <v>234</v>
      </c>
      <c r="N15" s="25">
        <v>67</v>
      </c>
      <c r="O15" s="25">
        <v>909</v>
      </c>
      <c r="P15" s="25">
        <v>129</v>
      </c>
      <c r="Q15" s="25">
        <v>402</v>
      </c>
      <c r="R15" s="25">
        <v>98</v>
      </c>
      <c r="S15" s="25">
        <v>170</v>
      </c>
      <c r="T15" s="25">
        <v>58</v>
      </c>
      <c r="U15" s="25">
        <v>353</v>
      </c>
      <c r="V15" s="25">
        <v>98</v>
      </c>
      <c r="W15" s="25">
        <v>23</v>
      </c>
      <c r="X15" s="25">
        <v>17</v>
      </c>
      <c r="Y15" s="25">
        <v>6292</v>
      </c>
      <c r="Z15" s="25">
        <v>254</v>
      </c>
      <c r="AA15" s="25">
        <v>4606</v>
      </c>
      <c r="AB15" s="25">
        <v>224</v>
      </c>
      <c r="AC15" s="25">
        <v>4201</v>
      </c>
      <c r="AD15" s="25">
        <v>225</v>
      </c>
      <c r="AE15" s="25">
        <v>405</v>
      </c>
      <c r="AF15" s="25">
        <v>91</v>
      </c>
      <c r="AG15" s="25">
        <v>176</v>
      </c>
      <c r="AH15" s="25">
        <v>54</v>
      </c>
      <c r="AI15" s="25">
        <v>745</v>
      </c>
      <c r="AJ15" s="25">
        <v>106</v>
      </c>
      <c r="AK15" s="25">
        <v>370</v>
      </c>
      <c r="AL15" s="25">
        <v>100</v>
      </c>
      <c r="AM15" s="25">
        <v>147</v>
      </c>
      <c r="AN15" s="25">
        <v>56</v>
      </c>
      <c r="AO15" s="25">
        <v>230</v>
      </c>
      <c r="AP15" s="25">
        <v>84</v>
      </c>
      <c r="AQ15" s="25">
        <v>18</v>
      </c>
      <c r="AR15" s="25">
        <v>13</v>
      </c>
      <c r="AS15" s="25">
        <v>765</v>
      </c>
      <c r="AT15" s="25">
        <v>127</v>
      </c>
      <c r="AU15" s="25">
        <v>581</v>
      </c>
      <c r="AV15" s="25">
        <v>104</v>
      </c>
      <c r="AW15" s="25">
        <v>555</v>
      </c>
      <c r="AX15" s="25">
        <v>102</v>
      </c>
      <c r="AY15" s="25">
        <v>26</v>
      </c>
      <c r="AZ15" s="25">
        <v>24</v>
      </c>
      <c r="BA15" s="25">
        <v>30</v>
      </c>
      <c r="BB15" s="25">
        <v>30</v>
      </c>
      <c r="BC15" s="25">
        <v>124</v>
      </c>
      <c r="BD15" s="25">
        <v>57</v>
      </c>
      <c r="BE15" s="25">
        <v>7</v>
      </c>
      <c r="BF15" s="25">
        <v>9</v>
      </c>
      <c r="BG15" s="25">
        <v>9</v>
      </c>
      <c r="BH15" s="25">
        <v>9</v>
      </c>
      <c r="BI15" s="25">
        <v>14</v>
      </c>
      <c r="BJ15" s="25">
        <v>13</v>
      </c>
      <c r="BK15" s="25">
        <v>0</v>
      </c>
      <c r="BL15" s="25">
        <v>21</v>
      </c>
      <c r="BM15" s="25">
        <v>30</v>
      </c>
      <c r="BN15" s="25">
        <v>19</v>
      </c>
      <c r="BO15" s="25">
        <v>7</v>
      </c>
      <c r="BP15" s="25">
        <v>9</v>
      </c>
      <c r="BQ15" s="25">
        <v>7</v>
      </c>
      <c r="BR15" s="25">
        <v>9</v>
      </c>
      <c r="BS15" s="25">
        <v>0</v>
      </c>
      <c r="BT15" s="25">
        <v>21</v>
      </c>
      <c r="BU15" s="25">
        <v>0</v>
      </c>
      <c r="BV15" s="25">
        <v>21</v>
      </c>
      <c r="BW15" s="25">
        <v>17</v>
      </c>
      <c r="BX15" s="25">
        <v>13</v>
      </c>
      <c r="BY15" s="25">
        <v>0</v>
      </c>
      <c r="BZ15" s="25">
        <v>21</v>
      </c>
      <c r="CA15" s="25">
        <v>0</v>
      </c>
      <c r="CB15" s="25">
        <v>21</v>
      </c>
      <c r="CC15" s="25">
        <v>6</v>
      </c>
      <c r="CD15" s="25">
        <v>9</v>
      </c>
      <c r="CE15" s="25">
        <v>0</v>
      </c>
      <c r="CF15" s="25">
        <v>21</v>
      </c>
      <c r="CG15" s="25">
        <v>275</v>
      </c>
      <c r="CH15" s="25">
        <v>81</v>
      </c>
      <c r="CI15" s="25">
        <v>185</v>
      </c>
      <c r="CJ15" s="25">
        <v>67</v>
      </c>
      <c r="CK15" s="25">
        <v>123</v>
      </c>
      <c r="CL15" s="25">
        <v>55</v>
      </c>
      <c r="CM15" s="25">
        <v>62</v>
      </c>
      <c r="CN15" s="25">
        <v>37</v>
      </c>
      <c r="CO15" s="25">
        <v>12</v>
      </c>
      <c r="CP15" s="25">
        <v>11</v>
      </c>
      <c r="CQ15" s="25">
        <v>19</v>
      </c>
      <c r="CR15" s="25">
        <v>9</v>
      </c>
      <c r="CS15" s="25">
        <v>18</v>
      </c>
      <c r="CT15" s="25">
        <v>26</v>
      </c>
      <c r="CU15" s="25">
        <v>9</v>
      </c>
      <c r="CV15" s="25">
        <v>12</v>
      </c>
      <c r="CW15" s="25">
        <v>27</v>
      </c>
      <c r="CX15" s="25">
        <v>17</v>
      </c>
      <c r="CY15" s="25">
        <v>5</v>
      </c>
      <c r="CZ15" s="25">
        <v>7</v>
      </c>
      <c r="DA15" s="25">
        <v>71</v>
      </c>
      <c r="DB15" s="25">
        <v>35</v>
      </c>
      <c r="DC15" s="25">
        <v>57</v>
      </c>
      <c r="DD15" s="25">
        <v>31</v>
      </c>
      <c r="DE15" s="25">
        <v>57</v>
      </c>
      <c r="DF15" s="25">
        <v>31</v>
      </c>
      <c r="DG15" s="25">
        <v>0</v>
      </c>
      <c r="DH15" s="25">
        <v>21</v>
      </c>
      <c r="DI15" s="25">
        <v>5</v>
      </c>
      <c r="DJ15" s="25">
        <v>7</v>
      </c>
      <c r="DK15" s="25">
        <v>4</v>
      </c>
      <c r="DL15" s="25">
        <v>6</v>
      </c>
      <c r="DM15" s="25">
        <v>0</v>
      </c>
      <c r="DN15" s="25">
        <v>21</v>
      </c>
      <c r="DO15" s="25">
        <v>0</v>
      </c>
      <c r="DP15" s="25">
        <v>21</v>
      </c>
      <c r="DQ15" s="25">
        <v>5</v>
      </c>
      <c r="DR15" s="25">
        <v>9</v>
      </c>
      <c r="DS15" s="25">
        <v>0</v>
      </c>
      <c r="DT15" s="25">
        <v>21</v>
      </c>
      <c r="DU15" s="25">
        <v>229</v>
      </c>
      <c r="DV15" s="25">
        <v>71</v>
      </c>
      <c r="DW15" s="25">
        <v>135</v>
      </c>
      <c r="DX15" s="25">
        <v>56</v>
      </c>
      <c r="DY15" s="25">
        <v>90</v>
      </c>
      <c r="DZ15" s="25">
        <v>48</v>
      </c>
      <c r="EA15" s="25">
        <v>45</v>
      </c>
      <c r="EB15" s="25">
        <v>25</v>
      </c>
      <c r="EC15" s="25">
        <v>11</v>
      </c>
      <c r="ED15" s="25">
        <v>14</v>
      </c>
      <c r="EE15" s="25">
        <v>0</v>
      </c>
      <c r="EF15" s="25">
        <v>21</v>
      </c>
      <c r="EG15" s="25">
        <v>7</v>
      </c>
      <c r="EH15" s="25">
        <v>8</v>
      </c>
      <c r="EI15" s="25">
        <v>5</v>
      </c>
      <c r="EJ15" s="25">
        <v>8</v>
      </c>
      <c r="EK15" s="25">
        <v>71</v>
      </c>
      <c r="EL15" s="25">
        <v>35</v>
      </c>
      <c r="EM15" s="25">
        <v>0</v>
      </c>
      <c r="EN15" s="25">
        <v>21</v>
      </c>
    </row>
    <row r="16" spans="1:144" x14ac:dyDescent="0.25">
      <c r="A16" s="19">
        <f t="shared" si="8"/>
        <v>15</v>
      </c>
      <c r="B16" s="20" t="str">
        <f t="shared" si="9"/>
        <v>Emery</v>
      </c>
      <c r="C16" s="24" t="s">
        <v>302</v>
      </c>
      <c r="D16" s="24" t="s">
        <v>303</v>
      </c>
      <c r="E16" s="25">
        <v>4131</v>
      </c>
      <c r="F16" s="25">
        <v>166</v>
      </c>
      <c r="G16" s="25">
        <v>2901</v>
      </c>
      <c r="H16" s="25">
        <v>213</v>
      </c>
      <c r="I16" s="25">
        <v>2819</v>
      </c>
      <c r="J16" s="25">
        <v>203</v>
      </c>
      <c r="K16" s="25">
        <v>82</v>
      </c>
      <c r="L16" s="25">
        <v>47</v>
      </c>
      <c r="M16" s="25">
        <v>158</v>
      </c>
      <c r="N16" s="25">
        <v>54</v>
      </c>
      <c r="O16" s="25">
        <v>547</v>
      </c>
      <c r="P16" s="25">
        <v>87</v>
      </c>
      <c r="Q16" s="25">
        <v>230</v>
      </c>
      <c r="R16" s="25">
        <v>60</v>
      </c>
      <c r="S16" s="25">
        <v>100</v>
      </c>
      <c r="T16" s="25">
        <v>43</v>
      </c>
      <c r="U16" s="25">
        <v>180</v>
      </c>
      <c r="V16" s="25">
        <v>62</v>
      </c>
      <c r="W16" s="25">
        <v>15</v>
      </c>
      <c r="X16" s="25">
        <v>13</v>
      </c>
      <c r="Y16" s="25">
        <v>3267</v>
      </c>
      <c r="Z16" s="25">
        <v>147</v>
      </c>
      <c r="AA16" s="25">
        <v>2332</v>
      </c>
      <c r="AB16" s="25">
        <v>200</v>
      </c>
      <c r="AC16" s="25">
        <v>2304</v>
      </c>
      <c r="AD16" s="25">
        <v>200</v>
      </c>
      <c r="AE16" s="25">
        <v>28</v>
      </c>
      <c r="AF16" s="25">
        <v>22</v>
      </c>
      <c r="AG16" s="25">
        <v>140</v>
      </c>
      <c r="AH16" s="25">
        <v>52</v>
      </c>
      <c r="AI16" s="25">
        <v>443</v>
      </c>
      <c r="AJ16" s="25">
        <v>86</v>
      </c>
      <c r="AK16" s="25">
        <v>176</v>
      </c>
      <c r="AL16" s="25">
        <v>54</v>
      </c>
      <c r="AM16" s="25">
        <v>72</v>
      </c>
      <c r="AN16" s="25">
        <v>32</v>
      </c>
      <c r="AO16" s="25">
        <v>101</v>
      </c>
      <c r="AP16" s="25">
        <v>52</v>
      </c>
      <c r="AQ16" s="25">
        <v>3</v>
      </c>
      <c r="AR16" s="25">
        <v>5</v>
      </c>
      <c r="AS16" s="25">
        <v>498</v>
      </c>
      <c r="AT16" s="25">
        <v>101</v>
      </c>
      <c r="AU16" s="25">
        <v>398</v>
      </c>
      <c r="AV16" s="25">
        <v>88</v>
      </c>
      <c r="AW16" s="25">
        <v>393</v>
      </c>
      <c r="AX16" s="25">
        <v>87</v>
      </c>
      <c r="AY16" s="25">
        <v>5</v>
      </c>
      <c r="AZ16" s="25">
        <v>5</v>
      </c>
      <c r="BA16" s="25">
        <v>7</v>
      </c>
      <c r="BB16" s="25">
        <v>7</v>
      </c>
      <c r="BC16" s="25">
        <v>44</v>
      </c>
      <c r="BD16" s="25">
        <v>29</v>
      </c>
      <c r="BE16" s="25">
        <v>37</v>
      </c>
      <c r="BF16" s="25">
        <v>31</v>
      </c>
      <c r="BG16" s="25">
        <v>3</v>
      </c>
      <c r="BH16" s="25">
        <v>4</v>
      </c>
      <c r="BI16" s="25">
        <v>9</v>
      </c>
      <c r="BJ16" s="25">
        <v>8</v>
      </c>
      <c r="BK16" s="25">
        <v>0</v>
      </c>
      <c r="BL16" s="25">
        <v>18</v>
      </c>
      <c r="BM16" s="25">
        <v>41</v>
      </c>
      <c r="BN16" s="25">
        <v>36</v>
      </c>
      <c r="BO16" s="25">
        <v>22</v>
      </c>
      <c r="BP16" s="25">
        <v>26</v>
      </c>
      <c r="BQ16" s="25">
        <v>22</v>
      </c>
      <c r="BR16" s="25">
        <v>26</v>
      </c>
      <c r="BS16" s="25">
        <v>0</v>
      </c>
      <c r="BT16" s="25">
        <v>18</v>
      </c>
      <c r="BU16" s="25">
        <v>0</v>
      </c>
      <c r="BV16" s="25">
        <v>18</v>
      </c>
      <c r="BW16" s="25">
        <v>19</v>
      </c>
      <c r="BX16" s="25">
        <v>25</v>
      </c>
      <c r="BY16" s="25">
        <v>0</v>
      </c>
      <c r="BZ16" s="25">
        <v>18</v>
      </c>
      <c r="CA16" s="25">
        <v>0</v>
      </c>
      <c r="CB16" s="25">
        <v>18</v>
      </c>
      <c r="CC16" s="25">
        <v>0</v>
      </c>
      <c r="CD16" s="25">
        <v>18</v>
      </c>
      <c r="CE16" s="25">
        <v>0</v>
      </c>
      <c r="CF16" s="25">
        <v>18</v>
      </c>
      <c r="CG16" s="25">
        <v>94</v>
      </c>
      <c r="CH16" s="25">
        <v>38</v>
      </c>
      <c r="CI16" s="25">
        <v>44</v>
      </c>
      <c r="CJ16" s="25">
        <v>30</v>
      </c>
      <c r="CK16" s="25">
        <v>26</v>
      </c>
      <c r="CL16" s="25">
        <v>18</v>
      </c>
      <c r="CM16" s="25">
        <v>18</v>
      </c>
      <c r="CN16" s="25">
        <v>24</v>
      </c>
      <c r="CO16" s="25">
        <v>11</v>
      </c>
      <c r="CP16" s="25">
        <v>14</v>
      </c>
      <c r="CQ16" s="25">
        <v>18</v>
      </c>
      <c r="CR16" s="25">
        <v>12</v>
      </c>
      <c r="CS16" s="25">
        <v>7</v>
      </c>
      <c r="CT16" s="25">
        <v>7</v>
      </c>
      <c r="CU16" s="25">
        <v>8</v>
      </c>
      <c r="CV16" s="25">
        <v>12</v>
      </c>
      <c r="CW16" s="25">
        <v>6</v>
      </c>
      <c r="CX16" s="25">
        <v>7</v>
      </c>
      <c r="CY16" s="25">
        <v>0</v>
      </c>
      <c r="CZ16" s="25">
        <v>18</v>
      </c>
      <c r="DA16" s="25">
        <v>42</v>
      </c>
      <c r="DB16" s="25">
        <v>32</v>
      </c>
      <c r="DC16" s="25">
        <v>22</v>
      </c>
      <c r="DD16" s="25">
        <v>18</v>
      </c>
      <c r="DE16" s="25">
        <v>22</v>
      </c>
      <c r="DF16" s="25">
        <v>18</v>
      </c>
      <c r="DG16" s="25">
        <v>0</v>
      </c>
      <c r="DH16" s="25">
        <v>18</v>
      </c>
      <c r="DI16" s="25">
        <v>0</v>
      </c>
      <c r="DJ16" s="25">
        <v>18</v>
      </c>
      <c r="DK16" s="25">
        <v>3</v>
      </c>
      <c r="DL16" s="25">
        <v>4</v>
      </c>
      <c r="DM16" s="25">
        <v>0</v>
      </c>
      <c r="DN16" s="25">
        <v>18</v>
      </c>
      <c r="DO16" s="25">
        <v>17</v>
      </c>
      <c r="DP16" s="25">
        <v>27</v>
      </c>
      <c r="DQ16" s="25">
        <v>0</v>
      </c>
      <c r="DR16" s="25">
        <v>18</v>
      </c>
      <c r="DS16" s="25">
        <v>0</v>
      </c>
      <c r="DT16" s="25">
        <v>18</v>
      </c>
      <c r="DU16" s="25">
        <v>189</v>
      </c>
      <c r="DV16" s="25">
        <v>68</v>
      </c>
      <c r="DW16" s="25">
        <v>83</v>
      </c>
      <c r="DX16" s="25">
        <v>49</v>
      </c>
      <c r="DY16" s="25">
        <v>52</v>
      </c>
      <c r="DZ16" s="25">
        <v>36</v>
      </c>
      <c r="EA16" s="25">
        <v>31</v>
      </c>
      <c r="EB16" s="25">
        <v>29</v>
      </c>
      <c r="EC16" s="25">
        <v>0</v>
      </c>
      <c r="ED16" s="25">
        <v>18</v>
      </c>
      <c r="EE16" s="25">
        <v>20</v>
      </c>
      <c r="EF16" s="25">
        <v>15</v>
      </c>
      <c r="EG16" s="25">
        <v>10</v>
      </c>
      <c r="EH16" s="25">
        <v>16</v>
      </c>
      <c r="EI16" s="25">
        <v>0</v>
      </c>
      <c r="EJ16" s="25">
        <v>18</v>
      </c>
      <c r="EK16" s="25">
        <v>64</v>
      </c>
      <c r="EL16" s="25">
        <v>40</v>
      </c>
      <c r="EM16" s="25">
        <v>12</v>
      </c>
      <c r="EN16" s="25">
        <v>13</v>
      </c>
    </row>
    <row r="17" spans="1:144" x14ac:dyDescent="0.25">
      <c r="A17" s="19">
        <f t="shared" si="8"/>
        <v>17</v>
      </c>
      <c r="B17" s="20" t="str">
        <f t="shared" si="9"/>
        <v>Garfield</v>
      </c>
      <c r="C17" s="24" t="s">
        <v>304</v>
      </c>
      <c r="D17" s="24" t="s">
        <v>305</v>
      </c>
      <c r="E17" s="25">
        <v>2076</v>
      </c>
      <c r="F17" s="25">
        <v>152</v>
      </c>
      <c r="G17" s="25">
        <v>1341</v>
      </c>
      <c r="H17" s="25">
        <v>126</v>
      </c>
      <c r="I17" s="25">
        <v>1246</v>
      </c>
      <c r="J17" s="25">
        <v>122</v>
      </c>
      <c r="K17" s="25">
        <v>95</v>
      </c>
      <c r="L17" s="25">
        <v>41</v>
      </c>
      <c r="M17" s="25">
        <v>119</v>
      </c>
      <c r="N17" s="25">
        <v>37</v>
      </c>
      <c r="O17" s="25">
        <v>172</v>
      </c>
      <c r="P17" s="25">
        <v>51</v>
      </c>
      <c r="Q17" s="25">
        <v>85</v>
      </c>
      <c r="R17" s="25">
        <v>35</v>
      </c>
      <c r="S17" s="25">
        <v>148</v>
      </c>
      <c r="T17" s="25">
        <v>51</v>
      </c>
      <c r="U17" s="25">
        <v>205</v>
      </c>
      <c r="V17" s="25">
        <v>72</v>
      </c>
      <c r="W17" s="25">
        <v>6</v>
      </c>
      <c r="X17" s="25">
        <v>6</v>
      </c>
      <c r="Y17" s="25">
        <v>1472</v>
      </c>
      <c r="Z17" s="25">
        <v>126</v>
      </c>
      <c r="AA17" s="25">
        <v>918</v>
      </c>
      <c r="AB17" s="25">
        <v>101</v>
      </c>
      <c r="AC17" s="25">
        <v>849</v>
      </c>
      <c r="AD17" s="25">
        <v>98</v>
      </c>
      <c r="AE17" s="25">
        <v>69</v>
      </c>
      <c r="AF17" s="25">
        <v>38</v>
      </c>
      <c r="AG17" s="25">
        <v>93</v>
      </c>
      <c r="AH17" s="25">
        <v>30</v>
      </c>
      <c r="AI17" s="25">
        <v>148</v>
      </c>
      <c r="AJ17" s="25">
        <v>44</v>
      </c>
      <c r="AK17" s="25">
        <v>65</v>
      </c>
      <c r="AL17" s="25">
        <v>30</v>
      </c>
      <c r="AM17" s="25">
        <v>118</v>
      </c>
      <c r="AN17" s="25">
        <v>45</v>
      </c>
      <c r="AO17" s="25">
        <v>130</v>
      </c>
      <c r="AP17" s="25">
        <v>70</v>
      </c>
      <c r="AQ17" s="25">
        <v>0</v>
      </c>
      <c r="AR17" s="25">
        <v>16</v>
      </c>
      <c r="AS17" s="25">
        <v>241</v>
      </c>
      <c r="AT17" s="25">
        <v>62</v>
      </c>
      <c r="AU17" s="25">
        <v>189</v>
      </c>
      <c r="AV17" s="25">
        <v>55</v>
      </c>
      <c r="AW17" s="25">
        <v>189</v>
      </c>
      <c r="AX17" s="25">
        <v>55</v>
      </c>
      <c r="AY17" s="25">
        <v>0</v>
      </c>
      <c r="AZ17" s="25">
        <v>16</v>
      </c>
      <c r="BA17" s="25">
        <v>18</v>
      </c>
      <c r="BB17" s="25">
        <v>16</v>
      </c>
      <c r="BC17" s="25">
        <v>8</v>
      </c>
      <c r="BD17" s="25">
        <v>7</v>
      </c>
      <c r="BE17" s="25">
        <v>11</v>
      </c>
      <c r="BF17" s="25">
        <v>13</v>
      </c>
      <c r="BG17" s="25">
        <v>13</v>
      </c>
      <c r="BH17" s="25">
        <v>8</v>
      </c>
      <c r="BI17" s="25">
        <v>2</v>
      </c>
      <c r="BJ17" s="25">
        <v>3</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192</v>
      </c>
      <c r="CH17" s="25">
        <v>67</v>
      </c>
      <c r="CI17" s="25">
        <v>118</v>
      </c>
      <c r="CJ17" s="25">
        <v>56</v>
      </c>
      <c r="CK17" s="25">
        <v>110</v>
      </c>
      <c r="CL17" s="25">
        <v>56</v>
      </c>
      <c r="CM17" s="25">
        <v>8</v>
      </c>
      <c r="CN17" s="25">
        <v>7</v>
      </c>
      <c r="CO17" s="25">
        <v>7</v>
      </c>
      <c r="CP17" s="25">
        <v>10</v>
      </c>
      <c r="CQ17" s="25">
        <v>16</v>
      </c>
      <c r="CR17" s="25">
        <v>18</v>
      </c>
      <c r="CS17" s="25">
        <v>9</v>
      </c>
      <c r="CT17" s="25">
        <v>12</v>
      </c>
      <c r="CU17" s="25">
        <v>17</v>
      </c>
      <c r="CV17" s="25">
        <v>22</v>
      </c>
      <c r="CW17" s="25">
        <v>22</v>
      </c>
      <c r="CX17" s="25">
        <v>16</v>
      </c>
      <c r="CY17" s="25">
        <v>3</v>
      </c>
      <c r="CZ17" s="25">
        <v>4</v>
      </c>
      <c r="DA17" s="25">
        <v>59</v>
      </c>
      <c r="DB17" s="25">
        <v>53</v>
      </c>
      <c r="DC17" s="25">
        <v>55</v>
      </c>
      <c r="DD17" s="25">
        <v>53</v>
      </c>
      <c r="DE17" s="25">
        <v>53</v>
      </c>
      <c r="DF17" s="25">
        <v>53</v>
      </c>
      <c r="DG17" s="25">
        <v>2</v>
      </c>
      <c r="DH17" s="25">
        <v>3</v>
      </c>
      <c r="DI17" s="25">
        <v>0</v>
      </c>
      <c r="DJ17" s="25">
        <v>16</v>
      </c>
      <c r="DK17" s="25">
        <v>0</v>
      </c>
      <c r="DL17" s="25">
        <v>16</v>
      </c>
      <c r="DM17" s="25">
        <v>0</v>
      </c>
      <c r="DN17" s="25">
        <v>16</v>
      </c>
      <c r="DO17" s="25">
        <v>0</v>
      </c>
      <c r="DP17" s="25">
        <v>16</v>
      </c>
      <c r="DQ17" s="25">
        <v>4</v>
      </c>
      <c r="DR17" s="25">
        <v>5</v>
      </c>
      <c r="DS17" s="25">
        <v>0</v>
      </c>
      <c r="DT17" s="25">
        <v>16</v>
      </c>
      <c r="DU17" s="25">
        <v>112</v>
      </c>
      <c r="DV17" s="25">
        <v>44</v>
      </c>
      <c r="DW17" s="25">
        <v>61</v>
      </c>
      <c r="DX17" s="25">
        <v>31</v>
      </c>
      <c r="DY17" s="25">
        <v>45</v>
      </c>
      <c r="DZ17" s="25">
        <v>28</v>
      </c>
      <c r="EA17" s="25">
        <v>16</v>
      </c>
      <c r="EB17" s="25">
        <v>12</v>
      </c>
      <c r="EC17" s="25">
        <v>1</v>
      </c>
      <c r="ED17" s="25">
        <v>2</v>
      </c>
      <c r="EE17" s="25">
        <v>0</v>
      </c>
      <c r="EF17" s="25">
        <v>16</v>
      </c>
      <c r="EG17" s="25">
        <v>0</v>
      </c>
      <c r="EH17" s="25">
        <v>16</v>
      </c>
      <c r="EI17" s="25">
        <v>0</v>
      </c>
      <c r="EJ17" s="25">
        <v>16</v>
      </c>
      <c r="EK17" s="25">
        <v>47</v>
      </c>
      <c r="EL17" s="25">
        <v>28</v>
      </c>
      <c r="EM17" s="25">
        <v>3</v>
      </c>
      <c r="EN17" s="25">
        <v>4</v>
      </c>
    </row>
    <row r="18" spans="1:144" x14ac:dyDescent="0.25">
      <c r="A18" s="19">
        <f t="shared" si="8"/>
        <v>19</v>
      </c>
      <c r="B18" s="20" t="str">
        <f t="shared" si="9"/>
        <v>Grand</v>
      </c>
      <c r="C18" s="24" t="s">
        <v>306</v>
      </c>
      <c r="D18" s="24" t="s">
        <v>307</v>
      </c>
      <c r="E18" s="25">
        <v>4651</v>
      </c>
      <c r="F18" s="25">
        <v>279</v>
      </c>
      <c r="G18" s="25">
        <v>2928</v>
      </c>
      <c r="H18" s="25">
        <v>290</v>
      </c>
      <c r="I18" s="25">
        <v>2776</v>
      </c>
      <c r="J18" s="25">
        <v>286</v>
      </c>
      <c r="K18" s="25">
        <v>152</v>
      </c>
      <c r="L18" s="25">
        <v>75</v>
      </c>
      <c r="M18" s="25">
        <v>319</v>
      </c>
      <c r="N18" s="25">
        <v>137</v>
      </c>
      <c r="O18" s="25">
        <v>447</v>
      </c>
      <c r="P18" s="25">
        <v>177</v>
      </c>
      <c r="Q18" s="25">
        <v>132</v>
      </c>
      <c r="R18" s="25">
        <v>88</v>
      </c>
      <c r="S18" s="25">
        <v>299</v>
      </c>
      <c r="T18" s="25">
        <v>131</v>
      </c>
      <c r="U18" s="25">
        <v>526</v>
      </c>
      <c r="V18" s="25">
        <v>173</v>
      </c>
      <c r="W18" s="25">
        <v>0</v>
      </c>
      <c r="X18" s="25">
        <v>16</v>
      </c>
      <c r="Y18" s="25">
        <v>3054</v>
      </c>
      <c r="Z18" s="25">
        <v>277</v>
      </c>
      <c r="AA18" s="25">
        <v>1932</v>
      </c>
      <c r="AB18" s="25">
        <v>257</v>
      </c>
      <c r="AC18" s="25">
        <v>1843</v>
      </c>
      <c r="AD18" s="25">
        <v>239</v>
      </c>
      <c r="AE18" s="25">
        <v>89</v>
      </c>
      <c r="AF18" s="25">
        <v>66</v>
      </c>
      <c r="AG18" s="25">
        <v>192</v>
      </c>
      <c r="AH18" s="25">
        <v>92</v>
      </c>
      <c r="AI18" s="25">
        <v>358</v>
      </c>
      <c r="AJ18" s="25">
        <v>177</v>
      </c>
      <c r="AK18" s="25">
        <v>108</v>
      </c>
      <c r="AL18" s="25">
        <v>87</v>
      </c>
      <c r="AM18" s="25">
        <v>193</v>
      </c>
      <c r="AN18" s="25">
        <v>102</v>
      </c>
      <c r="AO18" s="25">
        <v>271</v>
      </c>
      <c r="AP18" s="25">
        <v>129</v>
      </c>
      <c r="AQ18" s="25">
        <v>0</v>
      </c>
      <c r="AR18" s="25">
        <v>16</v>
      </c>
      <c r="AS18" s="25">
        <v>595</v>
      </c>
      <c r="AT18" s="25">
        <v>176</v>
      </c>
      <c r="AU18" s="25">
        <v>362</v>
      </c>
      <c r="AV18" s="25">
        <v>141</v>
      </c>
      <c r="AW18" s="25">
        <v>345</v>
      </c>
      <c r="AX18" s="25">
        <v>141</v>
      </c>
      <c r="AY18" s="25">
        <v>17</v>
      </c>
      <c r="AZ18" s="25">
        <v>26</v>
      </c>
      <c r="BA18" s="25">
        <v>13</v>
      </c>
      <c r="BB18" s="25">
        <v>21</v>
      </c>
      <c r="BC18" s="25">
        <v>59</v>
      </c>
      <c r="BD18" s="25">
        <v>42</v>
      </c>
      <c r="BE18" s="25">
        <v>22</v>
      </c>
      <c r="BF18" s="25">
        <v>27</v>
      </c>
      <c r="BG18" s="25">
        <v>57</v>
      </c>
      <c r="BH18" s="25">
        <v>64</v>
      </c>
      <c r="BI18" s="25">
        <v>82</v>
      </c>
      <c r="BJ18" s="25">
        <v>69</v>
      </c>
      <c r="BK18" s="25">
        <v>0</v>
      </c>
      <c r="BL18" s="25">
        <v>16</v>
      </c>
      <c r="BM18" s="25">
        <v>17</v>
      </c>
      <c r="BN18" s="25">
        <v>26</v>
      </c>
      <c r="BO18" s="25">
        <v>0</v>
      </c>
      <c r="BP18" s="25">
        <v>16</v>
      </c>
      <c r="BQ18" s="25">
        <v>0</v>
      </c>
      <c r="BR18" s="25">
        <v>16</v>
      </c>
      <c r="BS18" s="25">
        <v>0</v>
      </c>
      <c r="BT18" s="25">
        <v>16</v>
      </c>
      <c r="BU18" s="25">
        <v>16</v>
      </c>
      <c r="BV18" s="25">
        <v>26</v>
      </c>
      <c r="BW18" s="25">
        <v>0</v>
      </c>
      <c r="BX18" s="25">
        <v>16</v>
      </c>
      <c r="BY18" s="25">
        <v>0</v>
      </c>
      <c r="BZ18" s="25">
        <v>16</v>
      </c>
      <c r="CA18" s="25">
        <v>0</v>
      </c>
      <c r="CB18" s="25">
        <v>16</v>
      </c>
      <c r="CC18" s="25">
        <v>1</v>
      </c>
      <c r="CD18" s="25">
        <v>5</v>
      </c>
      <c r="CE18" s="25">
        <v>0</v>
      </c>
      <c r="CF18" s="25">
        <v>16</v>
      </c>
      <c r="CG18" s="25">
        <v>254</v>
      </c>
      <c r="CH18" s="25">
        <v>139</v>
      </c>
      <c r="CI18" s="25">
        <v>168</v>
      </c>
      <c r="CJ18" s="25">
        <v>114</v>
      </c>
      <c r="CK18" s="25">
        <v>168</v>
      </c>
      <c r="CL18" s="25">
        <v>114</v>
      </c>
      <c r="CM18" s="25">
        <v>0</v>
      </c>
      <c r="CN18" s="25">
        <v>16</v>
      </c>
      <c r="CO18" s="25">
        <v>53</v>
      </c>
      <c r="CP18" s="25">
        <v>64</v>
      </c>
      <c r="CQ18" s="25">
        <v>9</v>
      </c>
      <c r="CR18" s="25">
        <v>16</v>
      </c>
      <c r="CS18" s="25">
        <v>0</v>
      </c>
      <c r="CT18" s="25">
        <v>16</v>
      </c>
      <c r="CU18" s="25">
        <v>13</v>
      </c>
      <c r="CV18" s="25">
        <v>22</v>
      </c>
      <c r="CW18" s="25">
        <v>11</v>
      </c>
      <c r="CX18" s="25">
        <v>18</v>
      </c>
      <c r="CY18" s="25">
        <v>0</v>
      </c>
      <c r="CZ18" s="25">
        <v>16</v>
      </c>
      <c r="DA18" s="25">
        <v>399</v>
      </c>
      <c r="DB18" s="25">
        <v>152</v>
      </c>
      <c r="DC18" s="25">
        <v>306</v>
      </c>
      <c r="DD18" s="25">
        <v>139</v>
      </c>
      <c r="DE18" s="25">
        <v>297</v>
      </c>
      <c r="DF18" s="25">
        <v>137</v>
      </c>
      <c r="DG18" s="25">
        <v>9</v>
      </c>
      <c r="DH18" s="25">
        <v>15</v>
      </c>
      <c r="DI18" s="25">
        <v>23</v>
      </c>
      <c r="DJ18" s="25">
        <v>31</v>
      </c>
      <c r="DK18" s="25">
        <v>21</v>
      </c>
      <c r="DL18" s="25">
        <v>26</v>
      </c>
      <c r="DM18" s="25">
        <v>0</v>
      </c>
      <c r="DN18" s="25">
        <v>16</v>
      </c>
      <c r="DO18" s="25">
        <v>28</v>
      </c>
      <c r="DP18" s="25">
        <v>36</v>
      </c>
      <c r="DQ18" s="25">
        <v>21</v>
      </c>
      <c r="DR18" s="25">
        <v>37</v>
      </c>
      <c r="DS18" s="25">
        <v>0</v>
      </c>
      <c r="DT18" s="25">
        <v>16</v>
      </c>
      <c r="DU18" s="25">
        <v>332</v>
      </c>
      <c r="DV18" s="25">
        <v>135</v>
      </c>
      <c r="DW18" s="25">
        <v>160</v>
      </c>
      <c r="DX18" s="25">
        <v>112</v>
      </c>
      <c r="DY18" s="25">
        <v>123</v>
      </c>
      <c r="DZ18" s="25">
        <v>105</v>
      </c>
      <c r="EA18" s="25">
        <v>37</v>
      </c>
      <c r="EB18" s="25">
        <v>37</v>
      </c>
      <c r="EC18" s="25">
        <v>22</v>
      </c>
      <c r="ED18" s="25">
        <v>28</v>
      </c>
      <c r="EE18" s="25">
        <v>0</v>
      </c>
      <c r="EF18" s="25">
        <v>16</v>
      </c>
      <c r="EG18" s="25">
        <v>2</v>
      </c>
      <c r="EH18" s="25">
        <v>4</v>
      </c>
      <c r="EI18" s="25">
        <v>8</v>
      </c>
      <c r="EJ18" s="25">
        <v>15</v>
      </c>
      <c r="EK18" s="25">
        <v>140</v>
      </c>
      <c r="EL18" s="25">
        <v>100</v>
      </c>
      <c r="EM18" s="25">
        <v>0</v>
      </c>
      <c r="EN18" s="25">
        <v>16</v>
      </c>
    </row>
    <row r="19" spans="1:144" x14ac:dyDescent="0.25">
      <c r="A19" s="19">
        <f t="shared" si="8"/>
        <v>21</v>
      </c>
      <c r="B19" s="20" t="str">
        <f t="shared" si="9"/>
        <v>Iron</v>
      </c>
      <c r="C19" s="24" t="s">
        <v>308</v>
      </c>
      <c r="D19" s="24" t="s">
        <v>309</v>
      </c>
      <c r="E19" s="25">
        <v>18500</v>
      </c>
      <c r="F19" s="25">
        <v>664</v>
      </c>
      <c r="G19" s="25">
        <v>12917</v>
      </c>
      <c r="H19" s="25">
        <v>642</v>
      </c>
      <c r="I19" s="25">
        <v>12043</v>
      </c>
      <c r="J19" s="25">
        <v>595</v>
      </c>
      <c r="K19" s="25">
        <v>874</v>
      </c>
      <c r="L19" s="25">
        <v>199</v>
      </c>
      <c r="M19" s="25">
        <v>684</v>
      </c>
      <c r="N19" s="25">
        <v>180</v>
      </c>
      <c r="O19" s="25">
        <v>1593</v>
      </c>
      <c r="P19" s="25">
        <v>294</v>
      </c>
      <c r="Q19" s="25">
        <v>1828</v>
      </c>
      <c r="R19" s="25">
        <v>313</v>
      </c>
      <c r="S19" s="25">
        <v>497</v>
      </c>
      <c r="T19" s="25">
        <v>159</v>
      </c>
      <c r="U19" s="25">
        <v>958</v>
      </c>
      <c r="V19" s="25">
        <v>217</v>
      </c>
      <c r="W19" s="25">
        <v>23</v>
      </c>
      <c r="X19" s="25">
        <v>30</v>
      </c>
      <c r="Y19" s="25">
        <v>14435</v>
      </c>
      <c r="Z19" s="25">
        <v>660</v>
      </c>
      <c r="AA19" s="25">
        <v>10164</v>
      </c>
      <c r="AB19" s="25">
        <v>552</v>
      </c>
      <c r="AC19" s="25">
        <v>9527</v>
      </c>
      <c r="AD19" s="25">
        <v>547</v>
      </c>
      <c r="AE19" s="25">
        <v>637</v>
      </c>
      <c r="AF19" s="25">
        <v>189</v>
      </c>
      <c r="AG19" s="25">
        <v>576</v>
      </c>
      <c r="AH19" s="25">
        <v>160</v>
      </c>
      <c r="AI19" s="25">
        <v>1462</v>
      </c>
      <c r="AJ19" s="25">
        <v>293</v>
      </c>
      <c r="AK19" s="25">
        <v>1376</v>
      </c>
      <c r="AL19" s="25">
        <v>269</v>
      </c>
      <c r="AM19" s="25">
        <v>366</v>
      </c>
      <c r="AN19" s="25">
        <v>124</v>
      </c>
      <c r="AO19" s="25">
        <v>468</v>
      </c>
      <c r="AP19" s="25">
        <v>159</v>
      </c>
      <c r="AQ19" s="25">
        <v>23</v>
      </c>
      <c r="AR19" s="25">
        <v>30</v>
      </c>
      <c r="AS19" s="25">
        <v>2298</v>
      </c>
      <c r="AT19" s="25">
        <v>372</v>
      </c>
      <c r="AU19" s="25">
        <v>1800</v>
      </c>
      <c r="AV19" s="25">
        <v>357</v>
      </c>
      <c r="AW19" s="25">
        <v>1642</v>
      </c>
      <c r="AX19" s="25">
        <v>309</v>
      </c>
      <c r="AY19" s="25">
        <v>158</v>
      </c>
      <c r="AZ19" s="25">
        <v>135</v>
      </c>
      <c r="BA19" s="25">
        <v>15</v>
      </c>
      <c r="BB19" s="25">
        <v>18</v>
      </c>
      <c r="BC19" s="25">
        <v>106</v>
      </c>
      <c r="BD19" s="25">
        <v>48</v>
      </c>
      <c r="BE19" s="25">
        <v>204</v>
      </c>
      <c r="BF19" s="25">
        <v>110</v>
      </c>
      <c r="BG19" s="25">
        <v>83</v>
      </c>
      <c r="BH19" s="25">
        <v>74</v>
      </c>
      <c r="BI19" s="25">
        <v>90</v>
      </c>
      <c r="BJ19" s="25">
        <v>62</v>
      </c>
      <c r="BK19" s="25">
        <v>0</v>
      </c>
      <c r="BL19" s="25">
        <v>24</v>
      </c>
      <c r="BM19" s="25">
        <v>88</v>
      </c>
      <c r="BN19" s="25">
        <v>84</v>
      </c>
      <c r="BO19" s="25">
        <v>85</v>
      </c>
      <c r="BP19" s="25">
        <v>86</v>
      </c>
      <c r="BQ19" s="25">
        <v>85</v>
      </c>
      <c r="BR19" s="25">
        <v>86</v>
      </c>
      <c r="BS19" s="25">
        <v>0</v>
      </c>
      <c r="BT19" s="25">
        <v>24</v>
      </c>
      <c r="BU19" s="25">
        <v>0</v>
      </c>
      <c r="BV19" s="25">
        <v>24</v>
      </c>
      <c r="BW19" s="25">
        <v>0</v>
      </c>
      <c r="BX19" s="25">
        <v>24</v>
      </c>
      <c r="BY19" s="25">
        <v>0</v>
      </c>
      <c r="BZ19" s="25">
        <v>24</v>
      </c>
      <c r="CA19" s="25">
        <v>0</v>
      </c>
      <c r="CB19" s="25">
        <v>24</v>
      </c>
      <c r="CC19" s="25">
        <v>3</v>
      </c>
      <c r="CD19" s="25">
        <v>6</v>
      </c>
      <c r="CE19" s="25">
        <v>0</v>
      </c>
      <c r="CF19" s="25">
        <v>24</v>
      </c>
      <c r="CG19" s="25">
        <v>957</v>
      </c>
      <c r="CH19" s="25">
        <v>270</v>
      </c>
      <c r="CI19" s="25">
        <v>586</v>
      </c>
      <c r="CJ19" s="25">
        <v>183</v>
      </c>
      <c r="CK19" s="25">
        <v>540</v>
      </c>
      <c r="CL19" s="25">
        <v>182</v>
      </c>
      <c r="CM19" s="25">
        <v>46</v>
      </c>
      <c r="CN19" s="25">
        <v>28</v>
      </c>
      <c r="CO19" s="25">
        <v>78</v>
      </c>
      <c r="CP19" s="25">
        <v>65</v>
      </c>
      <c r="CQ19" s="25">
        <v>25</v>
      </c>
      <c r="CR19" s="25">
        <v>28</v>
      </c>
      <c r="CS19" s="25">
        <v>112</v>
      </c>
      <c r="CT19" s="25">
        <v>97</v>
      </c>
      <c r="CU19" s="25">
        <v>25</v>
      </c>
      <c r="CV19" s="25">
        <v>29</v>
      </c>
      <c r="CW19" s="25">
        <v>131</v>
      </c>
      <c r="CX19" s="25">
        <v>82</v>
      </c>
      <c r="CY19" s="25">
        <v>0</v>
      </c>
      <c r="CZ19" s="25">
        <v>24</v>
      </c>
      <c r="DA19" s="25">
        <v>323</v>
      </c>
      <c r="DB19" s="25">
        <v>142</v>
      </c>
      <c r="DC19" s="25">
        <v>147</v>
      </c>
      <c r="DD19" s="25">
        <v>86</v>
      </c>
      <c r="DE19" s="25">
        <v>145</v>
      </c>
      <c r="DF19" s="25">
        <v>86</v>
      </c>
      <c r="DG19" s="25">
        <v>2</v>
      </c>
      <c r="DH19" s="25">
        <v>3</v>
      </c>
      <c r="DI19" s="25">
        <v>0</v>
      </c>
      <c r="DJ19" s="25">
        <v>24</v>
      </c>
      <c r="DK19" s="25">
        <v>0</v>
      </c>
      <c r="DL19" s="25">
        <v>24</v>
      </c>
      <c r="DM19" s="25">
        <v>122</v>
      </c>
      <c r="DN19" s="25">
        <v>76</v>
      </c>
      <c r="DO19" s="25">
        <v>23</v>
      </c>
      <c r="DP19" s="25">
        <v>27</v>
      </c>
      <c r="DQ19" s="25">
        <v>31</v>
      </c>
      <c r="DR19" s="25">
        <v>50</v>
      </c>
      <c r="DS19" s="25">
        <v>0</v>
      </c>
      <c r="DT19" s="25">
        <v>24</v>
      </c>
      <c r="DU19" s="25">
        <v>399</v>
      </c>
      <c r="DV19" s="25">
        <v>133</v>
      </c>
      <c r="DW19" s="25">
        <v>135</v>
      </c>
      <c r="DX19" s="25">
        <v>92</v>
      </c>
      <c r="DY19" s="25">
        <v>104</v>
      </c>
      <c r="DZ19" s="25">
        <v>81</v>
      </c>
      <c r="EA19" s="25">
        <v>31</v>
      </c>
      <c r="EB19" s="25">
        <v>31</v>
      </c>
      <c r="EC19" s="25">
        <v>15</v>
      </c>
      <c r="ED19" s="25">
        <v>25</v>
      </c>
      <c r="EE19" s="25">
        <v>0</v>
      </c>
      <c r="EF19" s="25">
        <v>24</v>
      </c>
      <c r="EG19" s="25">
        <v>14</v>
      </c>
      <c r="EH19" s="25">
        <v>22</v>
      </c>
      <c r="EI19" s="25">
        <v>0</v>
      </c>
      <c r="EJ19" s="25">
        <v>24</v>
      </c>
      <c r="EK19" s="25">
        <v>235</v>
      </c>
      <c r="EL19" s="25">
        <v>87</v>
      </c>
      <c r="EM19" s="25">
        <v>0</v>
      </c>
      <c r="EN19" s="25">
        <v>24</v>
      </c>
    </row>
    <row r="20" spans="1:144" x14ac:dyDescent="0.25">
      <c r="A20" s="19">
        <f t="shared" si="8"/>
        <v>23</v>
      </c>
      <c r="B20" s="20" t="str">
        <f t="shared" si="9"/>
        <v>Juab</v>
      </c>
      <c r="C20" s="24" t="s">
        <v>310</v>
      </c>
      <c r="D20" s="24" t="s">
        <v>311</v>
      </c>
      <c r="E20" s="25">
        <v>4235</v>
      </c>
      <c r="F20" s="25">
        <v>233</v>
      </c>
      <c r="G20" s="25">
        <v>2978</v>
      </c>
      <c r="H20" s="25">
        <v>212</v>
      </c>
      <c r="I20" s="25">
        <v>2867</v>
      </c>
      <c r="J20" s="25">
        <v>207</v>
      </c>
      <c r="K20" s="25">
        <v>111</v>
      </c>
      <c r="L20" s="25">
        <v>46</v>
      </c>
      <c r="M20" s="25">
        <v>238</v>
      </c>
      <c r="N20" s="25">
        <v>61</v>
      </c>
      <c r="O20" s="25">
        <v>424</v>
      </c>
      <c r="P20" s="25">
        <v>93</v>
      </c>
      <c r="Q20" s="25">
        <v>316</v>
      </c>
      <c r="R20" s="25">
        <v>72</v>
      </c>
      <c r="S20" s="25">
        <v>107</v>
      </c>
      <c r="T20" s="25">
        <v>42</v>
      </c>
      <c r="U20" s="25">
        <v>170</v>
      </c>
      <c r="V20" s="25">
        <v>51</v>
      </c>
      <c r="W20" s="25">
        <v>2</v>
      </c>
      <c r="X20" s="25">
        <v>3</v>
      </c>
      <c r="Y20" s="25">
        <v>3142</v>
      </c>
      <c r="Z20" s="25">
        <v>230</v>
      </c>
      <c r="AA20" s="25">
        <v>2195</v>
      </c>
      <c r="AB20" s="25">
        <v>183</v>
      </c>
      <c r="AC20" s="25">
        <v>2140</v>
      </c>
      <c r="AD20" s="25">
        <v>176</v>
      </c>
      <c r="AE20" s="25">
        <v>55</v>
      </c>
      <c r="AF20" s="25">
        <v>34</v>
      </c>
      <c r="AG20" s="25">
        <v>164</v>
      </c>
      <c r="AH20" s="25">
        <v>53</v>
      </c>
      <c r="AI20" s="25">
        <v>349</v>
      </c>
      <c r="AJ20" s="25">
        <v>93</v>
      </c>
      <c r="AK20" s="25">
        <v>298</v>
      </c>
      <c r="AL20" s="25">
        <v>71</v>
      </c>
      <c r="AM20" s="25">
        <v>47</v>
      </c>
      <c r="AN20" s="25">
        <v>28</v>
      </c>
      <c r="AO20" s="25">
        <v>87</v>
      </c>
      <c r="AP20" s="25">
        <v>34</v>
      </c>
      <c r="AQ20" s="25">
        <v>2</v>
      </c>
      <c r="AR20" s="25">
        <v>3</v>
      </c>
      <c r="AS20" s="25">
        <v>672</v>
      </c>
      <c r="AT20" s="25">
        <v>126</v>
      </c>
      <c r="AU20" s="25">
        <v>521</v>
      </c>
      <c r="AV20" s="25">
        <v>113</v>
      </c>
      <c r="AW20" s="25">
        <v>496</v>
      </c>
      <c r="AX20" s="25">
        <v>107</v>
      </c>
      <c r="AY20" s="25">
        <v>25</v>
      </c>
      <c r="AZ20" s="25">
        <v>22</v>
      </c>
      <c r="BA20" s="25">
        <v>39</v>
      </c>
      <c r="BB20" s="25">
        <v>29</v>
      </c>
      <c r="BC20" s="25">
        <v>42</v>
      </c>
      <c r="BD20" s="25">
        <v>40</v>
      </c>
      <c r="BE20" s="25">
        <v>3</v>
      </c>
      <c r="BF20" s="25">
        <v>5</v>
      </c>
      <c r="BG20" s="25">
        <v>39</v>
      </c>
      <c r="BH20" s="25">
        <v>27</v>
      </c>
      <c r="BI20" s="25">
        <v>28</v>
      </c>
      <c r="BJ20" s="25">
        <v>29</v>
      </c>
      <c r="BK20" s="25">
        <v>0</v>
      </c>
      <c r="BL20" s="25">
        <v>18</v>
      </c>
      <c r="BM20" s="25">
        <v>19</v>
      </c>
      <c r="BN20" s="25">
        <v>19</v>
      </c>
      <c r="BO20" s="25">
        <v>2</v>
      </c>
      <c r="BP20" s="25">
        <v>3</v>
      </c>
      <c r="BQ20" s="25">
        <v>2</v>
      </c>
      <c r="BR20" s="25">
        <v>3</v>
      </c>
      <c r="BS20" s="25">
        <v>0</v>
      </c>
      <c r="BT20" s="25">
        <v>18</v>
      </c>
      <c r="BU20" s="25">
        <v>3</v>
      </c>
      <c r="BV20" s="25">
        <v>6</v>
      </c>
      <c r="BW20" s="25">
        <v>0</v>
      </c>
      <c r="BX20" s="25">
        <v>18</v>
      </c>
      <c r="BY20" s="25">
        <v>8</v>
      </c>
      <c r="BZ20" s="25">
        <v>11</v>
      </c>
      <c r="CA20" s="25">
        <v>6</v>
      </c>
      <c r="CB20" s="25">
        <v>9</v>
      </c>
      <c r="CC20" s="25">
        <v>0</v>
      </c>
      <c r="CD20" s="25">
        <v>18</v>
      </c>
      <c r="CE20" s="25">
        <v>0</v>
      </c>
      <c r="CF20" s="25">
        <v>18</v>
      </c>
      <c r="CG20" s="25">
        <v>163</v>
      </c>
      <c r="CH20" s="25">
        <v>47</v>
      </c>
      <c r="CI20" s="25">
        <v>117</v>
      </c>
      <c r="CJ20" s="25">
        <v>46</v>
      </c>
      <c r="CK20" s="25">
        <v>112</v>
      </c>
      <c r="CL20" s="25">
        <v>42</v>
      </c>
      <c r="CM20" s="25">
        <v>5</v>
      </c>
      <c r="CN20" s="25">
        <v>8</v>
      </c>
      <c r="CO20" s="25">
        <v>15</v>
      </c>
      <c r="CP20" s="25">
        <v>15</v>
      </c>
      <c r="CQ20" s="25">
        <v>7</v>
      </c>
      <c r="CR20" s="25">
        <v>8</v>
      </c>
      <c r="CS20" s="25">
        <v>7</v>
      </c>
      <c r="CT20" s="25">
        <v>11</v>
      </c>
      <c r="CU20" s="25">
        <v>7</v>
      </c>
      <c r="CV20" s="25">
        <v>11</v>
      </c>
      <c r="CW20" s="25">
        <v>10</v>
      </c>
      <c r="CX20" s="25">
        <v>15</v>
      </c>
      <c r="CY20" s="25">
        <v>0</v>
      </c>
      <c r="CZ20" s="25">
        <v>18</v>
      </c>
      <c r="DA20" s="25">
        <v>52</v>
      </c>
      <c r="DB20" s="25">
        <v>30</v>
      </c>
      <c r="DC20" s="25">
        <v>18</v>
      </c>
      <c r="DD20" s="25">
        <v>13</v>
      </c>
      <c r="DE20" s="25">
        <v>18</v>
      </c>
      <c r="DF20" s="25">
        <v>13</v>
      </c>
      <c r="DG20" s="25">
        <v>0</v>
      </c>
      <c r="DH20" s="25">
        <v>18</v>
      </c>
      <c r="DI20" s="25">
        <v>0</v>
      </c>
      <c r="DJ20" s="25">
        <v>18</v>
      </c>
      <c r="DK20" s="25">
        <v>26</v>
      </c>
      <c r="DL20" s="25">
        <v>26</v>
      </c>
      <c r="DM20" s="25">
        <v>0</v>
      </c>
      <c r="DN20" s="25">
        <v>18</v>
      </c>
      <c r="DO20" s="25">
        <v>8</v>
      </c>
      <c r="DP20" s="25">
        <v>12</v>
      </c>
      <c r="DQ20" s="25">
        <v>0</v>
      </c>
      <c r="DR20" s="25">
        <v>18</v>
      </c>
      <c r="DS20" s="25">
        <v>0</v>
      </c>
      <c r="DT20" s="25">
        <v>18</v>
      </c>
      <c r="DU20" s="25">
        <v>187</v>
      </c>
      <c r="DV20" s="25">
        <v>58</v>
      </c>
      <c r="DW20" s="25">
        <v>125</v>
      </c>
      <c r="DX20" s="25">
        <v>51</v>
      </c>
      <c r="DY20" s="25">
        <v>99</v>
      </c>
      <c r="DZ20" s="25">
        <v>45</v>
      </c>
      <c r="EA20" s="25">
        <v>26</v>
      </c>
      <c r="EB20" s="25">
        <v>21</v>
      </c>
      <c r="EC20" s="25">
        <v>17</v>
      </c>
      <c r="ED20" s="25">
        <v>20</v>
      </c>
      <c r="EE20" s="25">
        <v>0</v>
      </c>
      <c r="EF20" s="25">
        <v>18</v>
      </c>
      <c r="EG20" s="25">
        <v>0</v>
      </c>
      <c r="EH20" s="25">
        <v>18</v>
      </c>
      <c r="EI20" s="25">
        <v>0</v>
      </c>
      <c r="EJ20" s="25">
        <v>18</v>
      </c>
      <c r="EK20" s="25">
        <v>45</v>
      </c>
      <c r="EL20" s="25">
        <v>27</v>
      </c>
      <c r="EM20" s="25">
        <v>0</v>
      </c>
      <c r="EN20" s="25">
        <v>18</v>
      </c>
    </row>
    <row r="21" spans="1:144" x14ac:dyDescent="0.25">
      <c r="A21" s="19">
        <f t="shared" si="8"/>
        <v>25</v>
      </c>
      <c r="B21" s="20" t="str">
        <f t="shared" si="9"/>
        <v>Kane</v>
      </c>
      <c r="C21" s="24" t="s">
        <v>312</v>
      </c>
      <c r="D21" s="24" t="s">
        <v>313</v>
      </c>
      <c r="E21" s="25">
        <v>3177</v>
      </c>
      <c r="F21" s="25">
        <v>175</v>
      </c>
      <c r="G21" s="25">
        <v>1688</v>
      </c>
      <c r="H21" s="25">
        <v>173</v>
      </c>
      <c r="I21" s="25">
        <v>1551</v>
      </c>
      <c r="J21" s="25">
        <v>169</v>
      </c>
      <c r="K21" s="25">
        <v>137</v>
      </c>
      <c r="L21" s="25">
        <v>89</v>
      </c>
      <c r="M21" s="25">
        <v>418</v>
      </c>
      <c r="N21" s="25">
        <v>135</v>
      </c>
      <c r="O21" s="25">
        <v>389</v>
      </c>
      <c r="P21" s="25">
        <v>86</v>
      </c>
      <c r="Q21" s="25">
        <v>240</v>
      </c>
      <c r="R21" s="25">
        <v>88</v>
      </c>
      <c r="S21" s="25">
        <v>212</v>
      </c>
      <c r="T21" s="25">
        <v>131</v>
      </c>
      <c r="U21" s="25">
        <v>173</v>
      </c>
      <c r="V21" s="25">
        <v>75</v>
      </c>
      <c r="W21" s="25">
        <v>57</v>
      </c>
      <c r="X21" s="25">
        <v>39</v>
      </c>
      <c r="Y21" s="25">
        <v>2512</v>
      </c>
      <c r="Z21" s="25">
        <v>173</v>
      </c>
      <c r="AA21" s="25">
        <v>1314</v>
      </c>
      <c r="AB21" s="25">
        <v>173</v>
      </c>
      <c r="AC21" s="25">
        <v>1267</v>
      </c>
      <c r="AD21" s="25">
        <v>174</v>
      </c>
      <c r="AE21" s="25">
        <v>47</v>
      </c>
      <c r="AF21" s="25">
        <v>33</v>
      </c>
      <c r="AG21" s="25">
        <v>367</v>
      </c>
      <c r="AH21" s="25">
        <v>121</v>
      </c>
      <c r="AI21" s="25">
        <v>286</v>
      </c>
      <c r="AJ21" s="25">
        <v>77</v>
      </c>
      <c r="AK21" s="25">
        <v>222</v>
      </c>
      <c r="AL21" s="25">
        <v>90</v>
      </c>
      <c r="AM21" s="25">
        <v>212</v>
      </c>
      <c r="AN21" s="25">
        <v>131</v>
      </c>
      <c r="AO21" s="25">
        <v>100</v>
      </c>
      <c r="AP21" s="25">
        <v>62</v>
      </c>
      <c r="AQ21" s="25">
        <v>11</v>
      </c>
      <c r="AR21" s="25">
        <v>19</v>
      </c>
      <c r="AS21" s="25">
        <v>205</v>
      </c>
      <c r="AT21" s="25">
        <v>88</v>
      </c>
      <c r="AU21" s="25">
        <v>120</v>
      </c>
      <c r="AV21" s="25">
        <v>55</v>
      </c>
      <c r="AW21" s="25">
        <v>115</v>
      </c>
      <c r="AX21" s="25">
        <v>55</v>
      </c>
      <c r="AY21" s="25">
        <v>5</v>
      </c>
      <c r="AZ21" s="25">
        <v>5</v>
      </c>
      <c r="BA21" s="25">
        <v>26</v>
      </c>
      <c r="BB21" s="25">
        <v>42</v>
      </c>
      <c r="BC21" s="25">
        <v>15</v>
      </c>
      <c r="BD21" s="25">
        <v>19</v>
      </c>
      <c r="BE21" s="25">
        <v>17</v>
      </c>
      <c r="BF21" s="25">
        <v>20</v>
      </c>
      <c r="BG21" s="25">
        <v>0</v>
      </c>
      <c r="BH21" s="25">
        <v>16</v>
      </c>
      <c r="BI21" s="25">
        <v>25</v>
      </c>
      <c r="BJ21" s="25">
        <v>26</v>
      </c>
      <c r="BK21" s="25">
        <v>2</v>
      </c>
      <c r="BL21" s="25">
        <v>4</v>
      </c>
      <c r="BM21" s="25">
        <v>0</v>
      </c>
      <c r="BN21" s="25">
        <v>16</v>
      </c>
      <c r="BO21" s="25">
        <v>0</v>
      </c>
      <c r="BP21" s="25">
        <v>16</v>
      </c>
      <c r="BQ21" s="25">
        <v>0</v>
      </c>
      <c r="BR21" s="25">
        <v>16</v>
      </c>
      <c r="BS21" s="25">
        <v>0</v>
      </c>
      <c r="BT21" s="25">
        <v>16</v>
      </c>
      <c r="BU21" s="25">
        <v>0</v>
      </c>
      <c r="BV21" s="25">
        <v>16</v>
      </c>
      <c r="BW21" s="25">
        <v>0</v>
      </c>
      <c r="BX21" s="25">
        <v>16</v>
      </c>
      <c r="BY21" s="25">
        <v>0</v>
      </c>
      <c r="BZ21" s="25">
        <v>16</v>
      </c>
      <c r="CA21" s="25">
        <v>0</v>
      </c>
      <c r="CB21" s="25">
        <v>16</v>
      </c>
      <c r="CC21" s="25">
        <v>0</v>
      </c>
      <c r="CD21" s="25">
        <v>16</v>
      </c>
      <c r="CE21" s="25">
        <v>0</v>
      </c>
      <c r="CF21" s="25">
        <v>16</v>
      </c>
      <c r="CG21" s="25">
        <v>163</v>
      </c>
      <c r="CH21" s="25">
        <v>78</v>
      </c>
      <c r="CI21" s="25">
        <v>85</v>
      </c>
      <c r="CJ21" s="25">
        <v>56</v>
      </c>
      <c r="CK21" s="25">
        <v>75</v>
      </c>
      <c r="CL21" s="25">
        <v>54</v>
      </c>
      <c r="CM21" s="25">
        <v>10</v>
      </c>
      <c r="CN21" s="25">
        <v>17</v>
      </c>
      <c r="CO21" s="25">
        <v>9</v>
      </c>
      <c r="CP21" s="25">
        <v>15</v>
      </c>
      <c r="CQ21" s="25">
        <v>68</v>
      </c>
      <c r="CR21" s="25">
        <v>46</v>
      </c>
      <c r="CS21" s="25">
        <v>0</v>
      </c>
      <c r="CT21" s="25">
        <v>16</v>
      </c>
      <c r="CU21" s="25">
        <v>0</v>
      </c>
      <c r="CV21" s="25">
        <v>16</v>
      </c>
      <c r="CW21" s="25">
        <v>1</v>
      </c>
      <c r="CX21" s="25">
        <v>2</v>
      </c>
      <c r="CY21" s="25">
        <v>0</v>
      </c>
      <c r="CZ21" s="25">
        <v>16</v>
      </c>
      <c r="DA21" s="25">
        <v>62</v>
      </c>
      <c r="DB21" s="25">
        <v>44</v>
      </c>
      <c r="DC21" s="25">
        <v>39</v>
      </c>
      <c r="DD21" s="25">
        <v>33</v>
      </c>
      <c r="DE21" s="25">
        <v>21</v>
      </c>
      <c r="DF21" s="25">
        <v>18</v>
      </c>
      <c r="DG21" s="25">
        <v>18</v>
      </c>
      <c r="DH21" s="25">
        <v>26</v>
      </c>
      <c r="DI21" s="25">
        <v>0</v>
      </c>
      <c r="DJ21" s="25">
        <v>16</v>
      </c>
      <c r="DK21" s="25">
        <v>20</v>
      </c>
      <c r="DL21" s="25">
        <v>24</v>
      </c>
      <c r="DM21" s="25">
        <v>1</v>
      </c>
      <c r="DN21" s="25">
        <v>4</v>
      </c>
      <c r="DO21" s="25">
        <v>0</v>
      </c>
      <c r="DP21" s="25">
        <v>16</v>
      </c>
      <c r="DQ21" s="25">
        <v>2</v>
      </c>
      <c r="DR21" s="25">
        <v>4</v>
      </c>
      <c r="DS21" s="25">
        <v>0</v>
      </c>
      <c r="DT21" s="25">
        <v>16</v>
      </c>
      <c r="DU21" s="25">
        <v>235</v>
      </c>
      <c r="DV21" s="25">
        <v>104</v>
      </c>
      <c r="DW21" s="25">
        <v>130</v>
      </c>
      <c r="DX21" s="25">
        <v>93</v>
      </c>
      <c r="DY21" s="25">
        <v>73</v>
      </c>
      <c r="DZ21" s="25">
        <v>46</v>
      </c>
      <c r="EA21" s="25">
        <v>57</v>
      </c>
      <c r="EB21" s="25">
        <v>67</v>
      </c>
      <c r="EC21" s="25">
        <v>16</v>
      </c>
      <c r="ED21" s="25">
        <v>26</v>
      </c>
      <c r="EE21" s="25">
        <v>0</v>
      </c>
      <c r="EF21" s="25">
        <v>16</v>
      </c>
      <c r="EG21" s="25">
        <v>0</v>
      </c>
      <c r="EH21" s="25">
        <v>16</v>
      </c>
      <c r="EI21" s="25">
        <v>0</v>
      </c>
      <c r="EJ21" s="25">
        <v>16</v>
      </c>
      <c r="EK21" s="25">
        <v>45</v>
      </c>
      <c r="EL21" s="25">
        <v>29</v>
      </c>
      <c r="EM21" s="25">
        <v>44</v>
      </c>
      <c r="EN21" s="25">
        <v>33</v>
      </c>
    </row>
    <row r="22" spans="1:144" x14ac:dyDescent="0.25">
      <c r="A22" s="19">
        <f t="shared" si="8"/>
        <v>27</v>
      </c>
      <c r="B22" s="20" t="str">
        <f t="shared" si="9"/>
        <v>Millard</v>
      </c>
      <c r="C22" s="24" t="s">
        <v>314</v>
      </c>
      <c r="D22" s="24" t="s">
        <v>315</v>
      </c>
      <c r="E22" s="25">
        <v>5216</v>
      </c>
      <c r="F22" s="25">
        <v>249</v>
      </c>
      <c r="G22" s="25">
        <v>3611</v>
      </c>
      <c r="H22" s="25">
        <v>242</v>
      </c>
      <c r="I22" s="25">
        <v>3461</v>
      </c>
      <c r="J22" s="25">
        <v>243</v>
      </c>
      <c r="K22" s="25">
        <v>150</v>
      </c>
      <c r="L22" s="25">
        <v>53</v>
      </c>
      <c r="M22" s="25">
        <v>311</v>
      </c>
      <c r="N22" s="25">
        <v>96</v>
      </c>
      <c r="O22" s="25">
        <v>461</v>
      </c>
      <c r="P22" s="25">
        <v>103</v>
      </c>
      <c r="Q22" s="25">
        <v>244</v>
      </c>
      <c r="R22" s="25">
        <v>75</v>
      </c>
      <c r="S22" s="25">
        <v>83</v>
      </c>
      <c r="T22" s="25">
        <v>28</v>
      </c>
      <c r="U22" s="25">
        <v>477</v>
      </c>
      <c r="V22" s="25">
        <v>97</v>
      </c>
      <c r="W22" s="25">
        <v>29</v>
      </c>
      <c r="X22" s="25">
        <v>22</v>
      </c>
      <c r="Y22" s="25">
        <v>3851</v>
      </c>
      <c r="Z22" s="25">
        <v>270</v>
      </c>
      <c r="AA22" s="25">
        <v>2830</v>
      </c>
      <c r="AB22" s="25">
        <v>248</v>
      </c>
      <c r="AC22" s="25">
        <v>2742</v>
      </c>
      <c r="AD22" s="25">
        <v>249</v>
      </c>
      <c r="AE22" s="25">
        <v>88</v>
      </c>
      <c r="AF22" s="25">
        <v>40</v>
      </c>
      <c r="AG22" s="25">
        <v>220</v>
      </c>
      <c r="AH22" s="25">
        <v>77</v>
      </c>
      <c r="AI22" s="25">
        <v>314</v>
      </c>
      <c r="AJ22" s="25">
        <v>81</v>
      </c>
      <c r="AK22" s="25">
        <v>176</v>
      </c>
      <c r="AL22" s="25">
        <v>58</v>
      </c>
      <c r="AM22" s="25">
        <v>64</v>
      </c>
      <c r="AN22" s="25">
        <v>26</v>
      </c>
      <c r="AO22" s="25">
        <v>238</v>
      </c>
      <c r="AP22" s="25">
        <v>67</v>
      </c>
      <c r="AQ22" s="25">
        <v>9</v>
      </c>
      <c r="AR22" s="25">
        <v>11</v>
      </c>
      <c r="AS22" s="25">
        <v>891</v>
      </c>
      <c r="AT22" s="25">
        <v>165</v>
      </c>
      <c r="AU22" s="25">
        <v>589</v>
      </c>
      <c r="AV22" s="25">
        <v>134</v>
      </c>
      <c r="AW22" s="25">
        <v>571</v>
      </c>
      <c r="AX22" s="25">
        <v>134</v>
      </c>
      <c r="AY22" s="25">
        <v>18</v>
      </c>
      <c r="AZ22" s="25">
        <v>13</v>
      </c>
      <c r="BA22" s="25">
        <v>90</v>
      </c>
      <c r="BB22" s="25">
        <v>44</v>
      </c>
      <c r="BC22" s="25">
        <v>101</v>
      </c>
      <c r="BD22" s="25">
        <v>48</v>
      </c>
      <c r="BE22" s="25">
        <v>39</v>
      </c>
      <c r="BF22" s="25">
        <v>27</v>
      </c>
      <c r="BG22" s="25">
        <v>8</v>
      </c>
      <c r="BH22" s="25">
        <v>10</v>
      </c>
      <c r="BI22" s="25">
        <v>46</v>
      </c>
      <c r="BJ22" s="25">
        <v>28</v>
      </c>
      <c r="BK22" s="25">
        <v>18</v>
      </c>
      <c r="BL22" s="25">
        <v>20</v>
      </c>
      <c r="BM22" s="25">
        <v>12</v>
      </c>
      <c r="BN22" s="25">
        <v>20</v>
      </c>
      <c r="BO22" s="25">
        <v>12</v>
      </c>
      <c r="BP22" s="25">
        <v>20</v>
      </c>
      <c r="BQ22" s="25">
        <v>12</v>
      </c>
      <c r="BR22" s="25">
        <v>20</v>
      </c>
      <c r="BS22" s="25">
        <v>0</v>
      </c>
      <c r="BT22" s="25">
        <v>18</v>
      </c>
      <c r="BU22" s="25">
        <v>0</v>
      </c>
      <c r="BV22" s="25">
        <v>18</v>
      </c>
      <c r="BW22" s="25">
        <v>0</v>
      </c>
      <c r="BX22" s="25">
        <v>18</v>
      </c>
      <c r="BY22" s="25">
        <v>0</v>
      </c>
      <c r="BZ22" s="25">
        <v>18</v>
      </c>
      <c r="CA22" s="25">
        <v>0</v>
      </c>
      <c r="CB22" s="25">
        <v>18</v>
      </c>
      <c r="CC22" s="25">
        <v>0</v>
      </c>
      <c r="CD22" s="25">
        <v>18</v>
      </c>
      <c r="CE22" s="25">
        <v>0</v>
      </c>
      <c r="CF22" s="25">
        <v>18</v>
      </c>
      <c r="CG22" s="25">
        <v>149</v>
      </c>
      <c r="CH22" s="25">
        <v>84</v>
      </c>
      <c r="CI22" s="25">
        <v>75</v>
      </c>
      <c r="CJ22" s="25">
        <v>61</v>
      </c>
      <c r="CK22" s="25">
        <v>58</v>
      </c>
      <c r="CL22" s="25">
        <v>57</v>
      </c>
      <c r="CM22" s="25">
        <v>17</v>
      </c>
      <c r="CN22" s="25">
        <v>20</v>
      </c>
      <c r="CO22" s="25">
        <v>0</v>
      </c>
      <c r="CP22" s="25">
        <v>18</v>
      </c>
      <c r="CQ22" s="25">
        <v>34</v>
      </c>
      <c r="CR22" s="25">
        <v>39</v>
      </c>
      <c r="CS22" s="25">
        <v>14</v>
      </c>
      <c r="CT22" s="25">
        <v>15</v>
      </c>
      <c r="CU22" s="25">
        <v>4</v>
      </c>
      <c r="CV22" s="25">
        <v>7</v>
      </c>
      <c r="CW22" s="25">
        <v>22</v>
      </c>
      <c r="CX22" s="25">
        <v>19</v>
      </c>
      <c r="CY22" s="25">
        <v>0</v>
      </c>
      <c r="CZ22" s="25">
        <v>18</v>
      </c>
      <c r="DA22" s="25">
        <v>95</v>
      </c>
      <c r="DB22" s="25">
        <v>55</v>
      </c>
      <c r="DC22" s="25">
        <v>54</v>
      </c>
      <c r="DD22" s="25">
        <v>32</v>
      </c>
      <c r="DE22" s="25">
        <v>49</v>
      </c>
      <c r="DF22" s="25">
        <v>32</v>
      </c>
      <c r="DG22" s="25">
        <v>5</v>
      </c>
      <c r="DH22" s="25">
        <v>6</v>
      </c>
      <c r="DI22" s="25">
        <v>1</v>
      </c>
      <c r="DJ22" s="25">
        <v>3</v>
      </c>
      <c r="DK22" s="25">
        <v>9</v>
      </c>
      <c r="DL22" s="25">
        <v>9</v>
      </c>
      <c r="DM22" s="25">
        <v>11</v>
      </c>
      <c r="DN22" s="25">
        <v>17</v>
      </c>
      <c r="DO22" s="25">
        <v>5</v>
      </c>
      <c r="DP22" s="25">
        <v>6</v>
      </c>
      <c r="DQ22" s="25">
        <v>15</v>
      </c>
      <c r="DR22" s="25">
        <v>22</v>
      </c>
      <c r="DS22" s="25">
        <v>0</v>
      </c>
      <c r="DT22" s="25">
        <v>18</v>
      </c>
      <c r="DU22" s="25">
        <v>218</v>
      </c>
      <c r="DV22" s="25">
        <v>72</v>
      </c>
      <c r="DW22" s="25">
        <v>51</v>
      </c>
      <c r="DX22" s="25">
        <v>32</v>
      </c>
      <c r="DY22" s="25">
        <v>29</v>
      </c>
      <c r="DZ22" s="25">
        <v>25</v>
      </c>
      <c r="EA22" s="25">
        <v>22</v>
      </c>
      <c r="EB22" s="25">
        <v>20</v>
      </c>
      <c r="EC22" s="25">
        <v>0</v>
      </c>
      <c r="ED22" s="25">
        <v>18</v>
      </c>
      <c r="EE22" s="25">
        <v>3</v>
      </c>
      <c r="EF22" s="25">
        <v>6</v>
      </c>
      <c r="EG22" s="25">
        <v>4</v>
      </c>
      <c r="EH22" s="25">
        <v>7</v>
      </c>
      <c r="EI22" s="25">
        <v>2</v>
      </c>
      <c r="EJ22" s="25">
        <v>3</v>
      </c>
      <c r="EK22" s="25">
        <v>156</v>
      </c>
      <c r="EL22" s="25">
        <v>61</v>
      </c>
      <c r="EM22" s="25">
        <v>2</v>
      </c>
      <c r="EN22" s="25">
        <v>3</v>
      </c>
    </row>
    <row r="23" spans="1:144" x14ac:dyDescent="0.25">
      <c r="A23" s="19">
        <f t="shared" si="8"/>
        <v>29</v>
      </c>
      <c r="B23" s="20" t="str">
        <f t="shared" si="9"/>
        <v>Morgan</v>
      </c>
      <c r="C23" s="24" t="s">
        <v>316</v>
      </c>
      <c r="D23" s="24" t="s">
        <v>317</v>
      </c>
      <c r="E23" s="25">
        <v>4044</v>
      </c>
      <c r="F23" s="25">
        <v>183</v>
      </c>
      <c r="G23" s="25">
        <v>2982</v>
      </c>
      <c r="H23" s="25">
        <v>173</v>
      </c>
      <c r="I23" s="25">
        <v>2705</v>
      </c>
      <c r="J23" s="25">
        <v>183</v>
      </c>
      <c r="K23" s="25">
        <v>277</v>
      </c>
      <c r="L23" s="25">
        <v>104</v>
      </c>
      <c r="M23" s="25">
        <v>145</v>
      </c>
      <c r="N23" s="25">
        <v>69</v>
      </c>
      <c r="O23" s="25">
        <v>365</v>
      </c>
      <c r="P23" s="25">
        <v>121</v>
      </c>
      <c r="Q23" s="25">
        <v>134</v>
      </c>
      <c r="R23" s="25">
        <v>61</v>
      </c>
      <c r="S23" s="25">
        <v>227</v>
      </c>
      <c r="T23" s="25">
        <v>88</v>
      </c>
      <c r="U23" s="25">
        <v>191</v>
      </c>
      <c r="V23" s="25">
        <v>69</v>
      </c>
      <c r="W23" s="25">
        <v>0</v>
      </c>
      <c r="X23" s="25">
        <v>18</v>
      </c>
      <c r="Y23" s="25">
        <v>3317</v>
      </c>
      <c r="Z23" s="25">
        <v>181</v>
      </c>
      <c r="AA23" s="25">
        <v>2490</v>
      </c>
      <c r="AB23" s="25">
        <v>171</v>
      </c>
      <c r="AC23" s="25">
        <v>2259</v>
      </c>
      <c r="AD23" s="25">
        <v>172</v>
      </c>
      <c r="AE23" s="25">
        <v>231</v>
      </c>
      <c r="AF23" s="25">
        <v>87</v>
      </c>
      <c r="AG23" s="25">
        <v>139</v>
      </c>
      <c r="AH23" s="25">
        <v>67</v>
      </c>
      <c r="AI23" s="25">
        <v>279</v>
      </c>
      <c r="AJ23" s="25">
        <v>104</v>
      </c>
      <c r="AK23" s="25">
        <v>123</v>
      </c>
      <c r="AL23" s="25">
        <v>60</v>
      </c>
      <c r="AM23" s="25">
        <v>205</v>
      </c>
      <c r="AN23" s="25">
        <v>87</v>
      </c>
      <c r="AO23" s="25">
        <v>81</v>
      </c>
      <c r="AP23" s="25">
        <v>40</v>
      </c>
      <c r="AQ23" s="25">
        <v>0</v>
      </c>
      <c r="AR23" s="25">
        <v>18</v>
      </c>
      <c r="AS23" s="25">
        <v>405</v>
      </c>
      <c r="AT23" s="25">
        <v>111</v>
      </c>
      <c r="AU23" s="25">
        <v>299</v>
      </c>
      <c r="AV23" s="25">
        <v>106</v>
      </c>
      <c r="AW23" s="25">
        <v>295</v>
      </c>
      <c r="AX23" s="25">
        <v>105</v>
      </c>
      <c r="AY23" s="25">
        <v>4</v>
      </c>
      <c r="AZ23" s="25">
        <v>7</v>
      </c>
      <c r="BA23" s="25">
        <v>3</v>
      </c>
      <c r="BB23" s="25">
        <v>6</v>
      </c>
      <c r="BC23" s="25">
        <v>66</v>
      </c>
      <c r="BD23" s="25">
        <v>57</v>
      </c>
      <c r="BE23" s="25">
        <v>4</v>
      </c>
      <c r="BF23" s="25">
        <v>6</v>
      </c>
      <c r="BG23" s="25">
        <v>22</v>
      </c>
      <c r="BH23" s="25">
        <v>20</v>
      </c>
      <c r="BI23" s="25">
        <v>11</v>
      </c>
      <c r="BJ23" s="25">
        <v>12</v>
      </c>
      <c r="BK23" s="25">
        <v>0</v>
      </c>
      <c r="BL23" s="25">
        <v>18</v>
      </c>
      <c r="BM23" s="25">
        <v>0</v>
      </c>
      <c r="BN23" s="25">
        <v>18</v>
      </c>
      <c r="BO23" s="25">
        <v>0</v>
      </c>
      <c r="BP23" s="25">
        <v>18</v>
      </c>
      <c r="BQ23" s="25">
        <v>0</v>
      </c>
      <c r="BR23" s="25">
        <v>18</v>
      </c>
      <c r="BS23" s="25">
        <v>0</v>
      </c>
      <c r="BT23" s="25">
        <v>18</v>
      </c>
      <c r="BU23" s="25">
        <v>0</v>
      </c>
      <c r="BV23" s="25">
        <v>18</v>
      </c>
      <c r="BW23" s="25">
        <v>0</v>
      </c>
      <c r="BX23" s="25">
        <v>18</v>
      </c>
      <c r="BY23" s="25">
        <v>0</v>
      </c>
      <c r="BZ23" s="25">
        <v>18</v>
      </c>
      <c r="CA23" s="25">
        <v>0</v>
      </c>
      <c r="CB23" s="25">
        <v>18</v>
      </c>
      <c r="CC23" s="25">
        <v>0</v>
      </c>
      <c r="CD23" s="25">
        <v>18</v>
      </c>
      <c r="CE23" s="25">
        <v>0</v>
      </c>
      <c r="CF23" s="25">
        <v>18</v>
      </c>
      <c r="CG23" s="25">
        <v>70</v>
      </c>
      <c r="CH23" s="25">
        <v>37</v>
      </c>
      <c r="CI23" s="25">
        <v>32</v>
      </c>
      <c r="CJ23" s="25">
        <v>21</v>
      </c>
      <c r="CK23" s="25">
        <v>32</v>
      </c>
      <c r="CL23" s="25">
        <v>21</v>
      </c>
      <c r="CM23" s="25">
        <v>0</v>
      </c>
      <c r="CN23" s="25">
        <v>18</v>
      </c>
      <c r="CO23" s="25">
        <v>3</v>
      </c>
      <c r="CP23" s="25">
        <v>6</v>
      </c>
      <c r="CQ23" s="25">
        <v>14</v>
      </c>
      <c r="CR23" s="25">
        <v>14</v>
      </c>
      <c r="CS23" s="25">
        <v>0</v>
      </c>
      <c r="CT23" s="25">
        <v>18</v>
      </c>
      <c r="CU23" s="25">
        <v>0</v>
      </c>
      <c r="CV23" s="25">
        <v>18</v>
      </c>
      <c r="CW23" s="25">
        <v>21</v>
      </c>
      <c r="CX23" s="25">
        <v>25</v>
      </c>
      <c r="CY23" s="25">
        <v>0</v>
      </c>
      <c r="CZ23" s="25">
        <v>18</v>
      </c>
      <c r="DA23" s="25">
        <v>42</v>
      </c>
      <c r="DB23" s="25">
        <v>30</v>
      </c>
      <c r="DC23" s="25">
        <v>42</v>
      </c>
      <c r="DD23" s="25">
        <v>30</v>
      </c>
      <c r="DE23" s="25">
        <v>42</v>
      </c>
      <c r="DF23" s="25">
        <v>30</v>
      </c>
      <c r="DG23" s="25">
        <v>0</v>
      </c>
      <c r="DH23" s="25">
        <v>18</v>
      </c>
      <c r="DI23" s="25">
        <v>0</v>
      </c>
      <c r="DJ23" s="25">
        <v>18</v>
      </c>
      <c r="DK23" s="25">
        <v>0</v>
      </c>
      <c r="DL23" s="25">
        <v>18</v>
      </c>
      <c r="DM23" s="25">
        <v>0</v>
      </c>
      <c r="DN23" s="25">
        <v>18</v>
      </c>
      <c r="DO23" s="25">
        <v>0</v>
      </c>
      <c r="DP23" s="25">
        <v>18</v>
      </c>
      <c r="DQ23" s="25">
        <v>0</v>
      </c>
      <c r="DR23" s="25">
        <v>18</v>
      </c>
      <c r="DS23" s="25">
        <v>0</v>
      </c>
      <c r="DT23" s="25">
        <v>18</v>
      </c>
      <c r="DU23" s="25">
        <v>210</v>
      </c>
      <c r="DV23" s="25">
        <v>88</v>
      </c>
      <c r="DW23" s="25">
        <v>119</v>
      </c>
      <c r="DX23" s="25">
        <v>70</v>
      </c>
      <c r="DY23" s="25">
        <v>77</v>
      </c>
      <c r="DZ23" s="25">
        <v>64</v>
      </c>
      <c r="EA23" s="25">
        <v>42</v>
      </c>
      <c r="EB23" s="25">
        <v>42</v>
      </c>
      <c r="EC23" s="25">
        <v>0</v>
      </c>
      <c r="ED23" s="25">
        <v>18</v>
      </c>
      <c r="EE23" s="25">
        <v>6</v>
      </c>
      <c r="EF23" s="25">
        <v>10</v>
      </c>
      <c r="EG23" s="25">
        <v>7</v>
      </c>
      <c r="EH23" s="25">
        <v>11</v>
      </c>
      <c r="EI23" s="25">
        <v>0</v>
      </c>
      <c r="EJ23" s="25">
        <v>18</v>
      </c>
      <c r="EK23" s="25">
        <v>78</v>
      </c>
      <c r="EL23" s="25">
        <v>49</v>
      </c>
      <c r="EM23" s="25">
        <v>0</v>
      </c>
      <c r="EN23" s="25">
        <v>18</v>
      </c>
    </row>
    <row r="24" spans="1:144" x14ac:dyDescent="0.25">
      <c r="A24" s="19">
        <f t="shared" si="8"/>
        <v>31</v>
      </c>
      <c r="B24" s="20" t="str">
        <f t="shared" si="9"/>
        <v>Piute</v>
      </c>
      <c r="C24" s="24" t="s">
        <v>318</v>
      </c>
      <c r="D24" s="24" t="s">
        <v>319</v>
      </c>
      <c r="E24" s="25">
        <v>674</v>
      </c>
      <c r="F24" s="25">
        <v>97</v>
      </c>
      <c r="G24" s="25">
        <v>328</v>
      </c>
      <c r="H24" s="25">
        <v>65</v>
      </c>
      <c r="I24" s="25">
        <v>298</v>
      </c>
      <c r="J24" s="25">
        <v>62</v>
      </c>
      <c r="K24" s="25">
        <v>30</v>
      </c>
      <c r="L24" s="25">
        <v>17</v>
      </c>
      <c r="M24" s="25">
        <v>32</v>
      </c>
      <c r="N24" s="25">
        <v>14</v>
      </c>
      <c r="O24" s="25">
        <v>115</v>
      </c>
      <c r="P24" s="25">
        <v>38</v>
      </c>
      <c r="Q24" s="25">
        <v>149</v>
      </c>
      <c r="R24" s="25">
        <v>65</v>
      </c>
      <c r="S24" s="25">
        <v>15</v>
      </c>
      <c r="T24" s="25">
        <v>8</v>
      </c>
      <c r="U24" s="25">
        <v>29</v>
      </c>
      <c r="V24" s="25">
        <v>16</v>
      </c>
      <c r="W24" s="25">
        <v>6</v>
      </c>
      <c r="X24" s="25">
        <v>10</v>
      </c>
      <c r="Y24" s="25">
        <v>546</v>
      </c>
      <c r="Z24" s="25">
        <v>87</v>
      </c>
      <c r="AA24" s="25">
        <v>274</v>
      </c>
      <c r="AB24" s="25">
        <v>61</v>
      </c>
      <c r="AC24" s="25">
        <v>253</v>
      </c>
      <c r="AD24" s="25">
        <v>60</v>
      </c>
      <c r="AE24" s="25">
        <v>21</v>
      </c>
      <c r="AF24" s="25">
        <v>13</v>
      </c>
      <c r="AG24" s="25">
        <v>30</v>
      </c>
      <c r="AH24" s="25">
        <v>13</v>
      </c>
      <c r="AI24" s="25">
        <v>103</v>
      </c>
      <c r="AJ24" s="25">
        <v>46</v>
      </c>
      <c r="AK24" s="25">
        <v>113</v>
      </c>
      <c r="AL24" s="25">
        <v>58</v>
      </c>
      <c r="AM24" s="25">
        <v>12</v>
      </c>
      <c r="AN24" s="25">
        <v>8</v>
      </c>
      <c r="AO24" s="25">
        <v>14</v>
      </c>
      <c r="AP24" s="25">
        <v>12</v>
      </c>
      <c r="AQ24" s="25">
        <v>0</v>
      </c>
      <c r="AR24" s="25">
        <v>11</v>
      </c>
      <c r="AS24" s="25">
        <v>34</v>
      </c>
      <c r="AT24" s="25">
        <v>25</v>
      </c>
      <c r="AU24" s="25">
        <v>9</v>
      </c>
      <c r="AV24" s="25">
        <v>8</v>
      </c>
      <c r="AW24" s="25">
        <v>9</v>
      </c>
      <c r="AX24" s="25">
        <v>8</v>
      </c>
      <c r="AY24" s="25">
        <v>0</v>
      </c>
      <c r="AZ24" s="25">
        <v>11</v>
      </c>
      <c r="BA24" s="25">
        <v>0</v>
      </c>
      <c r="BB24" s="25">
        <v>11</v>
      </c>
      <c r="BC24" s="25">
        <v>10</v>
      </c>
      <c r="BD24" s="25">
        <v>17</v>
      </c>
      <c r="BE24" s="25">
        <v>12</v>
      </c>
      <c r="BF24" s="25">
        <v>16</v>
      </c>
      <c r="BG24" s="25">
        <v>0</v>
      </c>
      <c r="BH24" s="25">
        <v>11</v>
      </c>
      <c r="BI24" s="25">
        <v>3</v>
      </c>
      <c r="BJ24" s="25">
        <v>3</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24</v>
      </c>
      <c r="CH24" s="25">
        <v>16</v>
      </c>
      <c r="CI24" s="25">
        <v>14</v>
      </c>
      <c r="CJ24" s="25">
        <v>10</v>
      </c>
      <c r="CK24" s="25">
        <v>10</v>
      </c>
      <c r="CL24" s="25">
        <v>8</v>
      </c>
      <c r="CM24" s="25">
        <v>4</v>
      </c>
      <c r="CN24" s="25">
        <v>6</v>
      </c>
      <c r="CO24" s="25">
        <v>2</v>
      </c>
      <c r="CP24" s="25">
        <v>3</v>
      </c>
      <c r="CQ24" s="25">
        <v>2</v>
      </c>
      <c r="CR24" s="25">
        <v>5</v>
      </c>
      <c r="CS24" s="25">
        <v>0</v>
      </c>
      <c r="CT24" s="25">
        <v>11</v>
      </c>
      <c r="CU24" s="25">
        <v>0</v>
      </c>
      <c r="CV24" s="25">
        <v>11</v>
      </c>
      <c r="CW24" s="25">
        <v>0</v>
      </c>
      <c r="CX24" s="25">
        <v>11</v>
      </c>
      <c r="CY24" s="25">
        <v>6</v>
      </c>
      <c r="CZ24" s="25">
        <v>10</v>
      </c>
      <c r="DA24" s="25">
        <v>26</v>
      </c>
      <c r="DB24" s="25">
        <v>15</v>
      </c>
      <c r="DC24" s="25">
        <v>21</v>
      </c>
      <c r="DD24" s="25">
        <v>13</v>
      </c>
      <c r="DE24" s="25">
        <v>21</v>
      </c>
      <c r="DF24" s="25">
        <v>13</v>
      </c>
      <c r="DG24" s="25">
        <v>0</v>
      </c>
      <c r="DH24" s="25">
        <v>11</v>
      </c>
      <c r="DI24" s="25">
        <v>0</v>
      </c>
      <c r="DJ24" s="25">
        <v>11</v>
      </c>
      <c r="DK24" s="25">
        <v>0</v>
      </c>
      <c r="DL24" s="25">
        <v>11</v>
      </c>
      <c r="DM24" s="25">
        <v>0</v>
      </c>
      <c r="DN24" s="25">
        <v>11</v>
      </c>
      <c r="DO24" s="25">
        <v>0</v>
      </c>
      <c r="DP24" s="25">
        <v>11</v>
      </c>
      <c r="DQ24" s="25">
        <v>5</v>
      </c>
      <c r="DR24" s="25">
        <v>5</v>
      </c>
      <c r="DS24" s="25">
        <v>0</v>
      </c>
      <c r="DT24" s="25">
        <v>11</v>
      </c>
      <c r="DU24" s="25">
        <v>44</v>
      </c>
      <c r="DV24" s="25">
        <v>25</v>
      </c>
      <c r="DW24" s="25">
        <v>10</v>
      </c>
      <c r="DX24" s="25">
        <v>11</v>
      </c>
      <c r="DY24" s="25">
        <v>5</v>
      </c>
      <c r="DZ24" s="25">
        <v>6</v>
      </c>
      <c r="EA24" s="25">
        <v>5</v>
      </c>
      <c r="EB24" s="25">
        <v>8</v>
      </c>
      <c r="EC24" s="25">
        <v>0</v>
      </c>
      <c r="ED24" s="25">
        <v>11</v>
      </c>
      <c r="EE24" s="25">
        <v>0</v>
      </c>
      <c r="EF24" s="25">
        <v>11</v>
      </c>
      <c r="EG24" s="25">
        <v>24</v>
      </c>
      <c r="EH24" s="25">
        <v>19</v>
      </c>
      <c r="EI24" s="25">
        <v>3</v>
      </c>
      <c r="EJ24" s="25">
        <v>4</v>
      </c>
      <c r="EK24" s="25">
        <v>7</v>
      </c>
      <c r="EL24" s="25">
        <v>6</v>
      </c>
      <c r="EM24" s="25">
        <v>0</v>
      </c>
      <c r="EN24" s="25">
        <v>11</v>
      </c>
    </row>
    <row r="25" spans="1:144" x14ac:dyDescent="0.25">
      <c r="A25" s="19">
        <f t="shared" si="8"/>
        <v>33</v>
      </c>
      <c r="B25" s="20" t="str">
        <f t="shared" si="9"/>
        <v>Rich</v>
      </c>
      <c r="C25" s="24" t="s">
        <v>320</v>
      </c>
      <c r="D25" s="24" t="s">
        <v>321</v>
      </c>
      <c r="E25" s="25">
        <v>771</v>
      </c>
      <c r="F25" s="25">
        <v>82</v>
      </c>
      <c r="G25" s="25">
        <v>505</v>
      </c>
      <c r="H25" s="25">
        <v>68</v>
      </c>
      <c r="I25" s="25">
        <v>411</v>
      </c>
      <c r="J25" s="25">
        <v>61</v>
      </c>
      <c r="K25" s="25">
        <v>94</v>
      </c>
      <c r="L25" s="25">
        <v>44</v>
      </c>
      <c r="M25" s="25">
        <v>42</v>
      </c>
      <c r="N25" s="25">
        <v>28</v>
      </c>
      <c r="O25" s="25">
        <v>105</v>
      </c>
      <c r="P25" s="25">
        <v>59</v>
      </c>
      <c r="Q25" s="25">
        <v>46</v>
      </c>
      <c r="R25" s="25">
        <v>16</v>
      </c>
      <c r="S25" s="25">
        <v>6</v>
      </c>
      <c r="T25" s="25">
        <v>5</v>
      </c>
      <c r="U25" s="25">
        <v>67</v>
      </c>
      <c r="V25" s="25">
        <v>33</v>
      </c>
      <c r="W25" s="25">
        <v>0</v>
      </c>
      <c r="X25" s="25">
        <v>11</v>
      </c>
      <c r="Y25" s="25">
        <v>572</v>
      </c>
      <c r="Z25" s="25">
        <v>79</v>
      </c>
      <c r="AA25" s="25">
        <v>353</v>
      </c>
      <c r="AB25" s="25">
        <v>62</v>
      </c>
      <c r="AC25" s="25">
        <v>281</v>
      </c>
      <c r="AD25" s="25">
        <v>52</v>
      </c>
      <c r="AE25" s="25">
        <v>72</v>
      </c>
      <c r="AF25" s="25">
        <v>41</v>
      </c>
      <c r="AG25" s="25">
        <v>37</v>
      </c>
      <c r="AH25" s="25">
        <v>28</v>
      </c>
      <c r="AI25" s="25">
        <v>89</v>
      </c>
      <c r="AJ25" s="25">
        <v>58</v>
      </c>
      <c r="AK25" s="25">
        <v>39</v>
      </c>
      <c r="AL25" s="25">
        <v>15</v>
      </c>
      <c r="AM25" s="25">
        <v>6</v>
      </c>
      <c r="AN25" s="25">
        <v>5</v>
      </c>
      <c r="AO25" s="25">
        <v>48</v>
      </c>
      <c r="AP25" s="25">
        <v>30</v>
      </c>
      <c r="AQ25" s="25">
        <v>0</v>
      </c>
      <c r="AR25" s="25">
        <v>11</v>
      </c>
      <c r="AS25" s="25">
        <v>95</v>
      </c>
      <c r="AT25" s="25">
        <v>28</v>
      </c>
      <c r="AU25" s="25">
        <v>86</v>
      </c>
      <c r="AV25" s="25">
        <v>27</v>
      </c>
      <c r="AW25" s="25">
        <v>77</v>
      </c>
      <c r="AX25" s="25">
        <v>25</v>
      </c>
      <c r="AY25" s="25">
        <v>9</v>
      </c>
      <c r="AZ25" s="25">
        <v>9</v>
      </c>
      <c r="BA25" s="25">
        <v>3</v>
      </c>
      <c r="BB25" s="25">
        <v>4</v>
      </c>
      <c r="BC25" s="25">
        <v>3</v>
      </c>
      <c r="BD25" s="25">
        <v>5</v>
      </c>
      <c r="BE25" s="25">
        <v>0</v>
      </c>
      <c r="BF25" s="25">
        <v>11</v>
      </c>
      <c r="BG25" s="25">
        <v>0</v>
      </c>
      <c r="BH25" s="25">
        <v>11</v>
      </c>
      <c r="BI25" s="25">
        <v>3</v>
      </c>
      <c r="BJ25" s="25">
        <v>4</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63</v>
      </c>
      <c r="CH25" s="25">
        <v>26</v>
      </c>
      <c r="CI25" s="25">
        <v>42</v>
      </c>
      <c r="CJ25" s="25">
        <v>20</v>
      </c>
      <c r="CK25" s="25">
        <v>31</v>
      </c>
      <c r="CL25" s="25">
        <v>18</v>
      </c>
      <c r="CM25" s="25">
        <v>11</v>
      </c>
      <c r="CN25" s="25">
        <v>13</v>
      </c>
      <c r="CO25" s="25">
        <v>0</v>
      </c>
      <c r="CP25" s="25">
        <v>11</v>
      </c>
      <c r="CQ25" s="25">
        <v>9</v>
      </c>
      <c r="CR25" s="25">
        <v>11</v>
      </c>
      <c r="CS25" s="25">
        <v>4</v>
      </c>
      <c r="CT25" s="25">
        <v>5</v>
      </c>
      <c r="CU25" s="25">
        <v>0</v>
      </c>
      <c r="CV25" s="25">
        <v>11</v>
      </c>
      <c r="CW25" s="25">
        <v>8</v>
      </c>
      <c r="CX25" s="25">
        <v>8</v>
      </c>
      <c r="CY25" s="25">
        <v>0</v>
      </c>
      <c r="CZ25" s="25">
        <v>11</v>
      </c>
      <c r="DA25" s="25">
        <v>22</v>
      </c>
      <c r="DB25" s="25">
        <v>22</v>
      </c>
      <c r="DC25" s="25">
        <v>19</v>
      </c>
      <c r="DD25" s="25">
        <v>21</v>
      </c>
      <c r="DE25" s="25">
        <v>18</v>
      </c>
      <c r="DF25" s="25">
        <v>21</v>
      </c>
      <c r="DG25" s="25">
        <v>1</v>
      </c>
      <c r="DH25" s="25">
        <v>3</v>
      </c>
      <c r="DI25" s="25">
        <v>0</v>
      </c>
      <c r="DJ25" s="25">
        <v>11</v>
      </c>
      <c r="DK25" s="25">
        <v>2</v>
      </c>
      <c r="DL25" s="25">
        <v>3</v>
      </c>
      <c r="DM25" s="25">
        <v>1</v>
      </c>
      <c r="DN25" s="25">
        <v>2</v>
      </c>
      <c r="DO25" s="25">
        <v>0</v>
      </c>
      <c r="DP25" s="25">
        <v>11</v>
      </c>
      <c r="DQ25" s="25">
        <v>0</v>
      </c>
      <c r="DR25" s="25">
        <v>11</v>
      </c>
      <c r="DS25" s="25">
        <v>0</v>
      </c>
      <c r="DT25" s="25">
        <v>11</v>
      </c>
      <c r="DU25" s="25">
        <v>17</v>
      </c>
      <c r="DV25" s="25">
        <v>12</v>
      </c>
      <c r="DW25" s="25">
        <v>5</v>
      </c>
      <c r="DX25" s="25">
        <v>6</v>
      </c>
      <c r="DY25" s="25">
        <v>4</v>
      </c>
      <c r="DZ25" s="25">
        <v>5</v>
      </c>
      <c r="EA25" s="25">
        <v>1</v>
      </c>
      <c r="EB25" s="25">
        <v>3</v>
      </c>
      <c r="EC25" s="25">
        <v>0</v>
      </c>
      <c r="ED25" s="25">
        <v>11</v>
      </c>
      <c r="EE25" s="25">
        <v>2</v>
      </c>
      <c r="EF25" s="25">
        <v>3</v>
      </c>
      <c r="EG25" s="25">
        <v>2</v>
      </c>
      <c r="EH25" s="25">
        <v>3</v>
      </c>
      <c r="EI25" s="25">
        <v>0</v>
      </c>
      <c r="EJ25" s="25">
        <v>11</v>
      </c>
      <c r="EK25" s="25">
        <v>8</v>
      </c>
      <c r="EL25" s="25">
        <v>8</v>
      </c>
      <c r="EM25" s="25">
        <v>0</v>
      </c>
      <c r="EN25" s="25">
        <v>11</v>
      </c>
    </row>
    <row r="26" spans="1:144" x14ac:dyDescent="0.25">
      <c r="A26" s="19">
        <f t="shared" si="8"/>
        <v>35</v>
      </c>
      <c r="B26" s="20" t="str">
        <f t="shared" si="9"/>
        <v>Salt Lake</v>
      </c>
      <c r="C26" s="24" t="s">
        <v>322</v>
      </c>
      <c r="D26" s="24" t="s">
        <v>323</v>
      </c>
      <c r="E26" s="25">
        <v>513504</v>
      </c>
      <c r="F26" s="25">
        <v>2498</v>
      </c>
      <c r="G26" s="25">
        <v>384749</v>
      </c>
      <c r="H26" s="25">
        <v>2993</v>
      </c>
      <c r="I26" s="25">
        <v>365452</v>
      </c>
      <c r="J26" s="25">
        <v>3165</v>
      </c>
      <c r="K26" s="25">
        <v>19297</v>
      </c>
      <c r="L26" s="25">
        <v>943</v>
      </c>
      <c r="M26" s="25">
        <v>34935</v>
      </c>
      <c r="N26" s="25">
        <v>1345</v>
      </c>
      <c r="O26" s="25">
        <v>27210</v>
      </c>
      <c r="P26" s="25">
        <v>1155</v>
      </c>
      <c r="Q26" s="25">
        <v>31430</v>
      </c>
      <c r="R26" s="25">
        <v>1267</v>
      </c>
      <c r="S26" s="25">
        <v>11213</v>
      </c>
      <c r="T26" s="25">
        <v>708</v>
      </c>
      <c r="U26" s="25">
        <v>23390</v>
      </c>
      <c r="V26" s="25">
        <v>969</v>
      </c>
      <c r="W26" s="25">
        <v>577</v>
      </c>
      <c r="X26" s="25">
        <v>165</v>
      </c>
      <c r="Y26" s="25">
        <v>390356</v>
      </c>
      <c r="Z26" s="25">
        <v>2922</v>
      </c>
      <c r="AA26" s="25">
        <v>296577</v>
      </c>
      <c r="AB26" s="25">
        <v>2690</v>
      </c>
      <c r="AC26" s="25">
        <v>283491</v>
      </c>
      <c r="AD26" s="25">
        <v>2825</v>
      </c>
      <c r="AE26" s="25">
        <v>13086</v>
      </c>
      <c r="AF26" s="25">
        <v>838</v>
      </c>
      <c r="AG26" s="25">
        <v>26272</v>
      </c>
      <c r="AH26" s="25">
        <v>1172</v>
      </c>
      <c r="AI26" s="25">
        <v>22039</v>
      </c>
      <c r="AJ26" s="25">
        <v>1017</v>
      </c>
      <c r="AK26" s="25">
        <v>23501</v>
      </c>
      <c r="AL26" s="25">
        <v>1089</v>
      </c>
      <c r="AM26" s="25">
        <v>8676</v>
      </c>
      <c r="AN26" s="25">
        <v>670</v>
      </c>
      <c r="AO26" s="25">
        <v>12992</v>
      </c>
      <c r="AP26" s="25">
        <v>753</v>
      </c>
      <c r="AQ26" s="25">
        <v>299</v>
      </c>
      <c r="AR26" s="25">
        <v>99</v>
      </c>
      <c r="AS26" s="25">
        <v>60714</v>
      </c>
      <c r="AT26" s="25">
        <v>2114</v>
      </c>
      <c r="AU26" s="25">
        <v>47562</v>
      </c>
      <c r="AV26" s="25">
        <v>1886</v>
      </c>
      <c r="AW26" s="25">
        <v>45713</v>
      </c>
      <c r="AX26" s="25">
        <v>1813</v>
      </c>
      <c r="AY26" s="25">
        <v>1849</v>
      </c>
      <c r="AZ26" s="25">
        <v>285</v>
      </c>
      <c r="BA26" s="25">
        <v>3955</v>
      </c>
      <c r="BB26" s="25">
        <v>463</v>
      </c>
      <c r="BC26" s="25">
        <v>2864</v>
      </c>
      <c r="BD26" s="25">
        <v>381</v>
      </c>
      <c r="BE26" s="25">
        <v>2930</v>
      </c>
      <c r="BF26" s="25">
        <v>322</v>
      </c>
      <c r="BG26" s="25">
        <v>1411</v>
      </c>
      <c r="BH26" s="25">
        <v>255</v>
      </c>
      <c r="BI26" s="25">
        <v>1836</v>
      </c>
      <c r="BJ26" s="25">
        <v>338</v>
      </c>
      <c r="BK26" s="25">
        <v>156</v>
      </c>
      <c r="BL26" s="25">
        <v>107</v>
      </c>
      <c r="BM26" s="25">
        <v>18217</v>
      </c>
      <c r="BN26" s="25">
        <v>1068</v>
      </c>
      <c r="BO26" s="25">
        <v>11710</v>
      </c>
      <c r="BP26" s="25">
        <v>807</v>
      </c>
      <c r="BQ26" s="25">
        <v>11591</v>
      </c>
      <c r="BR26" s="25">
        <v>800</v>
      </c>
      <c r="BS26" s="25">
        <v>119</v>
      </c>
      <c r="BT26" s="25">
        <v>75</v>
      </c>
      <c r="BU26" s="25">
        <v>2181</v>
      </c>
      <c r="BV26" s="25">
        <v>342</v>
      </c>
      <c r="BW26" s="25">
        <v>973</v>
      </c>
      <c r="BX26" s="25">
        <v>164</v>
      </c>
      <c r="BY26" s="25">
        <v>2670</v>
      </c>
      <c r="BZ26" s="25">
        <v>329</v>
      </c>
      <c r="CA26" s="25">
        <v>524</v>
      </c>
      <c r="CB26" s="25">
        <v>158</v>
      </c>
      <c r="CC26" s="25">
        <v>159</v>
      </c>
      <c r="CD26" s="25">
        <v>73</v>
      </c>
      <c r="CE26" s="25">
        <v>0</v>
      </c>
      <c r="CF26" s="25">
        <v>27</v>
      </c>
      <c r="CG26" s="25">
        <v>10622</v>
      </c>
      <c r="CH26" s="25">
        <v>892</v>
      </c>
      <c r="CI26" s="25">
        <v>7194</v>
      </c>
      <c r="CJ26" s="25">
        <v>686</v>
      </c>
      <c r="CK26" s="25">
        <v>6896</v>
      </c>
      <c r="CL26" s="25">
        <v>679</v>
      </c>
      <c r="CM26" s="25">
        <v>298</v>
      </c>
      <c r="CN26" s="25">
        <v>107</v>
      </c>
      <c r="CO26" s="25">
        <v>877</v>
      </c>
      <c r="CP26" s="25">
        <v>180</v>
      </c>
      <c r="CQ26" s="25">
        <v>506</v>
      </c>
      <c r="CR26" s="25">
        <v>132</v>
      </c>
      <c r="CS26" s="25">
        <v>1141</v>
      </c>
      <c r="CT26" s="25">
        <v>276</v>
      </c>
      <c r="CU26" s="25">
        <v>139</v>
      </c>
      <c r="CV26" s="25">
        <v>74</v>
      </c>
      <c r="CW26" s="25">
        <v>754</v>
      </c>
      <c r="CX26" s="25">
        <v>216</v>
      </c>
      <c r="CY26" s="25">
        <v>11</v>
      </c>
      <c r="CZ26" s="25">
        <v>18</v>
      </c>
      <c r="DA26" s="25">
        <v>9834</v>
      </c>
      <c r="DB26" s="25">
        <v>692</v>
      </c>
      <c r="DC26" s="25">
        <v>7252</v>
      </c>
      <c r="DD26" s="25">
        <v>616</v>
      </c>
      <c r="DE26" s="25">
        <v>6867</v>
      </c>
      <c r="DF26" s="25">
        <v>608</v>
      </c>
      <c r="DG26" s="25">
        <v>385</v>
      </c>
      <c r="DH26" s="25">
        <v>128</v>
      </c>
      <c r="DI26" s="25">
        <v>720</v>
      </c>
      <c r="DJ26" s="25">
        <v>151</v>
      </c>
      <c r="DK26" s="25">
        <v>577</v>
      </c>
      <c r="DL26" s="25">
        <v>144</v>
      </c>
      <c r="DM26" s="25">
        <v>732</v>
      </c>
      <c r="DN26" s="25">
        <v>170</v>
      </c>
      <c r="DO26" s="25">
        <v>308</v>
      </c>
      <c r="DP26" s="25">
        <v>86</v>
      </c>
      <c r="DQ26" s="25">
        <v>245</v>
      </c>
      <c r="DR26" s="25">
        <v>115</v>
      </c>
      <c r="DS26" s="25">
        <v>0</v>
      </c>
      <c r="DT26" s="25">
        <v>27</v>
      </c>
      <c r="DU26" s="25">
        <v>23761</v>
      </c>
      <c r="DV26" s="25">
        <v>1098</v>
      </c>
      <c r="DW26" s="25">
        <v>14454</v>
      </c>
      <c r="DX26" s="25">
        <v>932</v>
      </c>
      <c r="DY26" s="25">
        <v>10894</v>
      </c>
      <c r="DZ26" s="25">
        <v>837</v>
      </c>
      <c r="EA26" s="25">
        <v>3560</v>
      </c>
      <c r="EB26" s="25">
        <v>407</v>
      </c>
      <c r="EC26" s="25">
        <v>930</v>
      </c>
      <c r="ED26" s="25">
        <v>151</v>
      </c>
      <c r="EE26" s="25">
        <v>251</v>
      </c>
      <c r="EF26" s="25">
        <v>103</v>
      </c>
      <c r="EG26" s="25">
        <v>456</v>
      </c>
      <c r="EH26" s="25">
        <v>140</v>
      </c>
      <c r="EI26" s="25">
        <v>155</v>
      </c>
      <c r="EJ26" s="25">
        <v>64</v>
      </c>
      <c r="EK26" s="25">
        <v>7404</v>
      </c>
      <c r="EL26" s="25">
        <v>588</v>
      </c>
      <c r="EM26" s="25">
        <v>111</v>
      </c>
      <c r="EN26" s="25">
        <v>98</v>
      </c>
    </row>
    <row r="27" spans="1:144" x14ac:dyDescent="0.25">
      <c r="A27" s="19">
        <f t="shared" si="8"/>
        <v>37</v>
      </c>
      <c r="B27" s="20" t="str">
        <f t="shared" si="9"/>
        <v>San Juan</v>
      </c>
      <c r="C27" s="24" t="s">
        <v>324</v>
      </c>
      <c r="D27" s="24" t="s">
        <v>325</v>
      </c>
      <c r="E27" s="25">
        <v>4657</v>
      </c>
      <c r="F27" s="25">
        <v>250</v>
      </c>
      <c r="G27" s="25">
        <v>2558</v>
      </c>
      <c r="H27" s="25">
        <v>205</v>
      </c>
      <c r="I27" s="25">
        <v>2387</v>
      </c>
      <c r="J27" s="25">
        <v>206</v>
      </c>
      <c r="K27" s="25">
        <v>171</v>
      </c>
      <c r="L27" s="25">
        <v>62</v>
      </c>
      <c r="M27" s="25">
        <v>244</v>
      </c>
      <c r="N27" s="25">
        <v>85</v>
      </c>
      <c r="O27" s="25">
        <v>927</v>
      </c>
      <c r="P27" s="25">
        <v>162</v>
      </c>
      <c r="Q27" s="25">
        <v>423</v>
      </c>
      <c r="R27" s="25">
        <v>92</v>
      </c>
      <c r="S27" s="25">
        <v>271</v>
      </c>
      <c r="T27" s="25">
        <v>70</v>
      </c>
      <c r="U27" s="25">
        <v>227</v>
      </c>
      <c r="V27" s="25">
        <v>77</v>
      </c>
      <c r="W27" s="25">
        <v>7</v>
      </c>
      <c r="X27" s="25">
        <v>10</v>
      </c>
      <c r="Y27" s="25">
        <v>3454</v>
      </c>
      <c r="Z27" s="25">
        <v>249</v>
      </c>
      <c r="AA27" s="25">
        <v>1923</v>
      </c>
      <c r="AB27" s="25">
        <v>187</v>
      </c>
      <c r="AC27" s="25">
        <v>1826</v>
      </c>
      <c r="AD27" s="25">
        <v>190</v>
      </c>
      <c r="AE27" s="25">
        <v>97</v>
      </c>
      <c r="AF27" s="25">
        <v>43</v>
      </c>
      <c r="AG27" s="25">
        <v>170</v>
      </c>
      <c r="AH27" s="25">
        <v>72</v>
      </c>
      <c r="AI27" s="25">
        <v>728</v>
      </c>
      <c r="AJ27" s="25">
        <v>155</v>
      </c>
      <c r="AK27" s="25">
        <v>314</v>
      </c>
      <c r="AL27" s="25">
        <v>77</v>
      </c>
      <c r="AM27" s="25">
        <v>225</v>
      </c>
      <c r="AN27" s="25">
        <v>64</v>
      </c>
      <c r="AO27" s="25">
        <v>87</v>
      </c>
      <c r="AP27" s="25">
        <v>43</v>
      </c>
      <c r="AQ27" s="25">
        <v>7</v>
      </c>
      <c r="AR27" s="25">
        <v>10</v>
      </c>
      <c r="AS27" s="25">
        <v>523</v>
      </c>
      <c r="AT27" s="25">
        <v>118</v>
      </c>
      <c r="AU27" s="25">
        <v>293</v>
      </c>
      <c r="AV27" s="25">
        <v>76</v>
      </c>
      <c r="AW27" s="25">
        <v>270</v>
      </c>
      <c r="AX27" s="25">
        <v>76</v>
      </c>
      <c r="AY27" s="25">
        <v>23</v>
      </c>
      <c r="AZ27" s="25">
        <v>21</v>
      </c>
      <c r="BA27" s="25">
        <v>58</v>
      </c>
      <c r="BB27" s="25">
        <v>36</v>
      </c>
      <c r="BC27" s="25">
        <v>82</v>
      </c>
      <c r="BD27" s="25">
        <v>58</v>
      </c>
      <c r="BE27" s="25">
        <v>41</v>
      </c>
      <c r="BF27" s="25">
        <v>26</v>
      </c>
      <c r="BG27" s="25">
        <v>25</v>
      </c>
      <c r="BH27" s="25">
        <v>17</v>
      </c>
      <c r="BI27" s="25">
        <v>24</v>
      </c>
      <c r="BJ27" s="25">
        <v>26</v>
      </c>
      <c r="BK27" s="25">
        <v>0</v>
      </c>
      <c r="BL27" s="25">
        <v>18</v>
      </c>
      <c r="BM27" s="25">
        <v>21</v>
      </c>
      <c r="BN27" s="25">
        <v>13</v>
      </c>
      <c r="BO27" s="25">
        <v>13</v>
      </c>
      <c r="BP27" s="25">
        <v>11</v>
      </c>
      <c r="BQ27" s="25">
        <v>13</v>
      </c>
      <c r="BR27" s="25">
        <v>11</v>
      </c>
      <c r="BS27" s="25">
        <v>0</v>
      </c>
      <c r="BT27" s="25">
        <v>18</v>
      </c>
      <c r="BU27" s="25">
        <v>0</v>
      </c>
      <c r="BV27" s="25">
        <v>18</v>
      </c>
      <c r="BW27" s="25">
        <v>0</v>
      </c>
      <c r="BX27" s="25">
        <v>18</v>
      </c>
      <c r="BY27" s="25">
        <v>4</v>
      </c>
      <c r="BZ27" s="25">
        <v>5</v>
      </c>
      <c r="CA27" s="25">
        <v>4</v>
      </c>
      <c r="CB27" s="25">
        <v>5</v>
      </c>
      <c r="CC27" s="25">
        <v>0</v>
      </c>
      <c r="CD27" s="25">
        <v>18</v>
      </c>
      <c r="CE27" s="25">
        <v>0</v>
      </c>
      <c r="CF27" s="25">
        <v>18</v>
      </c>
      <c r="CG27" s="25">
        <v>298</v>
      </c>
      <c r="CH27" s="25">
        <v>88</v>
      </c>
      <c r="CI27" s="25">
        <v>139</v>
      </c>
      <c r="CJ27" s="25">
        <v>62</v>
      </c>
      <c r="CK27" s="25">
        <v>139</v>
      </c>
      <c r="CL27" s="25">
        <v>62</v>
      </c>
      <c r="CM27" s="25">
        <v>0</v>
      </c>
      <c r="CN27" s="25">
        <v>18</v>
      </c>
      <c r="CO27" s="25">
        <v>16</v>
      </c>
      <c r="CP27" s="25">
        <v>18</v>
      </c>
      <c r="CQ27" s="25">
        <v>93</v>
      </c>
      <c r="CR27" s="25">
        <v>50</v>
      </c>
      <c r="CS27" s="25">
        <v>42</v>
      </c>
      <c r="CT27" s="25">
        <v>32</v>
      </c>
      <c r="CU27" s="25">
        <v>0</v>
      </c>
      <c r="CV27" s="25">
        <v>18</v>
      </c>
      <c r="CW27" s="25">
        <v>8</v>
      </c>
      <c r="CX27" s="25">
        <v>8</v>
      </c>
      <c r="CY27" s="25">
        <v>0</v>
      </c>
      <c r="CZ27" s="25">
        <v>18</v>
      </c>
      <c r="DA27" s="25">
        <v>38</v>
      </c>
      <c r="DB27" s="25">
        <v>22</v>
      </c>
      <c r="DC27" s="25">
        <v>11</v>
      </c>
      <c r="DD27" s="25">
        <v>12</v>
      </c>
      <c r="DE27" s="25">
        <v>11</v>
      </c>
      <c r="DF27" s="25">
        <v>12</v>
      </c>
      <c r="DG27" s="25">
        <v>0</v>
      </c>
      <c r="DH27" s="25">
        <v>18</v>
      </c>
      <c r="DI27" s="25">
        <v>0</v>
      </c>
      <c r="DJ27" s="25">
        <v>18</v>
      </c>
      <c r="DK27" s="25">
        <v>11</v>
      </c>
      <c r="DL27" s="25">
        <v>10</v>
      </c>
      <c r="DM27" s="25">
        <v>16</v>
      </c>
      <c r="DN27" s="25">
        <v>14</v>
      </c>
      <c r="DO27" s="25">
        <v>0</v>
      </c>
      <c r="DP27" s="25">
        <v>18</v>
      </c>
      <c r="DQ27" s="25">
        <v>0</v>
      </c>
      <c r="DR27" s="25">
        <v>18</v>
      </c>
      <c r="DS27" s="25">
        <v>0</v>
      </c>
      <c r="DT27" s="25">
        <v>18</v>
      </c>
      <c r="DU27" s="25">
        <v>323</v>
      </c>
      <c r="DV27" s="25">
        <v>106</v>
      </c>
      <c r="DW27" s="25">
        <v>179</v>
      </c>
      <c r="DX27" s="25">
        <v>63</v>
      </c>
      <c r="DY27" s="25">
        <v>128</v>
      </c>
      <c r="DZ27" s="25">
        <v>47</v>
      </c>
      <c r="EA27" s="25">
        <v>51</v>
      </c>
      <c r="EB27" s="25">
        <v>41</v>
      </c>
      <c r="EC27" s="25">
        <v>0</v>
      </c>
      <c r="ED27" s="25">
        <v>18</v>
      </c>
      <c r="EE27" s="25">
        <v>13</v>
      </c>
      <c r="EF27" s="25">
        <v>19</v>
      </c>
      <c r="EG27" s="25">
        <v>6</v>
      </c>
      <c r="EH27" s="25">
        <v>7</v>
      </c>
      <c r="EI27" s="25">
        <v>17</v>
      </c>
      <c r="EJ27" s="25">
        <v>27</v>
      </c>
      <c r="EK27" s="25">
        <v>108</v>
      </c>
      <c r="EL27" s="25">
        <v>66</v>
      </c>
      <c r="EM27" s="25">
        <v>0</v>
      </c>
      <c r="EN27" s="25">
        <v>18</v>
      </c>
    </row>
    <row r="28" spans="1:144" x14ac:dyDescent="0.25">
      <c r="A28" s="19">
        <f t="shared" si="8"/>
        <v>39</v>
      </c>
      <c r="B28" s="20" t="str">
        <f t="shared" si="9"/>
        <v>Sanpete</v>
      </c>
      <c r="C28" s="24" t="s">
        <v>326</v>
      </c>
      <c r="D28" s="24" t="s">
        <v>327</v>
      </c>
      <c r="E28" s="25">
        <v>9927</v>
      </c>
      <c r="F28" s="25">
        <v>692</v>
      </c>
      <c r="G28" s="25">
        <v>6807</v>
      </c>
      <c r="H28" s="25">
        <v>607</v>
      </c>
      <c r="I28" s="25">
        <v>6133</v>
      </c>
      <c r="J28" s="25">
        <v>547</v>
      </c>
      <c r="K28" s="25">
        <v>674</v>
      </c>
      <c r="L28" s="25">
        <v>193</v>
      </c>
      <c r="M28" s="25">
        <v>557</v>
      </c>
      <c r="N28" s="25">
        <v>117</v>
      </c>
      <c r="O28" s="25">
        <v>622</v>
      </c>
      <c r="P28" s="25">
        <v>117</v>
      </c>
      <c r="Q28" s="25">
        <v>1122</v>
      </c>
      <c r="R28" s="25">
        <v>144</v>
      </c>
      <c r="S28" s="25">
        <v>132</v>
      </c>
      <c r="T28" s="25">
        <v>56</v>
      </c>
      <c r="U28" s="25">
        <v>679</v>
      </c>
      <c r="V28" s="25">
        <v>125</v>
      </c>
      <c r="W28" s="25">
        <v>8</v>
      </c>
      <c r="X28" s="25">
        <v>9</v>
      </c>
      <c r="Y28" s="25">
        <v>6936</v>
      </c>
      <c r="Z28" s="25">
        <v>527</v>
      </c>
      <c r="AA28" s="25">
        <v>4586</v>
      </c>
      <c r="AB28" s="25">
        <v>441</v>
      </c>
      <c r="AC28" s="25">
        <v>4248</v>
      </c>
      <c r="AD28" s="25">
        <v>412</v>
      </c>
      <c r="AE28" s="25">
        <v>338</v>
      </c>
      <c r="AF28" s="25">
        <v>109</v>
      </c>
      <c r="AG28" s="25">
        <v>428</v>
      </c>
      <c r="AH28" s="25">
        <v>97</v>
      </c>
      <c r="AI28" s="25">
        <v>546</v>
      </c>
      <c r="AJ28" s="25">
        <v>116</v>
      </c>
      <c r="AK28" s="25">
        <v>882</v>
      </c>
      <c r="AL28" s="25">
        <v>139</v>
      </c>
      <c r="AM28" s="25">
        <v>132</v>
      </c>
      <c r="AN28" s="25">
        <v>56</v>
      </c>
      <c r="AO28" s="25">
        <v>359</v>
      </c>
      <c r="AP28" s="25">
        <v>103</v>
      </c>
      <c r="AQ28" s="25">
        <v>3</v>
      </c>
      <c r="AR28" s="25">
        <v>5</v>
      </c>
      <c r="AS28" s="25">
        <v>1596</v>
      </c>
      <c r="AT28" s="25">
        <v>241</v>
      </c>
      <c r="AU28" s="25">
        <v>1278</v>
      </c>
      <c r="AV28" s="25">
        <v>239</v>
      </c>
      <c r="AW28" s="25">
        <v>1177</v>
      </c>
      <c r="AX28" s="25">
        <v>207</v>
      </c>
      <c r="AY28" s="25">
        <v>101</v>
      </c>
      <c r="AZ28" s="25">
        <v>100</v>
      </c>
      <c r="BA28" s="25">
        <v>59</v>
      </c>
      <c r="BB28" s="25">
        <v>31</v>
      </c>
      <c r="BC28" s="25">
        <v>45</v>
      </c>
      <c r="BD28" s="25">
        <v>21</v>
      </c>
      <c r="BE28" s="25">
        <v>145</v>
      </c>
      <c r="BF28" s="25">
        <v>49</v>
      </c>
      <c r="BG28" s="25">
        <v>0</v>
      </c>
      <c r="BH28" s="25">
        <v>21</v>
      </c>
      <c r="BI28" s="25">
        <v>64</v>
      </c>
      <c r="BJ28" s="25">
        <v>35</v>
      </c>
      <c r="BK28" s="25">
        <v>5</v>
      </c>
      <c r="BL28" s="25">
        <v>8</v>
      </c>
      <c r="BM28" s="25">
        <v>34</v>
      </c>
      <c r="BN28" s="25">
        <v>40</v>
      </c>
      <c r="BO28" s="25">
        <v>22</v>
      </c>
      <c r="BP28" s="25">
        <v>34</v>
      </c>
      <c r="BQ28" s="25">
        <v>22</v>
      </c>
      <c r="BR28" s="25">
        <v>34</v>
      </c>
      <c r="BS28" s="25">
        <v>0</v>
      </c>
      <c r="BT28" s="25">
        <v>21</v>
      </c>
      <c r="BU28" s="25">
        <v>9</v>
      </c>
      <c r="BV28" s="25">
        <v>20</v>
      </c>
      <c r="BW28" s="25">
        <v>3</v>
      </c>
      <c r="BX28" s="25">
        <v>5</v>
      </c>
      <c r="BY28" s="25">
        <v>0</v>
      </c>
      <c r="BZ28" s="25">
        <v>21</v>
      </c>
      <c r="CA28" s="25">
        <v>0</v>
      </c>
      <c r="CB28" s="25">
        <v>21</v>
      </c>
      <c r="CC28" s="25">
        <v>0</v>
      </c>
      <c r="CD28" s="25">
        <v>21</v>
      </c>
      <c r="CE28" s="25">
        <v>0</v>
      </c>
      <c r="CF28" s="25">
        <v>21</v>
      </c>
      <c r="CG28" s="25">
        <v>524</v>
      </c>
      <c r="CH28" s="25">
        <v>145</v>
      </c>
      <c r="CI28" s="25">
        <v>399</v>
      </c>
      <c r="CJ28" s="25">
        <v>141</v>
      </c>
      <c r="CK28" s="25">
        <v>378</v>
      </c>
      <c r="CL28" s="25">
        <v>137</v>
      </c>
      <c r="CM28" s="25">
        <v>21</v>
      </c>
      <c r="CN28" s="25">
        <v>12</v>
      </c>
      <c r="CO28" s="25">
        <v>36</v>
      </c>
      <c r="CP28" s="25">
        <v>25</v>
      </c>
      <c r="CQ28" s="25">
        <v>25</v>
      </c>
      <c r="CR28" s="25">
        <v>19</v>
      </c>
      <c r="CS28" s="25">
        <v>54</v>
      </c>
      <c r="CT28" s="25">
        <v>45</v>
      </c>
      <c r="CU28" s="25">
        <v>0</v>
      </c>
      <c r="CV28" s="25">
        <v>21</v>
      </c>
      <c r="CW28" s="25">
        <v>10</v>
      </c>
      <c r="CX28" s="25">
        <v>14</v>
      </c>
      <c r="CY28" s="25">
        <v>0</v>
      </c>
      <c r="CZ28" s="25">
        <v>21</v>
      </c>
      <c r="DA28" s="25">
        <v>172</v>
      </c>
      <c r="DB28" s="25">
        <v>59</v>
      </c>
      <c r="DC28" s="25">
        <v>106</v>
      </c>
      <c r="DD28" s="25">
        <v>52</v>
      </c>
      <c r="DE28" s="25">
        <v>92</v>
      </c>
      <c r="DF28" s="25">
        <v>53</v>
      </c>
      <c r="DG28" s="25">
        <v>14</v>
      </c>
      <c r="DH28" s="25">
        <v>11</v>
      </c>
      <c r="DI28" s="25">
        <v>5</v>
      </c>
      <c r="DJ28" s="25">
        <v>8</v>
      </c>
      <c r="DK28" s="25">
        <v>0</v>
      </c>
      <c r="DL28" s="25">
        <v>21</v>
      </c>
      <c r="DM28" s="25">
        <v>34</v>
      </c>
      <c r="DN28" s="25">
        <v>28</v>
      </c>
      <c r="DO28" s="25">
        <v>0</v>
      </c>
      <c r="DP28" s="25">
        <v>21</v>
      </c>
      <c r="DQ28" s="25">
        <v>27</v>
      </c>
      <c r="DR28" s="25">
        <v>26</v>
      </c>
      <c r="DS28" s="25">
        <v>0</v>
      </c>
      <c r="DT28" s="25">
        <v>21</v>
      </c>
      <c r="DU28" s="25">
        <v>665</v>
      </c>
      <c r="DV28" s="25">
        <v>159</v>
      </c>
      <c r="DW28" s="25">
        <v>416</v>
      </c>
      <c r="DX28" s="25">
        <v>150</v>
      </c>
      <c r="DY28" s="25">
        <v>216</v>
      </c>
      <c r="DZ28" s="25">
        <v>86</v>
      </c>
      <c r="EA28" s="25">
        <v>200</v>
      </c>
      <c r="EB28" s="25">
        <v>119</v>
      </c>
      <c r="EC28" s="25">
        <v>20</v>
      </c>
      <c r="ED28" s="25">
        <v>18</v>
      </c>
      <c r="EE28" s="25">
        <v>3</v>
      </c>
      <c r="EF28" s="25">
        <v>5</v>
      </c>
      <c r="EG28" s="25">
        <v>7</v>
      </c>
      <c r="EH28" s="25">
        <v>12</v>
      </c>
      <c r="EI28" s="25">
        <v>0</v>
      </c>
      <c r="EJ28" s="25">
        <v>21</v>
      </c>
      <c r="EK28" s="25">
        <v>219</v>
      </c>
      <c r="EL28" s="25">
        <v>71</v>
      </c>
      <c r="EM28" s="25">
        <v>0</v>
      </c>
      <c r="EN28" s="25">
        <v>21</v>
      </c>
    </row>
    <row r="29" spans="1:144" x14ac:dyDescent="0.25">
      <c r="A29" s="19">
        <f t="shared" si="8"/>
        <v>41</v>
      </c>
      <c r="B29" s="20" t="str">
        <f t="shared" si="9"/>
        <v>Sevier</v>
      </c>
      <c r="C29" s="24" t="s">
        <v>328</v>
      </c>
      <c r="D29" s="24" t="s">
        <v>329</v>
      </c>
      <c r="E29" s="25">
        <v>8170</v>
      </c>
      <c r="F29" s="25">
        <v>296</v>
      </c>
      <c r="G29" s="25">
        <v>5802</v>
      </c>
      <c r="H29" s="25">
        <v>245</v>
      </c>
      <c r="I29" s="25">
        <v>5398</v>
      </c>
      <c r="J29" s="25">
        <v>260</v>
      </c>
      <c r="K29" s="25">
        <v>404</v>
      </c>
      <c r="L29" s="25">
        <v>102</v>
      </c>
      <c r="M29" s="25">
        <v>274</v>
      </c>
      <c r="N29" s="25">
        <v>71</v>
      </c>
      <c r="O29" s="25">
        <v>439</v>
      </c>
      <c r="P29" s="25">
        <v>92</v>
      </c>
      <c r="Q29" s="25">
        <v>866</v>
      </c>
      <c r="R29" s="25">
        <v>158</v>
      </c>
      <c r="S29" s="25">
        <v>235</v>
      </c>
      <c r="T29" s="25">
        <v>75</v>
      </c>
      <c r="U29" s="25">
        <v>434</v>
      </c>
      <c r="V29" s="25">
        <v>124</v>
      </c>
      <c r="W29" s="25">
        <v>120</v>
      </c>
      <c r="X29" s="25">
        <v>105</v>
      </c>
      <c r="Y29" s="25">
        <v>6405</v>
      </c>
      <c r="Z29" s="25">
        <v>336</v>
      </c>
      <c r="AA29" s="25">
        <v>4609</v>
      </c>
      <c r="AB29" s="25">
        <v>286</v>
      </c>
      <c r="AC29" s="25">
        <v>4338</v>
      </c>
      <c r="AD29" s="25">
        <v>282</v>
      </c>
      <c r="AE29" s="25">
        <v>271</v>
      </c>
      <c r="AF29" s="25">
        <v>79</v>
      </c>
      <c r="AG29" s="25">
        <v>227</v>
      </c>
      <c r="AH29" s="25">
        <v>64</v>
      </c>
      <c r="AI29" s="25">
        <v>370</v>
      </c>
      <c r="AJ29" s="25">
        <v>81</v>
      </c>
      <c r="AK29" s="25">
        <v>746</v>
      </c>
      <c r="AL29" s="25">
        <v>147</v>
      </c>
      <c r="AM29" s="25">
        <v>220</v>
      </c>
      <c r="AN29" s="25">
        <v>73</v>
      </c>
      <c r="AO29" s="25">
        <v>187</v>
      </c>
      <c r="AP29" s="25">
        <v>70</v>
      </c>
      <c r="AQ29" s="25">
        <v>46</v>
      </c>
      <c r="AR29" s="25">
        <v>36</v>
      </c>
      <c r="AS29" s="25">
        <v>976</v>
      </c>
      <c r="AT29" s="25">
        <v>176</v>
      </c>
      <c r="AU29" s="25">
        <v>767</v>
      </c>
      <c r="AV29" s="25">
        <v>170</v>
      </c>
      <c r="AW29" s="25">
        <v>764</v>
      </c>
      <c r="AX29" s="25">
        <v>171</v>
      </c>
      <c r="AY29" s="25">
        <v>3</v>
      </c>
      <c r="AZ29" s="25">
        <v>5</v>
      </c>
      <c r="BA29" s="25">
        <v>32</v>
      </c>
      <c r="BB29" s="25">
        <v>26</v>
      </c>
      <c r="BC29" s="25">
        <v>49</v>
      </c>
      <c r="BD29" s="25">
        <v>34</v>
      </c>
      <c r="BE29" s="25">
        <v>56</v>
      </c>
      <c r="BF29" s="25">
        <v>37</v>
      </c>
      <c r="BG29" s="25">
        <v>9</v>
      </c>
      <c r="BH29" s="25">
        <v>10</v>
      </c>
      <c r="BI29" s="25">
        <v>44</v>
      </c>
      <c r="BJ29" s="25">
        <v>32</v>
      </c>
      <c r="BK29" s="25">
        <v>19</v>
      </c>
      <c r="BL29" s="25">
        <v>25</v>
      </c>
      <c r="BM29" s="25">
        <v>59</v>
      </c>
      <c r="BN29" s="25">
        <v>31</v>
      </c>
      <c r="BO29" s="25">
        <v>26</v>
      </c>
      <c r="BP29" s="25">
        <v>20</v>
      </c>
      <c r="BQ29" s="25">
        <v>26</v>
      </c>
      <c r="BR29" s="25">
        <v>20</v>
      </c>
      <c r="BS29" s="25">
        <v>0</v>
      </c>
      <c r="BT29" s="25">
        <v>21</v>
      </c>
      <c r="BU29" s="25">
        <v>10</v>
      </c>
      <c r="BV29" s="25">
        <v>13</v>
      </c>
      <c r="BW29" s="25">
        <v>6</v>
      </c>
      <c r="BX29" s="25">
        <v>10</v>
      </c>
      <c r="BY29" s="25">
        <v>0</v>
      </c>
      <c r="BZ29" s="25">
        <v>21</v>
      </c>
      <c r="CA29" s="25">
        <v>4</v>
      </c>
      <c r="CB29" s="25">
        <v>6</v>
      </c>
      <c r="CC29" s="25">
        <v>13</v>
      </c>
      <c r="CD29" s="25">
        <v>18</v>
      </c>
      <c r="CE29" s="25">
        <v>0</v>
      </c>
      <c r="CF29" s="25">
        <v>21</v>
      </c>
      <c r="CG29" s="25">
        <v>165</v>
      </c>
      <c r="CH29" s="25">
        <v>67</v>
      </c>
      <c r="CI29" s="25">
        <v>79</v>
      </c>
      <c r="CJ29" s="25">
        <v>48</v>
      </c>
      <c r="CK29" s="25">
        <v>43</v>
      </c>
      <c r="CL29" s="25">
        <v>31</v>
      </c>
      <c r="CM29" s="25">
        <v>36</v>
      </c>
      <c r="CN29" s="25">
        <v>39</v>
      </c>
      <c r="CO29" s="25">
        <v>0</v>
      </c>
      <c r="CP29" s="25">
        <v>21</v>
      </c>
      <c r="CQ29" s="25">
        <v>2</v>
      </c>
      <c r="CR29" s="25">
        <v>4</v>
      </c>
      <c r="CS29" s="25">
        <v>30</v>
      </c>
      <c r="CT29" s="25">
        <v>38</v>
      </c>
      <c r="CU29" s="25">
        <v>0</v>
      </c>
      <c r="CV29" s="25">
        <v>21</v>
      </c>
      <c r="CW29" s="25">
        <v>45</v>
      </c>
      <c r="CX29" s="25">
        <v>36</v>
      </c>
      <c r="CY29" s="25">
        <v>9</v>
      </c>
      <c r="CZ29" s="25">
        <v>13</v>
      </c>
      <c r="DA29" s="25">
        <v>152</v>
      </c>
      <c r="DB29" s="25">
        <v>69</v>
      </c>
      <c r="DC29" s="25">
        <v>91</v>
      </c>
      <c r="DD29" s="25">
        <v>51</v>
      </c>
      <c r="DE29" s="25">
        <v>85</v>
      </c>
      <c r="DF29" s="25">
        <v>50</v>
      </c>
      <c r="DG29" s="25">
        <v>6</v>
      </c>
      <c r="DH29" s="25">
        <v>10</v>
      </c>
      <c r="DI29" s="25">
        <v>4</v>
      </c>
      <c r="DJ29" s="25">
        <v>7</v>
      </c>
      <c r="DK29" s="25">
        <v>0</v>
      </c>
      <c r="DL29" s="25">
        <v>21</v>
      </c>
      <c r="DM29" s="25">
        <v>4</v>
      </c>
      <c r="DN29" s="25">
        <v>6</v>
      </c>
      <c r="DO29" s="25">
        <v>2</v>
      </c>
      <c r="DP29" s="25">
        <v>3</v>
      </c>
      <c r="DQ29" s="25">
        <v>9</v>
      </c>
      <c r="DR29" s="25">
        <v>12</v>
      </c>
      <c r="DS29" s="25">
        <v>42</v>
      </c>
      <c r="DT29" s="25">
        <v>46</v>
      </c>
      <c r="DU29" s="25">
        <v>413</v>
      </c>
      <c r="DV29" s="25">
        <v>106</v>
      </c>
      <c r="DW29" s="25">
        <v>230</v>
      </c>
      <c r="DX29" s="25">
        <v>92</v>
      </c>
      <c r="DY29" s="25">
        <v>142</v>
      </c>
      <c r="DZ29" s="25">
        <v>61</v>
      </c>
      <c r="EA29" s="25">
        <v>88</v>
      </c>
      <c r="EB29" s="25">
        <v>60</v>
      </c>
      <c r="EC29" s="25">
        <v>1</v>
      </c>
      <c r="ED29" s="25">
        <v>2</v>
      </c>
      <c r="EE29" s="25">
        <v>12</v>
      </c>
      <c r="EF29" s="25">
        <v>18</v>
      </c>
      <c r="EG29" s="25">
        <v>30</v>
      </c>
      <c r="EH29" s="25">
        <v>21</v>
      </c>
      <c r="EI29" s="25">
        <v>0</v>
      </c>
      <c r="EJ29" s="25">
        <v>21</v>
      </c>
      <c r="EK29" s="25">
        <v>136</v>
      </c>
      <c r="EL29" s="25">
        <v>56</v>
      </c>
      <c r="EM29" s="25">
        <v>4</v>
      </c>
      <c r="EN29" s="25">
        <v>6</v>
      </c>
    </row>
    <row r="30" spans="1:144" x14ac:dyDescent="0.25">
      <c r="A30" s="19">
        <f t="shared" si="8"/>
        <v>43</v>
      </c>
      <c r="B30" s="20" t="str">
        <f t="shared" si="9"/>
        <v>Summit</v>
      </c>
      <c r="C30" s="24" t="s">
        <v>330</v>
      </c>
      <c r="D30" s="24" t="s">
        <v>331</v>
      </c>
      <c r="E30" s="25">
        <v>19795</v>
      </c>
      <c r="F30" s="25">
        <v>450</v>
      </c>
      <c r="G30" s="25">
        <v>14897</v>
      </c>
      <c r="H30" s="25">
        <v>519</v>
      </c>
      <c r="I30" s="25">
        <v>12971</v>
      </c>
      <c r="J30" s="25">
        <v>538</v>
      </c>
      <c r="K30" s="25">
        <v>1926</v>
      </c>
      <c r="L30" s="25">
        <v>249</v>
      </c>
      <c r="M30" s="25">
        <v>1007</v>
      </c>
      <c r="N30" s="25">
        <v>183</v>
      </c>
      <c r="O30" s="25">
        <v>1377</v>
      </c>
      <c r="P30" s="25">
        <v>216</v>
      </c>
      <c r="Q30" s="25">
        <v>827</v>
      </c>
      <c r="R30" s="25">
        <v>163</v>
      </c>
      <c r="S30" s="25">
        <v>371</v>
      </c>
      <c r="T30" s="25">
        <v>125</v>
      </c>
      <c r="U30" s="25">
        <v>1301</v>
      </c>
      <c r="V30" s="25">
        <v>205</v>
      </c>
      <c r="W30" s="25">
        <v>15</v>
      </c>
      <c r="X30" s="25">
        <v>15</v>
      </c>
      <c r="Y30" s="25">
        <v>15020</v>
      </c>
      <c r="Z30" s="25">
        <v>582</v>
      </c>
      <c r="AA30" s="25">
        <v>11391</v>
      </c>
      <c r="AB30" s="25">
        <v>604</v>
      </c>
      <c r="AC30" s="25">
        <v>10344</v>
      </c>
      <c r="AD30" s="25">
        <v>584</v>
      </c>
      <c r="AE30" s="25">
        <v>1047</v>
      </c>
      <c r="AF30" s="25">
        <v>205</v>
      </c>
      <c r="AG30" s="25">
        <v>850</v>
      </c>
      <c r="AH30" s="25">
        <v>175</v>
      </c>
      <c r="AI30" s="25">
        <v>1139</v>
      </c>
      <c r="AJ30" s="25">
        <v>197</v>
      </c>
      <c r="AK30" s="25">
        <v>676</v>
      </c>
      <c r="AL30" s="25">
        <v>142</v>
      </c>
      <c r="AM30" s="25">
        <v>291</v>
      </c>
      <c r="AN30" s="25">
        <v>119</v>
      </c>
      <c r="AO30" s="25">
        <v>670</v>
      </c>
      <c r="AP30" s="25">
        <v>160</v>
      </c>
      <c r="AQ30" s="25">
        <v>3</v>
      </c>
      <c r="AR30" s="25">
        <v>4</v>
      </c>
      <c r="AS30" s="25">
        <v>1422</v>
      </c>
      <c r="AT30" s="25">
        <v>286</v>
      </c>
      <c r="AU30" s="25">
        <v>1002</v>
      </c>
      <c r="AV30" s="25">
        <v>227</v>
      </c>
      <c r="AW30" s="25">
        <v>846</v>
      </c>
      <c r="AX30" s="25">
        <v>207</v>
      </c>
      <c r="AY30" s="25">
        <v>156</v>
      </c>
      <c r="AZ30" s="25">
        <v>106</v>
      </c>
      <c r="BA30" s="25">
        <v>87</v>
      </c>
      <c r="BB30" s="25">
        <v>45</v>
      </c>
      <c r="BC30" s="25">
        <v>129</v>
      </c>
      <c r="BD30" s="25">
        <v>82</v>
      </c>
      <c r="BE30" s="25">
        <v>49</v>
      </c>
      <c r="BF30" s="25">
        <v>32</v>
      </c>
      <c r="BG30" s="25">
        <v>52</v>
      </c>
      <c r="BH30" s="25">
        <v>39</v>
      </c>
      <c r="BI30" s="25">
        <v>103</v>
      </c>
      <c r="BJ30" s="25">
        <v>66</v>
      </c>
      <c r="BK30" s="25">
        <v>0</v>
      </c>
      <c r="BL30" s="25">
        <v>24</v>
      </c>
      <c r="BM30" s="25">
        <v>427</v>
      </c>
      <c r="BN30" s="25">
        <v>205</v>
      </c>
      <c r="BO30" s="25">
        <v>400</v>
      </c>
      <c r="BP30" s="25">
        <v>204</v>
      </c>
      <c r="BQ30" s="25">
        <v>400</v>
      </c>
      <c r="BR30" s="25">
        <v>204</v>
      </c>
      <c r="BS30" s="25">
        <v>0</v>
      </c>
      <c r="BT30" s="25">
        <v>24</v>
      </c>
      <c r="BU30" s="25">
        <v>9</v>
      </c>
      <c r="BV30" s="25">
        <v>15</v>
      </c>
      <c r="BW30" s="25">
        <v>13</v>
      </c>
      <c r="BX30" s="25">
        <v>21</v>
      </c>
      <c r="BY30" s="25">
        <v>5</v>
      </c>
      <c r="BZ30" s="25">
        <v>8</v>
      </c>
      <c r="CA30" s="25">
        <v>0</v>
      </c>
      <c r="CB30" s="25">
        <v>24</v>
      </c>
      <c r="CC30" s="25">
        <v>0</v>
      </c>
      <c r="CD30" s="25">
        <v>24</v>
      </c>
      <c r="CE30" s="25">
        <v>0</v>
      </c>
      <c r="CF30" s="25">
        <v>24</v>
      </c>
      <c r="CG30" s="25">
        <v>220</v>
      </c>
      <c r="CH30" s="25">
        <v>75</v>
      </c>
      <c r="CI30" s="25">
        <v>125</v>
      </c>
      <c r="CJ30" s="25">
        <v>60</v>
      </c>
      <c r="CK30" s="25">
        <v>119</v>
      </c>
      <c r="CL30" s="25">
        <v>59</v>
      </c>
      <c r="CM30" s="25">
        <v>6</v>
      </c>
      <c r="CN30" s="25">
        <v>14</v>
      </c>
      <c r="CO30" s="25">
        <v>0</v>
      </c>
      <c r="CP30" s="25">
        <v>24</v>
      </c>
      <c r="CQ30" s="25">
        <v>11</v>
      </c>
      <c r="CR30" s="25">
        <v>15</v>
      </c>
      <c r="CS30" s="25">
        <v>32</v>
      </c>
      <c r="CT30" s="25">
        <v>27</v>
      </c>
      <c r="CU30" s="25">
        <v>11</v>
      </c>
      <c r="CV30" s="25">
        <v>12</v>
      </c>
      <c r="CW30" s="25">
        <v>41</v>
      </c>
      <c r="CX30" s="25">
        <v>28</v>
      </c>
      <c r="CY30" s="25">
        <v>0</v>
      </c>
      <c r="CZ30" s="25">
        <v>24</v>
      </c>
      <c r="DA30" s="25">
        <v>344</v>
      </c>
      <c r="DB30" s="25">
        <v>149</v>
      </c>
      <c r="DC30" s="25">
        <v>261</v>
      </c>
      <c r="DD30" s="25">
        <v>141</v>
      </c>
      <c r="DE30" s="25">
        <v>213</v>
      </c>
      <c r="DF30" s="25">
        <v>123</v>
      </c>
      <c r="DG30" s="25">
        <v>48</v>
      </c>
      <c r="DH30" s="25">
        <v>50</v>
      </c>
      <c r="DI30" s="25">
        <v>24</v>
      </c>
      <c r="DJ30" s="25">
        <v>30</v>
      </c>
      <c r="DK30" s="25">
        <v>9</v>
      </c>
      <c r="DL30" s="25">
        <v>14</v>
      </c>
      <c r="DM30" s="25">
        <v>31</v>
      </c>
      <c r="DN30" s="25">
        <v>33</v>
      </c>
      <c r="DO30" s="25">
        <v>0</v>
      </c>
      <c r="DP30" s="25">
        <v>24</v>
      </c>
      <c r="DQ30" s="25">
        <v>19</v>
      </c>
      <c r="DR30" s="25">
        <v>22</v>
      </c>
      <c r="DS30" s="25">
        <v>0</v>
      </c>
      <c r="DT30" s="25">
        <v>24</v>
      </c>
      <c r="DU30" s="25">
        <v>2362</v>
      </c>
      <c r="DV30" s="25">
        <v>325</v>
      </c>
      <c r="DW30" s="25">
        <v>1718</v>
      </c>
      <c r="DX30" s="25">
        <v>326</v>
      </c>
      <c r="DY30" s="25">
        <v>1049</v>
      </c>
      <c r="DZ30" s="25">
        <v>233</v>
      </c>
      <c r="EA30" s="25">
        <v>669</v>
      </c>
      <c r="EB30" s="25">
        <v>180</v>
      </c>
      <c r="EC30" s="25">
        <v>37</v>
      </c>
      <c r="ED30" s="25">
        <v>29</v>
      </c>
      <c r="EE30" s="25">
        <v>76</v>
      </c>
      <c r="EF30" s="25">
        <v>53</v>
      </c>
      <c r="EG30" s="25">
        <v>34</v>
      </c>
      <c r="EH30" s="25">
        <v>43</v>
      </c>
      <c r="EI30" s="25">
        <v>17</v>
      </c>
      <c r="EJ30" s="25">
        <v>13</v>
      </c>
      <c r="EK30" s="25">
        <v>468</v>
      </c>
      <c r="EL30" s="25">
        <v>126</v>
      </c>
      <c r="EM30" s="25">
        <v>12</v>
      </c>
      <c r="EN30" s="25">
        <v>14</v>
      </c>
    </row>
    <row r="31" spans="1:144" x14ac:dyDescent="0.25">
      <c r="A31" s="19">
        <f t="shared" si="8"/>
        <v>45</v>
      </c>
      <c r="B31" s="20" t="str">
        <f t="shared" si="9"/>
        <v>Tooele</v>
      </c>
      <c r="C31" s="24" t="s">
        <v>332</v>
      </c>
      <c r="D31" s="24" t="s">
        <v>333</v>
      </c>
      <c r="E31" s="25">
        <v>25481</v>
      </c>
      <c r="F31" s="25">
        <v>684</v>
      </c>
      <c r="G31" s="25">
        <v>17810</v>
      </c>
      <c r="H31" s="25">
        <v>782</v>
      </c>
      <c r="I31" s="25">
        <v>17276</v>
      </c>
      <c r="J31" s="25">
        <v>786</v>
      </c>
      <c r="K31" s="25">
        <v>534</v>
      </c>
      <c r="L31" s="25">
        <v>167</v>
      </c>
      <c r="M31" s="25">
        <v>1121</v>
      </c>
      <c r="N31" s="25">
        <v>251</v>
      </c>
      <c r="O31" s="25">
        <v>2285</v>
      </c>
      <c r="P31" s="25">
        <v>328</v>
      </c>
      <c r="Q31" s="25">
        <v>1145</v>
      </c>
      <c r="R31" s="25">
        <v>271</v>
      </c>
      <c r="S31" s="25">
        <v>2308</v>
      </c>
      <c r="T31" s="25">
        <v>391</v>
      </c>
      <c r="U31" s="25">
        <v>796</v>
      </c>
      <c r="V31" s="25">
        <v>167</v>
      </c>
      <c r="W31" s="25">
        <v>16</v>
      </c>
      <c r="X31" s="25">
        <v>19</v>
      </c>
      <c r="Y31" s="25">
        <v>17886</v>
      </c>
      <c r="Z31" s="25">
        <v>685</v>
      </c>
      <c r="AA31" s="25">
        <v>12813</v>
      </c>
      <c r="AB31" s="25">
        <v>713</v>
      </c>
      <c r="AC31" s="25">
        <v>12526</v>
      </c>
      <c r="AD31" s="25">
        <v>718</v>
      </c>
      <c r="AE31" s="25">
        <v>287</v>
      </c>
      <c r="AF31" s="25">
        <v>105</v>
      </c>
      <c r="AG31" s="25">
        <v>804</v>
      </c>
      <c r="AH31" s="25">
        <v>190</v>
      </c>
      <c r="AI31" s="25">
        <v>1797</v>
      </c>
      <c r="AJ31" s="25">
        <v>309</v>
      </c>
      <c r="AK31" s="25">
        <v>837</v>
      </c>
      <c r="AL31" s="25">
        <v>206</v>
      </c>
      <c r="AM31" s="25">
        <v>1256</v>
      </c>
      <c r="AN31" s="25">
        <v>306</v>
      </c>
      <c r="AO31" s="25">
        <v>369</v>
      </c>
      <c r="AP31" s="25">
        <v>104</v>
      </c>
      <c r="AQ31" s="25">
        <v>10</v>
      </c>
      <c r="AR31" s="25">
        <v>17</v>
      </c>
      <c r="AS31" s="25">
        <v>4897</v>
      </c>
      <c r="AT31" s="25">
        <v>547</v>
      </c>
      <c r="AU31" s="25">
        <v>3398</v>
      </c>
      <c r="AV31" s="25">
        <v>418</v>
      </c>
      <c r="AW31" s="25">
        <v>3313</v>
      </c>
      <c r="AX31" s="25">
        <v>425</v>
      </c>
      <c r="AY31" s="25">
        <v>85</v>
      </c>
      <c r="AZ31" s="25">
        <v>79</v>
      </c>
      <c r="BA31" s="25">
        <v>176</v>
      </c>
      <c r="BB31" s="25">
        <v>103</v>
      </c>
      <c r="BC31" s="25">
        <v>331</v>
      </c>
      <c r="BD31" s="25">
        <v>117</v>
      </c>
      <c r="BE31" s="25">
        <v>228</v>
      </c>
      <c r="BF31" s="25">
        <v>190</v>
      </c>
      <c r="BG31" s="25">
        <v>704</v>
      </c>
      <c r="BH31" s="25">
        <v>204</v>
      </c>
      <c r="BI31" s="25">
        <v>54</v>
      </c>
      <c r="BJ31" s="25">
        <v>55</v>
      </c>
      <c r="BK31" s="25">
        <v>6</v>
      </c>
      <c r="BL31" s="25">
        <v>9</v>
      </c>
      <c r="BM31" s="25">
        <v>726</v>
      </c>
      <c r="BN31" s="25">
        <v>196</v>
      </c>
      <c r="BO31" s="25">
        <v>498</v>
      </c>
      <c r="BP31" s="25">
        <v>171</v>
      </c>
      <c r="BQ31" s="25">
        <v>498</v>
      </c>
      <c r="BR31" s="25">
        <v>171</v>
      </c>
      <c r="BS31" s="25">
        <v>0</v>
      </c>
      <c r="BT31" s="25">
        <v>27</v>
      </c>
      <c r="BU31" s="25">
        <v>87</v>
      </c>
      <c r="BV31" s="25">
        <v>59</v>
      </c>
      <c r="BW31" s="25">
        <v>14</v>
      </c>
      <c r="BX31" s="25">
        <v>22</v>
      </c>
      <c r="BY31" s="25">
        <v>56</v>
      </c>
      <c r="BZ31" s="25">
        <v>52</v>
      </c>
      <c r="CA31" s="25">
        <v>71</v>
      </c>
      <c r="CB31" s="25">
        <v>57</v>
      </c>
      <c r="CC31" s="25">
        <v>0</v>
      </c>
      <c r="CD31" s="25">
        <v>27</v>
      </c>
      <c r="CE31" s="25">
        <v>0</v>
      </c>
      <c r="CF31" s="25">
        <v>27</v>
      </c>
      <c r="CG31" s="25">
        <v>644</v>
      </c>
      <c r="CH31" s="25">
        <v>170</v>
      </c>
      <c r="CI31" s="25">
        <v>310</v>
      </c>
      <c r="CJ31" s="25">
        <v>120</v>
      </c>
      <c r="CK31" s="25">
        <v>306</v>
      </c>
      <c r="CL31" s="25">
        <v>119</v>
      </c>
      <c r="CM31" s="25">
        <v>4</v>
      </c>
      <c r="CN31" s="25">
        <v>8</v>
      </c>
      <c r="CO31" s="25">
        <v>13</v>
      </c>
      <c r="CP31" s="25">
        <v>18</v>
      </c>
      <c r="CQ31" s="25">
        <v>53</v>
      </c>
      <c r="CR31" s="25">
        <v>46</v>
      </c>
      <c r="CS31" s="25">
        <v>24</v>
      </c>
      <c r="CT31" s="25">
        <v>29</v>
      </c>
      <c r="CU31" s="25">
        <v>209</v>
      </c>
      <c r="CV31" s="25">
        <v>86</v>
      </c>
      <c r="CW31" s="25">
        <v>35</v>
      </c>
      <c r="CX31" s="25">
        <v>34</v>
      </c>
      <c r="CY31" s="25">
        <v>0</v>
      </c>
      <c r="CZ31" s="25">
        <v>27</v>
      </c>
      <c r="DA31" s="25">
        <v>434</v>
      </c>
      <c r="DB31" s="25">
        <v>179</v>
      </c>
      <c r="DC31" s="25">
        <v>312</v>
      </c>
      <c r="DD31" s="25">
        <v>151</v>
      </c>
      <c r="DE31" s="25">
        <v>311</v>
      </c>
      <c r="DF31" s="25">
        <v>151</v>
      </c>
      <c r="DG31" s="25">
        <v>1</v>
      </c>
      <c r="DH31" s="25">
        <v>4</v>
      </c>
      <c r="DI31" s="25">
        <v>5</v>
      </c>
      <c r="DJ31" s="25">
        <v>7</v>
      </c>
      <c r="DK31" s="25">
        <v>22</v>
      </c>
      <c r="DL31" s="25">
        <v>35</v>
      </c>
      <c r="DM31" s="25">
        <v>0</v>
      </c>
      <c r="DN31" s="25">
        <v>27</v>
      </c>
      <c r="DO31" s="25">
        <v>36</v>
      </c>
      <c r="DP31" s="25">
        <v>40</v>
      </c>
      <c r="DQ31" s="25">
        <v>59</v>
      </c>
      <c r="DR31" s="25">
        <v>65</v>
      </c>
      <c r="DS31" s="25">
        <v>0</v>
      </c>
      <c r="DT31" s="25">
        <v>27</v>
      </c>
      <c r="DU31" s="25">
        <v>894</v>
      </c>
      <c r="DV31" s="25">
        <v>199</v>
      </c>
      <c r="DW31" s="25">
        <v>479</v>
      </c>
      <c r="DX31" s="25">
        <v>162</v>
      </c>
      <c r="DY31" s="25">
        <v>322</v>
      </c>
      <c r="DZ31" s="25">
        <v>130</v>
      </c>
      <c r="EA31" s="25">
        <v>157</v>
      </c>
      <c r="EB31" s="25">
        <v>80</v>
      </c>
      <c r="EC31" s="25">
        <v>36</v>
      </c>
      <c r="ED31" s="25">
        <v>33</v>
      </c>
      <c r="EE31" s="25">
        <v>68</v>
      </c>
      <c r="EF31" s="25">
        <v>77</v>
      </c>
      <c r="EG31" s="25">
        <v>0</v>
      </c>
      <c r="EH31" s="25">
        <v>27</v>
      </c>
      <c r="EI31" s="25">
        <v>32</v>
      </c>
      <c r="EJ31" s="25">
        <v>29</v>
      </c>
      <c r="EK31" s="25">
        <v>279</v>
      </c>
      <c r="EL31" s="25">
        <v>94</v>
      </c>
      <c r="EM31" s="25">
        <v>0</v>
      </c>
      <c r="EN31" s="25">
        <v>27</v>
      </c>
    </row>
    <row r="32" spans="1:144" x14ac:dyDescent="0.25">
      <c r="A32" s="19">
        <f t="shared" si="8"/>
        <v>47</v>
      </c>
      <c r="B32" s="20" t="str">
        <f t="shared" si="9"/>
        <v>Uintah</v>
      </c>
      <c r="C32" s="24" t="s">
        <v>334</v>
      </c>
      <c r="D32" s="24" t="s">
        <v>335</v>
      </c>
      <c r="E32" s="25">
        <v>14751</v>
      </c>
      <c r="F32" s="25">
        <v>469</v>
      </c>
      <c r="G32" s="25">
        <v>10569</v>
      </c>
      <c r="H32" s="25">
        <v>519</v>
      </c>
      <c r="I32" s="25">
        <v>9905</v>
      </c>
      <c r="J32" s="25">
        <v>514</v>
      </c>
      <c r="K32" s="25">
        <v>664</v>
      </c>
      <c r="L32" s="25">
        <v>151</v>
      </c>
      <c r="M32" s="25">
        <v>684</v>
      </c>
      <c r="N32" s="25">
        <v>197</v>
      </c>
      <c r="O32" s="25">
        <v>1582</v>
      </c>
      <c r="P32" s="25">
        <v>283</v>
      </c>
      <c r="Q32" s="25">
        <v>546</v>
      </c>
      <c r="R32" s="25">
        <v>125</v>
      </c>
      <c r="S32" s="25">
        <v>517</v>
      </c>
      <c r="T32" s="25">
        <v>113</v>
      </c>
      <c r="U32" s="25">
        <v>822</v>
      </c>
      <c r="V32" s="25">
        <v>191</v>
      </c>
      <c r="W32" s="25">
        <v>31</v>
      </c>
      <c r="X32" s="25">
        <v>32</v>
      </c>
      <c r="Y32" s="25">
        <v>12008</v>
      </c>
      <c r="Z32" s="25">
        <v>462</v>
      </c>
      <c r="AA32" s="25">
        <v>8767</v>
      </c>
      <c r="AB32" s="25">
        <v>515</v>
      </c>
      <c r="AC32" s="25">
        <v>8325</v>
      </c>
      <c r="AD32" s="25">
        <v>528</v>
      </c>
      <c r="AE32" s="25">
        <v>442</v>
      </c>
      <c r="AF32" s="25">
        <v>135</v>
      </c>
      <c r="AG32" s="25">
        <v>533</v>
      </c>
      <c r="AH32" s="25">
        <v>178</v>
      </c>
      <c r="AI32" s="25">
        <v>1347</v>
      </c>
      <c r="AJ32" s="25">
        <v>267</v>
      </c>
      <c r="AK32" s="25">
        <v>443</v>
      </c>
      <c r="AL32" s="25">
        <v>118</v>
      </c>
      <c r="AM32" s="25">
        <v>381</v>
      </c>
      <c r="AN32" s="25">
        <v>85</v>
      </c>
      <c r="AO32" s="25">
        <v>533</v>
      </c>
      <c r="AP32" s="25">
        <v>177</v>
      </c>
      <c r="AQ32" s="25">
        <v>4</v>
      </c>
      <c r="AR32" s="25">
        <v>6</v>
      </c>
      <c r="AS32" s="25">
        <v>1561</v>
      </c>
      <c r="AT32" s="25">
        <v>253</v>
      </c>
      <c r="AU32" s="25">
        <v>1171</v>
      </c>
      <c r="AV32" s="25">
        <v>212</v>
      </c>
      <c r="AW32" s="25">
        <v>1076</v>
      </c>
      <c r="AX32" s="25">
        <v>192</v>
      </c>
      <c r="AY32" s="25">
        <v>95</v>
      </c>
      <c r="AZ32" s="25">
        <v>58</v>
      </c>
      <c r="BA32" s="25">
        <v>63</v>
      </c>
      <c r="BB32" s="25">
        <v>49</v>
      </c>
      <c r="BC32" s="25">
        <v>198</v>
      </c>
      <c r="BD32" s="25">
        <v>90</v>
      </c>
      <c r="BE32" s="25">
        <v>50</v>
      </c>
      <c r="BF32" s="25">
        <v>35</v>
      </c>
      <c r="BG32" s="25">
        <v>22</v>
      </c>
      <c r="BH32" s="25">
        <v>22</v>
      </c>
      <c r="BI32" s="25">
        <v>57</v>
      </c>
      <c r="BJ32" s="25">
        <v>42</v>
      </c>
      <c r="BK32" s="25">
        <v>0</v>
      </c>
      <c r="BL32" s="25">
        <v>24</v>
      </c>
      <c r="BM32" s="25">
        <v>114</v>
      </c>
      <c r="BN32" s="25">
        <v>66</v>
      </c>
      <c r="BO32" s="25">
        <v>51</v>
      </c>
      <c r="BP32" s="25">
        <v>44</v>
      </c>
      <c r="BQ32" s="25">
        <v>51</v>
      </c>
      <c r="BR32" s="25">
        <v>44</v>
      </c>
      <c r="BS32" s="25">
        <v>0</v>
      </c>
      <c r="BT32" s="25">
        <v>24</v>
      </c>
      <c r="BU32" s="25">
        <v>0</v>
      </c>
      <c r="BV32" s="25">
        <v>24</v>
      </c>
      <c r="BW32" s="25">
        <v>0</v>
      </c>
      <c r="BX32" s="25">
        <v>24</v>
      </c>
      <c r="BY32" s="25">
        <v>15</v>
      </c>
      <c r="BZ32" s="25">
        <v>19</v>
      </c>
      <c r="CA32" s="25">
        <v>14</v>
      </c>
      <c r="CB32" s="25">
        <v>21</v>
      </c>
      <c r="CC32" s="25">
        <v>15</v>
      </c>
      <c r="CD32" s="25">
        <v>23</v>
      </c>
      <c r="CE32" s="25">
        <v>19</v>
      </c>
      <c r="CF32" s="25">
        <v>28</v>
      </c>
      <c r="CG32" s="25">
        <v>204</v>
      </c>
      <c r="CH32" s="25">
        <v>139</v>
      </c>
      <c r="CI32" s="25">
        <v>196</v>
      </c>
      <c r="CJ32" s="25">
        <v>137</v>
      </c>
      <c r="CK32" s="25">
        <v>188</v>
      </c>
      <c r="CL32" s="25">
        <v>137</v>
      </c>
      <c r="CM32" s="25">
        <v>8</v>
      </c>
      <c r="CN32" s="25">
        <v>8</v>
      </c>
      <c r="CO32" s="25">
        <v>0</v>
      </c>
      <c r="CP32" s="25">
        <v>24</v>
      </c>
      <c r="CQ32" s="25">
        <v>0</v>
      </c>
      <c r="CR32" s="25">
        <v>24</v>
      </c>
      <c r="CS32" s="25">
        <v>5</v>
      </c>
      <c r="CT32" s="25">
        <v>8</v>
      </c>
      <c r="CU32" s="25">
        <v>0</v>
      </c>
      <c r="CV32" s="25">
        <v>24</v>
      </c>
      <c r="CW32" s="25">
        <v>3</v>
      </c>
      <c r="CX32" s="25">
        <v>5</v>
      </c>
      <c r="CY32" s="25">
        <v>0</v>
      </c>
      <c r="CZ32" s="25">
        <v>24</v>
      </c>
      <c r="DA32" s="25">
        <v>372</v>
      </c>
      <c r="DB32" s="25">
        <v>138</v>
      </c>
      <c r="DC32" s="25">
        <v>147</v>
      </c>
      <c r="DD32" s="25">
        <v>70</v>
      </c>
      <c r="DE32" s="25">
        <v>145</v>
      </c>
      <c r="DF32" s="25">
        <v>69</v>
      </c>
      <c r="DG32" s="25">
        <v>2</v>
      </c>
      <c r="DH32" s="25">
        <v>3</v>
      </c>
      <c r="DI32" s="25">
        <v>82</v>
      </c>
      <c r="DJ32" s="25">
        <v>80</v>
      </c>
      <c r="DK32" s="25">
        <v>31</v>
      </c>
      <c r="DL32" s="25">
        <v>47</v>
      </c>
      <c r="DM32" s="25">
        <v>23</v>
      </c>
      <c r="DN32" s="25">
        <v>24</v>
      </c>
      <c r="DO32" s="25">
        <v>85</v>
      </c>
      <c r="DP32" s="25">
        <v>77</v>
      </c>
      <c r="DQ32" s="25">
        <v>4</v>
      </c>
      <c r="DR32" s="25">
        <v>6</v>
      </c>
      <c r="DS32" s="25">
        <v>0</v>
      </c>
      <c r="DT32" s="25">
        <v>24</v>
      </c>
      <c r="DU32" s="25">
        <v>492</v>
      </c>
      <c r="DV32" s="25">
        <v>147</v>
      </c>
      <c r="DW32" s="25">
        <v>237</v>
      </c>
      <c r="DX32" s="25">
        <v>95</v>
      </c>
      <c r="DY32" s="25">
        <v>120</v>
      </c>
      <c r="DZ32" s="25">
        <v>60</v>
      </c>
      <c r="EA32" s="25">
        <v>117</v>
      </c>
      <c r="EB32" s="25">
        <v>66</v>
      </c>
      <c r="EC32" s="25">
        <v>6</v>
      </c>
      <c r="ED32" s="25">
        <v>6</v>
      </c>
      <c r="EE32" s="25">
        <v>6</v>
      </c>
      <c r="EF32" s="25">
        <v>8</v>
      </c>
      <c r="EG32" s="25">
        <v>10</v>
      </c>
      <c r="EH32" s="25">
        <v>14</v>
      </c>
      <c r="EI32" s="25">
        <v>15</v>
      </c>
      <c r="EJ32" s="25">
        <v>24</v>
      </c>
      <c r="EK32" s="25">
        <v>210</v>
      </c>
      <c r="EL32" s="25">
        <v>82</v>
      </c>
      <c r="EM32" s="25">
        <v>8</v>
      </c>
      <c r="EN32" s="25">
        <v>14</v>
      </c>
    </row>
    <row r="33" spans="1:144" x14ac:dyDescent="0.25">
      <c r="A33" s="19">
        <f t="shared" si="8"/>
        <v>49</v>
      </c>
      <c r="B33" s="20" t="str">
        <f t="shared" si="9"/>
        <v>Utah</v>
      </c>
      <c r="C33" s="24" t="s">
        <v>336</v>
      </c>
      <c r="D33" s="24" t="s">
        <v>337</v>
      </c>
      <c r="E33" s="25">
        <v>227230</v>
      </c>
      <c r="F33" s="25">
        <v>1782</v>
      </c>
      <c r="G33" s="25">
        <v>162965</v>
      </c>
      <c r="H33" s="25">
        <v>1824</v>
      </c>
      <c r="I33" s="25">
        <v>153514</v>
      </c>
      <c r="J33" s="25">
        <v>1882</v>
      </c>
      <c r="K33" s="25">
        <v>9451</v>
      </c>
      <c r="L33" s="25">
        <v>605</v>
      </c>
      <c r="M33" s="25">
        <v>24825</v>
      </c>
      <c r="N33" s="25">
        <v>1079</v>
      </c>
      <c r="O33" s="25">
        <v>13720</v>
      </c>
      <c r="P33" s="25">
        <v>680</v>
      </c>
      <c r="Q33" s="25">
        <v>11989</v>
      </c>
      <c r="R33" s="25">
        <v>677</v>
      </c>
      <c r="S33" s="25">
        <v>3214</v>
      </c>
      <c r="T33" s="25">
        <v>338</v>
      </c>
      <c r="U33" s="25">
        <v>10203</v>
      </c>
      <c r="V33" s="25">
        <v>635</v>
      </c>
      <c r="W33" s="25">
        <v>314</v>
      </c>
      <c r="X33" s="25">
        <v>82</v>
      </c>
      <c r="Y33" s="25">
        <v>166150</v>
      </c>
      <c r="Z33" s="25">
        <v>2048</v>
      </c>
      <c r="AA33" s="25">
        <v>122686</v>
      </c>
      <c r="AB33" s="25">
        <v>1740</v>
      </c>
      <c r="AC33" s="25">
        <v>116523</v>
      </c>
      <c r="AD33" s="25">
        <v>1764</v>
      </c>
      <c r="AE33" s="25">
        <v>6163</v>
      </c>
      <c r="AF33" s="25">
        <v>473</v>
      </c>
      <c r="AG33" s="25">
        <v>15581</v>
      </c>
      <c r="AH33" s="25">
        <v>819</v>
      </c>
      <c r="AI33" s="25">
        <v>11401</v>
      </c>
      <c r="AJ33" s="25">
        <v>618</v>
      </c>
      <c r="AK33" s="25">
        <v>9310</v>
      </c>
      <c r="AL33" s="25">
        <v>626</v>
      </c>
      <c r="AM33" s="25">
        <v>2412</v>
      </c>
      <c r="AN33" s="25">
        <v>288</v>
      </c>
      <c r="AO33" s="25">
        <v>4582</v>
      </c>
      <c r="AP33" s="25">
        <v>419</v>
      </c>
      <c r="AQ33" s="25">
        <v>178</v>
      </c>
      <c r="AR33" s="25">
        <v>63</v>
      </c>
      <c r="AS33" s="25">
        <v>28898</v>
      </c>
      <c r="AT33" s="25">
        <v>1302</v>
      </c>
      <c r="AU33" s="25">
        <v>21373</v>
      </c>
      <c r="AV33" s="25">
        <v>1156</v>
      </c>
      <c r="AW33" s="25">
        <v>20616</v>
      </c>
      <c r="AX33" s="25">
        <v>1115</v>
      </c>
      <c r="AY33" s="25">
        <v>757</v>
      </c>
      <c r="AZ33" s="25">
        <v>194</v>
      </c>
      <c r="BA33" s="25">
        <v>2800</v>
      </c>
      <c r="BB33" s="25">
        <v>361</v>
      </c>
      <c r="BC33" s="25">
        <v>1558</v>
      </c>
      <c r="BD33" s="25">
        <v>260</v>
      </c>
      <c r="BE33" s="25">
        <v>1500</v>
      </c>
      <c r="BF33" s="25">
        <v>212</v>
      </c>
      <c r="BG33" s="25">
        <v>557</v>
      </c>
      <c r="BH33" s="25">
        <v>166</v>
      </c>
      <c r="BI33" s="25">
        <v>1028</v>
      </c>
      <c r="BJ33" s="25">
        <v>192</v>
      </c>
      <c r="BK33" s="25">
        <v>82</v>
      </c>
      <c r="BL33" s="25">
        <v>48</v>
      </c>
      <c r="BM33" s="25">
        <v>3811</v>
      </c>
      <c r="BN33" s="25">
        <v>438</v>
      </c>
      <c r="BO33" s="25">
        <v>2308</v>
      </c>
      <c r="BP33" s="25">
        <v>316</v>
      </c>
      <c r="BQ33" s="25">
        <v>2281</v>
      </c>
      <c r="BR33" s="25">
        <v>313</v>
      </c>
      <c r="BS33" s="25">
        <v>27</v>
      </c>
      <c r="BT33" s="25">
        <v>23</v>
      </c>
      <c r="BU33" s="25">
        <v>899</v>
      </c>
      <c r="BV33" s="25">
        <v>198</v>
      </c>
      <c r="BW33" s="25">
        <v>129</v>
      </c>
      <c r="BX33" s="25">
        <v>57</v>
      </c>
      <c r="BY33" s="25">
        <v>400</v>
      </c>
      <c r="BZ33" s="25">
        <v>110</v>
      </c>
      <c r="CA33" s="25">
        <v>11</v>
      </c>
      <c r="CB33" s="25">
        <v>18</v>
      </c>
      <c r="CC33" s="25">
        <v>64</v>
      </c>
      <c r="CD33" s="25">
        <v>40</v>
      </c>
      <c r="CE33" s="25">
        <v>0</v>
      </c>
      <c r="CF33" s="25">
        <v>27</v>
      </c>
      <c r="CG33" s="25">
        <v>9378</v>
      </c>
      <c r="CH33" s="25">
        <v>768</v>
      </c>
      <c r="CI33" s="25">
        <v>4791</v>
      </c>
      <c r="CJ33" s="25">
        <v>528</v>
      </c>
      <c r="CK33" s="25">
        <v>4632</v>
      </c>
      <c r="CL33" s="25">
        <v>531</v>
      </c>
      <c r="CM33" s="25">
        <v>159</v>
      </c>
      <c r="CN33" s="25">
        <v>58</v>
      </c>
      <c r="CO33" s="25">
        <v>3600</v>
      </c>
      <c r="CP33" s="25">
        <v>509</v>
      </c>
      <c r="CQ33" s="25">
        <v>292</v>
      </c>
      <c r="CR33" s="25">
        <v>104</v>
      </c>
      <c r="CS33" s="25">
        <v>314</v>
      </c>
      <c r="CT33" s="25">
        <v>99</v>
      </c>
      <c r="CU33" s="25">
        <v>29</v>
      </c>
      <c r="CV33" s="25">
        <v>24</v>
      </c>
      <c r="CW33" s="25">
        <v>344</v>
      </c>
      <c r="CX33" s="25">
        <v>122</v>
      </c>
      <c r="CY33" s="25">
        <v>8</v>
      </c>
      <c r="CZ33" s="25">
        <v>13</v>
      </c>
      <c r="DA33" s="25">
        <v>5250</v>
      </c>
      <c r="DB33" s="25">
        <v>461</v>
      </c>
      <c r="DC33" s="25">
        <v>3428</v>
      </c>
      <c r="DD33" s="25">
        <v>389</v>
      </c>
      <c r="DE33" s="25">
        <v>3298</v>
      </c>
      <c r="DF33" s="25">
        <v>380</v>
      </c>
      <c r="DG33" s="25">
        <v>130</v>
      </c>
      <c r="DH33" s="25">
        <v>62</v>
      </c>
      <c r="DI33" s="25">
        <v>1139</v>
      </c>
      <c r="DJ33" s="25">
        <v>224</v>
      </c>
      <c r="DK33" s="25">
        <v>136</v>
      </c>
      <c r="DL33" s="25">
        <v>62</v>
      </c>
      <c r="DM33" s="25">
        <v>233</v>
      </c>
      <c r="DN33" s="25">
        <v>109</v>
      </c>
      <c r="DO33" s="25">
        <v>104</v>
      </c>
      <c r="DP33" s="25">
        <v>64</v>
      </c>
      <c r="DQ33" s="25">
        <v>210</v>
      </c>
      <c r="DR33" s="25">
        <v>92</v>
      </c>
      <c r="DS33" s="25">
        <v>0</v>
      </c>
      <c r="DT33" s="25">
        <v>27</v>
      </c>
      <c r="DU33" s="25">
        <v>13743</v>
      </c>
      <c r="DV33" s="25">
        <v>708</v>
      </c>
      <c r="DW33" s="25">
        <v>8379</v>
      </c>
      <c r="DX33" s="25">
        <v>540</v>
      </c>
      <c r="DY33" s="25">
        <v>6164</v>
      </c>
      <c r="DZ33" s="25">
        <v>433</v>
      </c>
      <c r="EA33" s="25">
        <v>2215</v>
      </c>
      <c r="EB33" s="25">
        <v>275</v>
      </c>
      <c r="EC33" s="25">
        <v>806</v>
      </c>
      <c r="ED33" s="25">
        <v>191</v>
      </c>
      <c r="EE33" s="25">
        <v>204</v>
      </c>
      <c r="EF33" s="25">
        <v>88</v>
      </c>
      <c r="EG33" s="25">
        <v>232</v>
      </c>
      <c r="EH33" s="25">
        <v>86</v>
      </c>
      <c r="EI33" s="25">
        <v>101</v>
      </c>
      <c r="EJ33" s="25">
        <v>67</v>
      </c>
      <c r="EK33" s="25">
        <v>3975</v>
      </c>
      <c r="EL33" s="25">
        <v>382</v>
      </c>
      <c r="EM33" s="25">
        <v>46</v>
      </c>
      <c r="EN33" s="25">
        <v>33</v>
      </c>
    </row>
    <row r="34" spans="1:144" x14ac:dyDescent="0.25">
      <c r="A34" s="19">
        <f t="shared" si="8"/>
        <v>51</v>
      </c>
      <c r="B34" s="20" t="str">
        <f t="shared" si="9"/>
        <v>Wasatch</v>
      </c>
      <c r="C34" s="24" t="s">
        <v>338</v>
      </c>
      <c r="D34" s="24" t="s">
        <v>339</v>
      </c>
      <c r="E34" s="25">
        <v>11369</v>
      </c>
      <c r="F34" s="25">
        <v>394</v>
      </c>
      <c r="G34" s="25">
        <v>8027</v>
      </c>
      <c r="H34" s="25">
        <v>436</v>
      </c>
      <c r="I34" s="25">
        <v>6827</v>
      </c>
      <c r="J34" s="25">
        <v>430</v>
      </c>
      <c r="K34" s="25">
        <v>1200</v>
      </c>
      <c r="L34" s="25">
        <v>258</v>
      </c>
      <c r="M34" s="25">
        <v>592</v>
      </c>
      <c r="N34" s="25">
        <v>232</v>
      </c>
      <c r="O34" s="25">
        <v>1288</v>
      </c>
      <c r="P34" s="25">
        <v>286</v>
      </c>
      <c r="Q34" s="25">
        <v>472</v>
      </c>
      <c r="R34" s="25">
        <v>153</v>
      </c>
      <c r="S34" s="25">
        <v>237</v>
      </c>
      <c r="T34" s="25">
        <v>103</v>
      </c>
      <c r="U34" s="25">
        <v>735</v>
      </c>
      <c r="V34" s="25">
        <v>189</v>
      </c>
      <c r="W34" s="25">
        <v>18</v>
      </c>
      <c r="X34" s="25">
        <v>13</v>
      </c>
      <c r="Y34" s="25">
        <v>8769</v>
      </c>
      <c r="Z34" s="25">
        <v>518</v>
      </c>
      <c r="AA34" s="25">
        <v>6154</v>
      </c>
      <c r="AB34" s="25">
        <v>460</v>
      </c>
      <c r="AC34" s="25">
        <v>5343</v>
      </c>
      <c r="AD34" s="25">
        <v>443</v>
      </c>
      <c r="AE34" s="25">
        <v>811</v>
      </c>
      <c r="AF34" s="25">
        <v>218</v>
      </c>
      <c r="AG34" s="25">
        <v>492</v>
      </c>
      <c r="AH34" s="25">
        <v>235</v>
      </c>
      <c r="AI34" s="25">
        <v>1157</v>
      </c>
      <c r="AJ34" s="25">
        <v>276</v>
      </c>
      <c r="AK34" s="25">
        <v>387</v>
      </c>
      <c r="AL34" s="25">
        <v>153</v>
      </c>
      <c r="AM34" s="25">
        <v>146</v>
      </c>
      <c r="AN34" s="25">
        <v>92</v>
      </c>
      <c r="AO34" s="25">
        <v>433</v>
      </c>
      <c r="AP34" s="25">
        <v>147</v>
      </c>
      <c r="AQ34" s="25">
        <v>0</v>
      </c>
      <c r="AR34" s="25">
        <v>21</v>
      </c>
      <c r="AS34" s="25">
        <v>1185</v>
      </c>
      <c r="AT34" s="25">
        <v>286</v>
      </c>
      <c r="AU34" s="25">
        <v>904</v>
      </c>
      <c r="AV34" s="25">
        <v>245</v>
      </c>
      <c r="AW34" s="25">
        <v>772</v>
      </c>
      <c r="AX34" s="25">
        <v>225</v>
      </c>
      <c r="AY34" s="25">
        <v>132</v>
      </c>
      <c r="AZ34" s="25">
        <v>93</v>
      </c>
      <c r="BA34" s="25">
        <v>51</v>
      </c>
      <c r="BB34" s="25">
        <v>42</v>
      </c>
      <c r="BC34" s="25">
        <v>57</v>
      </c>
      <c r="BD34" s="25">
        <v>46</v>
      </c>
      <c r="BE34" s="25">
        <v>71</v>
      </c>
      <c r="BF34" s="25">
        <v>45</v>
      </c>
      <c r="BG34" s="25">
        <v>24</v>
      </c>
      <c r="BH34" s="25">
        <v>30</v>
      </c>
      <c r="BI34" s="25">
        <v>72</v>
      </c>
      <c r="BJ34" s="25">
        <v>66</v>
      </c>
      <c r="BK34" s="25">
        <v>6</v>
      </c>
      <c r="BL34" s="25">
        <v>10</v>
      </c>
      <c r="BM34" s="25">
        <v>43</v>
      </c>
      <c r="BN34" s="25">
        <v>47</v>
      </c>
      <c r="BO34" s="25">
        <v>38</v>
      </c>
      <c r="BP34" s="25">
        <v>47</v>
      </c>
      <c r="BQ34" s="25">
        <v>38</v>
      </c>
      <c r="BR34" s="25">
        <v>47</v>
      </c>
      <c r="BS34" s="25">
        <v>0</v>
      </c>
      <c r="BT34" s="25">
        <v>21</v>
      </c>
      <c r="BU34" s="25">
        <v>0</v>
      </c>
      <c r="BV34" s="25">
        <v>21</v>
      </c>
      <c r="BW34" s="25">
        <v>0</v>
      </c>
      <c r="BX34" s="25">
        <v>21</v>
      </c>
      <c r="BY34" s="25">
        <v>0</v>
      </c>
      <c r="BZ34" s="25">
        <v>21</v>
      </c>
      <c r="CA34" s="25">
        <v>0</v>
      </c>
      <c r="CB34" s="25">
        <v>21</v>
      </c>
      <c r="CC34" s="25">
        <v>5</v>
      </c>
      <c r="CD34" s="25">
        <v>11</v>
      </c>
      <c r="CE34" s="25">
        <v>0</v>
      </c>
      <c r="CF34" s="25">
        <v>21</v>
      </c>
      <c r="CG34" s="25">
        <v>218</v>
      </c>
      <c r="CH34" s="25">
        <v>108</v>
      </c>
      <c r="CI34" s="25">
        <v>167</v>
      </c>
      <c r="CJ34" s="25">
        <v>102</v>
      </c>
      <c r="CK34" s="25">
        <v>165</v>
      </c>
      <c r="CL34" s="25">
        <v>102</v>
      </c>
      <c r="CM34" s="25">
        <v>2</v>
      </c>
      <c r="CN34" s="25">
        <v>4</v>
      </c>
      <c r="CO34" s="25">
        <v>15</v>
      </c>
      <c r="CP34" s="25">
        <v>26</v>
      </c>
      <c r="CQ34" s="25">
        <v>0</v>
      </c>
      <c r="CR34" s="25">
        <v>21</v>
      </c>
      <c r="CS34" s="25">
        <v>14</v>
      </c>
      <c r="CT34" s="25">
        <v>22</v>
      </c>
      <c r="CU34" s="25">
        <v>0</v>
      </c>
      <c r="CV34" s="25">
        <v>21</v>
      </c>
      <c r="CW34" s="25">
        <v>22</v>
      </c>
      <c r="CX34" s="25">
        <v>24</v>
      </c>
      <c r="CY34" s="25">
        <v>0</v>
      </c>
      <c r="CZ34" s="25">
        <v>21</v>
      </c>
      <c r="DA34" s="25">
        <v>292</v>
      </c>
      <c r="DB34" s="25">
        <v>100</v>
      </c>
      <c r="DC34" s="25">
        <v>221</v>
      </c>
      <c r="DD34" s="25">
        <v>92</v>
      </c>
      <c r="DE34" s="25">
        <v>209</v>
      </c>
      <c r="DF34" s="25">
        <v>92</v>
      </c>
      <c r="DG34" s="25">
        <v>12</v>
      </c>
      <c r="DH34" s="25">
        <v>14</v>
      </c>
      <c r="DI34" s="25">
        <v>12</v>
      </c>
      <c r="DJ34" s="25">
        <v>18</v>
      </c>
      <c r="DK34" s="25">
        <v>44</v>
      </c>
      <c r="DL34" s="25">
        <v>46</v>
      </c>
      <c r="DM34" s="25">
        <v>0</v>
      </c>
      <c r="DN34" s="25">
        <v>21</v>
      </c>
      <c r="DO34" s="25">
        <v>0</v>
      </c>
      <c r="DP34" s="25">
        <v>21</v>
      </c>
      <c r="DQ34" s="25">
        <v>9</v>
      </c>
      <c r="DR34" s="25">
        <v>15</v>
      </c>
      <c r="DS34" s="25">
        <v>6</v>
      </c>
      <c r="DT34" s="25">
        <v>11</v>
      </c>
      <c r="DU34" s="25">
        <v>862</v>
      </c>
      <c r="DV34" s="25">
        <v>207</v>
      </c>
      <c r="DW34" s="25">
        <v>543</v>
      </c>
      <c r="DX34" s="25">
        <v>171</v>
      </c>
      <c r="DY34" s="25">
        <v>300</v>
      </c>
      <c r="DZ34" s="25">
        <v>108</v>
      </c>
      <c r="EA34" s="25">
        <v>243</v>
      </c>
      <c r="EB34" s="25">
        <v>120</v>
      </c>
      <c r="EC34" s="25">
        <v>22</v>
      </c>
      <c r="ED34" s="25">
        <v>25</v>
      </c>
      <c r="EE34" s="25">
        <v>30</v>
      </c>
      <c r="EF34" s="25">
        <v>34</v>
      </c>
      <c r="EG34" s="25">
        <v>0</v>
      </c>
      <c r="EH34" s="25">
        <v>21</v>
      </c>
      <c r="EI34" s="25">
        <v>67</v>
      </c>
      <c r="EJ34" s="25">
        <v>78</v>
      </c>
      <c r="EK34" s="25">
        <v>194</v>
      </c>
      <c r="EL34" s="25">
        <v>94</v>
      </c>
      <c r="EM34" s="25">
        <v>6</v>
      </c>
      <c r="EN34" s="25">
        <v>7</v>
      </c>
    </row>
    <row r="35" spans="1:144" x14ac:dyDescent="0.25">
      <c r="A35" s="19">
        <f t="shared" si="8"/>
        <v>53</v>
      </c>
      <c r="B35" s="20" t="str">
        <f t="shared" si="9"/>
        <v>Washington</v>
      </c>
      <c r="C35" s="24" t="s">
        <v>340</v>
      </c>
      <c r="D35" s="24" t="s">
        <v>341</v>
      </c>
      <c r="E35" s="25">
        <v>54169</v>
      </c>
      <c r="F35" s="25">
        <v>991</v>
      </c>
      <c r="G35" s="25">
        <v>40119</v>
      </c>
      <c r="H35" s="25">
        <v>1112</v>
      </c>
      <c r="I35" s="25">
        <v>36975</v>
      </c>
      <c r="J35" s="25">
        <v>1136</v>
      </c>
      <c r="K35" s="25">
        <v>3144</v>
      </c>
      <c r="L35" s="25">
        <v>381</v>
      </c>
      <c r="M35" s="25">
        <v>3745</v>
      </c>
      <c r="N35" s="25">
        <v>471</v>
      </c>
      <c r="O35" s="25">
        <v>4094</v>
      </c>
      <c r="P35" s="25">
        <v>541</v>
      </c>
      <c r="Q35" s="25">
        <v>2516</v>
      </c>
      <c r="R35" s="25">
        <v>405</v>
      </c>
      <c r="S35" s="25">
        <v>898</v>
      </c>
      <c r="T35" s="25">
        <v>246</v>
      </c>
      <c r="U35" s="25">
        <v>2726</v>
      </c>
      <c r="V35" s="25">
        <v>387</v>
      </c>
      <c r="W35" s="25">
        <v>71</v>
      </c>
      <c r="X35" s="25">
        <v>51</v>
      </c>
      <c r="Y35" s="25">
        <v>42842</v>
      </c>
      <c r="Z35" s="25">
        <v>1124</v>
      </c>
      <c r="AA35" s="25">
        <v>31919</v>
      </c>
      <c r="AB35" s="25">
        <v>1032</v>
      </c>
      <c r="AC35" s="25">
        <v>29815</v>
      </c>
      <c r="AD35" s="25">
        <v>1069</v>
      </c>
      <c r="AE35" s="25">
        <v>2104</v>
      </c>
      <c r="AF35" s="25">
        <v>334</v>
      </c>
      <c r="AG35" s="25">
        <v>3228</v>
      </c>
      <c r="AH35" s="25">
        <v>421</v>
      </c>
      <c r="AI35" s="25">
        <v>3450</v>
      </c>
      <c r="AJ35" s="25">
        <v>485</v>
      </c>
      <c r="AK35" s="25">
        <v>2031</v>
      </c>
      <c r="AL35" s="25">
        <v>356</v>
      </c>
      <c r="AM35" s="25">
        <v>570</v>
      </c>
      <c r="AN35" s="25">
        <v>192</v>
      </c>
      <c r="AO35" s="25">
        <v>1604</v>
      </c>
      <c r="AP35" s="25">
        <v>319</v>
      </c>
      <c r="AQ35" s="25">
        <v>40</v>
      </c>
      <c r="AR35" s="25">
        <v>38</v>
      </c>
      <c r="AS35" s="25">
        <v>5981</v>
      </c>
      <c r="AT35" s="25">
        <v>604</v>
      </c>
      <c r="AU35" s="25">
        <v>4554</v>
      </c>
      <c r="AV35" s="25">
        <v>589</v>
      </c>
      <c r="AW35" s="25">
        <v>4342</v>
      </c>
      <c r="AX35" s="25">
        <v>565</v>
      </c>
      <c r="AY35" s="25">
        <v>212</v>
      </c>
      <c r="AZ35" s="25">
        <v>89</v>
      </c>
      <c r="BA35" s="25">
        <v>249</v>
      </c>
      <c r="BB35" s="25">
        <v>97</v>
      </c>
      <c r="BC35" s="25">
        <v>454</v>
      </c>
      <c r="BD35" s="25">
        <v>186</v>
      </c>
      <c r="BE35" s="25">
        <v>325</v>
      </c>
      <c r="BF35" s="25">
        <v>149</v>
      </c>
      <c r="BG35" s="25">
        <v>197</v>
      </c>
      <c r="BH35" s="25">
        <v>142</v>
      </c>
      <c r="BI35" s="25">
        <v>187</v>
      </c>
      <c r="BJ35" s="25">
        <v>83</v>
      </c>
      <c r="BK35" s="25">
        <v>15</v>
      </c>
      <c r="BL35" s="25">
        <v>22</v>
      </c>
      <c r="BM35" s="25">
        <v>181</v>
      </c>
      <c r="BN35" s="25">
        <v>99</v>
      </c>
      <c r="BO35" s="25">
        <v>98</v>
      </c>
      <c r="BP35" s="25">
        <v>69</v>
      </c>
      <c r="BQ35" s="25">
        <v>98</v>
      </c>
      <c r="BR35" s="25">
        <v>69</v>
      </c>
      <c r="BS35" s="25">
        <v>0</v>
      </c>
      <c r="BT35" s="25">
        <v>27</v>
      </c>
      <c r="BU35" s="25">
        <v>39</v>
      </c>
      <c r="BV35" s="25">
        <v>50</v>
      </c>
      <c r="BW35" s="25">
        <v>22</v>
      </c>
      <c r="BX35" s="25">
        <v>24</v>
      </c>
      <c r="BY35" s="25">
        <v>0</v>
      </c>
      <c r="BZ35" s="25">
        <v>27</v>
      </c>
      <c r="CA35" s="25">
        <v>0</v>
      </c>
      <c r="CB35" s="25">
        <v>27</v>
      </c>
      <c r="CC35" s="25">
        <v>22</v>
      </c>
      <c r="CD35" s="25">
        <v>28</v>
      </c>
      <c r="CE35" s="25">
        <v>0</v>
      </c>
      <c r="CF35" s="25">
        <v>27</v>
      </c>
      <c r="CG35" s="25">
        <v>1457</v>
      </c>
      <c r="CH35" s="25">
        <v>352</v>
      </c>
      <c r="CI35" s="25">
        <v>1108</v>
      </c>
      <c r="CJ35" s="25">
        <v>305</v>
      </c>
      <c r="CK35" s="25">
        <v>932</v>
      </c>
      <c r="CL35" s="25">
        <v>261</v>
      </c>
      <c r="CM35" s="25">
        <v>176</v>
      </c>
      <c r="CN35" s="25">
        <v>124</v>
      </c>
      <c r="CO35" s="25">
        <v>64</v>
      </c>
      <c r="CP35" s="25">
        <v>88</v>
      </c>
      <c r="CQ35" s="25">
        <v>16</v>
      </c>
      <c r="CR35" s="25">
        <v>20</v>
      </c>
      <c r="CS35" s="25">
        <v>32</v>
      </c>
      <c r="CT35" s="25">
        <v>28</v>
      </c>
      <c r="CU35" s="25">
        <v>61</v>
      </c>
      <c r="CV35" s="25">
        <v>72</v>
      </c>
      <c r="CW35" s="25">
        <v>176</v>
      </c>
      <c r="CX35" s="25">
        <v>86</v>
      </c>
      <c r="CY35" s="25">
        <v>0</v>
      </c>
      <c r="CZ35" s="25">
        <v>27</v>
      </c>
      <c r="DA35" s="25">
        <v>1126</v>
      </c>
      <c r="DB35" s="25">
        <v>234</v>
      </c>
      <c r="DC35" s="25">
        <v>770</v>
      </c>
      <c r="DD35" s="25">
        <v>193</v>
      </c>
      <c r="DE35" s="25">
        <v>722</v>
      </c>
      <c r="DF35" s="25">
        <v>185</v>
      </c>
      <c r="DG35" s="25">
        <v>48</v>
      </c>
      <c r="DH35" s="25">
        <v>61</v>
      </c>
      <c r="DI35" s="25">
        <v>94</v>
      </c>
      <c r="DJ35" s="25">
        <v>60</v>
      </c>
      <c r="DK35" s="25">
        <v>78</v>
      </c>
      <c r="DL35" s="25">
        <v>50</v>
      </c>
      <c r="DM35" s="25">
        <v>96</v>
      </c>
      <c r="DN35" s="25">
        <v>95</v>
      </c>
      <c r="DO35" s="25">
        <v>14</v>
      </c>
      <c r="DP35" s="25">
        <v>17</v>
      </c>
      <c r="DQ35" s="25">
        <v>74</v>
      </c>
      <c r="DR35" s="25">
        <v>80</v>
      </c>
      <c r="DS35" s="25">
        <v>0</v>
      </c>
      <c r="DT35" s="25">
        <v>27</v>
      </c>
      <c r="DU35" s="25">
        <v>2582</v>
      </c>
      <c r="DV35" s="25">
        <v>384</v>
      </c>
      <c r="DW35" s="25">
        <v>1670</v>
      </c>
      <c r="DX35" s="25">
        <v>320</v>
      </c>
      <c r="DY35" s="25">
        <v>1066</v>
      </c>
      <c r="DZ35" s="25">
        <v>223</v>
      </c>
      <c r="EA35" s="25">
        <v>604</v>
      </c>
      <c r="EB35" s="25">
        <v>237</v>
      </c>
      <c r="EC35" s="25">
        <v>71</v>
      </c>
      <c r="ED35" s="25">
        <v>57</v>
      </c>
      <c r="EE35" s="25">
        <v>74</v>
      </c>
      <c r="EF35" s="25">
        <v>57</v>
      </c>
      <c r="EG35" s="25">
        <v>32</v>
      </c>
      <c r="EH35" s="25">
        <v>37</v>
      </c>
      <c r="EI35" s="25">
        <v>56</v>
      </c>
      <c r="EJ35" s="25">
        <v>49</v>
      </c>
      <c r="EK35" s="25">
        <v>663</v>
      </c>
      <c r="EL35" s="25">
        <v>200</v>
      </c>
      <c r="EM35" s="25">
        <v>16</v>
      </c>
      <c r="EN35" s="25">
        <v>26</v>
      </c>
    </row>
    <row r="36" spans="1:144" x14ac:dyDescent="0.25">
      <c r="A36" s="19">
        <f t="shared" si="8"/>
        <v>55</v>
      </c>
      <c r="B36" s="20" t="str">
        <f t="shared" si="9"/>
        <v>Wayne</v>
      </c>
      <c r="C36" s="24" t="s">
        <v>342</v>
      </c>
      <c r="D36" s="24" t="s">
        <v>343</v>
      </c>
      <c r="E36" s="25">
        <v>1259</v>
      </c>
      <c r="F36" s="25">
        <v>80</v>
      </c>
      <c r="G36" s="25">
        <v>820</v>
      </c>
      <c r="H36" s="25">
        <v>92</v>
      </c>
      <c r="I36" s="25">
        <v>628</v>
      </c>
      <c r="J36" s="25">
        <v>84</v>
      </c>
      <c r="K36" s="25">
        <v>192</v>
      </c>
      <c r="L36" s="25">
        <v>69</v>
      </c>
      <c r="M36" s="25">
        <v>45</v>
      </c>
      <c r="N36" s="25">
        <v>27</v>
      </c>
      <c r="O36" s="25">
        <v>98</v>
      </c>
      <c r="P36" s="25">
        <v>45</v>
      </c>
      <c r="Q36" s="25">
        <v>84</v>
      </c>
      <c r="R36" s="25">
        <v>50</v>
      </c>
      <c r="S36" s="25">
        <v>95</v>
      </c>
      <c r="T36" s="25">
        <v>47</v>
      </c>
      <c r="U36" s="25">
        <v>115</v>
      </c>
      <c r="V36" s="25">
        <v>39</v>
      </c>
      <c r="W36" s="25">
        <v>2</v>
      </c>
      <c r="X36" s="25">
        <v>3</v>
      </c>
      <c r="Y36" s="25">
        <v>851</v>
      </c>
      <c r="Z36" s="25">
        <v>78</v>
      </c>
      <c r="AA36" s="25">
        <v>580</v>
      </c>
      <c r="AB36" s="25">
        <v>88</v>
      </c>
      <c r="AC36" s="25">
        <v>511</v>
      </c>
      <c r="AD36" s="25">
        <v>85</v>
      </c>
      <c r="AE36" s="25">
        <v>69</v>
      </c>
      <c r="AF36" s="25">
        <v>26</v>
      </c>
      <c r="AG36" s="25">
        <v>35</v>
      </c>
      <c r="AH36" s="25">
        <v>23</v>
      </c>
      <c r="AI36" s="25">
        <v>92</v>
      </c>
      <c r="AJ36" s="25">
        <v>44</v>
      </c>
      <c r="AK36" s="25">
        <v>36</v>
      </c>
      <c r="AL36" s="25">
        <v>21</v>
      </c>
      <c r="AM36" s="25">
        <v>51</v>
      </c>
      <c r="AN36" s="25">
        <v>25</v>
      </c>
      <c r="AO36" s="25">
        <v>57</v>
      </c>
      <c r="AP36" s="25">
        <v>29</v>
      </c>
      <c r="AQ36" s="25">
        <v>0</v>
      </c>
      <c r="AR36" s="25">
        <v>11</v>
      </c>
      <c r="AS36" s="25">
        <v>203</v>
      </c>
      <c r="AT36" s="25">
        <v>58</v>
      </c>
      <c r="AU36" s="25">
        <v>145</v>
      </c>
      <c r="AV36" s="25">
        <v>51</v>
      </c>
      <c r="AW36" s="25">
        <v>98</v>
      </c>
      <c r="AX36" s="25">
        <v>36</v>
      </c>
      <c r="AY36" s="25">
        <v>47</v>
      </c>
      <c r="AZ36" s="25">
        <v>35</v>
      </c>
      <c r="BA36" s="25">
        <v>9</v>
      </c>
      <c r="BB36" s="25">
        <v>14</v>
      </c>
      <c r="BC36" s="25">
        <v>2</v>
      </c>
      <c r="BD36" s="25">
        <v>4</v>
      </c>
      <c r="BE36" s="25">
        <v>4</v>
      </c>
      <c r="BF36" s="25">
        <v>4</v>
      </c>
      <c r="BG36" s="25">
        <v>31</v>
      </c>
      <c r="BH36" s="25">
        <v>27</v>
      </c>
      <c r="BI36" s="25">
        <v>12</v>
      </c>
      <c r="BJ36" s="25">
        <v>13</v>
      </c>
      <c r="BK36" s="25">
        <v>0</v>
      </c>
      <c r="BL36" s="25">
        <v>11</v>
      </c>
      <c r="BM36" s="25">
        <v>16</v>
      </c>
      <c r="BN36" s="25">
        <v>20</v>
      </c>
      <c r="BO36" s="25">
        <v>14</v>
      </c>
      <c r="BP36" s="25">
        <v>19</v>
      </c>
      <c r="BQ36" s="25">
        <v>0</v>
      </c>
      <c r="BR36" s="25">
        <v>11</v>
      </c>
      <c r="BS36" s="25">
        <v>14</v>
      </c>
      <c r="BT36" s="25">
        <v>19</v>
      </c>
      <c r="BU36" s="25">
        <v>0</v>
      </c>
      <c r="BV36" s="25">
        <v>11</v>
      </c>
      <c r="BW36" s="25">
        <v>0</v>
      </c>
      <c r="BX36" s="25">
        <v>11</v>
      </c>
      <c r="BY36" s="25">
        <v>0</v>
      </c>
      <c r="BZ36" s="25">
        <v>11</v>
      </c>
      <c r="CA36" s="25">
        <v>2</v>
      </c>
      <c r="CB36" s="25">
        <v>3</v>
      </c>
      <c r="CC36" s="25">
        <v>0</v>
      </c>
      <c r="CD36" s="25">
        <v>11</v>
      </c>
      <c r="CE36" s="25">
        <v>0</v>
      </c>
      <c r="CF36" s="25">
        <v>11</v>
      </c>
      <c r="CG36" s="25">
        <v>91</v>
      </c>
      <c r="CH36" s="25">
        <v>54</v>
      </c>
      <c r="CI36" s="25">
        <v>66</v>
      </c>
      <c r="CJ36" s="25">
        <v>51</v>
      </c>
      <c r="CK36" s="25">
        <v>11</v>
      </c>
      <c r="CL36" s="25">
        <v>12</v>
      </c>
      <c r="CM36" s="25">
        <v>55</v>
      </c>
      <c r="CN36" s="25">
        <v>49</v>
      </c>
      <c r="CO36" s="25">
        <v>1</v>
      </c>
      <c r="CP36" s="25">
        <v>3</v>
      </c>
      <c r="CQ36" s="25">
        <v>4</v>
      </c>
      <c r="CR36" s="25">
        <v>7</v>
      </c>
      <c r="CS36" s="25">
        <v>6</v>
      </c>
      <c r="CT36" s="25">
        <v>7</v>
      </c>
      <c r="CU36" s="25">
        <v>8</v>
      </c>
      <c r="CV36" s="25">
        <v>7</v>
      </c>
      <c r="CW36" s="25">
        <v>4</v>
      </c>
      <c r="CX36" s="25">
        <v>12</v>
      </c>
      <c r="CY36" s="25">
        <v>2</v>
      </c>
      <c r="CZ36" s="25">
        <v>3</v>
      </c>
      <c r="DA36" s="25">
        <v>0</v>
      </c>
      <c r="DB36" s="25">
        <v>11</v>
      </c>
      <c r="DC36" s="25">
        <v>0</v>
      </c>
      <c r="DD36" s="25">
        <v>11</v>
      </c>
      <c r="DE36" s="25">
        <v>0</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98</v>
      </c>
      <c r="DV36" s="25">
        <v>55</v>
      </c>
      <c r="DW36" s="25">
        <v>15</v>
      </c>
      <c r="DX36" s="25">
        <v>14</v>
      </c>
      <c r="DY36" s="25">
        <v>8</v>
      </c>
      <c r="DZ36" s="25">
        <v>9</v>
      </c>
      <c r="EA36" s="25">
        <v>7</v>
      </c>
      <c r="EB36" s="25">
        <v>9</v>
      </c>
      <c r="EC36" s="25">
        <v>0</v>
      </c>
      <c r="ED36" s="25">
        <v>11</v>
      </c>
      <c r="EE36" s="25">
        <v>0</v>
      </c>
      <c r="EF36" s="25">
        <v>11</v>
      </c>
      <c r="EG36" s="25">
        <v>38</v>
      </c>
      <c r="EH36" s="25">
        <v>48</v>
      </c>
      <c r="EI36" s="25">
        <v>3</v>
      </c>
      <c r="EJ36" s="25">
        <v>4</v>
      </c>
      <c r="EK36" s="25">
        <v>42</v>
      </c>
      <c r="EL36" s="25">
        <v>29</v>
      </c>
      <c r="EM36" s="25">
        <v>0</v>
      </c>
      <c r="EN36" s="25">
        <v>11</v>
      </c>
    </row>
    <row r="37" spans="1:144" x14ac:dyDescent="0.25">
      <c r="A37" s="19">
        <f t="shared" si="8"/>
        <v>57</v>
      </c>
      <c r="B37" s="20" t="str">
        <f t="shared" si="9"/>
        <v>Weber</v>
      </c>
      <c r="C37" s="24" t="s">
        <v>344</v>
      </c>
      <c r="D37" s="24" t="s">
        <v>345</v>
      </c>
      <c r="E37" s="25">
        <v>107214</v>
      </c>
      <c r="F37" s="25">
        <v>1462</v>
      </c>
      <c r="G37" s="25">
        <v>75238</v>
      </c>
      <c r="H37" s="25">
        <v>1512</v>
      </c>
      <c r="I37" s="25">
        <v>71221</v>
      </c>
      <c r="J37" s="25">
        <v>1507</v>
      </c>
      <c r="K37" s="25">
        <v>4017</v>
      </c>
      <c r="L37" s="25">
        <v>394</v>
      </c>
      <c r="M37" s="25">
        <v>5941</v>
      </c>
      <c r="N37" s="25">
        <v>429</v>
      </c>
      <c r="O37" s="25">
        <v>6499</v>
      </c>
      <c r="P37" s="25">
        <v>517</v>
      </c>
      <c r="Q37" s="25">
        <v>4793</v>
      </c>
      <c r="R37" s="25">
        <v>469</v>
      </c>
      <c r="S37" s="25">
        <v>10610</v>
      </c>
      <c r="T37" s="25">
        <v>695</v>
      </c>
      <c r="U37" s="25">
        <v>4037</v>
      </c>
      <c r="V37" s="25">
        <v>398</v>
      </c>
      <c r="W37" s="25">
        <v>96</v>
      </c>
      <c r="X37" s="25">
        <v>75</v>
      </c>
      <c r="Y37" s="25">
        <v>84218</v>
      </c>
      <c r="Z37" s="25">
        <v>1553</v>
      </c>
      <c r="AA37" s="25">
        <v>58971</v>
      </c>
      <c r="AB37" s="25">
        <v>1486</v>
      </c>
      <c r="AC37" s="25">
        <v>56249</v>
      </c>
      <c r="AD37" s="25">
        <v>1427</v>
      </c>
      <c r="AE37" s="25">
        <v>2722</v>
      </c>
      <c r="AF37" s="25">
        <v>317</v>
      </c>
      <c r="AG37" s="25">
        <v>4747</v>
      </c>
      <c r="AH37" s="25">
        <v>445</v>
      </c>
      <c r="AI37" s="25">
        <v>5402</v>
      </c>
      <c r="AJ37" s="25">
        <v>457</v>
      </c>
      <c r="AK37" s="25">
        <v>3657</v>
      </c>
      <c r="AL37" s="25">
        <v>404</v>
      </c>
      <c r="AM37" s="25">
        <v>8988</v>
      </c>
      <c r="AN37" s="25">
        <v>637</v>
      </c>
      <c r="AO37" s="25">
        <v>2395</v>
      </c>
      <c r="AP37" s="25">
        <v>297</v>
      </c>
      <c r="AQ37" s="25">
        <v>58</v>
      </c>
      <c r="AR37" s="25">
        <v>68</v>
      </c>
      <c r="AS37" s="25">
        <v>13930</v>
      </c>
      <c r="AT37" s="25">
        <v>892</v>
      </c>
      <c r="AU37" s="25">
        <v>10623</v>
      </c>
      <c r="AV37" s="25">
        <v>822</v>
      </c>
      <c r="AW37" s="25">
        <v>10145</v>
      </c>
      <c r="AX37" s="25">
        <v>795</v>
      </c>
      <c r="AY37" s="25">
        <v>478</v>
      </c>
      <c r="AZ37" s="25">
        <v>178</v>
      </c>
      <c r="BA37" s="25">
        <v>584</v>
      </c>
      <c r="BB37" s="25">
        <v>144</v>
      </c>
      <c r="BC37" s="25">
        <v>662</v>
      </c>
      <c r="BD37" s="25">
        <v>173</v>
      </c>
      <c r="BE37" s="25">
        <v>584</v>
      </c>
      <c r="BF37" s="25">
        <v>181</v>
      </c>
      <c r="BG37" s="25">
        <v>1179</v>
      </c>
      <c r="BH37" s="25">
        <v>278</v>
      </c>
      <c r="BI37" s="25">
        <v>276</v>
      </c>
      <c r="BJ37" s="25">
        <v>96</v>
      </c>
      <c r="BK37" s="25">
        <v>22</v>
      </c>
      <c r="BL37" s="25">
        <v>20</v>
      </c>
      <c r="BM37" s="25">
        <v>1999</v>
      </c>
      <c r="BN37" s="25">
        <v>307</v>
      </c>
      <c r="BO37" s="25">
        <v>1295</v>
      </c>
      <c r="BP37" s="25">
        <v>247</v>
      </c>
      <c r="BQ37" s="25">
        <v>1281</v>
      </c>
      <c r="BR37" s="25">
        <v>247</v>
      </c>
      <c r="BS37" s="25">
        <v>14</v>
      </c>
      <c r="BT37" s="25">
        <v>17</v>
      </c>
      <c r="BU37" s="25">
        <v>252</v>
      </c>
      <c r="BV37" s="25">
        <v>101</v>
      </c>
      <c r="BW37" s="25">
        <v>75</v>
      </c>
      <c r="BX37" s="25">
        <v>49</v>
      </c>
      <c r="BY37" s="25">
        <v>190</v>
      </c>
      <c r="BZ37" s="25">
        <v>80</v>
      </c>
      <c r="CA37" s="25">
        <v>168</v>
      </c>
      <c r="CB37" s="25">
        <v>103</v>
      </c>
      <c r="CC37" s="25">
        <v>19</v>
      </c>
      <c r="CD37" s="25">
        <v>21</v>
      </c>
      <c r="CE37" s="25">
        <v>0</v>
      </c>
      <c r="CF37" s="25">
        <v>27</v>
      </c>
      <c r="CG37" s="25">
        <v>1649</v>
      </c>
      <c r="CH37" s="25">
        <v>284</v>
      </c>
      <c r="CI37" s="25">
        <v>1065</v>
      </c>
      <c r="CJ37" s="25">
        <v>239</v>
      </c>
      <c r="CK37" s="25">
        <v>1018</v>
      </c>
      <c r="CL37" s="25">
        <v>239</v>
      </c>
      <c r="CM37" s="25">
        <v>47</v>
      </c>
      <c r="CN37" s="25">
        <v>35</v>
      </c>
      <c r="CO37" s="25">
        <v>124</v>
      </c>
      <c r="CP37" s="25">
        <v>72</v>
      </c>
      <c r="CQ37" s="25">
        <v>232</v>
      </c>
      <c r="CR37" s="25">
        <v>120</v>
      </c>
      <c r="CS37" s="25">
        <v>123</v>
      </c>
      <c r="CT37" s="25">
        <v>80</v>
      </c>
      <c r="CU37" s="25">
        <v>44</v>
      </c>
      <c r="CV37" s="25">
        <v>47</v>
      </c>
      <c r="CW37" s="25">
        <v>61</v>
      </c>
      <c r="CX37" s="25">
        <v>44</v>
      </c>
      <c r="CY37" s="25">
        <v>0</v>
      </c>
      <c r="CZ37" s="25">
        <v>27</v>
      </c>
      <c r="DA37" s="25">
        <v>1588</v>
      </c>
      <c r="DB37" s="25">
        <v>283</v>
      </c>
      <c r="DC37" s="25">
        <v>1143</v>
      </c>
      <c r="DD37" s="25">
        <v>246</v>
      </c>
      <c r="DE37" s="25">
        <v>1053</v>
      </c>
      <c r="DF37" s="25">
        <v>246</v>
      </c>
      <c r="DG37" s="25">
        <v>90</v>
      </c>
      <c r="DH37" s="25">
        <v>78</v>
      </c>
      <c r="DI37" s="25">
        <v>83</v>
      </c>
      <c r="DJ37" s="25">
        <v>47</v>
      </c>
      <c r="DK37" s="25">
        <v>101</v>
      </c>
      <c r="DL37" s="25">
        <v>60</v>
      </c>
      <c r="DM37" s="25">
        <v>76</v>
      </c>
      <c r="DN37" s="25">
        <v>74</v>
      </c>
      <c r="DO37" s="25">
        <v>85</v>
      </c>
      <c r="DP37" s="25">
        <v>62</v>
      </c>
      <c r="DQ37" s="25">
        <v>100</v>
      </c>
      <c r="DR37" s="25">
        <v>67</v>
      </c>
      <c r="DS37" s="25">
        <v>0</v>
      </c>
      <c r="DT37" s="25">
        <v>27</v>
      </c>
      <c r="DU37" s="25">
        <v>3830</v>
      </c>
      <c r="DV37" s="25">
        <v>398</v>
      </c>
      <c r="DW37" s="25">
        <v>2141</v>
      </c>
      <c r="DX37" s="25">
        <v>274</v>
      </c>
      <c r="DY37" s="25">
        <v>1475</v>
      </c>
      <c r="DZ37" s="25">
        <v>233</v>
      </c>
      <c r="EA37" s="25">
        <v>666</v>
      </c>
      <c r="EB37" s="25">
        <v>160</v>
      </c>
      <c r="EC37" s="25">
        <v>151</v>
      </c>
      <c r="ED37" s="25">
        <v>73</v>
      </c>
      <c r="EE37" s="25">
        <v>27</v>
      </c>
      <c r="EF37" s="25">
        <v>24</v>
      </c>
      <c r="EG37" s="25">
        <v>163</v>
      </c>
      <c r="EH37" s="25">
        <v>69</v>
      </c>
      <c r="EI37" s="25">
        <v>146</v>
      </c>
      <c r="EJ37" s="25">
        <v>71</v>
      </c>
      <c r="EK37" s="25">
        <v>1186</v>
      </c>
      <c r="EL37" s="25">
        <v>224</v>
      </c>
      <c r="EM37" s="25">
        <v>16</v>
      </c>
      <c r="EN37" s="25">
        <v>19</v>
      </c>
    </row>
    <row r="39" spans="1:144" x14ac:dyDescent="0.25">
      <c r="A39" s="19">
        <f>VLOOKUP($C39, lu_GEOID, 2, FALSE)</f>
        <v>101</v>
      </c>
      <c r="B39" s="20" t="str">
        <f>VLOOKUP($C39, lu_GEOID, 3, FALSE)</f>
        <v>Wasatch Front</v>
      </c>
      <c r="C39" s="17" t="s">
        <v>401</v>
      </c>
      <c r="D39" s="21" t="str">
        <f>B39</f>
        <v>Wasatch Front</v>
      </c>
      <c r="E39" s="22">
        <f>E14 + E26 + E33 + E37</f>
        <v>991634</v>
      </c>
      <c r="F39" s="22">
        <f t="shared" ref="F39:BQ39" si="10">F14 + F26 + F33 + F37</f>
        <v>7082</v>
      </c>
      <c r="G39" s="22">
        <f t="shared" si="10"/>
        <v>720302</v>
      </c>
      <c r="H39" s="22">
        <f t="shared" si="10"/>
        <v>7965</v>
      </c>
      <c r="I39" s="22">
        <f t="shared" si="10"/>
        <v>682711</v>
      </c>
      <c r="J39" s="22">
        <f t="shared" si="10"/>
        <v>8156</v>
      </c>
      <c r="K39" s="22">
        <f t="shared" si="10"/>
        <v>37591</v>
      </c>
      <c r="L39" s="22">
        <f t="shared" si="10"/>
        <v>2325</v>
      </c>
      <c r="M39" s="22">
        <f t="shared" si="10"/>
        <v>75230</v>
      </c>
      <c r="N39" s="22">
        <f t="shared" si="10"/>
        <v>3444</v>
      </c>
      <c r="O39" s="22">
        <f t="shared" si="10"/>
        <v>57224</v>
      </c>
      <c r="P39" s="22">
        <f t="shared" si="10"/>
        <v>2956</v>
      </c>
      <c r="Q39" s="22">
        <f t="shared" si="10"/>
        <v>55582</v>
      </c>
      <c r="R39" s="22">
        <f t="shared" si="10"/>
        <v>2990</v>
      </c>
      <c r="S39" s="22">
        <f t="shared" si="10"/>
        <v>38447</v>
      </c>
      <c r="T39" s="22">
        <f t="shared" si="10"/>
        <v>2612</v>
      </c>
      <c r="U39" s="22">
        <f t="shared" si="10"/>
        <v>43720</v>
      </c>
      <c r="V39" s="22">
        <f t="shared" si="10"/>
        <v>2531</v>
      </c>
      <c r="W39" s="22">
        <f t="shared" si="10"/>
        <v>1129</v>
      </c>
      <c r="X39" s="22">
        <f t="shared" si="10"/>
        <v>383</v>
      </c>
      <c r="Y39" s="22">
        <f t="shared" si="10"/>
        <v>755886</v>
      </c>
      <c r="Z39" s="22">
        <f t="shared" si="10"/>
        <v>8193</v>
      </c>
      <c r="AA39" s="22">
        <f t="shared" si="10"/>
        <v>557591</v>
      </c>
      <c r="AB39" s="22">
        <f t="shared" si="10"/>
        <v>7520</v>
      </c>
      <c r="AC39" s="22">
        <f t="shared" si="10"/>
        <v>532298</v>
      </c>
      <c r="AD39" s="22">
        <f t="shared" si="10"/>
        <v>7633</v>
      </c>
      <c r="AE39" s="22">
        <f t="shared" si="10"/>
        <v>25293</v>
      </c>
      <c r="AF39" s="22">
        <f t="shared" si="10"/>
        <v>1966</v>
      </c>
      <c r="AG39" s="22">
        <f t="shared" si="10"/>
        <v>53749</v>
      </c>
      <c r="AH39" s="22">
        <f t="shared" si="10"/>
        <v>2928</v>
      </c>
      <c r="AI39" s="22">
        <f t="shared" si="10"/>
        <v>47124</v>
      </c>
      <c r="AJ39" s="22">
        <f t="shared" si="10"/>
        <v>2650</v>
      </c>
      <c r="AK39" s="22">
        <f t="shared" si="10"/>
        <v>42203</v>
      </c>
      <c r="AL39" s="22">
        <f t="shared" si="10"/>
        <v>2595</v>
      </c>
      <c r="AM39" s="22">
        <f t="shared" si="10"/>
        <v>31757</v>
      </c>
      <c r="AN39" s="22">
        <f t="shared" si="10"/>
        <v>2344</v>
      </c>
      <c r="AO39" s="22">
        <f t="shared" si="10"/>
        <v>22870</v>
      </c>
      <c r="AP39" s="22">
        <f t="shared" si="10"/>
        <v>1814</v>
      </c>
      <c r="AQ39" s="22">
        <f t="shared" si="10"/>
        <v>592</v>
      </c>
      <c r="AR39" s="22">
        <f t="shared" si="10"/>
        <v>267</v>
      </c>
      <c r="AS39" s="22">
        <f t="shared" si="10"/>
        <v>116991</v>
      </c>
      <c r="AT39" s="22">
        <f t="shared" si="10"/>
        <v>5063</v>
      </c>
      <c r="AU39" s="22">
        <f t="shared" si="10"/>
        <v>88539</v>
      </c>
      <c r="AV39" s="22">
        <f t="shared" si="10"/>
        <v>4457</v>
      </c>
      <c r="AW39" s="22">
        <f t="shared" si="10"/>
        <v>84925</v>
      </c>
      <c r="AX39" s="22">
        <f t="shared" si="10"/>
        <v>4311</v>
      </c>
      <c r="AY39" s="22">
        <f t="shared" si="10"/>
        <v>3614</v>
      </c>
      <c r="AZ39" s="22">
        <f t="shared" si="10"/>
        <v>800</v>
      </c>
      <c r="BA39" s="22">
        <f t="shared" si="10"/>
        <v>8402</v>
      </c>
      <c r="BB39" s="22">
        <f t="shared" si="10"/>
        <v>1166</v>
      </c>
      <c r="BC39" s="22">
        <f t="shared" si="10"/>
        <v>5974</v>
      </c>
      <c r="BD39" s="22">
        <f t="shared" si="10"/>
        <v>982</v>
      </c>
      <c r="BE39" s="22">
        <f t="shared" si="10"/>
        <v>5850</v>
      </c>
      <c r="BF39" s="22">
        <f t="shared" si="10"/>
        <v>934</v>
      </c>
      <c r="BG39" s="22">
        <f t="shared" si="10"/>
        <v>4232</v>
      </c>
      <c r="BH39" s="22">
        <f t="shared" si="10"/>
        <v>887</v>
      </c>
      <c r="BI39" s="22">
        <f t="shared" si="10"/>
        <v>3709</v>
      </c>
      <c r="BJ39" s="22">
        <f t="shared" si="10"/>
        <v>800</v>
      </c>
      <c r="BK39" s="22">
        <f t="shared" si="10"/>
        <v>285</v>
      </c>
      <c r="BL39" s="22">
        <f t="shared" si="10"/>
        <v>199</v>
      </c>
      <c r="BM39" s="22">
        <f t="shared" si="10"/>
        <v>27810</v>
      </c>
      <c r="BN39" s="22">
        <f t="shared" si="10"/>
        <v>2223</v>
      </c>
      <c r="BO39" s="22">
        <f t="shared" si="10"/>
        <v>16955</v>
      </c>
      <c r="BP39" s="22">
        <f t="shared" si="10"/>
        <v>1620</v>
      </c>
      <c r="BQ39" s="22">
        <f t="shared" si="10"/>
        <v>16773</v>
      </c>
      <c r="BR39" s="22">
        <f t="shared" ref="BR39:EC39" si="11">BR14 + BR26 + BR33 + BR37</f>
        <v>1613</v>
      </c>
      <c r="BS39" s="22">
        <f t="shared" si="11"/>
        <v>182</v>
      </c>
      <c r="BT39" s="22">
        <f t="shared" si="11"/>
        <v>135</v>
      </c>
      <c r="BU39" s="22">
        <f t="shared" si="11"/>
        <v>4348</v>
      </c>
      <c r="BV39" s="22">
        <f t="shared" si="11"/>
        <v>875</v>
      </c>
      <c r="BW39" s="22">
        <f t="shared" si="11"/>
        <v>1466</v>
      </c>
      <c r="BX39" s="22">
        <f t="shared" si="11"/>
        <v>393</v>
      </c>
      <c r="BY39" s="22">
        <f t="shared" si="11"/>
        <v>3816</v>
      </c>
      <c r="BZ39" s="22">
        <f t="shared" si="11"/>
        <v>666</v>
      </c>
      <c r="CA39" s="22">
        <f t="shared" si="11"/>
        <v>932</v>
      </c>
      <c r="CB39" s="22">
        <f t="shared" si="11"/>
        <v>384</v>
      </c>
      <c r="CC39" s="22">
        <f t="shared" si="11"/>
        <v>293</v>
      </c>
      <c r="CD39" s="22">
        <f t="shared" si="11"/>
        <v>171</v>
      </c>
      <c r="CE39" s="22">
        <f t="shared" si="11"/>
        <v>0</v>
      </c>
      <c r="CF39" s="22">
        <f t="shared" si="11"/>
        <v>108</v>
      </c>
      <c r="CG39" s="22">
        <f t="shared" si="11"/>
        <v>23578</v>
      </c>
      <c r="CH39" s="22">
        <f t="shared" si="11"/>
        <v>2258</v>
      </c>
      <c r="CI39" s="22">
        <f t="shared" si="11"/>
        <v>14622</v>
      </c>
      <c r="CJ39" s="22">
        <f t="shared" si="11"/>
        <v>1759</v>
      </c>
      <c r="CK39" s="22">
        <f t="shared" si="11"/>
        <v>14057</v>
      </c>
      <c r="CL39" s="22">
        <f t="shared" si="11"/>
        <v>1754</v>
      </c>
      <c r="CM39" s="22">
        <f t="shared" si="11"/>
        <v>565</v>
      </c>
      <c r="CN39" s="22">
        <f t="shared" si="11"/>
        <v>234</v>
      </c>
      <c r="CO39" s="22">
        <f t="shared" si="11"/>
        <v>4629</v>
      </c>
      <c r="CP39" s="22">
        <f t="shared" si="11"/>
        <v>791</v>
      </c>
      <c r="CQ39" s="22">
        <f t="shared" si="11"/>
        <v>1130</v>
      </c>
      <c r="CR39" s="22">
        <f t="shared" si="11"/>
        <v>414</v>
      </c>
      <c r="CS39" s="22">
        <f t="shared" si="11"/>
        <v>1599</v>
      </c>
      <c r="CT39" s="22">
        <f t="shared" si="11"/>
        <v>479</v>
      </c>
      <c r="CU39" s="22">
        <f t="shared" si="11"/>
        <v>293</v>
      </c>
      <c r="CV39" s="22">
        <f t="shared" si="11"/>
        <v>201</v>
      </c>
      <c r="CW39" s="22">
        <f t="shared" si="11"/>
        <v>1286</v>
      </c>
      <c r="CX39" s="22">
        <f t="shared" si="11"/>
        <v>448</v>
      </c>
      <c r="CY39" s="22">
        <f t="shared" si="11"/>
        <v>19</v>
      </c>
      <c r="CZ39" s="22">
        <f t="shared" si="11"/>
        <v>85</v>
      </c>
      <c r="DA39" s="22">
        <f t="shared" si="11"/>
        <v>18929</v>
      </c>
      <c r="DB39" s="22">
        <f t="shared" si="11"/>
        <v>1801</v>
      </c>
      <c r="DC39" s="22">
        <f t="shared" si="11"/>
        <v>13444</v>
      </c>
      <c r="DD39" s="22">
        <f t="shared" si="11"/>
        <v>1557</v>
      </c>
      <c r="DE39" s="22">
        <f t="shared" si="11"/>
        <v>12780</v>
      </c>
      <c r="DF39" s="22">
        <f t="shared" si="11"/>
        <v>1542</v>
      </c>
      <c r="DG39" s="22">
        <f t="shared" si="11"/>
        <v>664</v>
      </c>
      <c r="DH39" s="22">
        <f t="shared" si="11"/>
        <v>313</v>
      </c>
      <c r="DI39" s="22">
        <f t="shared" si="11"/>
        <v>1989</v>
      </c>
      <c r="DJ39" s="22">
        <f t="shared" si="11"/>
        <v>462</v>
      </c>
      <c r="DK39" s="22">
        <f t="shared" si="11"/>
        <v>963</v>
      </c>
      <c r="DL39" s="22">
        <f t="shared" si="11"/>
        <v>341</v>
      </c>
      <c r="DM39" s="22">
        <f t="shared" si="11"/>
        <v>1123</v>
      </c>
      <c r="DN39" s="22">
        <f t="shared" si="11"/>
        <v>398</v>
      </c>
      <c r="DO39" s="22">
        <f t="shared" si="11"/>
        <v>612</v>
      </c>
      <c r="DP39" s="22">
        <f t="shared" si="11"/>
        <v>283</v>
      </c>
      <c r="DQ39" s="22">
        <f t="shared" si="11"/>
        <v>792</v>
      </c>
      <c r="DR39" s="22">
        <f t="shared" si="11"/>
        <v>406</v>
      </c>
      <c r="DS39" s="22">
        <f t="shared" si="11"/>
        <v>6</v>
      </c>
      <c r="DT39" s="22">
        <f t="shared" si="11"/>
        <v>92</v>
      </c>
      <c r="DU39" s="22">
        <f t="shared" si="11"/>
        <v>48440</v>
      </c>
      <c r="DV39" s="22">
        <f t="shared" si="11"/>
        <v>2711</v>
      </c>
      <c r="DW39" s="22">
        <f t="shared" si="11"/>
        <v>29151</v>
      </c>
      <c r="DX39" s="22">
        <f t="shared" si="11"/>
        <v>2163</v>
      </c>
      <c r="DY39" s="22">
        <f t="shared" si="11"/>
        <v>21878</v>
      </c>
      <c r="DZ39" s="22">
        <f t="shared" si="11"/>
        <v>1861</v>
      </c>
      <c r="EA39" s="22">
        <f t="shared" si="11"/>
        <v>7273</v>
      </c>
      <c r="EB39" s="22">
        <f t="shared" si="11"/>
        <v>997</v>
      </c>
      <c r="EC39" s="22">
        <f t="shared" si="11"/>
        <v>2113</v>
      </c>
      <c r="ED39" s="22">
        <f t="shared" ref="ED39:EN39" si="12">ED14 + ED26 + ED33 + ED37</f>
        <v>489</v>
      </c>
      <c r="EE39" s="22">
        <f t="shared" si="12"/>
        <v>567</v>
      </c>
      <c r="EF39" s="22">
        <f t="shared" si="12"/>
        <v>266</v>
      </c>
      <c r="EG39" s="22">
        <f t="shared" si="12"/>
        <v>991</v>
      </c>
      <c r="EH39" s="22">
        <f t="shared" si="12"/>
        <v>378</v>
      </c>
      <c r="EI39" s="22">
        <f t="shared" si="12"/>
        <v>621</v>
      </c>
      <c r="EJ39" s="22">
        <f t="shared" si="12"/>
        <v>332</v>
      </c>
      <c r="EK39" s="22">
        <f t="shared" si="12"/>
        <v>14770</v>
      </c>
      <c r="EL39" s="22">
        <f t="shared" si="12"/>
        <v>1531</v>
      </c>
      <c r="EM39" s="22">
        <f t="shared" si="12"/>
        <v>227</v>
      </c>
      <c r="EN39" s="22">
        <f t="shared" si="12"/>
        <v>195</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143621171</v>
      </c>
      <c r="F7" s="25">
        <v>143374</v>
      </c>
      <c r="G7" s="25">
        <v>102096304</v>
      </c>
      <c r="H7" s="25">
        <v>61168</v>
      </c>
      <c r="I7" s="25">
        <v>97161726</v>
      </c>
      <c r="J7" s="25">
        <v>65038</v>
      </c>
      <c r="K7" s="25">
        <v>4934578</v>
      </c>
      <c r="L7" s="25">
        <v>18416</v>
      </c>
      <c r="M7" s="25">
        <v>11533900</v>
      </c>
      <c r="N7" s="25">
        <v>60855</v>
      </c>
      <c r="O7" s="25">
        <v>9833483</v>
      </c>
      <c r="P7" s="25">
        <v>56868</v>
      </c>
      <c r="Q7" s="25">
        <v>6640311</v>
      </c>
      <c r="R7" s="25">
        <v>42282</v>
      </c>
      <c r="S7" s="25">
        <v>4771324</v>
      </c>
      <c r="T7" s="25">
        <v>26245</v>
      </c>
      <c r="U7" s="25">
        <v>8525509</v>
      </c>
      <c r="V7" s="25">
        <v>20501</v>
      </c>
      <c r="W7" s="25">
        <v>220340</v>
      </c>
      <c r="X7" s="25">
        <v>3365</v>
      </c>
      <c r="Y7" s="25">
        <v>109733354</v>
      </c>
      <c r="Z7" s="25">
        <v>109819</v>
      </c>
      <c r="AA7" s="25">
        <v>78918362</v>
      </c>
      <c r="AB7" s="25">
        <v>56110</v>
      </c>
      <c r="AC7" s="25">
        <v>75584587</v>
      </c>
      <c r="AD7" s="25">
        <v>61107</v>
      </c>
      <c r="AE7" s="25">
        <v>3333775</v>
      </c>
      <c r="AF7" s="25">
        <v>15557</v>
      </c>
      <c r="AG7" s="25">
        <v>8723481</v>
      </c>
      <c r="AH7" s="25">
        <v>45818</v>
      </c>
      <c r="AI7" s="25">
        <v>8148573</v>
      </c>
      <c r="AJ7" s="25">
        <v>43589</v>
      </c>
      <c r="AK7" s="25">
        <v>5167970</v>
      </c>
      <c r="AL7" s="25">
        <v>33555</v>
      </c>
      <c r="AM7" s="25">
        <v>3618064</v>
      </c>
      <c r="AN7" s="25">
        <v>20682</v>
      </c>
      <c r="AO7" s="25">
        <v>5042605</v>
      </c>
      <c r="AP7" s="25">
        <v>15289</v>
      </c>
      <c r="AQ7" s="25">
        <v>114299</v>
      </c>
      <c r="AR7" s="25">
        <v>2368</v>
      </c>
      <c r="AS7" s="25">
        <v>13575283</v>
      </c>
      <c r="AT7" s="25">
        <v>60271</v>
      </c>
      <c r="AU7" s="25">
        <v>9781318</v>
      </c>
      <c r="AV7" s="25">
        <v>33072</v>
      </c>
      <c r="AW7" s="25">
        <v>9339567</v>
      </c>
      <c r="AX7" s="25">
        <v>31720</v>
      </c>
      <c r="AY7" s="25">
        <v>441751</v>
      </c>
      <c r="AZ7" s="25">
        <v>5908</v>
      </c>
      <c r="BA7" s="25">
        <v>1033628</v>
      </c>
      <c r="BB7" s="25">
        <v>11972</v>
      </c>
      <c r="BC7" s="25">
        <v>838569</v>
      </c>
      <c r="BD7" s="25">
        <v>12637</v>
      </c>
      <c r="BE7" s="25">
        <v>646969</v>
      </c>
      <c r="BF7" s="25">
        <v>9847</v>
      </c>
      <c r="BG7" s="25">
        <v>425271</v>
      </c>
      <c r="BH7" s="25">
        <v>6194</v>
      </c>
      <c r="BI7" s="25">
        <v>814368</v>
      </c>
      <c r="BJ7" s="25">
        <v>6111</v>
      </c>
      <c r="BK7" s="25">
        <v>35160</v>
      </c>
      <c r="BL7" s="25">
        <v>1379</v>
      </c>
      <c r="BM7" s="25">
        <v>7362038</v>
      </c>
      <c r="BN7" s="25">
        <v>19316</v>
      </c>
      <c r="BO7" s="25">
        <v>5364751</v>
      </c>
      <c r="BP7" s="25">
        <v>18342</v>
      </c>
      <c r="BQ7" s="25">
        <v>5270840</v>
      </c>
      <c r="BR7" s="25">
        <v>18383</v>
      </c>
      <c r="BS7" s="25">
        <v>93911</v>
      </c>
      <c r="BT7" s="25">
        <v>2156</v>
      </c>
      <c r="BU7" s="25">
        <v>744066</v>
      </c>
      <c r="BV7" s="25">
        <v>7504</v>
      </c>
      <c r="BW7" s="25">
        <v>407387</v>
      </c>
      <c r="BX7" s="25">
        <v>4578</v>
      </c>
      <c r="BY7" s="25">
        <v>289049</v>
      </c>
      <c r="BZ7" s="25">
        <v>3911</v>
      </c>
      <c r="CA7" s="25">
        <v>294594</v>
      </c>
      <c r="CB7" s="25">
        <v>4523</v>
      </c>
      <c r="CC7" s="25">
        <v>256670</v>
      </c>
      <c r="CD7" s="25">
        <v>3805</v>
      </c>
      <c r="CE7" s="25">
        <v>5521</v>
      </c>
      <c r="CF7" s="25">
        <v>584</v>
      </c>
      <c r="CG7" s="25">
        <v>3998629</v>
      </c>
      <c r="CH7" s="25">
        <v>17308</v>
      </c>
      <c r="CI7" s="25">
        <v>2583795</v>
      </c>
      <c r="CJ7" s="25">
        <v>16334</v>
      </c>
      <c r="CK7" s="25">
        <v>2445996</v>
      </c>
      <c r="CL7" s="25">
        <v>15865</v>
      </c>
      <c r="CM7" s="25">
        <v>137799</v>
      </c>
      <c r="CN7" s="25">
        <v>3043</v>
      </c>
      <c r="CO7" s="25">
        <v>492452</v>
      </c>
      <c r="CP7" s="25">
        <v>5462</v>
      </c>
      <c r="CQ7" s="25">
        <v>190249</v>
      </c>
      <c r="CR7" s="25">
        <v>2882</v>
      </c>
      <c r="CS7" s="25">
        <v>245597</v>
      </c>
      <c r="CT7" s="25">
        <v>3616</v>
      </c>
      <c r="CU7" s="25">
        <v>191322</v>
      </c>
      <c r="CV7" s="25">
        <v>4287</v>
      </c>
      <c r="CW7" s="25">
        <v>282385</v>
      </c>
      <c r="CX7" s="25">
        <v>3684</v>
      </c>
      <c r="CY7" s="25">
        <v>12829</v>
      </c>
      <c r="CZ7" s="25">
        <v>732</v>
      </c>
      <c r="DA7" s="25">
        <v>2599130</v>
      </c>
      <c r="DB7" s="25">
        <v>12364</v>
      </c>
      <c r="DC7" s="25">
        <v>1879163</v>
      </c>
      <c r="DD7" s="25">
        <v>11663</v>
      </c>
      <c r="DE7" s="25">
        <v>1800574</v>
      </c>
      <c r="DF7" s="25">
        <v>12119</v>
      </c>
      <c r="DG7" s="25">
        <v>78589</v>
      </c>
      <c r="DH7" s="25">
        <v>1810</v>
      </c>
      <c r="DI7" s="25">
        <v>202384</v>
      </c>
      <c r="DJ7" s="25">
        <v>2998</v>
      </c>
      <c r="DK7" s="25">
        <v>121543</v>
      </c>
      <c r="DL7" s="25">
        <v>2571</v>
      </c>
      <c r="DM7" s="25">
        <v>124883</v>
      </c>
      <c r="DN7" s="25">
        <v>2528</v>
      </c>
      <c r="DO7" s="25">
        <v>86164</v>
      </c>
      <c r="DP7" s="25">
        <v>1966</v>
      </c>
      <c r="DQ7" s="25">
        <v>179481</v>
      </c>
      <c r="DR7" s="25">
        <v>3228</v>
      </c>
      <c r="DS7" s="25">
        <v>5512</v>
      </c>
      <c r="DT7" s="25">
        <v>500</v>
      </c>
      <c r="DU7" s="25">
        <v>6352737</v>
      </c>
      <c r="DV7" s="25">
        <v>18023</v>
      </c>
      <c r="DW7" s="25">
        <v>3568915</v>
      </c>
      <c r="DX7" s="25">
        <v>12866</v>
      </c>
      <c r="DY7" s="25">
        <v>2720162</v>
      </c>
      <c r="DZ7" s="25">
        <v>11897</v>
      </c>
      <c r="EA7" s="25">
        <v>848753</v>
      </c>
      <c r="EB7" s="25">
        <v>7053</v>
      </c>
      <c r="EC7" s="25">
        <v>337889</v>
      </c>
      <c r="ED7" s="25">
        <v>4546</v>
      </c>
      <c r="EE7" s="25">
        <v>127162</v>
      </c>
      <c r="EF7" s="25">
        <v>2430</v>
      </c>
      <c r="EG7" s="25">
        <v>165843</v>
      </c>
      <c r="EH7" s="25">
        <v>2767</v>
      </c>
      <c r="EI7" s="25">
        <v>155909</v>
      </c>
      <c r="EJ7" s="25">
        <v>4517</v>
      </c>
      <c r="EK7" s="25">
        <v>1950000</v>
      </c>
      <c r="EL7" s="25">
        <v>13475</v>
      </c>
      <c r="EM7" s="25">
        <v>47019</v>
      </c>
      <c r="EN7" s="25">
        <v>1250</v>
      </c>
    </row>
    <row r="8" spans="1:144" x14ac:dyDescent="0.25">
      <c r="A8" s="19">
        <f t="shared" si="8"/>
        <v>1049</v>
      </c>
      <c r="B8" s="20" t="str">
        <f t="shared" si="9"/>
        <v>State of Utah</v>
      </c>
      <c r="C8" s="24" t="s">
        <v>286</v>
      </c>
      <c r="D8" s="24" t="s">
        <v>287</v>
      </c>
      <c r="E8" s="25">
        <v>1319944</v>
      </c>
      <c r="F8" s="25">
        <v>4183</v>
      </c>
      <c r="G8" s="25">
        <v>958302</v>
      </c>
      <c r="H8" s="25">
        <v>4375</v>
      </c>
      <c r="I8" s="25">
        <v>904201</v>
      </c>
      <c r="J8" s="25">
        <v>4386</v>
      </c>
      <c r="K8" s="25">
        <v>54101</v>
      </c>
      <c r="L8" s="25">
        <v>1641</v>
      </c>
      <c r="M8" s="25">
        <v>95769</v>
      </c>
      <c r="N8" s="25">
        <v>2004</v>
      </c>
      <c r="O8" s="25">
        <v>80388</v>
      </c>
      <c r="P8" s="25">
        <v>2076</v>
      </c>
      <c r="Q8" s="25">
        <v>76926</v>
      </c>
      <c r="R8" s="25">
        <v>1682</v>
      </c>
      <c r="S8" s="25">
        <v>46846</v>
      </c>
      <c r="T8" s="25">
        <v>1530</v>
      </c>
      <c r="U8" s="25">
        <v>59738</v>
      </c>
      <c r="V8" s="25">
        <v>1880</v>
      </c>
      <c r="W8" s="25">
        <v>1975</v>
      </c>
      <c r="X8" s="25">
        <v>305</v>
      </c>
      <c r="Y8" s="25">
        <v>1002263</v>
      </c>
      <c r="Z8" s="25">
        <v>4764</v>
      </c>
      <c r="AA8" s="25">
        <v>738126</v>
      </c>
      <c r="AB8" s="25">
        <v>4571</v>
      </c>
      <c r="AC8" s="25">
        <v>703125</v>
      </c>
      <c r="AD8" s="25">
        <v>4537</v>
      </c>
      <c r="AE8" s="25">
        <v>35001</v>
      </c>
      <c r="AF8" s="25">
        <v>1371</v>
      </c>
      <c r="AG8" s="25">
        <v>69518</v>
      </c>
      <c r="AH8" s="25">
        <v>1546</v>
      </c>
      <c r="AI8" s="25">
        <v>66408</v>
      </c>
      <c r="AJ8" s="25">
        <v>1958</v>
      </c>
      <c r="AK8" s="25">
        <v>58341</v>
      </c>
      <c r="AL8" s="25">
        <v>1546</v>
      </c>
      <c r="AM8" s="25">
        <v>37360</v>
      </c>
      <c r="AN8" s="25">
        <v>1340</v>
      </c>
      <c r="AO8" s="25">
        <v>31582</v>
      </c>
      <c r="AP8" s="25">
        <v>1255</v>
      </c>
      <c r="AQ8" s="25">
        <v>928</v>
      </c>
      <c r="AR8" s="25">
        <v>200</v>
      </c>
      <c r="AS8" s="25">
        <v>157278</v>
      </c>
      <c r="AT8" s="25">
        <v>2891</v>
      </c>
      <c r="AU8" s="25">
        <v>118919</v>
      </c>
      <c r="AV8" s="25">
        <v>2561</v>
      </c>
      <c r="AW8" s="25">
        <v>113476</v>
      </c>
      <c r="AX8" s="25">
        <v>2380</v>
      </c>
      <c r="AY8" s="25">
        <v>5443</v>
      </c>
      <c r="AZ8" s="25">
        <v>637</v>
      </c>
      <c r="BA8" s="25">
        <v>10703</v>
      </c>
      <c r="BB8" s="25">
        <v>719</v>
      </c>
      <c r="BC8" s="25">
        <v>8383</v>
      </c>
      <c r="BD8" s="25">
        <v>612</v>
      </c>
      <c r="BE8" s="25">
        <v>8260</v>
      </c>
      <c r="BF8" s="25">
        <v>576</v>
      </c>
      <c r="BG8" s="25">
        <v>5709</v>
      </c>
      <c r="BH8" s="25">
        <v>514</v>
      </c>
      <c r="BI8" s="25">
        <v>4926</v>
      </c>
      <c r="BJ8" s="25">
        <v>541</v>
      </c>
      <c r="BK8" s="25">
        <v>378</v>
      </c>
      <c r="BL8" s="25">
        <v>153</v>
      </c>
      <c r="BM8" s="25">
        <v>33219</v>
      </c>
      <c r="BN8" s="25">
        <v>1300</v>
      </c>
      <c r="BO8" s="25">
        <v>20931</v>
      </c>
      <c r="BP8" s="25">
        <v>1128</v>
      </c>
      <c r="BQ8" s="25">
        <v>20676</v>
      </c>
      <c r="BR8" s="25">
        <v>1107</v>
      </c>
      <c r="BS8" s="25">
        <v>255</v>
      </c>
      <c r="BT8" s="25">
        <v>96</v>
      </c>
      <c r="BU8" s="25">
        <v>4835</v>
      </c>
      <c r="BV8" s="25">
        <v>389</v>
      </c>
      <c r="BW8" s="25">
        <v>1595</v>
      </c>
      <c r="BX8" s="25">
        <v>263</v>
      </c>
      <c r="BY8" s="25">
        <v>4245</v>
      </c>
      <c r="BZ8" s="25">
        <v>389</v>
      </c>
      <c r="CA8" s="25">
        <v>1182</v>
      </c>
      <c r="CB8" s="25">
        <v>284</v>
      </c>
      <c r="CC8" s="25">
        <v>409</v>
      </c>
      <c r="CD8" s="25">
        <v>110</v>
      </c>
      <c r="CE8" s="25">
        <v>22</v>
      </c>
      <c r="CF8" s="25">
        <v>34</v>
      </c>
      <c r="CG8" s="25">
        <v>33396</v>
      </c>
      <c r="CH8" s="25">
        <v>1419</v>
      </c>
      <c r="CI8" s="25">
        <v>20991</v>
      </c>
      <c r="CJ8" s="25">
        <v>998</v>
      </c>
      <c r="CK8" s="25">
        <v>19829</v>
      </c>
      <c r="CL8" s="25">
        <v>987</v>
      </c>
      <c r="CM8" s="25">
        <v>1162</v>
      </c>
      <c r="CN8" s="25">
        <v>200</v>
      </c>
      <c r="CO8" s="25">
        <v>5194</v>
      </c>
      <c r="CP8" s="25">
        <v>784</v>
      </c>
      <c r="CQ8" s="25">
        <v>1783</v>
      </c>
      <c r="CR8" s="25">
        <v>251</v>
      </c>
      <c r="CS8" s="25">
        <v>2803</v>
      </c>
      <c r="CT8" s="25">
        <v>341</v>
      </c>
      <c r="CU8" s="25">
        <v>617</v>
      </c>
      <c r="CV8" s="25">
        <v>164</v>
      </c>
      <c r="CW8" s="25">
        <v>1956</v>
      </c>
      <c r="CX8" s="25">
        <v>332</v>
      </c>
      <c r="CY8" s="25">
        <v>52</v>
      </c>
      <c r="CZ8" s="25">
        <v>31</v>
      </c>
      <c r="DA8" s="25">
        <v>26073</v>
      </c>
      <c r="DB8" s="25">
        <v>1179</v>
      </c>
      <c r="DC8" s="25">
        <v>18343</v>
      </c>
      <c r="DD8" s="25">
        <v>1044</v>
      </c>
      <c r="DE8" s="25">
        <v>17542</v>
      </c>
      <c r="DF8" s="25">
        <v>1017</v>
      </c>
      <c r="DG8" s="25">
        <v>801</v>
      </c>
      <c r="DH8" s="25">
        <v>174</v>
      </c>
      <c r="DI8" s="25">
        <v>2536</v>
      </c>
      <c r="DJ8" s="25">
        <v>276</v>
      </c>
      <c r="DK8" s="25">
        <v>1245</v>
      </c>
      <c r="DL8" s="25">
        <v>224</v>
      </c>
      <c r="DM8" s="25">
        <v>1632</v>
      </c>
      <c r="DN8" s="25">
        <v>227</v>
      </c>
      <c r="DO8" s="25">
        <v>871</v>
      </c>
      <c r="DP8" s="25">
        <v>174</v>
      </c>
      <c r="DQ8" s="25">
        <v>1385</v>
      </c>
      <c r="DR8" s="25">
        <v>257</v>
      </c>
      <c r="DS8" s="25">
        <v>61</v>
      </c>
      <c r="DT8" s="25">
        <v>48</v>
      </c>
      <c r="DU8" s="25">
        <v>67715</v>
      </c>
      <c r="DV8" s="25">
        <v>1833</v>
      </c>
      <c r="DW8" s="25">
        <v>40992</v>
      </c>
      <c r="DX8" s="25">
        <v>1350</v>
      </c>
      <c r="DY8" s="25">
        <v>29553</v>
      </c>
      <c r="DZ8" s="25">
        <v>1132</v>
      </c>
      <c r="EA8" s="25">
        <v>11439</v>
      </c>
      <c r="EB8" s="25">
        <v>814</v>
      </c>
      <c r="EC8" s="25">
        <v>2983</v>
      </c>
      <c r="ED8" s="25">
        <v>375</v>
      </c>
      <c r="EE8" s="25">
        <v>974</v>
      </c>
      <c r="EF8" s="25">
        <v>197</v>
      </c>
      <c r="EG8" s="25">
        <v>1645</v>
      </c>
      <c r="EH8" s="25">
        <v>240</v>
      </c>
      <c r="EI8" s="25">
        <v>1107</v>
      </c>
      <c r="EJ8" s="25">
        <v>244</v>
      </c>
      <c r="EK8" s="25">
        <v>19480</v>
      </c>
      <c r="EL8" s="25">
        <v>829</v>
      </c>
      <c r="EM8" s="25">
        <v>534</v>
      </c>
      <c r="EN8" s="25">
        <v>165</v>
      </c>
    </row>
    <row r="9" spans="1:144" x14ac:dyDescent="0.25">
      <c r="A9" s="19">
        <f t="shared" si="8"/>
        <v>1</v>
      </c>
      <c r="B9" s="20" t="str">
        <f t="shared" si="9"/>
        <v>Beaver</v>
      </c>
      <c r="C9" s="24" t="s">
        <v>288</v>
      </c>
      <c r="D9" s="24" t="s">
        <v>289</v>
      </c>
      <c r="E9" s="25">
        <v>2875</v>
      </c>
      <c r="F9" s="25">
        <v>131</v>
      </c>
      <c r="G9" s="25">
        <v>2113</v>
      </c>
      <c r="H9" s="25">
        <v>150</v>
      </c>
      <c r="I9" s="25">
        <v>1953</v>
      </c>
      <c r="J9" s="25">
        <v>157</v>
      </c>
      <c r="K9" s="25">
        <v>160</v>
      </c>
      <c r="L9" s="25">
        <v>64</v>
      </c>
      <c r="M9" s="25">
        <v>77</v>
      </c>
      <c r="N9" s="25">
        <v>44</v>
      </c>
      <c r="O9" s="25">
        <v>362</v>
      </c>
      <c r="P9" s="25">
        <v>82</v>
      </c>
      <c r="Q9" s="25">
        <v>191</v>
      </c>
      <c r="R9" s="25">
        <v>68</v>
      </c>
      <c r="S9" s="25">
        <v>19</v>
      </c>
      <c r="T9" s="25">
        <v>20</v>
      </c>
      <c r="U9" s="25">
        <v>99</v>
      </c>
      <c r="V9" s="25">
        <v>48</v>
      </c>
      <c r="W9" s="25">
        <v>14</v>
      </c>
      <c r="X9" s="25">
        <v>21</v>
      </c>
      <c r="Y9" s="25">
        <v>2352</v>
      </c>
      <c r="Z9" s="25">
        <v>150</v>
      </c>
      <c r="AA9" s="25">
        <v>1739</v>
      </c>
      <c r="AB9" s="25">
        <v>159</v>
      </c>
      <c r="AC9" s="25">
        <v>1616</v>
      </c>
      <c r="AD9" s="25">
        <v>153</v>
      </c>
      <c r="AE9" s="25">
        <v>123</v>
      </c>
      <c r="AF9" s="25">
        <v>63</v>
      </c>
      <c r="AG9" s="25">
        <v>75</v>
      </c>
      <c r="AH9" s="25">
        <v>44</v>
      </c>
      <c r="AI9" s="25">
        <v>293</v>
      </c>
      <c r="AJ9" s="25">
        <v>78</v>
      </c>
      <c r="AK9" s="25">
        <v>183</v>
      </c>
      <c r="AL9" s="25">
        <v>67</v>
      </c>
      <c r="AM9" s="25">
        <v>9</v>
      </c>
      <c r="AN9" s="25">
        <v>12</v>
      </c>
      <c r="AO9" s="25">
        <v>39</v>
      </c>
      <c r="AP9" s="25">
        <v>38</v>
      </c>
      <c r="AQ9" s="25">
        <v>14</v>
      </c>
      <c r="AR9" s="25">
        <v>21</v>
      </c>
      <c r="AS9" s="25">
        <v>385</v>
      </c>
      <c r="AT9" s="25">
        <v>92</v>
      </c>
      <c r="AU9" s="25">
        <v>281</v>
      </c>
      <c r="AV9" s="25">
        <v>83</v>
      </c>
      <c r="AW9" s="25">
        <v>256</v>
      </c>
      <c r="AX9" s="25">
        <v>82</v>
      </c>
      <c r="AY9" s="25">
        <v>25</v>
      </c>
      <c r="AZ9" s="25">
        <v>29</v>
      </c>
      <c r="BA9" s="25">
        <v>2</v>
      </c>
      <c r="BB9" s="25">
        <v>4</v>
      </c>
      <c r="BC9" s="25">
        <v>51</v>
      </c>
      <c r="BD9" s="25">
        <v>35</v>
      </c>
      <c r="BE9" s="25">
        <v>8</v>
      </c>
      <c r="BF9" s="25">
        <v>12</v>
      </c>
      <c r="BG9" s="25">
        <v>10</v>
      </c>
      <c r="BH9" s="25">
        <v>16</v>
      </c>
      <c r="BI9" s="25">
        <v>33</v>
      </c>
      <c r="BJ9" s="25">
        <v>23</v>
      </c>
      <c r="BK9" s="25">
        <v>0</v>
      </c>
      <c r="BL9" s="25">
        <v>15</v>
      </c>
      <c r="BM9" s="25">
        <v>20</v>
      </c>
      <c r="BN9" s="25">
        <v>24</v>
      </c>
      <c r="BO9" s="25">
        <v>20</v>
      </c>
      <c r="BP9" s="25">
        <v>24</v>
      </c>
      <c r="BQ9" s="25">
        <v>20</v>
      </c>
      <c r="BR9" s="25">
        <v>24</v>
      </c>
      <c r="BS9" s="25">
        <v>0</v>
      </c>
      <c r="BT9" s="25">
        <v>15</v>
      </c>
      <c r="BU9" s="25">
        <v>0</v>
      </c>
      <c r="BV9" s="25">
        <v>15</v>
      </c>
      <c r="BW9" s="25">
        <v>0</v>
      </c>
      <c r="BX9" s="25">
        <v>15</v>
      </c>
      <c r="BY9" s="25">
        <v>0</v>
      </c>
      <c r="BZ9" s="25">
        <v>15</v>
      </c>
      <c r="CA9" s="25">
        <v>0</v>
      </c>
      <c r="CB9" s="25">
        <v>15</v>
      </c>
      <c r="CC9" s="25">
        <v>0</v>
      </c>
      <c r="CD9" s="25">
        <v>15</v>
      </c>
      <c r="CE9" s="25">
        <v>0</v>
      </c>
      <c r="CF9" s="25">
        <v>15</v>
      </c>
      <c r="CG9" s="25">
        <v>54</v>
      </c>
      <c r="CH9" s="25">
        <v>36</v>
      </c>
      <c r="CI9" s="25">
        <v>33</v>
      </c>
      <c r="CJ9" s="25">
        <v>29</v>
      </c>
      <c r="CK9" s="25">
        <v>33</v>
      </c>
      <c r="CL9" s="25">
        <v>29</v>
      </c>
      <c r="CM9" s="25">
        <v>0</v>
      </c>
      <c r="CN9" s="25">
        <v>15</v>
      </c>
      <c r="CO9" s="25">
        <v>0</v>
      </c>
      <c r="CP9" s="25">
        <v>15</v>
      </c>
      <c r="CQ9" s="25">
        <v>18</v>
      </c>
      <c r="CR9" s="25">
        <v>18</v>
      </c>
      <c r="CS9" s="25">
        <v>0</v>
      </c>
      <c r="CT9" s="25">
        <v>15</v>
      </c>
      <c r="CU9" s="25">
        <v>0</v>
      </c>
      <c r="CV9" s="25">
        <v>15</v>
      </c>
      <c r="CW9" s="25">
        <v>3</v>
      </c>
      <c r="CX9" s="25">
        <v>7</v>
      </c>
      <c r="CY9" s="25">
        <v>0</v>
      </c>
      <c r="CZ9" s="25">
        <v>15</v>
      </c>
      <c r="DA9" s="25">
        <v>23</v>
      </c>
      <c r="DB9" s="25">
        <v>37</v>
      </c>
      <c r="DC9" s="25">
        <v>23</v>
      </c>
      <c r="DD9" s="25">
        <v>37</v>
      </c>
      <c r="DE9" s="25">
        <v>23</v>
      </c>
      <c r="DF9" s="25">
        <v>37</v>
      </c>
      <c r="DG9" s="25">
        <v>0</v>
      </c>
      <c r="DH9" s="25">
        <v>15</v>
      </c>
      <c r="DI9" s="25">
        <v>0</v>
      </c>
      <c r="DJ9" s="25">
        <v>15</v>
      </c>
      <c r="DK9" s="25">
        <v>0</v>
      </c>
      <c r="DL9" s="25">
        <v>15</v>
      </c>
      <c r="DM9" s="25">
        <v>0</v>
      </c>
      <c r="DN9" s="25">
        <v>15</v>
      </c>
      <c r="DO9" s="25">
        <v>0</v>
      </c>
      <c r="DP9" s="25">
        <v>15</v>
      </c>
      <c r="DQ9" s="25">
        <v>0</v>
      </c>
      <c r="DR9" s="25">
        <v>15</v>
      </c>
      <c r="DS9" s="25">
        <v>0</v>
      </c>
      <c r="DT9" s="25">
        <v>15</v>
      </c>
      <c r="DU9" s="25">
        <v>41</v>
      </c>
      <c r="DV9" s="25">
        <v>25</v>
      </c>
      <c r="DW9" s="25">
        <v>17</v>
      </c>
      <c r="DX9" s="25">
        <v>14</v>
      </c>
      <c r="DY9" s="25">
        <v>5</v>
      </c>
      <c r="DZ9" s="25">
        <v>6</v>
      </c>
      <c r="EA9" s="25">
        <v>12</v>
      </c>
      <c r="EB9" s="25">
        <v>12</v>
      </c>
      <c r="EC9" s="25">
        <v>0</v>
      </c>
      <c r="ED9" s="25">
        <v>15</v>
      </c>
      <c r="EE9" s="25">
        <v>0</v>
      </c>
      <c r="EF9" s="25">
        <v>15</v>
      </c>
      <c r="EG9" s="25">
        <v>0</v>
      </c>
      <c r="EH9" s="25">
        <v>15</v>
      </c>
      <c r="EI9" s="25">
        <v>0</v>
      </c>
      <c r="EJ9" s="25">
        <v>15</v>
      </c>
      <c r="EK9" s="25">
        <v>24</v>
      </c>
      <c r="EL9" s="25">
        <v>21</v>
      </c>
      <c r="EM9" s="25">
        <v>0</v>
      </c>
      <c r="EN9" s="25">
        <v>15</v>
      </c>
    </row>
    <row r="10" spans="1:144" x14ac:dyDescent="0.25">
      <c r="A10" s="19">
        <f t="shared" si="8"/>
        <v>3</v>
      </c>
      <c r="B10" s="20" t="str">
        <f t="shared" si="9"/>
        <v>Box Elder</v>
      </c>
      <c r="C10" s="24" t="s">
        <v>290</v>
      </c>
      <c r="D10" s="24" t="s">
        <v>291</v>
      </c>
      <c r="E10" s="25">
        <v>21281</v>
      </c>
      <c r="F10" s="25">
        <v>499</v>
      </c>
      <c r="G10" s="25">
        <v>16306</v>
      </c>
      <c r="H10" s="25">
        <v>508</v>
      </c>
      <c r="I10" s="25">
        <v>15577</v>
      </c>
      <c r="J10" s="25">
        <v>502</v>
      </c>
      <c r="K10" s="25">
        <v>729</v>
      </c>
      <c r="L10" s="25">
        <v>139</v>
      </c>
      <c r="M10" s="25">
        <v>650</v>
      </c>
      <c r="N10" s="25">
        <v>124</v>
      </c>
      <c r="O10" s="25">
        <v>1506</v>
      </c>
      <c r="P10" s="25">
        <v>188</v>
      </c>
      <c r="Q10" s="25">
        <v>967</v>
      </c>
      <c r="R10" s="25">
        <v>150</v>
      </c>
      <c r="S10" s="25">
        <v>916</v>
      </c>
      <c r="T10" s="25">
        <v>155</v>
      </c>
      <c r="U10" s="25">
        <v>933</v>
      </c>
      <c r="V10" s="25">
        <v>202</v>
      </c>
      <c r="W10" s="25">
        <v>3</v>
      </c>
      <c r="X10" s="25">
        <v>4</v>
      </c>
      <c r="Y10" s="25">
        <v>16541</v>
      </c>
      <c r="Z10" s="25">
        <v>471</v>
      </c>
      <c r="AA10" s="25">
        <v>12870</v>
      </c>
      <c r="AB10" s="25">
        <v>484</v>
      </c>
      <c r="AC10" s="25">
        <v>12396</v>
      </c>
      <c r="AD10" s="25">
        <v>488</v>
      </c>
      <c r="AE10" s="25">
        <v>474</v>
      </c>
      <c r="AF10" s="25">
        <v>109</v>
      </c>
      <c r="AG10" s="25">
        <v>557</v>
      </c>
      <c r="AH10" s="25">
        <v>119</v>
      </c>
      <c r="AI10" s="25">
        <v>1289</v>
      </c>
      <c r="AJ10" s="25">
        <v>175</v>
      </c>
      <c r="AK10" s="25">
        <v>763</v>
      </c>
      <c r="AL10" s="25">
        <v>135</v>
      </c>
      <c r="AM10" s="25">
        <v>615</v>
      </c>
      <c r="AN10" s="25">
        <v>114</v>
      </c>
      <c r="AO10" s="25">
        <v>445</v>
      </c>
      <c r="AP10" s="25">
        <v>130</v>
      </c>
      <c r="AQ10" s="25">
        <v>2</v>
      </c>
      <c r="AR10" s="25">
        <v>3</v>
      </c>
      <c r="AS10" s="25">
        <v>3267</v>
      </c>
      <c r="AT10" s="25">
        <v>301</v>
      </c>
      <c r="AU10" s="25">
        <v>2528</v>
      </c>
      <c r="AV10" s="25">
        <v>288</v>
      </c>
      <c r="AW10" s="25">
        <v>2439</v>
      </c>
      <c r="AX10" s="25">
        <v>289</v>
      </c>
      <c r="AY10" s="25">
        <v>89</v>
      </c>
      <c r="AZ10" s="25">
        <v>41</v>
      </c>
      <c r="BA10" s="25">
        <v>50</v>
      </c>
      <c r="BB10" s="25">
        <v>29</v>
      </c>
      <c r="BC10" s="25">
        <v>154</v>
      </c>
      <c r="BD10" s="25">
        <v>70</v>
      </c>
      <c r="BE10" s="25">
        <v>111</v>
      </c>
      <c r="BF10" s="25">
        <v>40</v>
      </c>
      <c r="BG10" s="25">
        <v>258</v>
      </c>
      <c r="BH10" s="25">
        <v>90</v>
      </c>
      <c r="BI10" s="25">
        <v>166</v>
      </c>
      <c r="BJ10" s="25">
        <v>73</v>
      </c>
      <c r="BK10" s="25">
        <v>0</v>
      </c>
      <c r="BL10" s="25">
        <v>26</v>
      </c>
      <c r="BM10" s="25">
        <v>154</v>
      </c>
      <c r="BN10" s="25">
        <v>72</v>
      </c>
      <c r="BO10" s="25">
        <v>102</v>
      </c>
      <c r="BP10" s="25">
        <v>58</v>
      </c>
      <c r="BQ10" s="25">
        <v>102</v>
      </c>
      <c r="BR10" s="25">
        <v>58</v>
      </c>
      <c r="BS10" s="25">
        <v>0</v>
      </c>
      <c r="BT10" s="25">
        <v>26</v>
      </c>
      <c r="BU10" s="25">
        <v>8</v>
      </c>
      <c r="BV10" s="25">
        <v>14</v>
      </c>
      <c r="BW10" s="25">
        <v>14</v>
      </c>
      <c r="BX10" s="25">
        <v>14</v>
      </c>
      <c r="BY10" s="25">
        <v>19</v>
      </c>
      <c r="BZ10" s="25">
        <v>22</v>
      </c>
      <c r="CA10" s="25">
        <v>11</v>
      </c>
      <c r="CB10" s="25">
        <v>12</v>
      </c>
      <c r="CC10" s="25">
        <v>0</v>
      </c>
      <c r="CD10" s="25">
        <v>26</v>
      </c>
      <c r="CE10" s="25">
        <v>0</v>
      </c>
      <c r="CF10" s="25">
        <v>26</v>
      </c>
      <c r="CG10" s="25">
        <v>348</v>
      </c>
      <c r="CH10" s="25">
        <v>105</v>
      </c>
      <c r="CI10" s="25">
        <v>254</v>
      </c>
      <c r="CJ10" s="25">
        <v>87</v>
      </c>
      <c r="CK10" s="25">
        <v>235</v>
      </c>
      <c r="CL10" s="25">
        <v>85</v>
      </c>
      <c r="CM10" s="25">
        <v>19</v>
      </c>
      <c r="CN10" s="25">
        <v>16</v>
      </c>
      <c r="CO10" s="25">
        <v>5</v>
      </c>
      <c r="CP10" s="25">
        <v>9</v>
      </c>
      <c r="CQ10" s="25">
        <v>18</v>
      </c>
      <c r="CR10" s="25">
        <v>24</v>
      </c>
      <c r="CS10" s="25">
        <v>19</v>
      </c>
      <c r="CT10" s="25">
        <v>25</v>
      </c>
      <c r="CU10" s="25">
        <v>3</v>
      </c>
      <c r="CV10" s="25">
        <v>4</v>
      </c>
      <c r="CW10" s="25">
        <v>49</v>
      </c>
      <c r="CX10" s="25">
        <v>30</v>
      </c>
      <c r="CY10" s="25">
        <v>0</v>
      </c>
      <c r="CZ10" s="25">
        <v>26</v>
      </c>
      <c r="DA10" s="25">
        <v>255</v>
      </c>
      <c r="DB10" s="25">
        <v>76</v>
      </c>
      <c r="DC10" s="25">
        <v>190</v>
      </c>
      <c r="DD10" s="25">
        <v>70</v>
      </c>
      <c r="DE10" s="25">
        <v>189</v>
      </c>
      <c r="DF10" s="25">
        <v>70</v>
      </c>
      <c r="DG10" s="25">
        <v>1</v>
      </c>
      <c r="DH10" s="25">
        <v>2</v>
      </c>
      <c r="DI10" s="25">
        <v>9</v>
      </c>
      <c r="DJ10" s="25">
        <v>11</v>
      </c>
      <c r="DK10" s="25">
        <v>27</v>
      </c>
      <c r="DL10" s="25">
        <v>18</v>
      </c>
      <c r="DM10" s="25">
        <v>10</v>
      </c>
      <c r="DN10" s="25">
        <v>15</v>
      </c>
      <c r="DO10" s="25">
        <v>8</v>
      </c>
      <c r="DP10" s="25">
        <v>10</v>
      </c>
      <c r="DQ10" s="25">
        <v>11</v>
      </c>
      <c r="DR10" s="25">
        <v>10</v>
      </c>
      <c r="DS10" s="25">
        <v>0</v>
      </c>
      <c r="DT10" s="25">
        <v>26</v>
      </c>
      <c r="DU10" s="25">
        <v>716</v>
      </c>
      <c r="DV10" s="25">
        <v>146</v>
      </c>
      <c r="DW10" s="25">
        <v>362</v>
      </c>
      <c r="DX10" s="25">
        <v>108</v>
      </c>
      <c r="DY10" s="25">
        <v>216</v>
      </c>
      <c r="DZ10" s="25">
        <v>89</v>
      </c>
      <c r="EA10" s="25">
        <v>146</v>
      </c>
      <c r="EB10" s="25">
        <v>82</v>
      </c>
      <c r="EC10" s="25">
        <v>21</v>
      </c>
      <c r="ED10" s="25">
        <v>14</v>
      </c>
      <c r="EE10" s="25">
        <v>4</v>
      </c>
      <c r="EF10" s="25">
        <v>5</v>
      </c>
      <c r="EG10" s="25">
        <v>45</v>
      </c>
      <c r="EH10" s="25">
        <v>38</v>
      </c>
      <c r="EI10" s="25">
        <v>21</v>
      </c>
      <c r="EJ10" s="25">
        <v>21</v>
      </c>
      <c r="EK10" s="25">
        <v>262</v>
      </c>
      <c r="EL10" s="25">
        <v>99</v>
      </c>
      <c r="EM10" s="25">
        <v>1</v>
      </c>
      <c r="EN10" s="25">
        <v>3</v>
      </c>
    </row>
    <row r="11" spans="1:144" x14ac:dyDescent="0.25">
      <c r="A11" s="19">
        <f t="shared" si="8"/>
        <v>5</v>
      </c>
      <c r="B11" s="20" t="str">
        <f t="shared" si="9"/>
        <v>Cache</v>
      </c>
      <c r="C11" s="24" t="s">
        <v>292</v>
      </c>
      <c r="D11" s="24" t="s">
        <v>293</v>
      </c>
      <c r="E11" s="25">
        <v>54044</v>
      </c>
      <c r="F11" s="25">
        <v>787</v>
      </c>
      <c r="G11" s="25">
        <v>37506</v>
      </c>
      <c r="H11" s="25">
        <v>835</v>
      </c>
      <c r="I11" s="25">
        <v>35151</v>
      </c>
      <c r="J11" s="25">
        <v>869</v>
      </c>
      <c r="K11" s="25">
        <v>2355</v>
      </c>
      <c r="L11" s="25">
        <v>237</v>
      </c>
      <c r="M11" s="25">
        <v>3734</v>
      </c>
      <c r="N11" s="25">
        <v>399</v>
      </c>
      <c r="O11" s="25">
        <v>3628</v>
      </c>
      <c r="P11" s="25">
        <v>344</v>
      </c>
      <c r="Q11" s="25">
        <v>5525</v>
      </c>
      <c r="R11" s="25">
        <v>450</v>
      </c>
      <c r="S11" s="25">
        <v>923</v>
      </c>
      <c r="T11" s="25">
        <v>208</v>
      </c>
      <c r="U11" s="25">
        <v>2640</v>
      </c>
      <c r="V11" s="25">
        <v>299</v>
      </c>
      <c r="W11" s="25">
        <v>88</v>
      </c>
      <c r="X11" s="25">
        <v>50</v>
      </c>
      <c r="Y11" s="25">
        <v>40253</v>
      </c>
      <c r="Z11" s="25">
        <v>755</v>
      </c>
      <c r="AA11" s="25">
        <v>28735</v>
      </c>
      <c r="AB11" s="25">
        <v>719</v>
      </c>
      <c r="AC11" s="25">
        <v>27235</v>
      </c>
      <c r="AD11" s="25">
        <v>712</v>
      </c>
      <c r="AE11" s="25">
        <v>1500</v>
      </c>
      <c r="AF11" s="25">
        <v>178</v>
      </c>
      <c r="AG11" s="25">
        <v>2853</v>
      </c>
      <c r="AH11" s="25">
        <v>326</v>
      </c>
      <c r="AI11" s="25">
        <v>2974</v>
      </c>
      <c r="AJ11" s="25">
        <v>316</v>
      </c>
      <c r="AK11" s="25">
        <v>3681</v>
      </c>
      <c r="AL11" s="25">
        <v>297</v>
      </c>
      <c r="AM11" s="25">
        <v>657</v>
      </c>
      <c r="AN11" s="25">
        <v>164</v>
      </c>
      <c r="AO11" s="25">
        <v>1327</v>
      </c>
      <c r="AP11" s="25">
        <v>196</v>
      </c>
      <c r="AQ11" s="25">
        <v>26</v>
      </c>
      <c r="AR11" s="25">
        <v>23</v>
      </c>
      <c r="AS11" s="25">
        <v>6294</v>
      </c>
      <c r="AT11" s="25">
        <v>516</v>
      </c>
      <c r="AU11" s="25">
        <v>4673</v>
      </c>
      <c r="AV11" s="25">
        <v>469</v>
      </c>
      <c r="AW11" s="25">
        <v>4448</v>
      </c>
      <c r="AX11" s="25">
        <v>478</v>
      </c>
      <c r="AY11" s="25">
        <v>225</v>
      </c>
      <c r="AZ11" s="25">
        <v>93</v>
      </c>
      <c r="BA11" s="25">
        <v>298</v>
      </c>
      <c r="BB11" s="25">
        <v>96</v>
      </c>
      <c r="BC11" s="25">
        <v>359</v>
      </c>
      <c r="BD11" s="25">
        <v>103</v>
      </c>
      <c r="BE11" s="25">
        <v>578</v>
      </c>
      <c r="BF11" s="25">
        <v>144</v>
      </c>
      <c r="BG11" s="25">
        <v>124</v>
      </c>
      <c r="BH11" s="25">
        <v>55</v>
      </c>
      <c r="BI11" s="25">
        <v>244</v>
      </c>
      <c r="BJ11" s="25">
        <v>115</v>
      </c>
      <c r="BK11" s="25">
        <v>18</v>
      </c>
      <c r="BL11" s="25">
        <v>23</v>
      </c>
      <c r="BM11" s="25">
        <v>1132</v>
      </c>
      <c r="BN11" s="25">
        <v>197</v>
      </c>
      <c r="BO11" s="25">
        <v>694</v>
      </c>
      <c r="BP11" s="25">
        <v>159</v>
      </c>
      <c r="BQ11" s="25">
        <v>675</v>
      </c>
      <c r="BR11" s="25">
        <v>155</v>
      </c>
      <c r="BS11" s="25">
        <v>19</v>
      </c>
      <c r="BT11" s="25">
        <v>22</v>
      </c>
      <c r="BU11" s="25">
        <v>120</v>
      </c>
      <c r="BV11" s="25">
        <v>60</v>
      </c>
      <c r="BW11" s="25">
        <v>30</v>
      </c>
      <c r="BX11" s="25">
        <v>23</v>
      </c>
      <c r="BY11" s="25">
        <v>273</v>
      </c>
      <c r="BZ11" s="25">
        <v>125</v>
      </c>
      <c r="CA11" s="25">
        <v>5</v>
      </c>
      <c r="CB11" s="25">
        <v>7</v>
      </c>
      <c r="CC11" s="25">
        <v>10</v>
      </c>
      <c r="CD11" s="25">
        <v>11</v>
      </c>
      <c r="CE11" s="25">
        <v>0</v>
      </c>
      <c r="CF11" s="25">
        <v>26</v>
      </c>
      <c r="CG11" s="25">
        <v>2278</v>
      </c>
      <c r="CH11" s="25">
        <v>300</v>
      </c>
      <c r="CI11" s="25">
        <v>1000</v>
      </c>
      <c r="CJ11" s="25">
        <v>230</v>
      </c>
      <c r="CK11" s="25">
        <v>876</v>
      </c>
      <c r="CL11" s="25">
        <v>213</v>
      </c>
      <c r="CM11" s="25">
        <v>124</v>
      </c>
      <c r="CN11" s="25">
        <v>58</v>
      </c>
      <c r="CO11" s="25">
        <v>216</v>
      </c>
      <c r="CP11" s="25">
        <v>89</v>
      </c>
      <c r="CQ11" s="25">
        <v>155</v>
      </c>
      <c r="CR11" s="25">
        <v>67</v>
      </c>
      <c r="CS11" s="25">
        <v>673</v>
      </c>
      <c r="CT11" s="25">
        <v>182</v>
      </c>
      <c r="CU11" s="25">
        <v>70</v>
      </c>
      <c r="CV11" s="25">
        <v>48</v>
      </c>
      <c r="CW11" s="25">
        <v>162</v>
      </c>
      <c r="CX11" s="25">
        <v>81</v>
      </c>
      <c r="CY11" s="25">
        <v>2</v>
      </c>
      <c r="CZ11" s="25">
        <v>3</v>
      </c>
      <c r="DA11" s="25">
        <v>1608</v>
      </c>
      <c r="DB11" s="25">
        <v>264</v>
      </c>
      <c r="DC11" s="25">
        <v>1015</v>
      </c>
      <c r="DD11" s="25">
        <v>227</v>
      </c>
      <c r="DE11" s="25">
        <v>984</v>
      </c>
      <c r="DF11" s="25">
        <v>232</v>
      </c>
      <c r="DG11" s="25">
        <v>31</v>
      </c>
      <c r="DH11" s="25">
        <v>22</v>
      </c>
      <c r="DI11" s="25">
        <v>137</v>
      </c>
      <c r="DJ11" s="25">
        <v>56</v>
      </c>
      <c r="DK11" s="25">
        <v>58</v>
      </c>
      <c r="DL11" s="25">
        <v>33</v>
      </c>
      <c r="DM11" s="25">
        <v>253</v>
      </c>
      <c r="DN11" s="25">
        <v>89</v>
      </c>
      <c r="DO11" s="25">
        <v>26</v>
      </c>
      <c r="DP11" s="25">
        <v>26</v>
      </c>
      <c r="DQ11" s="25">
        <v>119</v>
      </c>
      <c r="DR11" s="25">
        <v>109</v>
      </c>
      <c r="DS11" s="25">
        <v>0</v>
      </c>
      <c r="DT11" s="25">
        <v>26</v>
      </c>
      <c r="DU11" s="25">
        <v>2479</v>
      </c>
      <c r="DV11" s="25">
        <v>290</v>
      </c>
      <c r="DW11" s="25">
        <v>1389</v>
      </c>
      <c r="DX11" s="25">
        <v>237</v>
      </c>
      <c r="DY11" s="25">
        <v>933</v>
      </c>
      <c r="DZ11" s="25">
        <v>172</v>
      </c>
      <c r="EA11" s="25">
        <v>456</v>
      </c>
      <c r="EB11" s="25">
        <v>126</v>
      </c>
      <c r="EC11" s="25">
        <v>110</v>
      </c>
      <c r="ED11" s="25">
        <v>44</v>
      </c>
      <c r="EE11" s="25">
        <v>52</v>
      </c>
      <c r="EF11" s="25">
        <v>34</v>
      </c>
      <c r="EG11" s="25">
        <v>67</v>
      </c>
      <c r="EH11" s="25">
        <v>43</v>
      </c>
      <c r="EI11" s="25">
        <v>41</v>
      </c>
      <c r="EJ11" s="25">
        <v>31</v>
      </c>
      <c r="EK11" s="25">
        <v>778</v>
      </c>
      <c r="EL11" s="25">
        <v>133</v>
      </c>
      <c r="EM11" s="25">
        <v>42</v>
      </c>
      <c r="EN11" s="25">
        <v>41</v>
      </c>
    </row>
    <row r="12" spans="1:144" x14ac:dyDescent="0.25">
      <c r="A12" s="19">
        <f t="shared" si="8"/>
        <v>7</v>
      </c>
      <c r="B12" s="20" t="str">
        <f t="shared" si="9"/>
        <v>Carbon</v>
      </c>
      <c r="C12" s="24" t="s">
        <v>294</v>
      </c>
      <c r="D12" s="24" t="s">
        <v>295</v>
      </c>
      <c r="E12" s="25">
        <v>9019</v>
      </c>
      <c r="F12" s="25">
        <v>367</v>
      </c>
      <c r="G12" s="25">
        <v>6401</v>
      </c>
      <c r="H12" s="25">
        <v>352</v>
      </c>
      <c r="I12" s="25">
        <v>6204</v>
      </c>
      <c r="J12" s="25">
        <v>350</v>
      </c>
      <c r="K12" s="25">
        <v>197</v>
      </c>
      <c r="L12" s="25">
        <v>81</v>
      </c>
      <c r="M12" s="25">
        <v>285</v>
      </c>
      <c r="N12" s="25">
        <v>87</v>
      </c>
      <c r="O12" s="25">
        <v>894</v>
      </c>
      <c r="P12" s="25">
        <v>160</v>
      </c>
      <c r="Q12" s="25">
        <v>790</v>
      </c>
      <c r="R12" s="25">
        <v>132</v>
      </c>
      <c r="S12" s="25">
        <v>223</v>
      </c>
      <c r="T12" s="25">
        <v>77</v>
      </c>
      <c r="U12" s="25">
        <v>389</v>
      </c>
      <c r="V12" s="25">
        <v>94</v>
      </c>
      <c r="W12" s="25">
        <v>37</v>
      </c>
      <c r="X12" s="25">
        <v>26</v>
      </c>
      <c r="Y12" s="25">
        <v>7275</v>
      </c>
      <c r="Z12" s="25">
        <v>383</v>
      </c>
      <c r="AA12" s="25">
        <v>5135</v>
      </c>
      <c r="AB12" s="25">
        <v>378</v>
      </c>
      <c r="AC12" s="25">
        <v>4984</v>
      </c>
      <c r="AD12" s="25">
        <v>377</v>
      </c>
      <c r="AE12" s="25">
        <v>151</v>
      </c>
      <c r="AF12" s="25">
        <v>76</v>
      </c>
      <c r="AG12" s="25">
        <v>202</v>
      </c>
      <c r="AH12" s="25">
        <v>60</v>
      </c>
      <c r="AI12" s="25">
        <v>832</v>
      </c>
      <c r="AJ12" s="25">
        <v>162</v>
      </c>
      <c r="AK12" s="25">
        <v>695</v>
      </c>
      <c r="AL12" s="25">
        <v>123</v>
      </c>
      <c r="AM12" s="25">
        <v>176</v>
      </c>
      <c r="AN12" s="25">
        <v>68</v>
      </c>
      <c r="AO12" s="25">
        <v>227</v>
      </c>
      <c r="AP12" s="25">
        <v>72</v>
      </c>
      <c r="AQ12" s="25">
        <v>8</v>
      </c>
      <c r="AR12" s="25">
        <v>12</v>
      </c>
      <c r="AS12" s="25">
        <v>1168</v>
      </c>
      <c r="AT12" s="25">
        <v>193</v>
      </c>
      <c r="AU12" s="25">
        <v>928</v>
      </c>
      <c r="AV12" s="25">
        <v>165</v>
      </c>
      <c r="AW12" s="25">
        <v>917</v>
      </c>
      <c r="AX12" s="25">
        <v>165</v>
      </c>
      <c r="AY12" s="25">
        <v>11</v>
      </c>
      <c r="AZ12" s="25">
        <v>13</v>
      </c>
      <c r="BA12" s="25">
        <v>48</v>
      </c>
      <c r="BB12" s="25">
        <v>49</v>
      </c>
      <c r="BC12" s="25">
        <v>29</v>
      </c>
      <c r="BD12" s="25">
        <v>23</v>
      </c>
      <c r="BE12" s="25">
        <v>59</v>
      </c>
      <c r="BF12" s="25">
        <v>41</v>
      </c>
      <c r="BG12" s="25">
        <v>36</v>
      </c>
      <c r="BH12" s="25">
        <v>31</v>
      </c>
      <c r="BI12" s="25">
        <v>68</v>
      </c>
      <c r="BJ12" s="25">
        <v>44</v>
      </c>
      <c r="BK12" s="25">
        <v>0</v>
      </c>
      <c r="BL12" s="25">
        <v>20</v>
      </c>
      <c r="BM12" s="25">
        <v>55</v>
      </c>
      <c r="BN12" s="25">
        <v>46</v>
      </c>
      <c r="BO12" s="25">
        <v>36</v>
      </c>
      <c r="BP12" s="25">
        <v>38</v>
      </c>
      <c r="BQ12" s="25">
        <v>36</v>
      </c>
      <c r="BR12" s="25">
        <v>38</v>
      </c>
      <c r="BS12" s="25">
        <v>0</v>
      </c>
      <c r="BT12" s="25">
        <v>20</v>
      </c>
      <c r="BU12" s="25">
        <v>10</v>
      </c>
      <c r="BV12" s="25">
        <v>16</v>
      </c>
      <c r="BW12" s="25">
        <v>9</v>
      </c>
      <c r="BX12" s="25">
        <v>14</v>
      </c>
      <c r="BY12" s="25">
        <v>0</v>
      </c>
      <c r="BZ12" s="25">
        <v>20</v>
      </c>
      <c r="CA12" s="25">
        <v>0</v>
      </c>
      <c r="CB12" s="25">
        <v>20</v>
      </c>
      <c r="CC12" s="25">
        <v>0</v>
      </c>
      <c r="CD12" s="25">
        <v>20</v>
      </c>
      <c r="CE12" s="25">
        <v>0</v>
      </c>
      <c r="CF12" s="25">
        <v>20</v>
      </c>
      <c r="CG12" s="25">
        <v>219</v>
      </c>
      <c r="CH12" s="25">
        <v>79</v>
      </c>
      <c r="CI12" s="25">
        <v>152</v>
      </c>
      <c r="CJ12" s="25">
        <v>69</v>
      </c>
      <c r="CK12" s="25">
        <v>138</v>
      </c>
      <c r="CL12" s="25">
        <v>65</v>
      </c>
      <c r="CM12" s="25">
        <v>14</v>
      </c>
      <c r="CN12" s="25">
        <v>21</v>
      </c>
      <c r="CO12" s="25">
        <v>12</v>
      </c>
      <c r="CP12" s="25">
        <v>20</v>
      </c>
      <c r="CQ12" s="25">
        <v>4</v>
      </c>
      <c r="CR12" s="25">
        <v>6</v>
      </c>
      <c r="CS12" s="25">
        <v>28</v>
      </c>
      <c r="CT12" s="25">
        <v>28</v>
      </c>
      <c r="CU12" s="25">
        <v>11</v>
      </c>
      <c r="CV12" s="25">
        <v>12</v>
      </c>
      <c r="CW12" s="25">
        <v>4</v>
      </c>
      <c r="CX12" s="25">
        <v>7</v>
      </c>
      <c r="CY12" s="25">
        <v>8</v>
      </c>
      <c r="CZ12" s="25">
        <v>13</v>
      </c>
      <c r="DA12" s="25">
        <v>69</v>
      </c>
      <c r="DB12" s="25">
        <v>42</v>
      </c>
      <c r="DC12" s="25">
        <v>55</v>
      </c>
      <c r="DD12" s="25">
        <v>38</v>
      </c>
      <c r="DE12" s="25">
        <v>55</v>
      </c>
      <c r="DF12" s="25">
        <v>38</v>
      </c>
      <c r="DG12" s="25">
        <v>0</v>
      </c>
      <c r="DH12" s="25">
        <v>20</v>
      </c>
      <c r="DI12" s="25">
        <v>0</v>
      </c>
      <c r="DJ12" s="25">
        <v>20</v>
      </c>
      <c r="DK12" s="25">
        <v>2</v>
      </c>
      <c r="DL12" s="25">
        <v>4</v>
      </c>
      <c r="DM12" s="25">
        <v>8</v>
      </c>
      <c r="DN12" s="25">
        <v>14</v>
      </c>
      <c r="DO12" s="25">
        <v>0</v>
      </c>
      <c r="DP12" s="25">
        <v>20</v>
      </c>
      <c r="DQ12" s="25">
        <v>4</v>
      </c>
      <c r="DR12" s="25">
        <v>6</v>
      </c>
      <c r="DS12" s="25">
        <v>0</v>
      </c>
      <c r="DT12" s="25">
        <v>20</v>
      </c>
      <c r="DU12" s="25">
        <v>233</v>
      </c>
      <c r="DV12" s="25">
        <v>94</v>
      </c>
      <c r="DW12" s="25">
        <v>95</v>
      </c>
      <c r="DX12" s="25">
        <v>45</v>
      </c>
      <c r="DY12" s="25">
        <v>74</v>
      </c>
      <c r="DZ12" s="25">
        <v>39</v>
      </c>
      <c r="EA12" s="25">
        <v>21</v>
      </c>
      <c r="EB12" s="25">
        <v>18</v>
      </c>
      <c r="EC12" s="25">
        <v>13</v>
      </c>
      <c r="ED12" s="25">
        <v>19</v>
      </c>
      <c r="EE12" s="25">
        <v>18</v>
      </c>
      <c r="EF12" s="25">
        <v>19</v>
      </c>
      <c r="EG12" s="25">
        <v>0</v>
      </c>
      <c r="EH12" s="25">
        <v>20</v>
      </c>
      <c r="EI12" s="25">
        <v>0</v>
      </c>
      <c r="EJ12" s="25">
        <v>20</v>
      </c>
      <c r="EK12" s="25">
        <v>86</v>
      </c>
      <c r="EL12" s="25">
        <v>56</v>
      </c>
      <c r="EM12" s="25">
        <v>21</v>
      </c>
      <c r="EN12" s="25">
        <v>19</v>
      </c>
    </row>
    <row r="13" spans="1:144" x14ac:dyDescent="0.25">
      <c r="A13" s="19">
        <f t="shared" si="8"/>
        <v>9</v>
      </c>
      <c r="B13" s="20" t="str">
        <f t="shared" si="9"/>
        <v>Daggett</v>
      </c>
      <c r="C13" s="24" t="s">
        <v>296</v>
      </c>
      <c r="D13" s="24" t="s">
        <v>297</v>
      </c>
      <c r="E13" s="25">
        <v>215</v>
      </c>
      <c r="F13" s="25">
        <v>55</v>
      </c>
      <c r="G13" s="25">
        <v>103</v>
      </c>
      <c r="H13" s="25">
        <v>36</v>
      </c>
      <c r="I13" s="25">
        <v>82</v>
      </c>
      <c r="J13" s="25">
        <v>32</v>
      </c>
      <c r="K13" s="25">
        <v>21</v>
      </c>
      <c r="L13" s="25">
        <v>17</v>
      </c>
      <c r="M13" s="25">
        <v>0</v>
      </c>
      <c r="N13" s="25">
        <v>11</v>
      </c>
      <c r="O13" s="25">
        <v>50</v>
      </c>
      <c r="P13" s="25">
        <v>23</v>
      </c>
      <c r="Q13" s="25">
        <v>9</v>
      </c>
      <c r="R13" s="25">
        <v>15</v>
      </c>
      <c r="S13" s="25">
        <v>35</v>
      </c>
      <c r="T13" s="25">
        <v>21</v>
      </c>
      <c r="U13" s="25">
        <v>18</v>
      </c>
      <c r="V13" s="25">
        <v>14</v>
      </c>
      <c r="W13" s="25">
        <v>0</v>
      </c>
      <c r="X13" s="25">
        <v>11</v>
      </c>
      <c r="Y13" s="25">
        <v>186</v>
      </c>
      <c r="Z13" s="25">
        <v>52</v>
      </c>
      <c r="AA13" s="25">
        <v>86</v>
      </c>
      <c r="AB13" s="25">
        <v>32</v>
      </c>
      <c r="AC13" s="25">
        <v>65</v>
      </c>
      <c r="AD13" s="25">
        <v>28</v>
      </c>
      <c r="AE13" s="25">
        <v>21</v>
      </c>
      <c r="AF13" s="25">
        <v>17</v>
      </c>
      <c r="AG13" s="25">
        <v>0</v>
      </c>
      <c r="AH13" s="25">
        <v>11</v>
      </c>
      <c r="AI13" s="25">
        <v>50</v>
      </c>
      <c r="AJ13" s="25">
        <v>23</v>
      </c>
      <c r="AK13" s="25">
        <v>9</v>
      </c>
      <c r="AL13" s="25">
        <v>15</v>
      </c>
      <c r="AM13" s="25">
        <v>31</v>
      </c>
      <c r="AN13" s="25">
        <v>20</v>
      </c>
      <c r="AO13" s="25">
        <v>10</v>
      </c>
      <c r="AP13" s="25">
        <v>10</v>
      </c>
      <c r="AQ13" s="25">
        <v>0</v>
      </c>
      <c r="AR13" s="25">
        <v>11</v>
      </c>
      <c r="AS13" s="25">
        <v>8</v>
      </c>
      <c r="AT13" s="25">
        <v>8</v>
      </c>
      <c r="AU13" s="25">
        <v>4</v>
      </c>
      <c r="AV13" s="25">
        <v>6</v>
      </c>
      <c r="AW13" s="25">
        <v>4</v>
      </c>
      <c r="AX13" s="25">
        <v>6</v>
      </c>
      <c r="AY13" s="25">
        <v>0</v>
      </c>
      <c r="AZ13" s="25">
        <v>11</v>
      </c>
      <c r="BA13" s="25">
        <v>0</v>
      </c>
      <c r="BB13" s="25">
        <v>11</v>
      </c>
      <c r="BC13" s="25">
        <v>0</v>
      </c>
      <c r="BD13" s="25">
        <v>11</v>
      </c>
      <c r="BE13" s="25">
        <v>0</v>
      </c>
      <c r="BF13" s="25">
        <v>11</v>
      </c>
      <c r="BG13" s="25">
        <v>4</v>
      </c>
      <c r="BH13" s="25">
        <v>5</v>
      </c>
      <c r="BI13" s="25">
        <v>0</v>
      </c>
      <c r="BJ13" s="25">
        <v>11</v>
      </c>
      <c r="BK13" s="25">
        <v>0</v>
      </c>
      <c r="BL13" s="25">
        <v>11</v>
      </c>
      <c r="BM13" s="25">
        <v>3</v>
      </c>
      <c r="BN13" s="25">
        <v>4</v>
      </c>
      <c r="BO13" s="25">
        <v>3</v>
      </c>
      <c r="BP13" s="25">
        <v>4</v>
      </c>
      <c r="BQ13" s="25">
        <v>3</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1</v>
      </c>
      <c r="CH13" s="25">
        <v>4</v>
      </c>
      <c r="CI13" s="25">
        <v>1</v>
      </c>
      <c r="CJ13" s="25">
        <v>4</v>
      </c>
      <c r="CK13" s="25">
        <v>1</v>
      </c>
      <c r="CL13" s="25">
        <v>4</v>
      </c>
      <c r="CM13" s="25">
        <v>0</v>
      </c>
      <c r="CN13" s="25">
        <v>11</v>
      </c>
      <c r="CO13" s="25">
        <v>0</v>
      </c>
      <c r="CP13" s="25">
        <v>11</v>
      </c>
      <c r="CQ13" s="25">
        <v>0</v>
      </c>
      <c r="CR13" s="25">
        <v>11</v>
      </c>
      <c r="CS13" s="25">
        <v>0</v>
      </c>
      <c r="CT13" s="25">
        <v>11</v>
      </c>
      <c r="CU13" s="25">
        <v>0</v>
      </c>
      <c r="CV13" s="25">
        <v>11</v>
      </c>
      <c r="CW13" s="25">
        <v>0</v>
      </c>
      <c r="CX13" s="25">
        <v>11</v>
      </c>
      <c r="CY13" s="25">
        <v>0</v>
      </c>
      <c r="CZ13" s="25">
        <v>11</v>
      </c>
      <c r="DA13" s="25">
        <v>5</v>
      </c>
      <c r="DB13" s="25">
        <v>7</v>
      </c>
      <c r="DC13" s="25">
        <v>5</v>
      </c>
      <c r="DD13" s="25">
        <v>7</v>
      </c>
      <c r="DE13" s="25">
        <v>5</v>
      </c>
      <c r="DF13" s="25">
        <v>7</v>
      </c>
      <c r="DG13" s="25">
        <v>0</v>
      </c>
      <c r="DH13" s="25">
        <v>11</v>
      </c>
      <c r="DI13" s="25">
        <v>0</v>
      </c>
      <c r="DJ13" s="25">
        <v>11</v>
      </c>
      <c r="DK13" s="25">
        <v>0</v>
      </c>
      <c r="DL13" s="25">
        <v>11</v>
      </c>
      <c r="DM13" s="25">
        <v>0</v>
      </c>
      <c r="DN13" s="25">
        <v>11</v>
      </c>
      <c r="DO13" s="25">
        <v>0</v>
      </c>
      <c r="DP13" s="25">
        <v>11</v>
      </c>
      <c r="DQ13" s="25">
        <v>0</v>
      </c>
      <c r="DR13" s="25">
        <v>11</v>
      </c>
      <c r="DS13" s="25">
        <v>0</v>
      </c>
      <c r="DT13" s="25">
        <v>11</v>
      </c>
      <c r="DU13" s="25">
        <v>12</v>
      </c>
      <c r="DV13" s="25">
        <v>10</v>
      </c>
      <c r="DW13" s="25">
        <v>4</v>
      </c>
      <c r="DX13" s="25">
        <v>6</v>
      </c>
      <c r="DY13" s="25">
        <v>4</v>
      </c>
      <c r="DZ13" s="25">
        <v>6</v>
      </c>
      <c r="EA13" s="25">
        <v>0</v>
      </c>
      <c r="EB13" s="25">
        <v>11</v>
      </c>
      <c r="EC13" s="25">
        <v>0</v>
      </c>
      <c r="ED13" s="25">
        <v>11</v>
      </c>
      <c r="EE13" s="25">
        <v>0</v>
      </c>
      <c r="EF13" s="25">
        <v>11</v>
      </c>
      <c r="EG13" s="25">
        <v>0</v>
      </c>
      <c r="EH13" s="25">
        <v>11</v>
      </c>
      <c r="EI13" s="25">
        <v>0</v>
      </c>
      <c r="EJ13" s="25">
        <v>11</v>
      </c>
      <c r="EK13" s="25">
        <v>8</v>
      </c>
      <c r="EL13" s="25">
        <v>9</v>
      </c>
      <c r="EM13" s="25">
        <v>0</v>
      </c>
      <c r="EN13" s="25">
        <v>11</v>
      </c>
    </row>
    <row r="14" spans="1:144" x14ac:dyDescent="0.25">
      <c r="A14" s="19">
        <f t="shared" si="8"/>
        <v>11</v>
      </c>
      <c r="B14" s="20" t="str">
        <f t="shared" si="9"/>
        <v>Davis</v>
      </c>
      <c r="C14" s="24" t="s">
        <v>298</v>
      </c>
      <c r="D14" s="24" t="s">
        <v>299</v>
      </c>
      <c r="E14" s="25">
        <v>148155</v>
      </c>
      <c r="F14" s="25">
        <v>1353</v>
      </c>
      <c r="G14" s="25">
        <v>101837</v>
      </c>
      <c r="H14" s="25">
        <v>1602</v>
      </c>
      <c r="I14" s="25">
        <v>96564</v>
      </c>
      <c r="J14" s="25">
        <v>1575</v>
      </c>
      <c r="K14" s="25">
        <v>5273</v>
      </c>
      <c r="L14" s="25">
        <v>515</v>
      </c>
      <c r="M14" s="25">
        <v>9997</v>
      </c>
      <c r="N14" s="25">
        <v>575</v>
      </c>
      <c r="O14" s="25">
        <v>9591</v>
      </c>
      <c r="P14" s="25">
        <v>612</v>
      </c>
      <c r="Q14" s="25">
        <v>7566</v>
      </c>
      <c r="R14" s="25">
        <v>578</v>
      </c>
      <c r="S14" s="25">
        <v>13043</v>
      </c>
      <c r="T14" s="25">
        <v>777</v>
      </c>
      <c r="U14" s="25">
        <v>5967</v>
      </c>
      <c r="V14" s="25">
        <v>539</v>
      </c>
      <c r="W14" s="25">
        <v>154</v>
      </c>
      <c r="X14" s="25">
        <v>80</v>
      </c>
      <c r="Y14" s="25">
        <v>117599</v>
      </c>
      <c r="Z14" s="25">
        <v>1748</v>
      </c>
      <c r="AA14" s="25">
        <v>82265</v>
      </c>
      <c r="AB14" s="25">
        <v>1864</v>
      </c>
      <c r="AC14" s="25">
        <v>78728</v>
      </c>
      <c r="AD14" s="25">
        <v>1808</v>
      </c>
      <c r="AE14" s="25">
        <v>3537</v>
      </c>
      <c r="AF14" s="25">
        <v>399</v>
      </c>
      <c r="AG14" s="25">
        <v>7405</v>
      </c>
      <c r="AH14" s="25">
        <v>511</v>
      </c>
      <c r="AI14" s="25">
        <v>8090</v>
      </c>
      <c r="AJ14" s="25">
        <v>595</v>
      </c>
      <c r="AK14" s="25">
        <v>5754</v>
      </c>
      <c r="AL14" s="25">
        <v>510</v>
      </c>
      <c r="AM14" s="25">
        <v>11133</v>
      </c>
      <c r="AN14" s="25">
        <v>691</v>
      </c>
      <c r="AO14" s="25">
        <v>2886</v>
      </c>
      <c r="AP14" s="25">
        <v>398</v>
      </c>
      <c r="AQ14" s="25">
        <v>66</v>
      </c>
      <c r="AR14" s="25">
        <v>37</v>
      </c>
      <c r="AS14" s="25">
        <v>13921</v>
      </c>
      <c r="AT14" s="25">
        <v>936</v>
      </c>
      <c r="AU14" s="25">
        <v>9354</v>
      </c>
      <c r="AV14" s="25">
        <v>688</v>
      </c>
      <c r="AW14" s="25">
        <v>8748</v>
      </c>
      <c r="AX14" s="25">
        <v>659</v>
      </c>
      <c r="AY14" s="25">
        <v>606</v>
      </c>
      <c r="AZ14" s="25">
        <v>178</v>
      </c>
      <c r="BA14" s="25">
        <v>1192</v>
      </c>
      <c r="BB14" s="25">
        <v>271</v>
      </c>
      <c r="BC14" s="25">
        <v>870</v>
      </c>
      <c r="BD14" s="25">
        <v>177</v>
      </c>
      <c r="BE14" s="25">
        <v>848</v>
      </c>
      <c r="BF14" s="25">
        <v>195</v>
      </c>
      <c r="BG14" s="25">
        <v>1148</v>
      </c>
      <c r="BH14" s="25">
        <v>247</v>
      </c>
      <c r="BI14" s="25">
        <v>479</v>
      </c>
      <c r="BJ14" s="25">
        <v>144</v>
      </c>
      <c r="BK14" s="25">
        <v>30</v>
      </c>
      <c r="BL14" s="25">
        <v>27</v>
      </c>
      <c r="BM14" s="25">
        <v>4076</v>
      </c>
      <c r="BN14" s="25">
        <v>432</v>
      </c>
      <c r="BO14" s="25">
        <v>1938</v>
      </c>
      <c r="BP14" s="25">
        <v>342</v>
      </c>
      <c r="BQ14" s="25">
        <v>1889</v>
      </c>
      <c r="BR14" s="25">
        <v>339</v>
      </c>
      <c r="BS14" s="25">
        <v>49</v>
      </c>
      <c r="BT14" s="25">
        <v>45</v>
      </c>
      <c r="BU14" s="25">
        <v>974</v>
      </c>
      <c r="BV14" s="25">
        <v>210</v>
      </c>
      <c r="BW14" s="25">
        <v>231</v>
      </c>
      <c r="BX14" s="25">
        <v>103</v>
      </c>
      <c r="BY14" s="25">
        <v>598</v>
      </c>
      <c r="BZ14" s="25">
        <v>155</v>
      </c>
      <c r="CA14" s="25">
        <v>271</v>
      </c>
      <c r="CB14" s="25">
        <v>132</v>
      </c>
      <c r="CC14" s="25">
        <v>64</v>
      </c>
      <c r="CD14" s="25">
        <v>43</v>
      </c>
      <c r="CE14" s="25">
        <v>0</v>
      </c>
      <c r="CF14" s="25">
        <v>26</v>
      </c>
      <c r="CG14" s="25">
        <v>2385</v>
      </c>
      <c r="CH14" s="25">
        <v>422</v>
      </c>
      <c r="CI14" s="25">
        <v>1879</v>
      </c>
      <c r="CJ14" s="25">
        <v>371</v>
      </c>
      <c r="CK14" s="25">
        <v>1797</v>
      </c>
      <c r="CL14" s="25">
        <v>367</v>
      </c>
      <c r="CM14" s="25">
        <v>82</v>
      </c>
      <c r="CN14" s="25">
        <v>48</v>
      </c>
      <c r="CO14" s="25">
        <v>41</v>
      </c>
      <c r="CP14" s="25">
        <v>36</v>
      </c>
      <c r="CQ14" s="25">
        <v>172</v>
      </c>
      <c r="CR14" s="25">
        <v>84</v>
      </c>
      <c r="CS14" s="25">
        <v>77</v>
      </c>
      <c r="CT14" s="25">
        <v>71</v>
      </c>
      <c r="CU14" s="25">
        <v>85</v>
      </c>
      <c r="CV14" s="25">
        <v>55</v>
      </c>
      <c r="CW14" s="25">
        <v>131</v>
      </c>
      <c r="CX14" s="25">
        <v>68</v>
      </c>
      <c r="CY14" s="25">
        <v>0</v>
      </c>
      <c r="CZ14" s="25">
        <v>26</v>
      </c>
      <c r="DA14" s="25">
        <v>2448</v>
      </c>
      <c r="DB14" s="25">
        <v>428</v>
      </c>
      <c r="DC14" s="25">
        <v>1752</v>
      </c>
      <c r="DD14" s="25">
        <v>375</v>
      </c>
      <c r="DE14" s="25">
        <v>1710</v>
      </c>
      <c r="DF14" s="25">
        <v>380</v>
      </c>
      <c r="DG14" s="25">
        <v>42</v>
      </c>
      <c r="DH14" s="25">
        <v>37</v>
      </c>
      <c r="DI14" s="25">
        <v>85</v>
      </c>
      <c r="DJ14" s="25">
        <v>58</v>
      </c>
      <c r="DK14" s="25">
        <v>138</v>
      </c>
      <c r="DL14" s="25">
        <v>74</v>
      </c>
      <c r="DM14" s="25">
        <v>126</v>
      </c>
      <c r="DN14" s="25">
        <v>52</v>
      </c>
      <c r="DO14" s="25">
        <v>111</v>
      </c>
      <c r="DP14" s="25">
        <v>56</v>
      </c>
      <c r="DQ14" s="25">
        <v>231</v>
      </c>
      <c r="DR14" s="25">
        <v>129</v>
      </c>
      <c r="DS14" s="25">
        <v>5</v>
      </c>
      <c r="DT14" s="25">
        <v>9</v>
      </c>
      <c r="DU14" s="25">
        <v>7726</v>
      </c>
      <c r="DV14" s="25">
        <v>592</v>
      </c>
      <c r="DW14" s="25">
        <v>4649</v>
      </c>
      <c r="DX14" s="25">
        <v>441</v>
      </c>
      <c r="DY14" s="25">
        <v>3692</v>
      </c>
      <c r="DZ14" s="25">
        <v>403</v>
      </c>
      <c r="EA14" s="25">
        <v>957</v>
      </c>
      <c r="EB14" s="25">
        <v>226</v>
      </c>
      <c r="EC14" s="25">
        <v>300</v>
      </c>
      <c r="ED14" s="25">
        <v>106</v>
      </c>
      <c r="EE14" s="25">
        <v>90</v>
      </c>
      <c r="EF14" s="25">
        <v>54</v>
      </c>
      <c r="EG14" s="25">
        <v>163</v>
      </c>
      <c r="EH14" s="25">
        <v>90</v>
      </c>
      <c r="EI14" s="25">
        <v>295</v>
      </c>
      <c r="EJ14" s="25">
        <v>159</v>
      </c>
      <c r="EK14" s="25">
        <v>2176</v>
      </c>
      <c r="EL14" s="25">
        <v>278</v>
      </c>
      <c r="EM14" s="25">
        <v>53</v>
      </c>
      <c r="EN14" s="25">
        <v>51</v>
      </c>
    </row>
    <row r="15" spans="1:144" x14ac:dyDescent="0.25">
      <c r="A15" s="19">
        <f t="shared" si="8"/>
        <v>13</v>
      </c>
      <c r="B15" s="20" t="str">
        <f t="shared" si="9"/>
        <v>Duchesne</v>
      </c>
      <c r="C15" s="24" t="s">
        <v>300</v>
      </c>
      <c r="D15" s="24" t="s">
        <v>301</v>
      </c>
      <c r="E15" s="25">
        <v>7758</v>
      </c>
      <c r="F15" s="25">
        <v>232</v>
      </c>
      <c r="G15" s="25">
        <v>5562</v>
      </c>
      <c r="H15" s="25">
        <v>264</v>
      </c>
      <c r="I15" s="25">
        <v>4986</v>
      </c>
      <c r="J15" s="25">
        <v>268</v>
      </c>
      <c r="K15" s="25">
        <v>576</v>
      </c>
      <c r="L15" s="25">
        <v>91</v>
      </c>
      <c r="M15" s="25">
        <v>263</v>
      </c>
      <c r="N15" s="25">
        <v>63</v>
      </c>
      <c r="O15" s="25">
        <v>1020</v>
      </c>
      <c r="P15" s="25">
        <v>125</v>
      </c>
      <c r="Q15" s="25">
        <v>382</v>
      </c>
      <c r="R15" s="25">
        <v>95</v>
      </c>
      <c r="S15" s="25">
        <v>181</v>
      </c>
      <c r="T15" s="25">
        <v>57</v>
      </c>
      <c r="U15" s="25">
        <v>333</v>
      </c>
      <c r="V15" s="25">
        <v>76</v>
      </c>
      <c r="W15" s="25">
        <v>17</v>
      </c>
      <c r="X15" s="25">
        <v>14</v>
      </c>
      <c r="Y15" s="25">
        <v>6520</v>
      </c>
      <c r="Z15" s="25">
        <v>225</v>
      </c>
      <c r="AA15" s="25">
        <v>4707</v>
      </c>
      <c r="AB15" s="25">
        <v>242</v>
      </c>
      <c r="AC15" s="25">
        <v>4281</v>
      </c>
      <c r="AD15" s="25">
        <v>240</v>
      </c>
      <c r="AE15" s="25">
        <v>426</v>
      </c>
      <c r="AF15" s="25">
        <v>82</v>
      </c>
      <c r="AG15" s="25">
        <v>210</v>
      </c>
      <c r="AH15" s="25">
        <v>53</v>
      </c>
      <c r="AI15" s="25">
        <v>871</v>
      </c>
      <c r="AJ15" s="25">
        <v>111</v>
      </c>
      <c r="AK15" s="25">
        <v>348</v>
      </c>
      <c r="AL15" s="25">
        <v>91</v>
      </c>
      <c r="AM15" s="25">
        <v>164</v>
      </c>
      <c r="AN15" s="25">
        <v>56</v>
      </c>
      <c r="AO15" s="25">
        <v>208</v>
      </c>
      <c r="AP15" s="25">
        <v>57</v>
      </c>
      <c r="AQ15" s="25">
        <v>12</v>
      </c>
      <c r="AR15" s="25">
        <v>10</v>
      </c>
      <c r="AS15" s="25">
        <v>651</v>
      </c>
      <c r="AT15" s="25">
        <v>115</v>
      </c>
      <c r="AU15" s="25">
        <v>484</v>
      </c>
      <c r="AV15" s="25">
        <v>89</v>
      </c>
      <c r="AW15" s="25">
        <v>453</v>
      </c>
      <c r="AX15" s="25">
        <v>88</v>
      </c>
      <c r="AY15" s="25">
        <v>31</v>
      </c>
      <c r="AZ15" s="25">
        <v>24</v>
      </c>
      <c r="BA15" s="25">
        <v>22</v>
      </c>
      <c r="BB15" s="25">
        <v>18</v>
      </c>
      <c r="BC15" s="25">
        <v>97</v>
      </c>
      <c r="BD15" s="25">
        <v>48</v>
      </c>
      <c r="BE15" s="25">
        <v>6</v>
      </c>
      <c r="BF15" s="25">
        <v>8</v>
      </c>
      <c r="BG15" s="25">
        <v>10</v>
      </c>
      <c r="BH15" s="25">
        <v>11</v>
      </c>
      <c r="BI15" s="25">
        <v>32</v>
      </c>
      <c r="BJ15" s="25">
        <v>30</v>
      </c>
      <c r="BK15" s="25">
        <v>0</v>
      </c>
      <c r="BL15" s="25">
        <v>20</v>
      </c>
      <c r="BM15" s="25">
        <v>38</v>
      </c>
      <c r="BN15" s="25">
        <v>19</v>
      </c>
      <c r="BO15" s="25">
        <v>7</v>
      </c>
      <c r="BP15" s="25">
        <v>11</v>
      </c>
      <c r="BQ15" s="25">
        <v>7</v>
      </c>
      <c r="BR15" s="25">
        <v>11</v>
      </c>
      <c r="BS15" s="25">
        <v>0</v>
      </c>
      <c r="BT15" s="25">
        <v>20</v>
      </c>
      <c r="BU15" s="25">
        <v>0</v>
      </c>
      <c r="BV15" s="25">
        <v>20</v>
      </c>
      <c r="BW15" s="25">
        <v>25</v>
      </c>
      <c r="BX15" s="25">
        <v>16</v>
      </c>
      <c r="BY15" s="25">
        <v>0</v>
      </c>
      <c r="BZ15" s="25">
        <v>20</v>
      </c>
      <c r="CA15" s="25">
        <v>0</v>
      </c>
      <c r="CB15" s="25">
        <v>20</v>
      </c>
      <c r="CC15" s="25">
        <v>6</v>
      </c>
      <c r="CD15" s="25">
        <v>9</v>
      </c>
      <c r="CE15" s="25">
        <v>0</v>
      </c>
      <c r="CF15" s="25">
        <v>20</v>
      </c>
      <c r="CG15" s="25">
        <v>248</v>
      </c>
      <c r="CH15" s="25">
        <v>65</v>
      </c>
      <c r="CI15" s="25">
        <v>164</v>
      </c>
      <c r="CJ15" s="25">
        <v>57</v>
      </c>
      <c r="CK15" s="25">
        <v>116</v>
      </c>
      <c r="CL15" s="25">
        <v>49</v>
      </c>
      <c r="CM15" s="25">
        <v>48</v>
      </c>
      <c r="CN15" s="25">
        <v>25</v>
      </c>
      <c r="CO15" s="25">
        <v>14</v>
      </c>
      <c r="CP15" s="25">
        <v>13</v>
      </c>
      <c r="CQ15" s="25">
        <v>19</v>
      </c>
      <c r="CR15" s="25">
        <v>13</v>
      </c>
      <c r="CS15" s="25">
        <v>23</v>
      </c>
      <c r="CT15" s="25">
        <v>24</v>
      </c>
      <c r="CU15" s="25">
        <v>3</v>
      </c>
      <c r="CV15" s="25">
        <v>4</v>
      </c>
      <c r="CW15" s="25">
        <v>20</v>
      </c>
      <c r="CX15" s="25">
        <v>15</v>
      </c>
      <c r="CY15" s="25">
        <v>5</v>
      </c>
      <c r="CZ15" s="25">
        <v>6</v>
      </c>
      <c r="DA15" s="25">
        <v>62</v>
      </c>
      <c r="DB15" s="25">
        <v>27</v>
      </c>
      <c r="DC15" s="25">
        <v>48</v>
      </c>
      <c r="DD15" s="25">
        <v>23</v>
      </c>
      <c r="DE15" s="25">
        <v>48</v>
      </c>
      <c r="DF15" s="25">
        <v>23</v>
      </c>
      <c r="DG15" s="25">
        <v>0</v>
      </c>
      <c r="DH15" s="25">
        <v>20</v>
      </c>
      <c r="DI15" s="25">
        <v>5</v>
      </c>
      <c r="DJ15" s="25">
        <v>7</v>
      </c>
      <c r="DK15" s="25">
        <v>4</v>
      </c>
      <c r="DL15" s="25">
        <v>5</v>
      </c>
      <c r="DM15" s="25">
        <v>0</v>
      </c>
      <c r="DN15" s="25">
        <v>20</v>
      </c>
      <c r="DO15" s="25">
        <v>0</v>
      </c>
      <c r="DP15" s="25">
        <v>20</v>
      </c>
      <c r="DQ15" s="25">
        <v>5</v>
      </c>
      <c r="DR15" s="25">
        <v>8</v>
      </c>
      <c r="DS15" s="25">
        <v>0</v>
      </c>
      <c r="DT15" s="25">
        <v>20</v>
      </c>
      <c r="DU15" s="25">
        <v>239</v>
      </c>
      <c r="DV15" s="25">
        <v>58</v>
      </c>
      <c r="DW15" s="25">
        <v>152</v>
      </c>
      <c r="DX15" s="25">
        <v>47</v>
      </c>
      <c r="DY15" s="25">
        <v>81</v>
      </c>
      <c r="DZ15" s="25">
        <v>33</v>
      </c>
      <c r="EA15" s="25">
        <v>71</v>
      </c>
      <c r="EB15" s="25">
        <v>30</v>
      </c>
      <c r="EC15" s="25">
        <v>12</v>
      </c>
      <c r="ED15" s="25">
        <v>14</v>
      </c>
      <c r="EE15" s="25">
        <v>4</v>
      </c>
      <c r="EF15" s="25">
        <v>6</v>
      </c>
      <c r="EG15" s="25">
        <v>5</v>
      </c>
      <c r="EH15" s="25">
        <v>7</v>
      </c>
      <c r="EI15" s="25">
        <v>4</v>
      </c>
      <c r="EJ15" s="25">
        <v>6</v>
      </c>
      <c r="EK15" s="25">
        <v>62</v>
      </c>
      <c r="EL15" s="25">
        <v>22</v>
      </c>
      <c r="EM15" s="25">
        <v>0</v>
      </c>
      <c r="EN15" s="25">
        <v>20</v>
      </c>
    </row>
    <row r="16" spans="1:144" x14ac:dyDescent="0.25">
      <c r="A16" s="19">
        <f t="shared" si="8"/>
        <v>15</v>
      </c>
      <c r="B16" s="20" t="str">
        <f t="shared" si="9"/>
        <v>Emery</v>
      </c>
      <c r="C16" s="24" t="s">
        <v>302</v>
      </c>
      <c r="D16" s="24" t="s">
        <v>303</v>
      </c>
      <c r="E16" s="25">
        <v>4023</v>
      </c>
      <c r="F16" s="25">
        <v>188</v>
      </c>
      <c r="G16" s="25">
        <v>2717</v>
      </c>
      <c r="H16" s="25">
        <v>178</v>
      </c>
      <c r="I16" s="25">
        <v>2668</v>
      </c>
      <c r="J16" s="25">
        <v>172</v>
      </c>
      <c r="K16" s="25">
        <v>49</v>
      </c>
      <c r="L16" s="25">
        <v>30</v>
      </c>
      <c r="M16" s="25">
        <v>168</v>
      </c>
      <c r="N16" s="25">
        <v>55</v>
      </c>
      <c r="O16" s="25">
        <v>541</v>
      </c>
      <c r="P16" s="25">
        <v>89</v>
      </c>
      <c r="Q16" s="25">
        <v>234</v>
      </c>
      <c r="R16" s="25">
        <v>55</v>
      </c>
      <c r="S16" s="25">
        <v>115</v>
      </c>
      <c r="T16" s="25">
        <v>50</v>
      </c>
      <c r="U16" s="25">
        <v>240</v>
      </c>
      <c r="V16" s="25">
        <v>77</v>
      </c>
      <c r="W16" s="25">
        <v>8</v>
      </c>
      <c r="X16" s="25">
        <v>8</v>
      </c>
      <c r="Y16" s="25">
        <v>3216</v>
      </c>
      <c r="Z16" s="25">
        <v>154</v>
      </c>
      <c r="AA16" s="25">
        <v>2231</v>
      </c>
      <c r="AB16" s="25">
        <v>156</v>
      </c>
      <c r="AC16" s="25">
        <v>2210</v>
      </c>
      <c r="AD16" s="25">
        <v>157</v>
      </c>
      <c r="AE16" s="25">
        <v>21</v>
      </c>
      <c r="AF16" s="25">
        <v>15</v>
      </c>
      <c r="AG16" s="25">
        <v>151</v>
      </c>
      <c r="AH16" s="25">
        <v>53</v>
      </c>
      <c r="AI16" s="25">
        <v>440</v>
      </c>
      <c r="AJ16" s="25">
        <v>84</v>
      </c>
      <c r="AK16" s="25">
        <v>215</v>
      </c>
      <c r="AL16" s="25">
        <v>52</v>
      </c>
      <c r="AM16" s="25">
        <v>87</v>
      </c>
      <c r="AN16" s="25">
        <v>44</v>
      </c>
      <c r="AO16" s="25">
        <v>88</v>
      </c>
      <c r="AP16" s="25">
        <v>43</v>
      </c>
      <c r="AQ16" s="25">
        <v>4</v>
      </c>
      <c r="AR16" s="25">
        <v>6</v>
      </c>
      <c r="AS16" s="25">
        <v>402</v>
      </c>
      <c r="AT16" s="25">
        <v>98</v>
      </c>
      <c r="AU16" s="25">
        <v>327</v>
      </c>
      <c r="AV16" s="25">
        <v>88</v>
      </c>
      <c r="AW16" s="25">
        <v>327</v>
      </c>
      <c r="AX16" s="25">
        <v>88</v>
      </c>
      <c r="AY16" s="25">
        <v>0</v>
      </c>
      <c r="AZ16" s="25">
        <v>17</v>
      </c>
      <c r="BA16" s="25">
        <v>5</v>
      </c>
      <c r="BB16" s="25">
        <v>6</v>
      </c>
      <c r="BC16" s="25">
        <v>44</v>
      </c>
      <c r="BD16" s="25">
        <v>27</v>
      </c>
      <c r="BE16" s="25">
        <v>13</v>
      </c>
      <c r="BF16" s="25">
        <v>16</v>
      </c>
      <c r="BG16" s="25">
        <v>4</v>
      </c>
      <c r="BH16" s="25">
        <v>5</v>
      </c>
      <c r="BI16" s="25">
        <v>9</v>
      </c>
      <c r="BJ16" s="25">
        <v>7</v>
      </c>
      <c r="BK16" s="25">
        <v>0</v>
      </c>
      <c r="BL16" s="25">
        <v>17</v>
      </c>
      <c r="BM16" s="25">
        <v>50</v>
      </c>
      <c r="BN16" s="25">
        <v>41</v>
      </c>
      <c r="BO16" s="25">
        <v>24</v>
      </c>
      <c r="BP16" s="25">
        <v>30</v>
      </c>
      <c r="BQ16" s="25">
        <v>24</v>
      </c>
      <c r="BR16" s="25">
        <v>30</v>
      </c>
      <c r="BS16" s="25">
        <v>0</v>
      </c>
      <c r="BT16" s="25">
        <v>17</v>
      </c>
      <c r="BU16" s="25">
        <v>0</v>
      </c>
      <c r="BV16" s="25">
        <v>17</v>
      </c>
      <c r="BW16" s="25">
        <v>26</v>
      </c>
      <c r="BX16" s="25">
        <v>26</v>
      </c>
      <c r="BY16" s="25">
        <v>0</v>
      </c>
      <c r="BZ16" s="25">
        <v>17</v>
      </c>
      <c r="CA16" s="25">
        <v>0</v>
      </c>
      <c r="CB16" s="25">
        <v>17</v>
      </c>
      <c r="CC16" s="25">
        <v>0</v>
      </c>
      <c r="CD16" s="25">
        <v>17</v>
      </c>
      <c r="CE16" s="25">
        <v>0</v>
      </c>
      <c r="CF16" s="25">
        <v>17</v>
      </c>
      <c r="CG16" s="25">
        <v>83</v>
      </c>
      <c r="CH16" s="25">
        <v>34</v>
      </c>
      <c r="CI16" s="25">
        <v>30</v>
      </c>
      <c r="CJ16" s="25">
        <v>24</v>
      </c>
      <c r="CK16" s="25">
        <v>30</v>
      </c>
      <c r="CL16" s="25">
        <v>24</v>
      </c>
      <c r="CM16" s="25">
        <v>0</v>
      </c>
      <c r="CN16" s="25">
        <v>17</v>
      </c>
      <c r="CO16" s="25">
        <v>12</v>
      </c>
      <c r="CP16" s="25">
        <v>14</v>
      </c>
      <c r="CQ16" s="25">
        <v>20</v>
      </c>
      <c r="CR16" s="25">
        <v>11</v>
      </c>
      <c r="CS16" s="25">
        <v>6</v>
      </c>
      <c r="CT16" s="25">
        <v>6</v>
      </c>
      <c r="CU16" s="25">
        <v>9</v>
      </c>
      <c r="CV16" s="25">
        <v>11</v>
      </c>
      <c r="CW16" s="25">
        <v>6</v>
      </c>
      <c r="CX16" s="25">
        <v>8</v>
      </c>
      <c r="CY16" s="25">
        <v>0</v>
      </c>
      <c r="CZ16" s="25">
        <v>17</v>
      </c>
      <c r="DA16" s="25">
        <v>39</v>
      </c>
      <c r="DB16" s="25">
        <v>31</v>
      </c>
      <c r="DC16" s="25">
        <v>24</v>
      </c>
      <c r="DD16" s="25">
        <v>19</v>
      </c>
      <c r="DE16" s="25">
        <v>24</v>
      </c>
      <c r="DF16" s="25">
        <v>19</v>
      </c>
      <c r="DG16" s="25">
        <v>0</v>
      </c>
      <c r="DH16" s="25">
        <v>17</v>
      </c>
      <c r="DI16" s="25">
        <v>0</v>
      </c>
      <c r="DJ16" s="25">
        <v>17</v>
      </c>
      <c r="DK16" s="25">
        <v>0</v>
      </c>
      <c r="DL16" s="25">
        <v>17</v>
      </c>
      <c r="DM16" s="25">
        <v>0</v>
      </c>
      <c r="DN16" s="25">
        <v>17</v>
      </c>
      <c r="DO16" s="25">
        <v>15</v>
      </c>
      <c r="DP16" s="25">
        <v>24</v>
      </c>
      <c r="DQ16" s="25">
        <v>0</v>
      </c>
      <c r="DR16" s="25">
        <v>17</v>
      </c>
      <c r="DS16" s="25">
        <v>0</v>
      </c>
      <c r="DT16" s="25">
        <v>17</v>
      </c>
      <c r="DU16" s="25">
        <v>233</v>
      </c>
      <c r="DV16" s="25">
        <v>67</v>
      </c>
      <c r="DW16" s="25">
        <v>81</v>
      </c>
      <c r="DX16" s="25">
        <v>52</v>
      </c>
      <c r="DY16" s="25">
        <v>53</v>
      </c>
      <c r="DZ16" s="25">
        <v>44</v>
      </c>
      <c r="EA16" s="25">
        <v>28</v>
      </c>
      <c r="EB16" s="25">
        <v>26</v>
      </c>
      <c r="EC16" s="25">
        <v>0</v>
      </c>
      <c r="ED16" s="25">
        <v>17</v>
      </c>
      <c r="EE16" s="25">
        <v>11</v>
      </c>
      <c r="EF16" s="25">
        <v>10</v>
      </c>
      <c r="EG16" s="25">
        <v>0</v>
      </c>
      <c r="EH16" s="25">
        <v>17</v>
      </c>
      <c r="EI16" s="25">
        <v>0</v>
      </c>
      <c r="EJ16" s="25">
        <v>17</v>
      </c>
      <c r="EK16" s="25">
        <v>137</v>
      </c>
      <c r="EL16" s="25">
        <v>57</v>
      </c>
      <c r="EM16" s="25">
        <v>4</v>
      </c>
      <c r="EN16" s="25">
        <v>5</v>
      </c>
    </row>
    <row r="17" spans="1:144" x14ac:dyDescent="0.25">
      <c r="A17" s="19">
        <f t="shared" si="8"/>
        <v>17</v>
      </c>
      <c r="B17" s="20" t="str">
        <f t="shared" si="9"/>
        <v>Garfield</v>
      </c>
      <c r="C17" s="24" t="s">
        <v>304</v>
      </c>
      <c r="D17" s="24" t="s">
        <v>305</v>
      </c>
      <c r="E17" s="25">
        <v>1945</v>
      </c>
      <c r="F17" s="25">
        <v>144</v>
      </c>
      <c r="G17" s="25">
        <v>1282</v>
      </c>
      <c r="H17" s="25">
        <v>136</v>
      </c>
      <c r="I17" s="25">
        <v>1201</v>
      </c>
      <c r="J17" s="25">
        <v>136</v>
      </c>
      <c r="K17" s="25">
        <v>81</v>
      </c>
      <c r="L17" s="25">
        <v>50</v>
      </c>
      <c r="M17" s="25">
        <v>95</v>
      </c>
      <c r="N17" s="25">
        <v>31</v>
      </c>
      <c r="O17" s="25">
        <v>171</v>
      </c>
      <c r="P17" s="25">
        <v>40</v>
      </c>
      <c r="Q17" s="25">
        <v>94</v>
      </c>
      <c r="R17" s="25">
        <v>33</v>
      </c>
      <c r="S17" s="25">
        <v>129</v>
      </c>
      <c r="T17" s="25">
        <v>54</v>
      </c>
      <c r="U17" s="25">
        <v>169</v>
      </c>
      <c r="V17" s="25">
        <v>64</v>
      </c>
      <c r="W17" s="25">
        <v>5</v>
      </c>
      <c r="X17" s="25">
        <v>6</v>
      </c>
      <c r="Y17" s="25">
        <v>1390</v>
      </c>
      <c r="Z17" s="25">
        <v>131</v>
      </c>
      <c r="AA17" s="25">
        <v>878</v>
      </c>
      <c r="AB17" s="25">
        <v>104</v>
      </c>
      <c r="AC17" s="25">
        <v>820</v>
      </c>
      <c r="AD17" s="25">
        <v>102</v>
      </c>
      <c r="AE17" s="25">
        <v>58</v>
      </c>
      <c r="AF17" s="25">
        <v>46</v>
      </c>
      <c r="AG17" s="25">
        <v>65</v>
      </c>
      <c r="AH17" s="25">
        <v>25</v>
      </c>
      <c r="AI17" s="25">
        <v>136</v>
      </c>
      <c r="AJ17" s="25">
        <v>35</v>
      </c>
      <c r="AK17" s="25">
        <v>70</v>
      </c>
      <c r="AL17" s="25">
        <v>29</v>
      </c>
      <c r="AM17" s="25">
        <v>116</v>
      </c>
      <c r="AN17" s="25">
        <v>53</v>
      </c>
      <c r="AO17" s="25">
        <v>125</v>
      </c>
      <c r="AP17" s="25">
        <v>65</v>
      </c>
      <c r="AQ17" s="25">
        <v>0</v>
      </c>
      <c r="AR17" s="25">
        <v>15</v>
      </c>
      <c r="AS17" s="25">
        <v>262</v>
      </c>
      <c r="AT17" s="25">
        <v>73</v>
      </c>
      <c r="AU17" s="25">
        <v>213</v>
      </c>
      <c r="AV17" s="25">
        <v>68</v>
      </c>
      <c r="AW17" s="25">
        <v>213</v>
      </c>
      <c r="AX17" s="25">
        <v>68</v>
      </c>
      <c r="AY17" s="25">
        <v>0</v>
      </c>
      <c r="AZ17" s="25">
        <v>15</v>
      </c>
      <c r="BA17" s="25">
        <v>14</v>
      </c>
      <c r="BB17" s="25">
        <v>12</v>
      </c>
      <c r="BC17" s="25">
        <v>10</v>
      </c>
      <c r="BD17" s="25">
        <v>7</v>
      </c>
      <c r="BE17" s="25">
        <v>13</v>
      </c>
      <c r="BF17" s="25">
        <v>15</v>
      </c>
      <c r="BG17" s="25">
        <v>12</v>
      </c>
      <c r="BH17" s="25">
        <v>7</v>
      </c>
      <c r="BI17" s="25">
        <v>0</v>
      </c>
      <c r="BJ17" s="25">
        <v>15</v>
      </c>
      <c r="BK17" s="25">
        <v>0</v>
      </c>
      <c r="BL17" s="25">
        <v>15</v>
      </c>
      <c r="BM17" s="25">
        <v>0</v>
      </c>
      <c r="BN17" s="25">
        <v>15</v>
      </c>
      <c r="BO17" s="25">
        <v>0</v>
      </c>
      <c r="BP17" s="25">
        <v>15</v>
      </c>
      <c r="BQ17" s="25">
        <v>0</v>
      </c>
      <c r="BR17" s="25">
        <v>15</v>
      </c>
      <c r="BS17" s="25">
        <v>0</v>
      </c>
      <c r="BT17" s="25">
        <v>15</v>
      </c>
      <c r="BU17" s="25">
        <v>0</v>
      </c>
      <c r="BV17" s="25">
        <v>15</v>
      </c>
      <c r="BW17" s="25">
        <v>0</v>
      </c>
      <c r="BX17" s="25">
        <v>15</v>
      </c>
      <c r="BY17" s="25">
        <v>0</v>
      </c>
      <c r="BZ17" s="25">
        <v>15</v>
      </c>
      <c r="CA17" s="25">
        <v>0</v>
      </c>
      <c r="CB17" s="25">
        <v>15</v>
      </c>
      <c r="CC17" s="25">
        <v>0</v>
      </c>
      <c r="CD17" s="25">
        <v>15</v>
      </c>
      <c r="CE17" s="25">
        <v>0</v>
      </c>
      <c r="CF17" s="25">
        <v>15</v>
      </c>
      <c r="CG17" s="25">
        <v>165</v>
      </c>
      <c r="CH17" s="25">
        <v>56</v>
      </c>
      <c r="CI17" s="25">
        <v>125</v>
      </c>
      <c r="CJ17" s="25">
        <v>52</v>
      </c>
      <c r="CK17" s="25">
        <v>121</v>
      </c>
      <c r="CL17" s="25">
        <v>52</v>
      </c>
      <c r="CM17" s="25">
        <v>4</v>
      </c>
      <c r="CN17" s="25">
        <v>4</v>
      </c>
      <c r="CO17" s="25">
        <v>2</v>
      </c>
      <c r="CP17" s="25">
        <v>3</v>
      </c>
      <c r="CQ17" s="25">
        <v>14</v>
      </c>
      <c r="CR17" s="25">
        <v>18</v>
      </c>
      <c r="CS17" s="25">
        <v>11</v>
      </c>
      <c r="CT17" s="25">
        <v>14</v>
      </c>
      <c r="CU17" s="25">
        <v>1</v>
      </c>
      <c r="CV17" s="25">
        <v>3</v>
      </c>
      <c r="CW17" s="25">
        <v>9</v>
      </c>
      <c r="CX17" s="25">
        <v>10</v>
      </c>
      <c r="CY17" s="25">
        <v>3</v>
      </c>
      <c r="CZ17" s="25">
        <v>4</v>
      </c>
      <c r="DA17" s="25">
        <v>41</v>
      </c>
      <c r="DB17" s="25">
        <v>23</v>
      </c>
      <c r="DC17" s="25">
        <v>19</v>
      </c>
      <c r="DD17" s="25">
        <v>12</v>
      </c>
      <c r="DE17" s="25">
        <v>16</v>
      </c>
      <c r="DF17" s="25">
        <v>12</v>
      </c>
      <c r="DG17" s="25">
        <v>3</v>
      </c>
      <c r="DH17" s="25">
        <v>4</v>
      </c>
      <c r="DI17" s="25">
        <v>8</v>
      </c>
      <c r="DJ17" s="25">
        <v>8</v>
      </c>
      <c r="DK17" s="25">
        <v>11</v>
      </c>
      <c r="DL17" s="25">
        <v>11</v>
      </c>
      <c r="DM17" s="25">
        <v>0</v>
      </c>
      <c r="DN17" s="25">
        <v>15</v>
      </c>
      <c r="DO17" s="25">
        <v>0</v>
      </c>
      <c r="DP17" s="25">
        <v>15</v>
      </c>
      <c r="DQ17" s="25">
        <v>3</v>
      </c>
      <c r="DR17" s="25">
        <v>3</v>
      </c>
      <c r="DS17" s="25">
        <v>0</v>
      </c>
      <c r="DT17" s="25">
        <v>15</v>
      </c>
      <c r="DU17" s="25">
        <v>87</v>
      </c>
      <c r="DV17" s="25">
        <v>32</v>
      </c>
      <c r="DW17" s="25">
        <v>47</v>
      </c>
      <c r="DX17" s="25">
        <v>28</v>
      </c>
      <c r="DY17" s="25">
        <v>31</v>
      </c>
      <c r="DZ17" s="25">
        <v>23</v>
      </c>
      <c r="EA17" s="25">
        <v>16</v>
      </c>
      <c r="EB17" s="25">
        <v>13</v>
      </c>
      <c r="EC17" s="25">
        <v>6</v>
      </c>
      <c r="ED17" s="25">
        <v>8</v>
      </c>
      <c r="EE17" s="25">
        <v>0</v>
      </c>
      <c r="EF17" s="25">
        <v>15</v>
      </c>
      <c r="EG17" s="25">
        <v>0</v>
      </c>
      <c r="EH17" s="25">
        <v>15</v>
      </c>
      <c r="EI17" s="25">
        <v>0</v>
      </c>
      <c r="EJ17" s="25">
        <v>15</v>
      </c>
      <c r="EK17" s="25">
        <v>32</v>
      </c>
      <c r="EL17" s="25">
        <v>15</v>
      </c>
      <c r="EM17" s="25">
        <v>2</v>
      </c>
      <c r="EN17" s="25">
        <v>4</v>
      </c>
    </row>
    <row r="18" spans="1:144" x14ac:dyDescent="0.25">
      <c r="A18" s="19">
        <f t="shared" si="8"/>
        <v>19</v>
      </c>
      <c r="B18" s="20" t="str">
        <f t="shared" si="9"/>
        <v>Grand</v>
      </c>
      <c r="C18" s="24" t="s">
        <v>306</v>
      </c>
      <c r="D18" s="24" t="s">
        <v>307</v>
      </c>
      <c r="E18" s="25">
        <v>4645</v>
      </c>
      <c r="F18" s="25">
        <v>289</v>
      </c>
      <c r="G18" s="25">
        <v>3144</v>
      </c>
      <c r="H18" s="25">
        <v>353</v>
      </c>
      <c r="I18" s="25">
        <v>3015</v>
      </c>
      <c r="J18" s="25">
        <v>356</v>
      </c>
      <c r="K18" s="25">
        <v>129</v>
      </c>
      <c r="L18" s="25">
        <v>70</v>
      </c>
      <c r="M18" s="25">
        <v>386</v>
      </c>
      <c r="N18" s="25">
        <v>150</v>
      </c>
      <c r="O18" s="25">
        <v>352</v>
      </c>
      <c r="P18" s="25">
        <v>131</v>
      </c>
      <c r="Q18" s="25">
        <v>74</v>
      </c>
      <c r="R18" s="25">
        <v>47</v>
      </c>
      <c r="S18" s="25">
        <v>261</v>
      </c>
      <c r="T18" s="25">
        <v>101</v>
      </c>
      <c r="U18" s="25">
        <v>428</v>
      </c>
      <c r="V18" s="25">
        <v>148</v>
      </c>
      <c r="W18" s="25">
        <v>0</v>
      </c>
      <c r="X18" s="25">
        <v>15</v>
      </c>
      <c r="Y18" s="25">
        <v>3053</v>
      </c>
      <c r="Z18" s="25">
        <v>287</v>
      </c>
      <c r="AA18" s="25">
        <v>2114</v>
      </c>
      <c r="AB18" s="25">
        <v>250</v>
      </c>
      <c r="AC18" s="25">
        <v>2047</v>
      </c>
      <c r="AD18" s="25">
        <v>252</v>
      </c>
      <c r="AE18" s="25">
        <v>67</v>
      </c>
      <c r="AF18" s="25">
        <v>60</v>
      </c>
      <c r="AG18" s="25">
        <v>251</v>
      </c>
      <c r="AH18" s="25">
        <v>133</v>
      </c>
      <c r="AI18" s="25">
        <v>286</v>
      </c>
      <c r="AJ18" s="25">
        <v>127</v>
      </c>
      <c r="AK18" s="25">
        <v>39</v>
      </c>
      <c r="AL18" s="25">
        <v>34</v>
      </c>
      <c r="AM18" s="25">
        <v>166</v>
      </c>
      <c r="AN18" s="25">
        <v>82</v>
      </c>
      <c r="AO18" s="25">
        <v>197</v>
      </c>
      <c r="AP18" s="25">
        <v>92</v>
      </c>
      <c r="AQ18" s="25">
        <v>0</v>
      </c>
      <c r="AR18" s="25">
        <v>15</v>
      </c>
      <c r="AS18" s="25">
        <v>719</v>
      </c>
      <c r="AT18" s="25">
        <v>214</v>
      </c>
      <c r="AU18" s="25">
        <v>432</v>
      </c>
      <c r="AV18" s="25">
        <v>182</v>
      </c>
      <c r="AW18" s="25">
        <v>422</v>
      </c>
      <c r="AX18" s="25">
        <v>182</v>
      </c>
      <c r="AY18" s="25">
        <v>10</v>
      </c>
      <c r="AZ18" s="25">
        <v>16</v>
      </c>
      <c r="BA18" s="25">
        <v>79</v>
      </c>
      <c r="BB18" s="25">
        <v>87</v>
      </c>
      <c r="BC18" s="25">
        <v>42</v>
      </c>
      <c r="BD18" s="25">
        <v>32</v>
      </c>
      <c r="BE18" s="25">
        <v>33</v>
      </c>
      <c r="BF18" s="25">
        <v>33</v>
      </c>
      <c r="BG18" s="25">
        <v>54</v>
      </c>
      <c r="BH18" s="25">
        <v>63</v>
      </c>
      <c r="BI18" s="25">
        <v>79</v>
      </c>
      <c r="BJ18" s="25">
        <v>63</v>
      </c>
      <c r="BK18" s="25">
        <v>0</v>
      </c>
      <c r="BL18" s="25">
        <v>15</v>
      </c>
      <c r="BM18" s="25">
        <v>2</v>
      </c>
      <c r="BN18" s="25">
        <v>3</v>
      </c>
      <c r="BO18" s="25">
        <v>0</v>
      </c>
      <c r="BP18" s="25">
        <v>15</v>
      </c>
      <c r="BQ18" s="25">
        <v>0</v>
      </c>
      <c r="BR18" s="25">
        <v>15</v>
      </c>
      <c r="BS18" s="25">
        <v>0</v>
      </c>
      <c r="BT18" s="25">
        <v>15</v>
      </c>
      <c r="BU18" s="25">
        <v>0</v>
      </c>
      <c r="BV18" s="25">
        <v>15</v>
      </c>
      <c r="BW18" s="25">
        <v>0</v>
      </c>
      <c r="BX18" s="25">
        <v>15</v>
      </c>
      <c r="BY18" s="25">
        <v>0</v>
      </c>
      <c r="BZ18" s="25">
        <v>15</v>
      </c>
      <c r="CA18" s="25">
        <v>0</v>
      </c>
      <c r="CB18" s="25">
        <v>15</v>
      </c>
      <c r="CC18" s="25">
        <v>2</v>
      </c>
      <c r="CD18" s="25">
        <v>3</v>
      </c>
      <c r="CE18" s="25">
        <v>0</v>
      </c>
      <c r="CF18" s="25">
        <v>15</v>
      </c>
      <c r="CG18" s="25">
        <v>278</v>
      </c>
      <c r="CH18" s="25">
        <v>166</v>
      </c>
      <c r="CI18" s="25">
        <v>229</v>
      </c>
      <c r="CJ18" s="25">
        <v>173</v>
      </c>
      <c r="CK18" s="25">
        <v>229</v>
      </c>
      <c r="CL18" s="25">
        <v>173</v>
      </c>
      <c r="CM18" s="25">
        <v>0</v>
      </c>
      <c r="CN18" s="25">
        <v>15</v>
      </c>
      <c r="CO18" s="25">
        <v>18</v>
      </c>
      <c r="CP18" s="25">
        <v>28</v>
      </c>
      <c r="CQ18" s="25">
        <v>10</v>
      </c>
      <c r="CR18" s="25">
        <v>17</v>
      </c>
      <c r="CS18" s="25">
        <v>0</v>
      </c>
      <c r="CT18" s="25">
        <v>15</v>
      </c>
      <c r="CU18" s="25">
        <v>11</v>
      </c>
      <c r="CV18" s="25">
        <v>19</v>
      </c>
      <c r="CW18" s="25">
        <v>10</v>
      </c>
      <c r="CX18" s="25">
        <v>15</v>
      </c>
      <c r="CY18" s="25">
        <v>0</v>
      </c>
      <c r="CZ18" s="25">
        <v>15</v>
      </c>
      <c r="DA18" s="25">
        <v>269</v>
      </c>
      <c r="DB18" s="25">
        <v>111</v>
      </c>
      <c r="DC18" s="25">
        <v>216</v>
      </c>
      <c r="DD18" s="25">
        <v>123</v>
      </c>
      <c r="DE18" s="25">
        <v>206</v>
      </c>
      <c r="DF18" s="25">
        <v>121</v>
      </c>
      <c r="DG18" s="25">
        <v>10</v>
      </c>
      <c r="DH18" s="25">
        <v>16</v>
      </c>
      <c r="DI18" s="25">
        <v>3</v>
      </c>
      <c r="DJ18" s="25">
        <v>7</v>
      </c>
      <c r="DK18" s="25">
        <v>14</v>
      </c>
      <c r="DL18" s="25">
        <v>22</v>
      </c>
      <c r="DM18" s="25">
        <v>0</v>
      </c>
      <c r="DN18" s="25">
        <v>15</v>
      </c>
      <c r="DO18" s="25">
        <v>19</v>
      </c>
      <c r="DP18" s="25">
        <v>23</v>
      </c>
      <c r="DQ18" s="25">
        <v>17</v>
      </c>
      <c r="DR18" s="25">
        <v>30</v>
      </c>
      <c r="DS18" s="25">
        <v>0</v>
      </c>
      <c r="DT18" s="25">
        <v>15</v>
      </c>
      <c r="DU18" s="25">
        <v>324</v>
      </c>
      <c r="DV18" s="25">
        <v>136</v>
      </c>
      <c r="DW18" s="25">
        <v>153</v>
      </c>
      <c r="DX18" s="25">
        <v>96</v>
      </c>
      <c r="DY18" s="25">
        <v>111</v>
      </c>
      <c r="DZ18" s="25">
        <v>91</v>
      </c>
      <c r="EA18" s="25">
        <v>42</v>
      </c>
      <c r="EB18" s="25">
        <v>38</v>
      </c>
      <c r="EC18" s="25">
        <v>35</v>
      </c>
      <c r="ED18" s="25">
        <v>29</v>
      </c>
      <c r="EE18" s="25">
        <v>0</v>
      </c>
      <c r="EF18" s="25">
        <v>15</v>
      </c>
      <c r="EG18" s="25">
        <v>2</v>
      </c>
      <c r="EH18" s="25">
        <v>4</v>
      </c>
      <c r="EI18" s="25">
        <v>11</v>
      </c>
      <c r="EJ18" s="25">
        <v>19</v>
      </c>
      <c r="EK18" s="25">
        <v>123</v>
      </c>
      <c r="EL18" s="25">
        <v>96</v>
      </c>
      <c r="EM18" s="25">
        <v>0</v>
      </c>
      <c r="EN18" s="25">
        <v>15</v>
      </c>
    </row>
    <row r="19" spans="1:144" x14ac:dyDescent="0.25">
      <c r="A19" s="19">
        <f t="shared" si="8"/>
        <v>21</v>
      </c>
      <c r="B19" s="20" t="str">
        <f t="shared" si="9"/>
        <v>Iron</v>
      </c>
      <c r="C19" s="24" t="s">
        <v>308</v>
      </c>
      <c r="D19" s="24" t="s">
        <v>309</v>
      </c>
      <c r="E19" s="25">
        <v>19335</v>
      </c>
      <c r="F19" s="25">
        <v>682</v>
      </c>
      <c r="G19" s="25">
        <v>13649</v>
      </c>
      <c r="H19" s="25">
        <v>632</v>
      </c>
      <c r="I19" s="25">
        <v>12679</v>
      </c>
      <c r="J19" s="25">
        <v>584</v>
      </c>
      <c r="K19" s="25">
        <v>970</v>
      </c>
      <c r="L19" s="25">
        <v>278</v>
      </c>
      <c r="M19" s="25">
        <v>759</v>
      </c>
      <c r="N19" s="25">
        <v>174</v>
      </c>
      <c r="O19" s="25">
        <v>1598</v>
      </c>
      <c r="P19" s="25">
        <v>304</v>
      </c>
      <c r="Q19" s="25">
        <v>1904</v>
      </c>
      <c r="R19" s="25">
        <v>361</v>
      </c>
      <c r="S19" s="25">
        <v>535</v>
      </c>
      <c r="T19" s="25">
        <v>159</v>
      </c>
      <c r="U19" s="25">
        <v>884</v>
      </c>
      <c r="V19" s="25">
        <v>184</v>
      </c>
      <c r="W19" s="25">
        <v>6</v>
      </c>
      <c r="X19" s="25">
        <v>9</v>
      </c>
      <c r="Y19" s="25">
        <v>14669</v>
      </c>
      <c r="Z19" s="25">
        <v>685</v>
      </c>
      <c r="AA19" s="25">
        <v>10405</v>
      </c>
      <c r="AB19" s="25">
        <v>629</v>
      </c>
      <c r="AC19" s="25">
        <v>9746</v>
      </c>
      <c r="AD19" s="25">
        <v>622</v>
      </c>
      <c r="AE19" s="25">
        <v>659</v>
      </c>
      <c r="AF19" s="25">
        <v>227</v>
      </c>
      <c r="AG19" s="25">
        <v>605</v>
      </c>
      <c r="AH19" s="25">
        <v>157</v>
      </c>
      <c r="AI19" s="25">
        <v>1428</v>
      </c>
      <c r="AJ19" s="25">
        <v>292</v>
      </c>
      <c r="AK19" s="25">
        <v>1412</v>
      </c>
      <c r="AL19" s="25">
        <v>284</v>
      </c>
      <c r="AM19" s="25">
        <v>365</v>
      </c>
      <c r="AN19" s="25">
        <v>132</v>
      </c>
      <c r="AO19" s="25">
        <v>448</v>
      </c>
      <c r="AP19" s="25">
        <v>142</v>
      </c>
      <c r="AQ19" s="25">
        <v>6</v>
      </c>
      <c r="AR19" s="25">
        <v>9</v>
      </c>
      <c r="AS19" s="25">
        <v>2661</v>
      </c>
      <c r="AT19" s="25">
        <v>444</v>
      </c>
      <c r="AU19" s="25">
        <v>2079</v>
      </c>
      <c r="AV19" s="25">
        <v>405</v>
      </c>
      <c r="AW19" s="25">
        <v>1923</v>
      </c>
      <c r="AX19" s="25">
        <v>376</v>
      </c>
      <c r="AY19" s="25">
        <v>156</v>
      </c>
      <c r="AZ19" s="25">
        <v>141</v>
      </c>
      <c r="BA19" s="25">
        <v>43</v>
      </c>
      <c r="BB19" s="25">
        <v>36</v>
      </c>
      <c r="BC19" s="25">
        <v>134</v>
      </c>
      <c r="BD19" s="25">
        <v>62</v>
      </c>
      <c r="BE19" s="25">
        <v>241</v>
      </c>
      <c r="BF19" s="25">
        <v>133</v>
      </c>
      <c r="BG19" s="25">
        <v>103</v>
      </c>
      <c r="BH19" s="25">
        <v>77</v>
      </c>
      <c r="BI19" s="25">
        <v>61</v>
      </c>
      <c r="BJ19" s="25">
        <v>32</v>
      </c>
      <c r="BK19" s="25">
        <v>0</v>
      </c>
      <c r="BL19" s="25">
        <v>23</v>
      </c>
      <c r="BM19" s="25">
        <v>92</v>
      </c>
      <c r="BN19" s="25">
        <v>80</v>
      </c>
      <c r="BO19" s="25">
        <v>88</v>
      </c>
      <c r="BP19" s="25">
        <v>81</v>
      </c>
      <c r="BQ19" s="25">
        <v>88</v>
      </c>
      <c r="BR19" s="25">
        <v>81</v>
      </c>
      <c r="BS19" s="25">
        <v>0</v>
      </c>
      <c r="BT19" s="25">
        <v>23</v>
      </c>
      <c r="BU19" s="25">
        <v>0</v>
      </c>
      <c r="BV19" s="25">
        <v>23</v>
      </c>
      <c r="BW19" s="25">
        <v>0</v>
      </c>
      <c r="BX19" s="25">
        <v>23</v>
      </c>
      <c r="BY19" s="25">
        <v>0</v>
      </c>
      <c r="BZ19" s="25">
        <v>23</v>
      </c>
      <c r="CA19" s="25">
        <v>0</v>
      </c>
      <c r="CB19" s="25">
        <v>23</v>
      </c>
      <c r="CC19" s="25">
        <v>4</v>
      </c>
      <c r="CD19" s="25">
        <v>7</v>
      </c>
      <c r="CE19" s="25">
        <v>0</v>
      </c>
      <c r="CF19" s="25">
        <v>23</v>
      </c>
      <c r="CG19" s="25">
        <v>1048</v>
      </c>
      <c r="CH19" s="25">
        <v>284</v>
      </c>
      <c r="CI19" s="25">
        <v>695</v>
      </c>
      <c r="CJ19" s="25">
        <v>231</v>
      </c>
      <c r="CK19" s="25">
        <v>655</v>
      </c>
      <c r="CL19" s="25">
        <v>235</v>
      </c>
      <c r="CM19" s="25">
        <v>40</v>
      </c>
      <c r="CN19" s="25">
        <v>21</v>
      </c>
      <c r="CO19" s="25">
        <v>96</v>
      </c>
      <c r="CP19" s="25">
        <v>82</v>
      </c>
      <c r="CQ19" s="25">
        <v>36</v>
      </c>
      <c r="CR19" s="25">
        <v>36</v>
      </c>
      <c r="CS19" s="25">
        <v>93</v>
      </c>
      <c r="CT19" s="25">
        <v>77</v>
      </c>
      <c r="CU19" s="25">
        <v>26</v>
      </c>
      <c r="CV19" s="25">
        <v>27</v>
      </c>
      <c r="CW19" s="25">
        <v>102</v>
      </c>
      <c r="CX19" s="25">
        <v>72</v>
      </c>
      <c r="CY19" s="25">
        <v>0</v>
      </c>
      <c r="CZ19" s="25">
        <v>23</v>
      </c>
      <c r="DA19" s="25">
        <v>327</v>
      </c>
      <c r="DB19" s="25">
        <v>152</v>
      </c>
      <c r="DC19" s="25">
        <v>139</v>
      </c>
      <c r="DD19" s="25">
        <v>95</v>
      </c>
      <c r="DE19" s="25">
        <v>137</v>
      </c>
      <c r="DF19" s="25">
        <v>95</v>
      </c>
      <c r="DG19" s="25">
        <v>2</v>
      </c>
      <c r="DH19" s="25">
        <v>3</v>
      </c>
      <c r="DI19" s="25">
        <v>0</v>
      </c>
      <c r="DJ19" s="25">
        <v>23</v>
      </c>
      <c r="DK19" s="25">
        <v>0</v>
      </c>
      <c r="DL19" s="25">
        <v>23</v>
      </c>
      <c r="DM19" s="25">
        <v>121</v>
      </c>
      <c r="DN19" s="25">
        <v>79</v>
      </c>
      <c r="DO19" s="25">
        <v>41</v>
      </c>
      <c r="DP19" s="25">
        <v>50</v>
      </c>
      <c r="DQ19" s="25">
        <v>26</v>
      </c>
      <c r="DR19" s="25">
        <v>43</v>
      </c>
      <c r="DS19" s="25">
        <v>0</v>
      </c>
      <c r="DT19" s="25">
        <v>23</v>
      </c>
      <c r="DU19" s="25">
        <v>538</v>
      </c>
      <c r="DV19" s="25">
        <v>143</v>
      </c>
      <c r="DW19" s="25">
        <v>243</v>
      </c>
      <c r="DX19" s="25">
        <v>121</v>
      </c>
      <c r="DY19" s="25">
        <v>130</v>
      </c>
      <c r="DZ19" s="25">
        <v>80</v>
      </c>
      <c r="EA19" s="25">
        <v>113</v>
      </c>
      <c r="EB19" s="25">
        <v>87</v>
      </c>
      <c r="EC19" s="25">
        <v>15</v>
      </c>
      <c r="ED19" s="25">
        <v>23</v>
      </c>
      <c r="EE19" s="25">
        <v>0</v>
      </c>
      <c r="EF19" s="25">
        <v>23</v>
      </c>
      <c r="EG19" s="25">
        <v>37</v>
      </c>
      <c r="EH19" s="25">
        <v>43</v>
      </c>
      <c r="EI19" s="25">
        <v>0</v>
      </c>
      <c r="EJ19" s="25">
        <v>23</v>
      </c>
      <c r="EK19" s="25">
        <v>243</v>
      </c>
      <c r="EL19" s="25">
        <v>91</v>
      </c>
      <c r="EM19" s="25">
        <v>0</v>
      </c>
      <c r="EN19" s="25">
        <v>23</v>
      </c>
    </row>
    <row r="20" spans="1:144" x14ac:dyDescent="0.25">
      <c r="A20" s="19">
        <f t="shared" si="8"/>
        <v>23</v>
      </c>
      <c r="B20" s="20" t="str">
        <f t="shared" si="9"/>
        <v>Juab</v>
      </c>
      <c r="C20" s="24" t="s">
        <v>310</v>
      </c>
      <c r="D20" s="24" t="s">
        <v>311</v>
      </c>
      <c r="E20" s="25">
        <v>4251</v>
      </c>
      <c r="F20" s="25">
        <v>230</v>
      </c>
      <c r="G20" s="25">
        <v>3000</v>
      </c>
      <c r="H20" s="25">
        <v>202</v>
      </c>
      <c r="I20" s="25">
        <v>2880</v>
      </c>
      <c r="J20" s="25">
        <v>205</v>
      </c>
      <c r="K20" s="25">
        <v>120</v>
      </c>
      <c r="L20" s="25">
        <v>51</v>
      </c>
      <c r="M20" s="25">
        <v>246</v>
      </c>
      <c r="N20" s="25">
        <v>67</v>
      </c>
      <c r="O20" s="25">
        <v>452</v>
      </c>
      <c r="P20" s="25">
        <v>108</v>
      </c>
      <c r="Q20" s="25">
        <v>285</v>
      </c>
      <c r="R20" s="25">
        <v>84</v>
      </c>
      <c r="S20" s="25">
        <v>85</v>
      </c>
      <c r="T20" s="25">
        <v>40</v>
      </c>
      <c r="U20" s="25">
        <v>181</v>
      </c>
      <c r="V20" s="25">
        <v>54</v>
      </c>
      <c r="W20" s="25">
        <v>2</v>
      </c>
      <c r="X20" s="25">
        <v>3</v>
      </c>
      <c r="Y20" s="25">
        <v>3161</v>
      </c>
      <c r="Z20" s="25">
        <v>222</v>
      </c>
      <c r="AA20" s="25">
        <v>2214</v>
      </c>
      <c r="AB20" s="25">
        <v>182</v>
      </c>
      <c r="AC20" s="25">
        <v>2133</v>
      </c>
      <c r="AD20" s="25">
        <v>187</v>
      </c>
      <c r="AE20" s="25">
        <v>81</v>
      </c>
      <c r="AF20" s="25">
        <v>41</v>
      </c>
      <c r="AG20" s="25">
        <v>164</v>
      </c>
      <c r="AH20" s="25">
        <v>56</v>
      </c>
      <c r="AI20" s="25">
        <v>399</v>
      </c>
      <c r="AJ20" s="25">
        <v>96</v>
      </c>
      <c r="AK20" s="25">
        <v>269</v>
      </c>
      <c r="AL20" s="25">
        <v>79</v>
      </c>
      <c r="AM20" s="25">
        <v>32</v>
      </c>
      <c r="AN20" s="25">
        <v>22</v>
      </c>
      <c r="AO20" s="25">
        <v>81</v>
      </c>
      <c r="AP20" s="25">
        <v>35</v>
      </c>
      <c r="AQ20" s="25">
        <v>2</v>
      </c>
      <c r="AR20" s="25">
        <v>3</v>
      </c>
      <c r="AS20" s="25">
        <v>649</v>
      </c>
      <c r="AT20" s="25">
        <v>138</v>
      </c>
      <c r="AU20" s="25">
        <v>511</v>
      </c>
      <c r="AV20" s="25">
        <v>130</v>
      </c>
      <c r="AW20" s="25">
        <v>490</v>
      </c>
      <c r="AX20" s="25">
        <v>127</v>
      </c>
      <c r="AY20" s="25">
        <v>21</v>
      </c>
      <c r="AZ20" s="25">
        <v>16</v>
      </c>
      <c r="BA20" s="25">
        <v>53</v>
      </c>
      <c r="BB20" s="25">
        <v>42</v>
      </c>
      <c r="BC20" s="25">
        <v>30</v>
      </c>
      <c r="BD20" s="25">
        <v>29</v>
      </c>
      <c r="BE20" s="25">
        <v>2</v>
      </c>
      <c r="BF20" s="25">
        <v>3</v>
      </c>
      <c r="BG20" s="25">
        <v>31</v>
      </c>
      <c r="BH20" s="25">
        <v>26</v>
      </c>
      <c r="BI20" s="25">
        <v>22</v>
      </c>
      <c r="BJ20" s="25">
        <v>18</v>
      </c>
      <c r="BK20" s="25">
        <v>0</v>
      </c>
      <c r="BL20" s="25">
        <v>17</v>
      </c>
      <c r="BM20" s="25">
        <v>16</v>
      </c>
      <c r="BN20" s="25">
        <v>12</v>
      </c>
      <c r="BO20" s="25">
        <v>1</v>
      </c>
      <c r="BP20" s="25">
        <v>3</v>
      </c>
      <c r="BQ20" s="25">
        <v>1</v>
      </c>
      <c r="BR20" s="25">
        <v>3</v>
      </c>
      <c r="BS20" s="25">
        <v>0</v>
      </c>
      <c r="BT20" s="25">
        <v>17</v>
      </c>
      <c r="BU20" s="25">
        <v>2</v>
      </c>
      <c r="BV20" s="25">
        <v>4</v>
      </c>
      <c r="BW20" s="25">
        <v>0</v>
      </c>
      <c r="BX20" s="25">
        <v>17</v>
      </c>
      <c r="BY20" s="25">
        <v>7</v>
      </c>
      <c r="BZ20" s="25">
        <v>11</v>
      </c>
      <c r="CA20" s="25">
        <v>6</v>
      </c>
      <c r="CB20" s="25">
        <v>9</v>
      </c>
      <c r="CC20" s="25">
        <v>0</v>
      </c>
      <c r="CD20" s="25">
        <v>17</v>
      </c>
      <c r="CE20" s="25">
        <v>0</v>
      </c>
      <c r="CF20" s="25">
        <v>17</v>
      </c>
      <c r="CG20" s="25">
        <v>172</v>
      </c>
      <c r="CH20" s="25">
        <v>57</v>
      </c>
      <c r="CI20" s="25">
        <v>132</v>
      </c>
      <c r="CJ20" s="25">
        <v>53</v>
      </c>
      <c r="CK20" s="25">
        <v>125</v>
      </c>
      <c r="CL20" s="25">
        <v>48</v>
      </c>
      <c r="CM20" s="25">
        <v>7</v>
      </c>
      <c r="CN20" s="25">
        <v>11</v>
      </c>
      <c r="CO20" s="25">
        <v>10</v>
      </c>
      <c r="CP20" s="25">
        <v>14</v>
      </c>
      <c r="CQ20" s="25">
        <v>7</v>
      </c>
      <c r="CR20" s="25">
        <v>7</v>
      </c>
      <c r="CS20" s="25">
        <v>7</v>
      </c>
      <c r="CT20" s="25">
        <v>12</v>
      </c>
      <c r="CU20" s="25">
        <v>8</v>
      </c>
      <c r="CV20" s="25">
        <v>10</v>
      </c>
      <c r="CW20" s="25">
        <v>8</v>
      </c>
      <c r="CX20" s="25">
        <v>12</v>
      </c>
      <c r="CY20" s="25">
        <v>0</v>
      </c>
      <c r="CZ20" s="25">
        <v>17</v>
      </c>
      <c r="DA20" s="25">
        <v>45</v>
      </c>
      <c r="DB20" s="25">
        <v>27</v>
      </c>
      <c r="DC20" s="25">
        <v>21</v>
      </c>
      <c r="DD20" s="25">
        <v>16</v>
      </c>
      <c r="DE20" s="25">
        <v>21</v>
      </c>
      <c r="DF20" s="25">
        <v>16</v>
      </c>
      <c r="DG20" s="25">
        <v>0</v>
      </c>
      <c r="DH20" s="25">
        <v>17</v>
      </c>
      <c r="DI20" s="25">
        <v>2</v>
      </c>
      <c r="DJ20" s="25">
        <v>3</v>
      </c>
      <c r="DK20" s="25">
        <v>14</v>
      </c>
      <c r="DL20" s="25">
        <v>18</v>
      </c>
      <c r="DM20" s="25">
        <v>0</v>
      </c>
      <c r="DN20" s="25">
        <v>17</v>
      </c>
      <c r="DO20" s="25">
        <v>8</v>
      </c>
      <c r="DP20" s="25">
        <v>13</v>
      </c>
      <c r="DQ20" s="25">
        <v>0</v>
      </c>
      <c r="DR20" s="25">
        <v>17</v>
      </c>
      <c r="DS20" s="25">
        <v>0</v>
      </c>
      <c r="DT20" s="25">
        <v>17</v>
      </c>
      <c r="DU20" s="25">
        <v>208</v>
      </c>
      <c r="DV20" s="25">
        <v>66</v>
      </c>
      <c r="DW20" s="25">
        <v>121</v>
      </c>
      <c r="DX20" s="25">
        <v>52</v>
      </c>
      <c r="DY20" s="25">
        <v>110</v>
      </c>
      <c r="DZ20" s="25">
        <v>52</v>
      </c>
      <c r="EA20" s="25">
        <v>11</v>
      </c>
      <c r="EB20" s="25">
        <v>10</v>
      </c>
      <c r="EC20" s="25">
        <v>15</v>
      </c>
      <c r="ED20" s="25">
        <v>18</v>
      </c>
      <c r="EE20" s="25">
        <v>2</v>
      </c>
      <c r="EF20" s="25">
        <v>5</v>
      </c>
      <c r="EG20" s="25">
        <v>0</v>
      </c>
      <c r="EH20" s="25">
        <v>17</v>
      </c>
      <c r="EI20" s="25">
        <v>0</v>
      </c>
      <c r="EJ20" s="25">
        <v>17</v>
      </c>
      <c r="EK20" s="25">
        <v>70</v>
      </c>
      <c r="EL20" s="25">
        <v>34</v>
      </c>
      <c r="EM20" s="25">
        <v>0</v>
      </c>
      <c r="EN20" s="25">
        <v>17</v>
      </c>
    </row>
    <row r="21" spans="1:144" x14ac:dyDescent="0.25">
      <c r="A21" s="19">
        <f t="shared" si="8"/>
        <v>25</v>
      </c>
      <c r="B21" s="20" t="str">
        <f t="shared" si="9"/>
        <v>Kane</v>
      </c>
      <c r="C21" s="24" t="s">
        <v>312</v>
      </c>
      <c r="D21" s="24" t="s">
        <v>313</v>
      </c>
      <c r="E21" s="25">
        <v>3163</v>
      </c>
      <c r="F21" s="25">
        <v>201</v>
      </c>
      <c r="G21" s="25">
        <v>1751</v>
      </c>
      <c r="H21" s="25">
        <v>193</v>
      </c>
      <c r="I21" s="25">
        <v>1597</v>
      </c>
      <c r="J21" s="25">
        <v>198</v>
      </c>
      <c r="K21" s="25">
        <v>154</v>
      </c>
      <c r="L21" s="25">
        <v>85</v>
      </c>
      <c r="M21" s="25">
        <v>487</v>
      </c>
      <c r="N21" s="25">
        <v>121</v>
      </c>
      <c r="O21" s="25">
        <v>334</v>
      </c>
      <c r="P21" s="25">
        <v>109</v>
      </c>
      <c r="Q21" s="25">
        <v>219</v>
      </c>
      <c r="R21" s="25">
        <v>98</v>
      </c>
      <c r="S21" s="25">
        <v>179</v>
      </c>
      <c r="T21" s="25">
        <v>87</v>
      </c>
      <c r="U21" s="25">
        <v>132</v>
      </c>
      <c r="V21" s="25">
        <v>51</v>
      </c>
      <c r="W21" s="25">
        <v>61</v>
      </c>
      <c r="X21" s="25">
        <v>44</v>
      </c>
      <c r="Y21" s="25">
        <v>2539</v>
      </c>
      <c r="Z21" s="25">
        <v>208</v>
      </c>
      <c r="AA21" s="25">
        <v>1383</v>
      </c>
      <c r="AB21" s="25">
        <v>171</v>
      </c>
      <c r="AC21" s="25">
        <v>1334</v>
      </c>
      <c r="AD21" s="25">
        <v>174</v>
      </c>
      <c r="AE21" s="25">
        <v>49</v>
      </c>
      <c r="AF21" s="25">
        <v>36</v>
      </c>
      <c r="AG21" s="25">
        <v>439</v>
      </c>
      <c r="AH21" s="25">
        <v>125</v>
      </c>
      <c r="AI21" s="25">
        <v>235</v>
      </c>
      <c r="AJ21" s="25">
        <v>90</v>
      </c>
      <c r="AK21" s="25">
        <v>210</v>
      </c>
      <c r="AL21" s="25">
        <v>98</v>
      </c>
      <c r="AM21" s="25">
        <v>179</v>
      </c>
      <c r="AN21" s="25">
        <v>87</v>
      </c>
      <c r="AO21" s="25">
        <v>81</v>
      </c>
      <c r="AP21" s="25">
        <v>47</v>
      </c>
      <c r="AQ21" s="25">
        <v>12</v>
      </c>
      <c r="AR21" s="25">
        <v>19</v>
      </c>
      <c r="AS21" s="25">
        <v>192</v>
      </c>
      <c r="AT21" s="25">
        <v>78</v>
      </c>
      <c r="AU21" s="25">
        <v>124</v>
      </c>
      <c r="AV21" s="25">
        <v>68</v>
      </c>
      <c r="AW21" s="25">
        <v>120</v>
      </c>
      <c r="AX21" s="25">
        <v>67</v>
      </c>
      <c r="AY21" s="25">
        <v>4</v>
      </c>
      <c r="AZ21" s="25">
        <v>6</v>
      </c>
      <c r="BA21" s="25">
        <v>24</v>
      </c>
      <c r="BB21" s="25">
        <v>33</v>
      </c>
      <c r="BC21" s="25">
        <v>11</v>
      </c>
      <c r="BD21" s="25">
        <v>11</v>
      </c>
      <c r="BE21" s="25">
        <v>6</v>
      </c>
      <c r="BF21" s="25">
        <v>11</v>
      </c>
      <c r="BG21" s="25">
        <v>0</v>
      </c>
      <c r="BH21" s="25">
        <v>15</v>
      </c>
      <c r="BI21" s="25">
        <v>22</v>
      </c>
      <c r="BJ21" s="25">
        <v>20</v>
      </c>
      <c r="BK21" s="25">
        <v>5</v>
      </c>
      <c r="BL21" s="25">
        <v>7</v>
      </c>
      <c r="BM21" s="25">
        <v>0</v>
      </c>
      <c r="BN21" s="25">
        <v>15</v>
      </c>
      <c r="BO21" s="25">
        <v>0</v>
      </c>
      <c r="BP21" s="25">
        <v>15</v>
      </c>
      <c r="BQ21" s="25">
        <v>0</v>
      </c>
      <c r="BR21" s="25">
        <v>15</v>
      </c>
      <c r="BS21" s="25">
        <v>0</v>
      </c>
      <c r="BT21" s="25">
        <v>15</v>
      </c>
      <c r="BU21" s="25">
        <v>0</v>
      </c>
      <c r="BV21" s="25">
        <v>15</v>
      </c>
      <c r="BW21" s="25">
        <v>0</v>
      </c>
      <c r="BX21" s="25">
        <v>15</v>
      </c>
      <c r="BY21" s="25">
        <v>0</v>
      </c>
      <c r="BZ21" s="25">
        <v>15</v>
      </c>
      <c r="CA21" s="25">
        <v>0</v>
      </c>
      <c r="CB21" s="25">
        <v>15</v>
      </c>
      <c r="CC21" s="25">
        <v>0</v>
      </c>
      <c r="CD21" s="25">
        <v>15</v>
      </c>
      <c r="CE21" s="25">
        <v>0</v>
      </c>
      <c r="CF21" s="25">
        <v>15</v>
      </c>
      <c r="CG21" s="25">
        <v>153</v>
      </c>
      <c r="CH21" s="25">
        <v>71</v>
      </c>
      <c r="CI21" s="25">
        <v>71</v>
      </c>
      <c r="CJ21" s="25">
        <v>55</v>
      </c>
      <c r="CK21" s="25">
        <v>55</v>
      </c>
      <c r="CL21" s="25">
        <v>51</v>
      </c>
      <c r="CM21" s="25">
        <v>16</v>
      </c>
      <c r="CN21" s="25">
        <v>20</v>
      </c>
      <c r="CO21" s="25">
        <v>10</v>
      </c>
      <c r="CP21" s="25">
        <v>15</v>
      </c>
      <c r="CQ21" s="25">
        <v>71</v>
      </c>
      <c r="CR21" s="25">
        <v>49</v>
      </c>
      <c r="CS21" s="25">
        <v>0</v>
      </c>
      <c r="CT21" s="25">
        <v>15</v>
      </c>
      <c r="CU21" s="25">
        <v>0</v>
      </c>
      <c r="CV21" s="25">
        <v>15</v>
      </c>
      <c r="CW21" s="25">
        <v>1</v>
      </c>
      <c r="CX21" s="25">
        <v>2</v>
      </c>
      <c r="CY21" s="25">
        <v>0</v>
      </c>
      <c r="CZ21" s="25">
        <v>15</v>
      </c>
      <c r="DA21" s="25">
        <v>64</v>
      </c>
      <c r="DB21" s="25">
        <v>46</v>
      </c>
      <c r="DC21" s="25">
        <v>42</v>
      </c>
      <c r="DD21" s="25">
        <v>39</v>
      </c>
      <c r="DE21" s="25">
        <v>15</v>
      </c>
      <c r="DF21" s="25">
        <v>15</v>
      </c>
      <c r="DG21" s="25">
        <v>27</v>
      </c>
      <c r="DH21" s="25">
        <v>37</v>
      </c>
      <c r="DI21" s="25">
        <v>0</v>
      </c>
      <c r="DJ21" s="25">
        <v>15</v>
      </c>
      <c r="DK21" s="25">
        <v>17</v>
      </c>
      <c r="DL21" s="25">
        <v>22</v>
      </c>
      <c r="DM21" s="25">
        <v>3</v>
      </c>
      <c r="DN21" s="25">
        <v>5</v>
      </c>
      <c r="DO21" s="25">
        <v>0</v>
      </c>
      <c r="DP21" s="25">
        <v>15</v>
      </c>
      <c r="DQ21" s="25">
        <v>2</v>
      </c>
      <c r="DR21" s="25">
        <v>3</v>
      </c>
      <c r="DS21" s="25">
        <v>0</v>
      </c>
      <c r="DT21" s="25">
        <v>15</v>
      </c>
      <c r="DU21" s="25">
        <v>215</v>
      </c>
      <c r="DV21" s="25">
        <v>106</v>
      </c>
      <c r="DW21" s="25">
        <v>131</v>
      </c>
      <c r="DX21" s="25">
        <v>95</v>
      </c>
      <c r="DY21" s="25">
        <v>73</v>
      </c>
      <c r="DZ21" s="25">
        <v>44</v>
      </c>
      <c r="EA21" s="25">
        <v>58</v>
      </c>
      <c r="EB21" s="25">
        <v>64</v>
      </c>
      <c r="EC21" s="25">
        <v>14</v>
      </c>
      <c r="ED21" s="25">
        <v>24</v>
      </c>
      <c r="EE21" s="25">
        <v>0</v>
      </c>
      <c r="EF21" s="25">
        <v>15</v>
      </c>
      <c r="EG21" s="25">
        <v>0</v>
      </c>
      <c r="EH21" s="25">
        <v>15</v>
      </c>
      <c r="EI21" s="25">
        <v>0</v>
      </c>
      <c r="EJ21" s="25">
        <v>15</v>
      </c>
      <c r="EK21" s="25">
        <v>26</v>
      </c>
      <c r="EL21" s="25">
        <v>19</v>
      </c>
      <c r="EM21" s="25">
        <v>44</v>
      </c>
      <c r="EN21" s="25">
        <v>40</v>
      </c>
    </row>
    <row r="22" spans="1:144" x14ac:dyDescent="0.25">
      <c r="A22" s="19">
        <f t="shared" si="8"/>
        <v>27</v>
      </c>
      <c r="B22" s="20" t="str">
        <f t="shared" si="9"/>
        <v>Millard</v>
      </c>
      <c r="C22" s="24" t="s">
        <v>314</v>
      </c>
      <c r="D22" s="24" t="s">
        <v>315</v>
      </c>
      <c r="E22" s="25">
        <v>5294</v>
      </c>
      <c r="F22" s="25">
        <v>233</v>
      </c>
      <c r="G22" s="25">
        <v>3650</v>
      </c>
      <c r="H22" s="25">
        <v>241</v>
      </c>
      <c r="I22" s="25">
        <v>3506</v>
      </c>
      <c r="J22" s="25">
        <v>234</v>
      </c>
      <c r="K22" s="25">
        <v>144</v>
      </c>
      <c r="L22" s="25">
        <v>46</v>
      </c>
      <c r="M22" s="25">
        <v>299</v>
      </c>
      <c r="N22" s="25">
        <v>78</v>
      </c>
      <c r="O22" s="25">
        <v>427</v>
      </c>
      <c r="P22" s="25">
        <v>105</v>
      </c>
      <c r="Q22" s="25">
        <v>307</v>
      </c>
      <c r="R22" s="25">
        <v>83</v>
      </c>
      <c r="S22" s="25">
        <v>106</v>
      </c>
      <c r="T22" s="25">
        <v>38</v>
      </c>
      <c r="U22" s="25">
        <v>494</v>
      </c>
      <c r="V22" s="25">
        <v>103</v>
      </c>
      <c r="W22" s="25">
        <v>11</v>
      </c>
      <c r="X22" s="25">
        <v>13</v>
      </c>
      <c r="Y22" s="25">
        <v>3977</v>
      </c>
      <c r="Z22" s="25">
        <v>245</v>
      </c>
      <c r="AA22" s="25">
        <v>2896</v>
      </c>
      <c r="AB22" s="25">
        <v>211</v>
      </c>
      <c r="AC22" s="25">
        <v>2812</v>
      </c>
      <c r="AD22" s="25">
        <v>209</v>
      </c>
      <c r="AE22" s="25">
        <v>84</v>
      </c>
      <c r="AF22" s="25">
        <v>36</v>
      </c>
      <c r="AG22" s="25">
        <v>198</v>
      </c>
      <c r="AH22" s="25">
        <v>60</v>
      </c>
      <c r="AI22" s="25">
        <v>302</v>
      </c>
      <c r="AJ22" s="25">
        <v>87</v>
      </c>
      <c r="AK22" s="25">
        <v>204</v>
      </c>
      <c r="AL22" s="25">
        <v>64</v>
      </c>
      <c r="AM22" s="25">
        <v>81</v>
      </c>
      <c r="AN22" s="25">
        <v>35</v>
      </c>
      <c r="AO22" s="25">
        <v>287</v>
      </c>
      <c r="AP22" s="25">
        <v>82</v>
      </c>
      <c r="AQ22" s="25">
        <v>9</v>
      </c>
      <c r="AR22" s="25">
        <v>13</v>
      </c>
      <c r="AS22" s="25">
        <v>857</v>
      </c>
      <c r="AT22" s="25">
        <v>150</v>
      </c>
      <c r="AU22" s="25">
        <v>578</v>
      </c>
      <c r="AV22" s="25">
        <v>122</v>
      </c>
      <c r="AW22" s="25">
        <v>561</v>
      </c>
      <c r="AX22" s="25">
        <v>121</v>
      </c>
      <c r="AY22" s="25">
        <v>17</v>
      </c>
      <c r="AZ22" s="25">
        <v>14</v>
      </c>
      <c r="BA22" s="25">
        <v>91</v>
      </c>
      <c r="BB22" s="25">
        <v>50</v>
      </c>
      <c r="BC22" s="25">
        <v>83</v>
      </c>
      <c r="BD22" s="25">
        <v>47</v>
      </c>
      <c r="BE22" s="25">
        <v>68</v>
      </c>
      <c r="BF22" s="25">
        <v>43</v>
      </c>
      <c r="BG22" s="25">
        <v>9</v>
      </c>
      <c r="BH22" s="25">
        <v>10</v>
      </c>
      <c r="BI22" s="25">
        <v>28</v>
      </c>
      <c r="BJ22" s="25">
        <v>19</v>
      </c>
      <c r="BK22" s="25">
        <v>0</v>
      </c>
      <c r="BL22" s="25">
        <v>17</v>
      </c>
      <c r="BM22" s="25">
        <v>13</v>
      </c>
      <c r="BN22" s="25">
        <v>17</v>
      </c>
      <c r="BO22" s="25">
        <v>13</v>
      </c>
      <c r="BP22" s="25">
        <v>17</v>
      </c>
      <c r="BQ22" s="25">
        <v>13</v>
      </c>
      <c r="BR22" s="25">
        <v>17</v>
      </c>
      <c r="BS22" s="25">
        <v>0</v>
      </c>
      <c r="BT22" s="25">
        <v>17</v>
      </c>
      <c r="BU22" s="25">
        <v>0</v>
      </c>
      <c r="BV22" s="25">
        <v>17</v>
      </c>
      <c r="BW22" s="25">
        <v>0</v>
      </c>
      <c r="BX22" s="25">
        <v>17</v>
      </c>
      <c r="BY22" s="25">
        <v>0</v>
      </c>
      <c r="BZ22" s="25">
        <v>17</v>
      </c>
      <c r="CA22" s="25">
        <v>0</v>
      </c>
      <c r="CB22" s="25">
        <v>17</v>
      </c>
      <c r="CC22" s="25">
        <v>0</v>
      </c>
      <c r="CD22" s="25">
        <v>17</v>
      </c>
      <c r="CE22" s="25">
        <v>0</v>
      </c>
      <c r="CF22" s="25">
        <v>17</v>
      </c>
      <c r="CG22" s="25">
        <v>157</v>
      </c>
      <c r="CH22" s="25">
        <v>66</v>
      </c>
      <c r="CI22" s="25">
        <v>69</v>
      </c>
      <c r="CJ22" s="25">
        <v>50</v>
      </c>
      <c r="CK22" s="25">
        <v>52</v>
      </c>
      <c r="CL22" s="25">
        <v>46</v>
      </c>
      <c r="CM22" s="25">
        <v>17</v>
      </c>
      <c r="CN22" s="25">
        <v>20</v>
      </c>
      <c r="CO22" s="25">
        <v>9</v>
      </c>
      <c r="CP22" s="25">
        <v>13</v>
      </c>
      <c r="CQ22" s="25">
        <v>32</v>
      </c>
      <c r="CR22" s="25">
        <v>33</v>
      </c>
      <c r="CS22" s="25">
        <v>14</v>
      </c>
      <c r="CT22" s="25">
        <v>12</v>
      </c>
      <c r="CU22" s="25">
        <v>10</v>
      </c>
      <c r="CV22" s="25">
        <v>9</v>
      </c>
      <c r="CW22" s="25">
        <v>23</v>
      </c>
      <c r="CX22" s="25">
        <v>16</v>
      </c>
      <c r="CY22" s="25">
        <v>0</v>
      </c>
      <c r="CZ22" s="25">
        <v>17</v>
      </c>
      <c r="DA22" s="25">
        <v>75</v>
      </c>
      <c r="DB22" s="25">
        <v>44</v>
      </c>
      <c r="DC22" s="25">
        <v>38</v>
      </c>
      <c r="DD22" s="25">
        <v>28</v>
      </c>
      <c r="DE22" s="25">
        <v>33</v>
      </c>
      <c r="DF22" s="25">
        <v>23</v>
      </c>
      <c r="DG22" s="25">
        <v>5</v>
      </c>
      <c r="DH22" s="25">
        <v>7</v>
      </c>
      <c r="DI22" s="25">
        <v>1</v>
      </c>
      <c r="DJ22" s="25">
        <v>2</v>
      </c>
      <c r="DK22" s="25">
        <v>6</v>
      </c>
      <c r="DL22" s="25">
        <v>7</v>
      </c>
      <c r="DM22" s="25">
        <v>16</v>
      </c>
      <c r="DN22" s="25">
        <v>20</v>
      </c>
      <c r="DO22" s="25">
        <v>4</v>
      </c>
      <c r="DP22" s="25">
        <v>6</v>
      </c>
      <c r="DQ22" s="25">
        <v>10</v>
      </c>
      <c r="DR22" s="25">
        <v>14</v>
      </c>
      <c r="DS22" s="25">
        <v>0</v>
      </c>
      <c r="DT22" s="25">
        <v>17</v>
      </c>
      <c r="DU22" s="25">
        <v>215</v>
      </c>
      <c r="DV22" s="25">
        <v>63</v>
      </c>
      <c r="DW22" s="25">
        <v>56</v>
      </c>
      <c r="DX22" s="25">
        <v>32</v>
      </c>
      <c r="DY22" s="25">
        <v>35</v>
      </c>
      <c r="DZ22" s="25">
        <v>26</v>
      </c>
      <c r="EA22" s="25">
        <v>21</v>
      </c>
      <c r="EB22" s="25">
        <v>18</v>
      </c>
      <c r="EC22" s="25">
        <v>0</v>
      </c>
      <c r="ED22" s="25">
        <v>17</v>
      </c>
      <c r="EE22" s="25">
        <v>4</v>
      </c>
      <c r="EF22" s="25">
        <v>5</v>
      </c>
      <c r="EG22" s="25">
        <v>5</v>
      </c>
      <c r="EH22" s="25">
        <v>7</v>
      </c>
      <c r="EI22" s="25">
        <v>2</v>
      </c>
      <c r="EJ22" s="25">
        <v>3</v>
      </c>
      <c r="EK22" s="25">
        <v>146</v>
      </c>
      <c r="EL22" s="25">
        <v>57</v>
      </c>
      <c r="EM22" s="25">
        <v>2</v>
      </c>
      <c r="EN22" s="25">
        <v>3</v>
      </c>
    </row>
    <row r="23" spans="1:144" x14ac:dyDescent="0.25">
      <c r="A23" s="19">
        <f t="shared" si="8"/>
        <v>29</v>
      </c>
      <c r="B23" s="20" t="str">
        <f t="shared" si="9"/>
        <v>Morgan</v>
      </c>
      <c r="C23" s="24" t="s">
        <v>316</v>
      </c>
      <c r="D23" s="24" t="s">
        <v>317</v>
      </c>
      <c r="E23" s="25">
        <v>4231</v>
      </c>
      <c r="F23" s="25">
        <v>201</v>
      </c>
      <c r="G23" s="25">
        <v>3206</v>
      </c>
      <c r="H23" s="25">
        <v>204</v>
      </c>
      <c r="I23" s="25">
        <v>2999</v>
      </c>
      <c r="J23" s="25">
        <v>207</v>
      </c>
      <c r="K23" s="25">
        <v>207</v>
      </c>
      <c r="L23" s="25">
        <v>74</v>
      </c>
      <c r="M23" s="25">
        <v>162</v>
      </c>
      <c r="N23" s="25">
        <v>76</v>
      </c>
      <c r="O23" s="25">
        <v>287</v>
      </c>
      <c r="P23" s="25">
        <v>108</v>
      </c>
      <c r="Q23" s="25">
        <v>131</v>
      </c>
      <c r="R23" s="25">
        <v>61</v>
      </c>
      <c r="S23" s="25">
        <v>210</v>
      </c>
      <c r="T23" s="25">
        <v>79</v>
      </c>
      <c r="U23" s="25">
        <v>235</v>
      </c>
      <c r="V23" s="25">
        <v>80</v>
      </c>
      <c r="W23" s="25">
        <v>0</v>
      </c>
      <c r="X23" s="25">
        <v>17</v>
      </c>
      <c r="Y23" s="25">
        <v>3525</v>
      </c>
      <c r="Z23" s="25">
        <v>221</v>
      </c>
      <c r="AA23" s="25">
        <v>2702</v>
      </c>
      <c r="AB23" s="25">
        <v>224</v>
      </c>
      <c r="AC23" s="25">
        <v>2531</v>
      </c>
      <c r="AD23" s="25">
        <v>225</v>
      </c>
      <c r="AE23" s="25">
        <v>171</v>
      </c>
      <c r="AF23" s="25">
        <v>64</v>
      </c>
      <c r="AG23" s="25">
        <v>154</v>
      </c>
      <c r="AH23" s="25">
        <v>73</v>
      </c>
      <c r="AI23" s="25">
        <v>239</v>
      </c>
      <c r="AJ23" s="25">
        <v>103</v>
      </c>
      <c r="AK23" s="25">
        <v>109</v>
      </c>
      <c r="AL23" s="25">
        <v>56</v>
      </c>
      <c r="AM23" s="25">
        <v>194</v>
      </c>
      <c r="AN23" s="25">
        <v>78</v>
      </c>
      <c r="AO23" s="25">
        <v>127</v>
      </c>
      <c r="AP23" s="25">
        <v>59</v>
      </c>
      <c r="AQ23" s="25">
        <v>0</v>
      </c>
      <c r="AR23" s="25">
        <v>17</v>
      </c>
      <c r="AS23" s="25">
        <v>426</v>
      </c>
      <c r="AT23" s="25">
        <v>136</v>
      </c>
      <c r="AU23" s="25">
        <v>324</v>
      </c>
      <c r="AV23" s="25">
        <v>120</v>
      </c>
      <c r="AW23" s="25">
        <v>324</v>
      </c>
      <c r="AX23" s="25">
        <v>120</v>
      </c>
      <c r="AY23" s="25">
        <v>0</v>
      </c>
      <c r="AZ23" s="25">
        <v>17</v>
      </c>
      <c r="BA23" s="25">
        <v>5</v>
      </c>
      <c r="BB23" s="25">
        <v>9</v>
      </c>
      <c r="BC23" s="25">
        <v>41</v>
      </c>
      <c r="BD23" s="25">
        <v>26</v>
      </c>
      <c r="BE23" s="25">
        <v>10</v>
      </c>
      <c r="BF23" s="25">
        <v>12</v>
      </c>
      <c r="BG23" s="25">
        <v>16</v>
      </c>
      <c r="BH23" s="25">
        <v>17</v>
      </c>
      <c r="BI23" s="25">
        <v>30</v>
      </c>
      <c r="BJ23" s="25">
        <v>32</v>
      </c>
      <c r="BK23" s="25">
        <v>0</v>
      </c>
      <c r="BL23" s="25">
        <v>17</v>
      </c>
      <c r="BM23" s="25">
        <v>5</v>
      </c>
      <c r="BN23" s="25">
        <v>9</v>
      </c>
      <c r="BO23" s="25">
        <v>0</v>
      </c>
      <c r="BP23" s="25">
        <v>17</v>
      </c>
      <c r="BQ23" s="25">
        <v>0</v>
      </c>
      <c r="BR23" s="25">
        <v>17</v>
      </c>
      <c r="BS23" s="25">
        <v>0</v>
      </c>
      <c r="BT23" s="25">
        <v>17</v>
      </c>
      <c r="BU23" s="25">
        <v>0</v>
      </c>
      <c r="BV23" s="25">
        <v>17</v>
      </c>
      <c r="BW23" s="25">
        <v>0</v>
      </c>
      <c r="BX23" s="25">
        <v>17</v>
      </c>
      <c r="BY23" s="25">
        <v>5</v>
      </c>
      <c r="BZ23" s="25">
        <v>9</v>
      </c>
      <c r="CA23" s="25">
        <v>0</v>
      </c>
      <c r="CB23" s="25">
        <v>17</v>
      </c>
      <c r="CC23" s="25">
        <v>0</v>
      </c>
      <c r="CD23" s="25">
        <v>17</v>
      </c>
      <c r="CE23" s="25">
        <v>0</v>
      </c>
      <c r="CF23" s="25">
        <v>17</v>
      </c>
      <c r="CG23" s="25">
        <v>57</v>
      </c>
      <c r="CH23" s="25">
        <v>38</v>
      </c>
      <c r="CI23" s="25">
        <v>24</v>
      </c>
      <c r="CJ23" s="25">
        <v>21</v>
      </c>
      <c r="CK23" s="25">
        <v>24</v>
      </c>
      <c r="CL23" s="25">
        <v>21</v>
      </c>
      <c r="CM23" s="25">
        <v>0</v>
      </c>
      <c r="CN23" s="25">
        <v>17</v>
      </c>
      <c r="CO23" s="25">
        <v>3</v>
      </c>
      <c r="CP23" s="25">
        <v>6</v>
      </c>
      <c r="CQ23" s="25">
        <v>7</v>
      </c>
      <c r="CR23" s="25">
        <v>9</v>
      </c>
      <c r="CS23" s="25">
        <v>0</v>
      </c>
      <c r="CT23" s="25">
        <v>17</v>
      </c>
      <c r="CU23" s="25">
        <v>0</v>
      </c>
      <c r="CV23" s="25">
        <v>17</v>
      </c>
      <c r="CW23" s="25">
        <v>23</v>
      </c>
      <c r="CX23" s="25">
        <v>27</v>
      </c>
      <c r="CY23" s="25">
        <v>0</v>
      </c>
      <c r="CZ23" s="25">
        <v>17</v>
      </c>
      <c r="DA23" s="25">
        <v>33</v>
      </c>
      <c r="DB23" s="25">
        <v>31</v>
      </c>
      <c r="DC23" s="25">
        <v>33</v>
      </c>
      <c r="DD23" s="25">
        <v>31</v>
      </c>
      <c r="DE23" s="25">
        <v>33</v>
      </c>
      <c r="DF23" s="25">
        <v>31</v>
      </c>
      <c r="DG23" s="25">
        <v>0</v>
      </c>
      <c r="DH23" s="25">
        <v>17</v>
      </c>
      <c r="DI23" s="25">
        <v>0</v>
      </c>
      <c r="DJ23" s="25">
        <v>17</v>
      </c>
      <c r="DK23" s="25">
        <v>0</v>
      </c>
      <c r="DL23" s="25">
        <v>17</v>
      </c>
      <c r="DM23" s="25">
        <v>0</v>
      </c>
      <c r="DN23" s="25">
        <v>17</v>
      </c>
      <c r="DO23" s="25">
        <v>0</v>
      </c>
      <c r="DP23" s="25">
        <v>17</v>
      </c>
      <c r="DQ23" s="25">
        <v>0</v>
      </c>
      <c r="DR23" s="25">
        <v>17</v>
      </c>
      <c r="DS23" s="25">
        <v>0</v>
      </c>
      <c r="DT23" s="25">
        <v>17</v>
      </c>
      <c r="DU23" s="25">
        <v>185</v>
      </c>
      <c r="DV23" s="25">
        <v>80</v>
      </c>
      <c r="DW23" s="25">
        <v>123</v>
      </c>
      <c r="DX23" s="25">
        <v>69</v>
      </c>
      <c r="DY23" s="25">
        <v>87</v>
      </c>
      <c r="DZ23" s="25">
        <v>68</v>
      </c>
      <c r="EA23" s="25">
        <v>36</v>
      </c>
      <c r="EB23" s="25">
        <v>24</v>
      </c>
      <c r="EC23" s="25">
        <v>0</v>
      </c>
      <c r="ED23" s="25">
        <v>17</v>
      </c>
      <c r="EE23" s="25">
        <v>0</v>
      </c>
      <c r="EF23" s="25">
        <v>17</v>
      </c>
      <c r="EG23" s="25">
        <v>7</v>
      </c>
      <c r="EH23" s="25">
        <v>11</v>
      </c>
      <c r="EI23" s="25">
        <v>0</v>
      </c>
      <c r="EJ23" s="25">
        <v>17</v>
      </c>
      <c r="EK23" s="25">
        <v>55</v>
      </c>
      <c r="EL23" s="25">
        <v>40</v>
      </c>
      <c r="EM23" s="25">
        <v>0</v>
      </c>
      <c r="EN23" s="25">
        <v>17</v>
      </c>
    </row>
    <row r="24" spans="1:144" x14ac:dyDescent="0.25">
      <c r="A24" s="19">
        <f t="shared" si="8"/>
        <v>31</v>
      </c>
      <c r="B24" s="20" t="str">
        <f t="shared" si="9"/>
        <v>Piute</v>
      </c>
      <c r="C24" s="24" t="s">
        <v>318</v>
      </c>
      <c r="D24" s="24" t="s">
        <v>319</v>
      </c>
      <c r="E24" s="25">
        <v>647</v>
      </c>
      <c r="F24" s="25">
        <v>84</v>
      </c>
      <c r="G24" s="25">
        <v>365</v>
      </c>
      <c r="H24" s="25">
        <v>67</v>
      </c>
      <c r="I24" s="25">
        <v>331</v>
      </c>
      <c r="J24" s="25">
        <v>63</v>
      </c>
      <c r="K24" s="25">
        <v>34</v>
      </c>
      <c r="L24" s="25">
        <v>18</v>
      </c>
      <c r="M24" s="25">
        <v>33</v>
      </c>
      <c r="N24" s="25">
        <v>13</v>
      </c>
      <c r="O24" s="25">
        <v>54</v>
      </c>
      <c r="P24" s="25">
        <v>21</v>
      </c>
      <c r="Q24" s="25">
        <v>133</v>
      </c>
      <c r="R24" s="25">
        <v>54</v>
      </c>
      <c r="S24" s="25">
        <v>20</v>
      </c>
      <c r="T24" s="25">
        <v>11</v>
      </c>
      <c r="U24" s="25">
        <v>36</v>
      </c>
      <c r="V24" s="25">
        <v>18</v>
      </c>
      <c r="W24" s="25">
        <v>6</v>
      </c>
      <c r="X24" s="25">
        <v>9</v>
      </c>
      <c r="Y24" s="25">
        <v>487</v>
      </c>
      <c r="Z24" s="25">
        <v>73</v>
      </c>
      <c r="AA24" s="25">
        <v>281</v>
      </c>
      <c r="AB24" s="25">
        <v>67</v>
      </c>
      <c r="AC24" s="25">
        <v>257</v>
      </c>
      <c r="AD24" s="25">
        <v>63</v>
      </c>
      <c r="AE24" s="25">
        <v>24</v>
      </c>
      <c r="AF24" s="25">
        <v>14</v>
      </c>
      <c r="AG24" s="25">
        <v>31</v>
      </c>
      <c r="AH24" s="25">
        <v>13</v>
      </c>
      <c r="AI24" s="25">
        <v>41</v>
      </c>
      <c r="AJ24" s="25">
        <v>17</v>
      </c>
      <c r="AK24" s="25">
        <v>98</v>
      </c>
      <c r="AL24" s="25">
        <v>48</v>
      </c>
      <c r="AM24" s="25">
        <v>17</v>
      </c>
      <c r="AN24" s="25">
        <v>11</v>
      </c>
      <c r="AO24" s="25">
        <v>19</v>
      </c>
      <c r="AP24" s="25">
        <v>14</v>
      </c>
      <c r="AQ24" s="25">
        <v>0</v>
      </c>
      <c r="AR24" s="25">
        <v>11</v>
      </c>
      <c r="AS24" s="25">
        <v>67</v>
      </c>
      <c r="AT24" s="25">
        <v>38</v>
      </c>
      <c r="AU24" s="25">
        <v>42</v>
      </c>
      <c r="AV24" s="25">
        <v>29</v>
      </c>
      <c r="AW24" s="25">
        <v>42</v>
      </c>
      <c r="AX24" s="25">
        <v>29</v>
      </c>
      <c r="AY24" s="25">
        <v>0</v>
      </c>
      <c r="AZ24" s="25">
        <v>11</v>
      </c>
      <c r="BA24" s="25">
        <v>0</v>
      </c>
      <c r="BB24" s="25">
        <v>11</v>
      </c>
      <c r="BC24" s="25">
        <v>11</v>
      </c>
      <c r="BD24" s="25">
        <v>13</v>
      </c>
      <c r="BE24" s="25">
        <v>11</v>
      </c>
      <c r="BF24" s="25">
        <v>18</v>
      </c>
      <c r="BG24" s="25">
        <v>0</v>
      </c>
      <c r="BH24" s="25">
        <v>11</v>
      </c>
      <c r="BI24" s="25">
        <v>3</v>
      </c>
      <c r="BJ24" s="25">
        <v>3</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22</v>
      </c>
      <c r="CH24" s="25">
        <v>14</v>
      </c>
      <c r="CI24" s="25">
        <v>12</v>
      </c>
      <c r="CJ24" s="25">
        <v>10</v>
      </c>
      <c r="CK24" s="25">
        <v>7</v>
      </c>
      <c r="CL24" s="25">
        <v>9</v>
      </c>
      <c r="CM24" s="25">
        <v>5</v>
      </c>
      <c r="CN24" s="25">
        <v>7</v>
      </c>
      <c r="CO24" s="25">
        <v>2</v>
      </c>
      <c r="CP24" s="25">
        <v>3</v>
      </c>
      <c r="CQ24" s="25">
        <v>2</v>
      </c>
      <c r="CR24" s="25">
        <v>3</v>
      </c>
      <c r="CS24" s="25">
        <v>0</v>
      </c>
      <c r="CT24" s="25">
        <v>11</v>
      </c>
      <c r="CU24" s="25">
        <v>0</v>
      </c>
      <c r="CV24" s="25">
        <v>11</v>
      </c>
      <c r="CW24" s="25">
        <v>0</v>
      </c>
      <c r="CX24" s="25">
        <v>11</v>
      </c>
      <c r="CY24" s="25">
        <v>6</v>
      </c>
      <c r="CZ24" s="25">
        <v>9</v>
      </c>
      <c r="DA24" s="25">
        <v>29</v>
      </c>
      <c r="DB24" s="25">
        <v>15</v>
      </c>
      <c r="DC24" s="25">
        <v>22</v>
      </c>
      <c r="DD24" s="25">
        <v>14</v>
      </c>
      <c r="DE24" s="25">
        <v>22</v>
      </c>
      <c r="DF24" s="25">
        <v>14</v>
      </c>
      <c r="DG24" s="25">
        <v>0</v>
      </c>
      <c r="DH24" s="25">
        <v>11</v>
      </c>
      <c r="DI24" s="25">
        <v>0</v>
      </c>
      <c r="DJ24" s="25">
        <v>11</v>
      </c>
      <c r="DK24" s="25">
        <v>0</v>
      </c>
      <c r="DL24" s="25">
        <v>11</v>
      </c>
      <c r="DM24" s="25">
        <v>0</v>
      </c>
      <c r="DN24" s="25">
        <v>11</v>
      </c>
      <c r="DO24" s="25">
        <v>0</v>
      </c>
      <c r="DP24" s="25">
        <v>11</v>
      </c>
      <c r="DQ24" s="25">
        <v>7</v>
      </c>
      <c r="DR24" s="25">
        <v>7</v>
      </c>
      <c r="DS24" s="25">
        <v>0</v>
      </c>
      <c r="DT24" s="25">
        <v>11</v>
      </c>
      <c r="DU24" s="25">
        <v>42</v>
      </c>
      <c r="DV24" s="25">
        <v>24</v>
      </c>
      <c r="DW24" s="25">
        <v>8</v>
      </c>
      <c r="DX24" s="25">
        <v>8</v>
      </c>
      <c r="DY24" s="25">
        <v>3</v>
      </c>
      <c r="DZ24" s="25">
        <v>5</v>
      </c>
      <c r="EA24" s="25">
        <v>5</v>
      </c>
      <c r="EB24" s="25">
        <v>7</v>
      </c>
      <c r="EC24" s="25">
        <v>0</v>
      </c>
      <c r="ED24" s="25">
        <v>11</v>
      </c>
      <c r="EE24" s="25">
        <v>0</v>
      </c>
      <c r="EF24" s="25">
        <v>11</v>
      </c>
      <c r="EG24" s="25">
        <v>24</v>
      </c>
      <c r="EH24" s="25">
        <v>21</v>
      </c>
      <c r="EI24" s="25">
        <v>3</v>
      </c>
      <c r="EJ24" s="25">
        <v>3</v>
      </c>
      <c r="EK24" s="25">
        <v>7</v>
      </c>
      <c r="EL24" s="25">
        <v>5</v>
      </c>
      <c r="EM24" s="25">
        <v>0</v>
      </c>
      <c r="EN24" s="25">
        <v>11</v>
      </c>
    </row>
    <row r="25" spans="1:144" x14ac:dyDescent="0.25">
      <c r="A25" s="19">
        <f t="shared" si="8"/>
        <v>33</v>
      </c>
      <c r="B25" s="20" t="str">
        <f t="shared" si="9"/>
        <v>Rich</v>
      </c>
      <c r="C25" s="24" t="s">
        <v>320</v>
      </c>
      <c r="D25" s="24" t="s">
        <v>321</v>
      </c>
      <c r="E25" s="25">
        <v>728</v>
      </c>
      <c r="F25" s="25">
        <v>78</v>
      </c>
      <c r="G25" s="25">
        <v>499</v>
      </c>
      <c r="H25" s="25">
        <v>82</v>
      </c>
      <c r="I25" s="25">
        <v>389</v>
      </c>
      <c r="J25" s="25">
        <v>71</v>
      </c>
      <c r="K25" s="25">
        <v>110</v>
      </c>
      <c r="L25" s="25">
        <v>41</v>
      </c>
      <c r="M25" s="25">
        <v>42</v>
      </c>
      <c r="N25" s="25">
        <v>27</v>
      </c>
      <c r="O25" s="25">
        <v>96</v>
      </c>
      <c r="P25" s="25">
        <v>45</v>
      </c>
      <c r="Q25" s="25">
        <v>37</v>
      </c>
      <c r="R25" s="25">
        <v>18</v>
      </c>
      <c r="S25" s="25">
        <v>3</v>
      </c>
      <c r="T25" s="25">
        <v>3</v>
      </c>
      <c r="U25" s="25">
        <v>51</v>
      </c>
      <c r="V25" s="25">
        <v>22</v>
      </c>
      <c r="W25" s="25">
        <v>0</v>
      </c>
      <c r="X25" s="25">
        <v>11</v>
      </c>
      <c r="Y25" s="25">
        <v>520</v>
      </c>
      <c r="Z25" s="25">
        <v>75</v>
      </c>
      <c r="AA25" s="25">
        <v>344</v>
      </c>
      <c r="AB25" s="25">
        <v>69</v>
      </c>
      <c r="AC25" s="25">
        <v>278</v>
      </c>
      <c r="AD25" s="25">
        <v>64</v>
      </c>
      <c r="AE25" s="25">
        <v>66</v>
      </c>
      <c r="AF25" s="25">
        <v>34</v>
      </c>
      <c r="AG25" s="25">
        <v>38</v>
      </c>
      <c r="AH25" s="25">
        <v>28</v>
      </c>
      <c r="AI25" s="25">
        <v>78</v>
      </c>
      <c r="AJ25" s="25">
        <v>45</v>
      </c>
      <c r="AK25" s="25">
        <v>31</v>
      </c>
      <c r="AL25" s="25">
        <v>18</v>
      </c>
      <c r="AM25" s="25">
        <v>3</v>
      </c>
      <c r="AN25" s="25">
        <v>3</v>
      </c>
      <c r="AO25" s="25">
        <v>26</v>
      </c>
      <c r="AP25" s="25">
        <v>19</v>
      </c>
      <c r="AQ25" s="25">
        <v>0</v>
      </c>
      <c r="AR25" s="25">
        <v>11</v>
      </c>
      <c r="AS25" s="25">
        <v>83</v>
      </c>
      <c r="AT25" s="25">
        <v>27</v>
      </c>
      <c r="AU25" s="25">
        <v>73</v>
      </c>
      <c r="AV25" s="25">
        <v>25</v>
      </c>
      <c r="AW25" s="25">
        <v>65</v>
      </c>
      <c r="AX25" s="25">
        <v>24</v>
      </c>
      <c r="AY25" s="25">
        <v>8</v>
      </c>
      <c r="AZ25" s="25">
        <v>8</v>
      </c>
      <c r="BA25" s="25">
        <v>2</v>
      </c>
      <c r="BB25" s="25">
        <v>6</v>
      </c>
      <c r="BC25" s="25">
        <v>4</v>
      </c>
      <c r="BD25" s="25">
        <v>4</v>
      </c>
      <c r="BE25" s="25">
        <v>0</v>
      </c>
      <c r="BF25" s="25">
        <v>11</v>
      </c>
      <c r="BG25" s="25">
        <v>0</v>
      </c>
      <c r="BH25" s="25">
        <v>11</v>
      </c>
      <c r="BI25" s="25">
        <v>4</v>
      </c>
      <c r="BJ25" s="25">
        <v>4</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59</v>
      </c>
      <c r="CH25" s="25">
        <v>28</v>
      </c>
      <c r="CI25" s="25">
        <v>35</v>
      </c>
      <c r="CJ25" s="25">
        <v>21</v>
      </c>
      <c r="CK25" s="25">
        <v>23</v>
      </c>
      <c r="CL25" s="25">
        <v>16</v>
      </c>
      <c r="CM25" s="25">
        <v>12</v>
      </c>
      <c r="CN25" s="25">
        <v>13</v>
      </c>
      <c r="CO25" s="25">
        <v>0</v>
      </c>
      <c r="CP25" s="25">
        <v>11</v>
      </c>
      <c r="CQ25" s="25">
        <v>12</v>
      </c>
      <c r="CR25" s="25">
        <v>13</v>
      </c>
      <c r="CS25" s="25">
        <v>3</v>
      </c>
      <c r="CT25" s="25">
        <v>5</v>
      </c>
      <c r="CU25" s="25">
        <v>0</v>
      </c>
      <c r="CV25" s="25">
        <v>11</v>
      </c>
      <c r="CW25" s="25">
        <v>9</v>
      </c>
      <c r="CX25" s="25">
        <v>8</v>
      </c>
      <c r="CY25" s="25">
        <v>0</v>
      </c>
      <c r="CZ25" s="25">
        <v>11</v>
      </c>
      <c r="DA25" s="25">
        <v>24</v>
      </c>
      <c r="DB25" s="25">
        <v>23</v>
      </c>
      <c r="DC25" s="25">
        <v>21</v>
      </c>
      <c r="DD25" s="25">
        <v>22</v>
      </c>
      <c r="DE25" s="25">
        <v>19</v>
      </c>
      <c r="DF25" s="25">
        <v>22</v>
      </c>
      <c r="DG25" s="25">
        <v>2</v>
      </c>
      <c r="DH25" s="25">
        <v>3</v>
      </c>
      <c r="DI25" s="25">
        <v>0</v>
      </c>
      <c r="DJ25" s="25">
        <v>11</v>
      </c>
      <c r="DK25" s="25">
        <v>2</v>
      </c>
      <c r="DL25" s="25">
        <v>3</v>
      </c>
      <c r="DM25" s="25">
        <v>1</v>
      </c>
      <c r="DN25" s="25">
        <v>2</v>
      </c>
      <c r="DO25" s="25">
        <v>0</v>
      </c>
      <c r="DP25" s="25">
        <v>11</v>
      </c>
      <c r="DQ25" s="25">
        <v>0</v>
      </c>
      <c r="DR25" s="25">
        <v>11</v>
      </c>
      <c r="DS25" s="25">
        <v>0</v>
      </c>
      <c r="DT25" s="25">
        <v>11</v>
      </c>
      <c r="DU25" s="25">
        <v>40</v>
      </c>
      <c r="DV25" s="25">
        <v>25</v>
      </c>
      <c r="DW25" s="25">
        <v>26</v>
      </c>
      <c r="DX25" s="25">
        <v>25</v>
      </c>
      <c r="DY25" s="25">
        <v>4</v>
      </c>
      <c r="DZ25" s="25">
        <v>4</v>
      </c>
      <c r="EA25" s="25">
        <v>22</v>
      </c>
      <c r="EB25" s="25">
        <v>25</v>
      </c>
      <c r="EC25" s="25">
        <v>0</v>
      </c>
      <c r="ED25" s="25">
        <v>11</v>
      </c>
      <c r="EE25" s="25">
        <v>0</v>
      </c>
      <c r="EF25" s="25">
        <v>11</v>
      </c>
      <c r="EG25" s="25">
        <v>2</v>
      </c>
      <c r="EH25" s="25">
        <v>2</v>
      </c>
      <c r="EI25" s="25">
        <v>0</v>
      </c>
      <c r="EJ25" s="25">
        <v>11</v>
      </c>
      <c r="EK25" s="25">
        <v>12</v>
      </c>
      <c r="EL25" s="25">
        <v>6</v>
      </c>
      <c r="EM25" s="25">
        <v>0</v>
      </c>
      <c r="EN25" s="25">
        <v>11</v>
      </c>
    </row>
    <row r="26" spans="1:144" x14ac:dyDescent="0.25">
      <c r="A26" s="19">
        <f t="shared" si="8"/>
        <v>35</v>
      </c>
      <c r="B26" s="20" t="str">
        <f t="shared" si="9"/>
        <v>Salt Lake</v>
      </c>
      <c r="C26" s="24" t="s">
        <v>322</v>
      </c>
      <c r="D26" s="24" t="s">
        <v>323</v>
      </c>
      <c r="E26" s="25">
        <v>528726</v>
      </c>
      <c r="F26" s="25">
        <v>2451</v>
      </c>
      <c r="G26" s="25">
        <v>396905</v>
      </c>
      <c r="H26" s="25">
        <v>3067</v>
      </c>
      <c r="I26" s="25">
        <v>376876</v>
      </c>
      <c r="J26" s="25">
        <v>3214</v>
      </c>
      <c r="K26" s="25">
        <v>20029</v>
      </c>
      <c r="L26" s="25">
        <v>956</v>
      </c>
      <c r="M26" s="25">
        <v>37002</v>
      </c>
      <c r="N26" s="25">
        <v>1289</v>
      </c>
      <c r="O26" s="25">
        <v>26630</v>
      </c>
      <c r="P26" s="25">
        <v>1308</v>
      </c>
      <c r="Q26" s="25">
        <v>32208</v>
      </c>
      <c r="R26" s="25">
        <v>1253</v>
      </c>
      <c r="S26" s="25">
        <v>11482</v>
      </c>
      <c r="T26" s="25">
        <v>797</v>
      </c>
      <c r="U26" s="25">
        <v>23841</v>
      </c>
      <c r="V26" s="25">
        <v>1078</v>
      </c>
      <c r="W26" s="25">
        <v>658</v>
      </c>
      <c r="X26" s="25">
        <v>199</v>
      </c>
      <c r="Y26" s="25">
        <v>398302</v>
      </c>
      <c r="Z26" s="25">
        <v>3038</v>
      </c>
      <c r="AA26" s="25">
        <v>302921</v>
      </c>
      <c r="AB26" s="25">
        <v>2936</v>
      </c>
      <c r="AC26" s="25">
        <v>289856</v>
      </c>
      <c r="AD26" s="25">
        <v>2972</v>
      </c>
      <c r="AE26" s="25">
        <v>13065</v>
      </c>
      <c r="AF26" s="25">
        <v>788</v>
      </c>
      <c r="AG26" s="25">
        <v>27674</v>
      </c>
      <c r="AH26" s="25">
        <v>1075</v>
      </c>
      <c r="AI26" s="25">
        <v>21578</v>
      </c>
      <c r="AJ26" s="25">
        <v>1159</v>
      </c>
      <c r="AK26" s="25">
        <v>23808</v>
      </c>
      <c r="AL26" s="25">
        <v>1114</v>
      </c>
      <c r="AM26" s="25">
        <v>8956</v>
      </c>
      <c r="AN26" s="25">
        <v>732</v>
      </c>
      <c r="AO26" s="25">
        <v>12997</v>
      </c>
      <c r="AP26" s="25">
        <v>725</v>
      </c>
      <c r="AQ26" s="25">
        <v>368</v>
      </c>
      <c r="AR26" s="25">
        <v>133</v>
      </c>
      <c r="AS26" s="25">
        <v>63321</v>
      </c>
      <c r="AT26" s="25">
        <v>2119</v>
      </c>
      <c r="AU26" s="25">
        <v>49929</v>
      </c>
      <c r="AV26" s="25">
        <v>1874</v>
      </c>
      <c r="AW26" s="25">
        <v>47824</v>
      </c>
      <c r="AX26" s="25">
        <v>1806</v>
      </c>
      <c r="AY26" s="25">
        <v>2105</v>
      </c>
      <c r="AZ26" s="25">
        <v>292</v>
      </c>
      <c r="BA26" s="25">
        <v>4081</v>
      </c>
      <c r="BB26" s="25">
        <v>413</v>
      </c>
      <c r="BC26" s="25">
        <v>2791</v>
      </c>
      <c r="BD26" s="25">
        <v>410</v>
      </c>
      <c r="BE26" s="25">
        <v>3217</v>
      </c>
      <c r="BF26" s="25">
        <v>394</v>
      </c>
      <c r="BG26" s="25">
        <v>1180</v>
      </c>
      <c r="BH26" s="25">
        <v>225</v>
      </c>
      <c r="BI26" s="25">
        <v>2005</v>
      </c>
      <c r="BJ26" s="25">
        <v>372</v>
      </c>
      <c r="BK26" s="25">
        <v>118</v>
      </c>
      <c r="BL26" s="25">
        <v>77</v>
      </c>
      <c r="BM26" s="25">
        <v>19581</v>
      </c>
      <c r="BN26" s="25">
        <v>965</v>
      </c>
      <c r="BO26" s="25">
        <v>12727</v>
      </c>
      <c r="BP26" s="25">
        <v>861</v>
      </c>
      <c r="BQ26" s="25">
        <v>12599</v>
      </c>
      <c r="BR26" s="25">
        <v>845</v>
      </c>
      <c r="BS26" s="25">
        <v>128</v>
      </c>
      <c r="BT26" s="25">
        <v>67</v>
      </c>
      <c r="BU26" s="25">
        <v>2439</v>
      </c>
      <c r="BV26" s="25">
        <v>325</v>
      </c>
      <c r="BW26" s="25">
        <v>936</v>
      </c>
      <c r="BX26" s="25">
        <v>204</v>
      </c>
      <c r="BY26" s="25">
        <v>2679</v>
      </c>
      <c r="BZ26" s="25">
        <v>376</v>
      </c>
      <c r="CA26" s="25">
        <v>628</v>
      </c>
      <c r="CB26" s="25">
        <v>206</v>
      </c>
      <c r="CC26" s="25">
        <v>172</v>
      </c>
      <c r="CD26" s="25">
        <v>75</v>
      </c>
      <c r="CE26" s="25">
        <v>0</v>
      </c>
      <c r="CF26" s="25">
        <v>26</v>
      </c>
      <c r="CG26" s="25">
        <v>11252</v>
      </c>
      <c r="CH26" s="25">
        <v>796</v>
      </c>
      <c r="CI26" s="25">
        <v>7863</v>
      </c>
      <c r="CJ26" s="25">
        <v>676</v>
      </c>
      <c r="CK26" s="25">
        <v>7552</v>
      </c>
      <c r="CL26" s="25">
        <v>670</v>
      </c>
      <c r="CM26" s="25">
        <v>311</v>
      </c>
      <c r="CN26" s="25">
        <v>118</v>
      </c>
      <c r="CO26" s="25">
        <v>888</v>
      </c>
      <c r="CP26" s="25">
        <v>243</v>
      </c>
      <c r="CQ26" s="25">
        <v>431</v>
      </c>
      <c r="CR26" s="25">
        <v>104</v>
      </c>
      <c r="CS26" s="25">
        <v>1137</v>
      </c>
      <c r="CT26" s="25">
        <v>244</v>
      </c>
      <c r="CU26" s="25">
        <v>180</v>
      </c>
      <c r="CV26" s="25">
        <v>103</v>
      </c>
      <c r="CW26" s="25">
        <v>743</v>
      </c>
      <c r="CX26" s="25">
        <v>226</v>
      </c>
      <c r="CY26" s="25">
        <v>10</v>
      </c>
      <c r="CZ26" s="25">
        <v>15</v>
      </c>
      <c r="DA26" s="25">
        <v>10133</v>
      </c>
      <c r="DB26" s="25">
        <v>668</v>
      </c>
      <c r="DC26" s="25">
        <v>7287</v>
      </c>
      <c r="DD26" s="25">
        <v>534</v>
      </c>
      <c r="DE26" s="25">
        <v>6978</v>
      </c>
      <c r="DF26" s="25">
        <v>495</v>
      </c>
      <c r="DG26" s="25">
        <v>309</v>
      </c>
      <c r="DH26" s="25">
        <v>145</v>
      </c>
      <c r="DI26" s="25">
        <v>790</v>
      </c>
      <c r="DJ26" s="25">
        <v>169</v>
      </c>
      <c r="DK26" s="25">
        <v>611</v>
      </c>
      <c r="DL26" s="25">
        <v>160</v>
      </c>
      <c r="DM26" s="25">
        <v>749</v>
      </c>
      <c r="DN26" s="25">
        <v>181</v>
      </c>
      <c r="DO26" s="25">
        <v>346</v>
      </c>
      <c r="DP26" s="25">
        <v>104</v>
      </c>
      <c r="DQ26" s="25">
        <v>350</v>
      </c>
      <c r="DR26" s="25">
        <v>151</v>
      </c>
      <c r="DS26" s="25">
        <v>0</v>
      </c>
      <c r="DT26" s="25">
        <v>26</v>
      </c>
      <c r="DU26" s="25">
        <v>26137</v>
      </c>
      <c r="DV26" s="25">
        <v>1303</v>
      </c>
      <c r="DW26" s="25">
        <v>16178</v>
      </c>
      <c r="DX26" s="25">
        <v>982</v>
      </c>
      <c r="DY26" s="25">
        <v>12067</v>
      </c>
      <c r="DZ26" s="25">
        <v>738</v>
      </c>
      <c r="EA26" s="25">
        <v>4111</v>
      </c>
      <c r="EB26" s="25">
        <v>529</v>
      </c>
      <c r="EC26" s="25">
        <v>1130</v>
      </c>
      <c r="ED26" s="25">
        <v>220</v>
      </c>
      <c r="EE26" s="25">
        <v>283</v>
      </c>
      <c r="EF26" s="25">
        <v>91</v>
      </c>
      <c r="EG26" s="25">
        <v>618</v>
      </c>
      <c r="EH26" s="25">
        <v>158</v>
      </c>
      <c r="EI26" s="25">
        <v>192</v>
      </c>
      <c r="EJ26" s="25">
        <v>80</v>
      </c>
      <c r="EK26" s="25">
        <v>7574</v>
      </c>
      <c r="EL26" s="25">
        <v>584</v>
      </c>
      <c r="EM26" s="25">
        <v>162</v>
      </c>
      <c r="EN26" s="25">
        <v>109</v>
      </c>
    </row>
    <row r="27" spans="1:144" x14ac:dyDescent="0.25">
      <c r="A27" s="19">
        <f t="shared" si="8"/>
        <v>37</v>
      </c>
      <c r="B27" s="20" t="str">
        <f t="shared" si="9"/>
        <v>San Juan</v>
      </c>
      <c r="C27" s="24" t="s">
        <v>324</v>
      </c>
      <c r="D27" s="24" t="s">
        <v>325</v>
      </c>
      <c r="E27" s="25">
        <v>4893</v>
      </c>
      <c r="F27" s="25">
        <v>219</v>
      </c>
      <c r="G27" s="25">
        <v>2734</v>
      </c>
      <c r="H27" s="25">
        <v>219</v>
      </c>
      <c r="I27" s="25">
        <v>2532</v>
      </c>
      <c r="J27" s="25">
        <v>219</v>
      </c>
      <c r="K27" s="25">
        <v>202</v>
      </c>
      <c r="L27" s="25">
        <v>82</v>
      </c>
      <c r="M27" s="25">
        <v>251</v>
      </c>
      <c r="N27" s="25">
        <v>75</v>
      </c>
      <c r="O27" s="25">
        <v>893</v>
      </c>
      <c r="P27" s="25">
        <v>137</v>
      </c>
      <c r="Q27" s="25">
        <v>463</v>
      </c>
      <c r="R27" s="25">
        <v>102</v>
      </c>
      <c r="S27" s="25">
        <v>259</v>
      </c>
      <c r="T27" s="25">
        <v>65</v>
      </c>
      <c r="U27" s="25">
        <v>278</v>
      </c>
      <c r="V27" s="25">
        <v>90</v>
      </c>
      <c r="W27" s="25">
        <v>15</v>
      </c>
      <c r="X27" s="25">
        <v>18</v>
      </c>
      <c r="Y27" s="25">
        <v>3673</v>
      </c>
      <c r="Z27" s="25">
        <v>247</v>
      </c>
      <c r="AA27" s="25">
        <v>2078</v>
      </c>
      <c r="AB27" s="25">
        <v>218</v>
      </c>
      <c r="AC27" s="25">
        <v>1958</v>
      </c>
      <c r="AD27" s="25">
        <v>225</v>
      </c>
      <c r="AE27" s="25">
        <v>120</v>
      </c>
      <c r="AF27" s="25">
        <v>49</v>
      </c>
      <c r="AG27" s="25">
        <v>176</v>
      </c>
      <c r="AH27" s="25">
        <v>62</v>
      </c>
      <c r="AI27" s="25">
        <v>748</v>
      </c>
      <c r="AJ27" s="25">
        <v>133</v>
      </c>
      <c r="AK27" s="25">
        <v>348</v>
      </c>
      <c r="AL27" s="25">
        <v>87</v>
      </c>
      <c r="AM27" s="25">
        <v>203</v>
      </c>
      <c r="AN27" s="25">
        <v>49</v>
      </c>
      <c r="AO27" s="25">
        <v>105</v>
      </c>
      <c r="AP27" s="25">
        <v>51</v>
      </c>
      <c r="AQ27" s="25">
        <v>15</v>
      </c>
      <c r="AR27" s="25">
        <v>18</v>
      </c>
      <c r="AS27" s="25">
        <v>528</v>
      </c>
      <c r="AT27" s="25">
        <v>121</v>
      </c>
      <c r="AU27" s="25">
        <v>328</v>
      </c>
      <c r="AV27" s="25">
        <v>96</v>
      </c>
      <c r="AW27" s="25">
        <v>296</v>
      </c>
      <c r="AX27" s="25">
        <v>85</v>
      </c>
      <c r="AY27" s="25">
        <v>32</v>
      </c>
      <c r="AZ27" s="25">
        <v>31</v>
      </c>
      <c r="BA27" s="25">
        <v>59</v>
      </c>
      <c r="BB27" s="25">
        <v>38</v>
      </c>
      <c r="BC27" s="25">
        <v>47</v>
      </c>
      <c r="BD27" s="25">
        <v>21</v>
      </c>
      <c r="BE27" s="25">
        <v>57</v>
      </c>
      <c r="BF27" s="25">
        <v>33</v>
      </c>
      <c r="BG27" s="25">
        <v>25</v>
      </c>
      <c r="BH27" s="25">
        <v>17</v>
      </c>
      <c r="BI27" s="25">
        <v>12</v>
      </c>
      <c r="BJ27" s="25">
        <v>18</v>
      </c>
      <c r="BK27" s="25">
        <v>0</v>
      </c>
      <c r="BL27" s="25">
        <v>17</v>
      </c>
      <c r="BM27" s="25">
        <v>32</v>
      </c>
      <c r="BN27" s="25">
        <v>15</v>
      </c>
      <c r="BO27" s="25">
        <v>20</v>
      </c>
      <c r="BP27" s="25">
        <v>13</v>
      </c>
      <c r="BQ27" s="25">
        <v>20</v>
      </c>
      <c r="BR27" s="25">
        <v>13</v>
      </c>
      <c r="BS27" s="25">
        <v>0</v>
      </c>
      <c r="BT27" s="25">
        <v>17</v>
      </c>
      <c r="BU27" s="25">
        <v>0</v>
      </c>
      <c r="BV27" s="25">
        <v>17</v>
      </c>
      <c r="BW27" s="25">
        <v>2</v>
      </c>
      <c r="BX27" s="25">
        <v>3</v>
      </c>
      <c r="BY27" s="25">
        <v>4</v>
      </c>
      <c r="BZ27" s="25">
        <v>5</v>
      </c>
      <c r="CA27" s="25">
        <v>6</v>
      </c>
      <c r="CB27" s="25">
        <v>6</v>
      </c>
      <c r="CC27" s="25">
        <v>0</v>
      </c>
      <c r="CD27" s="25">
        <v>17</v>
      </c>
      <c r="CE27" s="25">
        <v>0</v>
      </c>
      <c r="CF27" s="25">
        <v>17</v>
      </c>
      <c r="CG27" s="25">
        <v>277</v>
      </c>
      <c r="CH27" s="25">
        <v>84</v>
      </c>
      <c r="CI27" s="25">
        <v>141</v>
      </c>
      <c r="CJ27" s="25">
        <v>65</v>
      </c>
      <c r="CK27" s="25">
        <v>141</v>
      </c>
      <c r="CL27" s="25">
        <v>65</v>
      </c>
      <c r="CM27" s="25">
        <v>0</v>
      </c>
      <c r="CN27" s="25">
        <v>17</v>
      </c>
      <c r="CO27" s="25">
        <v>16</v>
      </c>
      <c r="CP27" s="25">
        <v>17</v>
      </c>
      <c r="CQ27" s="25">
        <v>64</v>
      </c>
      <c r="CR27" s="25">
        <v>40</v>
      </c>
      <c r="CS27" s="25">
        <v>39</v>
      </c>
      <c r="CT27" s="25">
        <v>29</v>
      </c>
      <c r="CU27" s="25">
        <v>6</v>
      </c>
      <c r="CV27" s="25">
        <v>9</v>
      </c>
      <c r="CW27" s="25">
        <v>11</v>
      </c>
      <c r="CX27" s="25">
        <v>10</v>
      </c>
      <c r="CY27" s="25">
        <v>0</v>
      </c>
      <c r="CZ27" s="25">
        <v>17</v>
      </c>
      <c r="DA27" s="25">
        <v>35</v>
      </c>
      <c r="DB27" s="25">
        <v>23</v>
      </c>
      <c r="DC27" s="25">
        <v>12</v>
      </c>
      <c r="DD27" s="25">
        <v>11</v>
      </c>
      <c r="DE27" s="25">
        <v>12</v>
      </c>
      <c r="DF27" s="25">
        <v>11</v>
      </c>
      <c r="DG27" s="25">
        <v>0</v>
      </c>
      <c r="DH27" s="25">
        <v>17</v>
      </c>
      <c r="DI27" s="25">
        <v>0</v>
      </c>
      <c r="DJ27" s="25">
        <v>17</v>
      </c>
      <c r="DK27" s="25">
        <v>13</v>
      </c>
      <c r="DL27" s="25">
        <v>12</v>
      </c>
      <c r="DM27" s="25">
        <v>10</v>
      </c>
      <c r="DN27" s="25">
        <v>11</v>
      </c>
      <c r="DO27" s="25">
        <v>0</v>
      </c>
      <c r="DP27" s="25">
        <v>17</v>
      </c>
      <c r="DQ27" s="25">
        <v>0</v>
      </c>
      <c r="DR27" s="25">
        <v>17</v>
      </c>
      <c r="DS27" s="25">
        <v>0</v>
      </c>
      <c r="DT27" s="25">
        <v>17</v>
      </c>
      <c r="DU27" s="25">
        <v>348</v>
      </c>
      <c r="DV27" s="25">
        <v>119</v>
      </c>
      <c r="DW27" s="25">
        <v>155</v>
      </c>
      <c r="DX27" s="25">
        <v>68</v>
      </c>
      <c r="DY27" s="25">
        <v>105</v>
      </c>
      <c r="DZ27" s="25">
        <v>44</v>
      </c>
      <c r="EA27" s="25">
        <v>50</v>
      </c>
      <c r="EB27" s="25">
        <v>46</v>
      </c>
      <c r="EC27" s="25">
        <v>0</v>
      </c>
      <c r="ED27" s="25">
        <v>17</v>
      </c>
      <c r="EE27" s="25">
        <v>19</v>
      </c>
      <c r="EF27" s="25">
        <v>22</v>
      </c>
      <c r="EG27" s="25">
        <v>5</v>
      </c>
      <c r="EH27" s="25">
        <v>6</v>
      </c>
      <c r="EI27" s="25">
        <v>19</v>
      </c>
      <c r="EJ27" s="25">
        <v>28</v>
      </c>
      <c r="EK27" s="25">
        <v>150</v>
      </c>
      <c r="EL27" s="25">
        <v>76</v>
      </c>
      <c r="EM27" s="25">
        <v>0</v>
      </c>
      <c r="EN27" s="25">
        <v>17</v>
      </c>
    </row>
    <row r="28" spans="1:144" x14ac:dyDescent="0.25">
      <c r="A28" s="19">
        <f t="shared" si="8"/>
        <v>39</v>
      </c>
      <c r="B28" s="20" t="str">
        <f t="shared" si="9"/>
        <v>Sanpete</v>
      </c>
      <c r="C28" s="24" t="s">
        <v>326</v>
      </c>
      <c r="D28" s="24" t="s">
        <v>327</v>
      </c>
      <c r="E28" s="25">
        <v>9888</v>
      </c>
      <c r="F28" s="25">
        <v>341</v>
      </c>
      <c r="G28" s="25">
        <v>6827</v>
      </c>
      <c r="H28" s="25">
        <v>347</v>
      </c>
      <c r="I28" s="25">
        <v>6253</v>
      </c>
      <c r="J28" s="25">
        <v>357</v>
      </c>
      <c r="K28" s="25">
        <v>574</v>
      </c>
      <c r="L28" s="25">
        <v>175</v>
      </c>
      <c r="M28" s="25">
        <v>597</v>
      </c>
      <c r="N28" s="25">
        <v>108</v>
      </c>
      <c r="O28" s="25">
        <v>565</v>
      </c>
      <c r="P28" s="25">
        <v>134</v>
      </c>
      <c r="Q28" s="25">
        <v>1139</v>
      </c>
      <c r="R28" s="25">
        <v>138</v>
      </c>
      <c r="S28" s="25">
        <v>107</v>
      </c>
      <c r="T28" s="25">
        <v>43</v>
      </c>
      <c r="U28" s="25">
        <v>643</v>
      </c>
      <c r="V28" s="25">
        <v>115</v>
      </c>
      <c r="W28" s="25">
        <v>10</v>
      </c>
      <c r="X28" s="25">
        <v>11</v>
      </c>
      <c r="Y28" s="25">
        <v>7008</v>
      </c>
      <c r="Z28" s="25">
        <v>337</v>
      </c>
      <c r="AA28" s="25">
        <v>4747</v>
      </c>
      <c r="AB28" s="25">
        <v>332</v>
      </c>
      <c r="AC28" s="25">
        <v>4464</v>
      </c>
      <c r="AD28" s="25">
        <v>335</v>
      </c>
      <c r="AE28" s="25">
        <v>283</v>
      </c>
      <c r="AF28" s="25">
        <v>95</v>
      </c>
      <c r="AG28" s="25">
        <v>423</v>
      </c>
      <c r="AH28" s="25">
        <v>81</v>
      </c>
      <c r="AI28" s="25">
        <v>465</v>
      </c>
      <c r="AJ28" s="25">
        <v>115</v>
      </c>
      <c r="AK28" s="25">
        <v>918</v>
      </c>
      <c r="AL28" s="25">
        <v>135</v>
      </c>
      <c r="AM28" s="25">
        <v>107</v>
      </c>
      <c r="AN28" s="25">
        <v>43</v>
      </c>
      <c r="AO28" s="25">
        <v>343</v>
      </c>
      <c r="AP28" s="25">
        <v>85</v>
      </c>
      <c r="AQ28" s="25">
        <v>5</v>
      </c>
      <c r="AR28" s="25">
        <v>6</v>
      </c>
      <c r="AS28" s="25">
        <v>1578</v>
      </c>
      <c r="AT28" s="25">
        <v>214</v>
      </c>
      <c r="AU28" s="25">
        <v>1187</v>
      </c>
      <c r="AV28" s="25">
        <v>206</v>
      </c>
      <c r="AW28" s="25">
        <v>1085</v>
      </c>
      <c r="AX28" s="25">
        <v>192</v>
      </c>
      <c r="AY28" s="25">
        <v>102</v>
      </c>
      <c r="AZ28" s="25">
        <v>101</v>
      </c>
      <c r="BA28" s="25">
        <v>111</v>
      </c>
      <c r="BB28" s="25">
        <v>67</v>
      </c>
      <c r="BC28" s="25">
        <v>57</v>
      </c>
      <c r="BD28" s="25">
        <v>38</v>
      </c>
      <c r="BE28" s="25">
        <v>138</v>
      </c>
      <c r="BF28" s="25">
        <v>55</v>
      </c>
      <c r="BG28" s="25">
        <v>0</v>
      </c>
      <c r="BH28" s="25">
        <v>20</v>
      </c>
      <c r="BI28" s="25">
        <v>80</v>
      </c>
      <c r="BJ28" s="25">
        <v>45</v>
      </c>
      <c r="BK28" s="25">
        <v>5</v>
      </c>
      <c r="BL28" s="25">
        <v>8</v>
      </c>
      <c r="BM28" s="25">
        <v>61</v>
      </c>
      <c r="BN28" s="25">
        <v>70</v>
      </c>
      <c r="BO28" s="25">
        <v>59</v>
      </c>
      <c r="BP28" s="25">
        <v>69</v>
      </c>
      <c r="BQ28" s="25">
        <v>59</v>
      </c>
      <c r="BR28" s="25">
        <v>69</v>
      </c>
      <c r="BS28" s="25">
        <v>0</v>
      </c>
      <c r="BT28" s="25">
        <v>20</v>
      </c>
      <c r="BU28" s="25">
        <v>0</v>
      </c>
      <c r="BV28" s="25">
        <v>20</v>
      </c>
      <c r="BW28" s="25">
        <v>2</v>
      </c>
      <c r="BX28" s="25">
        <v>3</v>
      </c>
      <c r="BY28" s="25">
        <v>0</v>
      </c>
      <c r="BZ28" s="25">
        <v>20</v>
      </c>
      <c r="CA28" s="25">
        <v>0</v>
      </c>
      <c r="CB28" s="25">
        <v>20</v>
      </c>
      <c r="CC28" s="25">
        <v>0</v>
      </c>
      <c r="CD28" s="25">
        <v>20</v>
      </c>
      <c r="CE28" s="25">
        <v>0</v>
      </c>
      <c r="CF28" s="25">
        <v>20</v>
      </c>
      <c r="CG28" s="25">
        <v>549</v>
      </c>
      <c r="CH28" s="25">
        <v>156</v>
      </c>
      <c r="CI28" s="25">
        <v>421</v>
      </c>
      <c r="CJ28" s="25">
        <v>142</v>
      </c>
      <c r="CK28" s="25">
        <v>411</v>
      </c>
      <c r="CL28" s="25">
        <v>141</v>
      </c>
      <c r="CM28" s="25">
        <v>10</v>
      </c>
      <c r="CN28" s="25">
        <v>11</v>
      </c>
      <c r="CO28" s="25">
        <v>37</v>
      </c>
      <c r="CP28" s="25">
        <v>34</v>
      </c>
      <c r="CQ28" s="25">
        <v>22</v>
      </c>
      <c r="CR28" s="25">
        <v>19</v>
      </c>
      <c r="CS28" s="25">
        <v>59</v>
      </c>
      <c r="CT28" s="25">
        <v>38</v>
      </c>
      <c r="CU28" s="25">
        <v>0</v>
      </c>
      <c r="CV28" s="25">
        <v>20</v>
      </c>
      <c r="CW28" s="25">
        <v>10</v>
      </c>
      <c r="CX28" s="25">
        <v>14</v>
      </c>
      <c r="CY28" s="25">
        <v>0</v>
      </c>
      <c r="CZ28" s="25">
        <v>20</v>
      </c>
      <c r="DA28" s="25">
        <v>123</v>
      </c>
      <c r="DB28" s="25">
        <v>61</v>
      </c>
      <c r="DC28" s="25">
        <v>79</v>
      </c>
      <c r="DD28" s="25">
        <v>51</v>
      </c>
      <c r="DE28" s="25">
        <v>59</v>
      </c>
      <c r="DF28" s="25">
        <v>48</v>
      </c>
      <c r="DG28" s="25">
        <v>20</v>
      </c>
      <c r="DH28" s="25">
        <v>17</v>
      </c>
      <c r="DI28" s="25">
        <v>5</v>
      </c>
      <c r="DJ28" s="25">
        <v>7</v>
      </c>
      <c r="DK28" s="25">
        <v>0</v>
      </c>
      <c r="DL28" s="25">
        <v>20</v>
      </c>
      <c r="DM28" s="25">
        <v>13</v>
      </c>
      <c r="DN28" s="25">
        <v>17</v>
      </c>
      <c r="DO28" s="25">
        <v>0</v>
      </c>
      <c r="DP28" s="25">
        <v>20</v>
      </c>
      <c r="DQ28" s="25">
        <v>26</v>
      </c>
      <c r="DR28" s="25">
        <v>19</v>
      </c>
      <c r="DS28" s="25">
        <v>0</v>
      </c>
      <c r="DT28" s="25">
        <v>20</v>
      </c>
      <c r="DU28" s="25">
        <v>569</v>
      </c>
      <c r="DV28" s="25">
        <v>163</v>
      </c>
      <c r="DW28" s="25">
        <v>334</v>
      </c>
      <c r="DX28" s="25">
        <v>132</v>
      </c>
      <c r="DY28" s="25">
        <v>175</v>
      </c>
      <c r="DZ28" s="25">
        <v>62</v>
      </c>
      <c r="EA28" s="25">
        <v>159</v>
      </c>
      <c r="EB28" s="25">
        <v>106</v>
      </c>
      <c r="EC28" s="25">
        <v>21</v>
      </c>
      <c r="ED28" s="25">
        <v>17</v>
      </c>
      <c r="EE28" s="25">
        <v>19</v>
      </c>
      <c r="EF28" s="25">
        <v>24</v>
      </c>
      <c r="EG28" s="25">
        <v>11</v>
      </c>
      <c r="EH28" s="25">
        <v>12</v>
      </c>
      <c r="EI28" s="25">
        <v>0</v>
      </c>
      <c r="EJ28" s="25">
        <v>20</v>
      </c>
      <c r="EK28" s="25">
        <v>184</v>
      </c>
      <c r="EL28" s="25">
        <v>68</v>
      </c>
      <c r="EM28" s="25">
        <v>0</v>
      </c>
      <c r="EN28" s="25">
        <v>20</v>
      </c>
    </row>
    <row r="29" spans="1:144" x14ac:dyDescent="0.25">
      <c r="A29" s="19">
        <f t="shared" si="8"/>
        <v>41</v>
      </c>
      <c r="B29" s="20" t="str">
        <f t="shared" si="9"/>
        <v>Sevier</v>
      </c>
      <c r="C29" s="24" t="s">
        <v>328</v>
      </c>
      <c r="D29" s="24" t="s">
        <v>329</v>
      </c>
      <c r="E29" s="25">
        <v>8324</v>
      </c>
      <c r="F29" s="25">
        <v>282</v>
      </c>
      <c r="G29" s="25">
        <v>5707</v>
      </c>
      <c r="H29" s="25">
        <v>289</v>
      </c>
      <c r="I29" s="25">
        <v>5313</v>
      </c>
      <c r="J29" s="25">
        <v>277</v>
      </c>
      <c r="K29" s="25">
        <v>394</v>
      </c>
      <c r="L29" s="25">
        <v>82</v>
      </c>
      <c r="M29" s="25">
        <v>316</v>
      </c>
      <c r="N29" s="25">
        <v>83</v>
      </c>
      <c r="O29" s="25">
        <v>477</v>
      </c>
      <c r="P29" s="25">
        <v>74</v>
      </c>
      <c r="Q29" s="25">
        <v>1034</v>
      </c>
      <c r="R29" s="25">
        <v>170</v>
      </c>
      <c r="S29" s="25">
        <v>229</v>
      </c>
      <c r="T29" s="25">
        <v>63</v>
      </c>
      <c r="U29" s="25">
        <v>438</v>
      </c>
      <c r="V29" s="25">
        <v>107</v>
      </c>
      <c r="W29" s="25">
        <v>123</v>
      </c>
      <c r="X29" s="25">
        <v>120</v>
      </c>
      <c r="Y29" s="25">
        <v>6607</v>
      </c>
      <c r="Z29" s="25">
        <v>373</v>
      </c>
      <c r="AA29" s="25">
        <v>4583</v>
      </c>
      <c r="AB29" s="25">
        <v>338</v>
      </c>
      <c r="AC29" s="25">
        <v>4315</v>
      </c>
      <c r="AD29" s="25">
        <v>319</v>
      </c>
      <c r="AE29" s="25">
        <v>268</v>
      </c>
      <c r="AF29" s="25">
        <v>70</v>
      </c>
      <c r="AG29" s="25">
        <v>264</v>
      </c>
      <c r="AH29" s="25">
        <v>74</v>
      </c>
      <c r="AI29" s="25">
        <v>385</v>
      </c>
      <c r="AJ29" s="25">
        <v>63</v>
      </c>
      <c r="AK29" s="25">
        <v>892</v>
      </c>
      <c r="AL29" s="25">
        <v>150</v>
      </c>
      <c r="AM29" s="25">
        <v>213</v>
      </c>
      <c r="AN29" s="25">
        <v>61</v>
      </c>
      <c r="AO29" s="25">
        <v>226</v>
      </c>
      <c r="AP29" s="25">
        <v>91</v>
      </c>
      <c r="AQ29" s="25">
        <v>44</v>
      </c>
      <c r="AR29" s="25">
        <v>37</v>
      </c>
      <c r="AS29" s="25">
        <v>977</v>
      </c>
      <c r="AT29" s="25">
        <v>180</v>
      </c>
      <c r="AU29" s="25">
        <v>711</v>
      </c>
      <c r="AV29" s="25">
        <v>176</v>
      </c>
      <c r="AW29" s="25">
        <v>703</v>
      </c>
      <c r="AX29" s="25">
        <v>174</v>
      </c>
      <c r="AY29" s="25">
        <v>8</v>
      </c>
      <c r="AZ29" s="25">
        <v>9</v>
      </c>
      <c r="BA29" s="25">
        <v>43</v>
      </c>
      <c r="BB29" s="25">
        <v>28</v>
      </c>
      <c r="BC29" s="25">
        <v>72</v>
      </c>
      <c r="BD29" s="25">
        <v>36</v>
      </c>
      <c r="BE29" s="25">
        <v>70</v>
      </c>
      <c r="BF29" s="25">
        <v>35</v>
      </c>
      <c r="BG29" s="25">
        <v>9</v>
      </c>
      <c r="BH29" s="25">
        <v>10</v>
      </c>
      <c r="BI29" s="25">
        <v>53</v>
      </c>
      <c r="BJ29" s="25">
        <v>33</v>
      </c>
      <c r="BK29" s="25">
        <v>19</v>
      </c>
      <c r="BL29" s="25">
        <v>27</v>
      </c>
      <c r="BM29" s="25">
        <v>64</v>
      </c>
      <c r="BN29" s="25">
        <v>37</v>
      </c>
      <c r="BO29" s="25">
        <v>32</v>
      </c>
      <c r="BP29" s="25">
        <v>24</v>
      </c>
      <c r="BQ29" s="25">
        <v>32</v>
      </c>
      <c r="BR29" s="25">
        <v>24</v>
      </c>
      <c r="BS29" s="25">
        <v>0</v>
      </c>
      <c r="BT29" s="25">
        <v>20</v>
      </c>
      <c r="BU29" s="25">
        <v>7</v>
      </c>
      <c r="BV29" s="25">
        <v>9</v>
      </c>
      <c r="BW29" s="25">
        <v>19</v>
      </c>
      <c r="BX29" s="25">
        <v>20</v>
      </c>
      <c r="BY29" s="25">
        <v>0</v>
      </c>
      <c r="BZ29" s="25">
        <v>20</v>
      </c>
      <c r="CA29" s="25">
        <v>4</v>
      </c>
      <c r="CB29" s="25">
        <v>7</v>
      </c>
      <c r="CC29" s="25">
        <v>2</v>
      </c>
      <c r="CD29" s="25">
        <v>4</v>
      </c>
      <c r="CE29" s="25">
        <v>0</v>
      </c>
      <c r="CF29" s="25">
        <v>20</v>
      </c>
      <c r="CG29" s="25">
        <v>135</v>
      </c>
      <c r="CH29" s="25">
        <v>68</v>
      </c>
      <c r="CI29" s="25">
        <v>39</v>
      </c>
      <c r="CJ29" s="25">
        <v>28</v>
      </c>
      <c r="CK29" s="25">
        <v>23</v>
      </c>
      <c r="CL29" s="25">
        <v>21</v>
      </c>
      <c r="CM29" s="25">
        <v>16</v>
      </c>
      <c r="CN29" s="25">
        <v>17</v>
      </c>
      <c r="CO29" s="25">
        <v>0</v>
      </c>
      <c r="CP29" s="25">
        <v>20</v>
      </c>
      <c r="CQ29" s="25">
        <v>1</v>
      </c>
      <c r="CR29" s="25">
        <v>4</v>
      </c>
      <c r="CS29" s="25">
        <v>41</v>
      </c>
      <c r="CT29" s="25">
        <v>48</v>
      </c>
      <c r="CU29" s="25">
        <v>0</v>
      </c>
      <c r="CV29" s="25">
        <v>20</v>
      </c>
      <c r="CW29" s="25">
        <v>43</v>
      </c>
      <c r="CX29" s="25">
        <v>30</v>
      </c>
      <c r="CY29" s="25">
        <v>11</v>
      </c>
      <c r="CZ29" s="25">
        <v>16</v>
      </c>
      <c r="DA29" s="25">
        <v>175</v>
      </c>
      <c r="DB29" s="25">
        <v>66</v>
      </c>
      <c r="DC29" s="25">
        <v>112</v>
      </c>
      <c r="DD29" s="25">
        <v>51</v>
      </c>
      <c r="DE29" s="25">
        <v>107</v>
      </c>
      <c r="DF29" s="25">
        <v>51</v>
      </c>
      <c r="DG29" s="25">
        <v>5</v>
      </c>
      <c r="DH29" s="25">
        <v>9</v>
      </c>
      <c r="DI29" s="25">
        <v>0</v>
      </c>
      <c r="DJ29" s="25">
        <v>20</v>
      </c>
      <c r="DK29" s="25">
        <v>0</v>
      </c>
      <c r="DL29" s="25">
        <v>20</v>
      </c>
      <c r="DM29" s="25">
        <v>4</v>
      </c>
      <c r="DN29" s="25">
        <v>6</v>
      </c>
      <c r="DO29" s="25">
        <v>2</v>
      </c>
      <c r="DP29" s="25">
        <v>3</v>
      </c>
      <c r="DQ29" s="25">
        <v>12</v>
      </c>
      <c r="DR29" s="25">
        <v>15</v>
      </c>
      <c r="DS29" s="25">
        <v>45</v>
      </c>
      <c r="DT29" s="25">
        <v>49</v>
      </c>
      <c r="DU29" s="25">
        <v>366</v>
      </c>
      <c r="DV29" s="25">
        <v>97</v>
      </c>
      <c r="DW29" s="25">
        <v>230</v>
      </c>
      <c r="DX29" s="25">
        <v>83</v>
      </c>
      <c r="DY29" s="25">
        <v>133</v>
      </c>
      <c r="DZ29" s="25">
        <v>66</v>
      </c>
      <c r="EA29" s="25">
        <v>97</v>
      </c>
      <c r="EB29" s="25">
        <v>51</v>
      </c>
      <c r="EC29" s="25">
        <v>2</v>
      </c>
      <c r="ED29" s="25">
        <v>3</v>
      </c>
      <c r="EE29" s="25">
        <v>0</v>
      </c>
      <c r="EF29" s="25">
        <v>20</v>
      </c>
      <c r="EG29" s="25">
        <v>27</v>
      </c>
      <c r="EH29" s="25">
        <v>21</v>
      </c>
      <c r="EI29" s="25">
        <v>1</v>
      </c>
      <c r="EJ29" s="25">
        <v>2</v>
      </c>
      <c r="EK29" s="25">
        <v>102</v>
      </c>
      <c r="EL29" s="25">
        <v>40</v>
      </c>
      <c r="EM29" s="25">
        <v>4</v>
      </c>
      <c r="EN29" s="25">
        <v>7</v>
      </c>
    </row>
    <row r="30" spans="1:144" x14ac:dyDescent="0.25">
      <c r="A30" s="19">
        <f t="shared" si="8"/>
        <v>43</v>
      </c>
      <c r="B30" s="20" t="str">
        <f t="shared" si="9"/>
        <v>Summit</v>
      </c>
      <c r="C30" s="24" t="s">
        <v>330</v>
      </c>
      <c r="D30" s="24" t="s">
        <v>331</v>
      </c>
      <c r="E30" s="25">
        <v>20588</v>
      </c>
      <c r="F30" s="25">
        <v>429</v>
      </c>
      <c r="G30" s="25">
        <v>15329</v>
      </c>
      <c r="H30" s="25">
        <v>502</v>
      </c>
      <c r="I30" s="25">
        <v>13283</v>
      </c>
      <c r="J30" s="25">
        <v>516</v>
      </c>
      <c r="K30" s="25">
        <v>2046</v>
      </c>
      <c r="L30" s="25">
        <v>283</v>
      </c>
      <c r="M30" s="25">
        <v>1281</v>
      </c>
      <c r="N30" s="25">
        <v>205</v>
      </c>
      <c r="O30" s="25">
        <v>1363</v>
      </c>
      <c r="P30" s="25">
        <v>206</v>
      </c>
      <c r="Q30" s="25">
        <v>880</v>
      </c>
      <c r="R30" s="25">
        <v>188</v>
      </c>
      <c r="S30" s="25">
        <v>360</v>
      </c>
      <c r="T30" s="25">
        <v>113</v>
      </c>
      <c r="U30" s="25">
        <v>1356</v>
      </c>
      <c r="V30" s="25">
        <v>218</v>
      </c>
      <c r="W30" s="25">
        <v>19</v>
      </c>
      <c r="X30" s="25">
        <v>16</v>
      </c>
      <c r="Y30" s="25">
        <v>15577</v>
      </c>
      <c r="Z30" s="25">
        <v>462</v>
      </c>
      <c r="AA30" s="25">
        <v>11606</v>
      </c>
      <c r="AB30" s="25">
        <v>480</v>
      </c>
      <c r="AC30" s="25">
        <v>10520</v>
      </c>
      <c r="AD30" s="25">
        <v>484</v>
      </c>
      <c r="AE30" s="25">
        <v>1086</v>
      </c>
      <c r="AF30" s="25">
        <v>195</v>
      </c>
      <c r="AG30" s="25">
        <v>1044</v>
      </c>
      <c r="AH30" s="25">
        <v>182</v>
      </c>
      <c r="AI30" s="25">
        <v>1127</v>
      </c>
      <c r="AJ30" s="25">
        <v>198</v>
      </c>
      <c r="AK30" s="25">
        <v>694</v>
      </c>
      <c r="AL30" s="25">
        <v>160</v>
      </c>
      <c r="AM30" s="25">
        <v>312</v>
      </c>
      <c r="AN30" s="25">
        <v>111</v>
      </c>
      <c r="AO30" s="25">
        <v>789</v>
      </c>
      <c r="AP30" s="25">
        <v>189</v>
      </c>
      <c r="AQ30" s="25">
        <v>5</v>
      </c>
      <c r="AR30" s="25">
        <v>10</v>
      </c>
      <c r="AS30" s="25">
        <v>1364</v>
      </c>
      <c r="AT30" s="25">
        <v>261</v>
      </c>
      <c r="AU30" s="25">
        <v>1013</v>
      </c>
      <c r="AV30" s="25">
        <v>220</v>
      </c>
      <c r="AW30" s="25">
        <v>837</v>
      </c>
      <c r="AX30" s="25">
        <v>195</v>
      </c>
      <c r="AY30" s="25">
        <v>176</v>
      </c>
      <c r="AZ30" s="25">
        <v>115</v>
      </c>
      <c r="BA30" s="25">
        <v>72</v>
      </c>
      <c r="BB30" s="25">
        <v>36</v>
      </c>
      <c r="BC30" s="25">
        <v>117</v>
      </c>
      <c r="BD30" s="25">
        <v>77</v>
      </c>
      <c r="BE30" s="25">
        <v>92</v>
      </c>
      <c r="BF30" s="25">
        <v>58</v>
      </c>
      <c r="BG30" s="25">
        <v>26</v>
      </c>
      <c r="BH30" s="25">
        <v>26</v>
      </c>
      <c r="BI30" s="25">
        <v>44</v>
      </c>
      <c r="BJ30" s="25">
        <v>19</v>
      </c>
      <c r="BK30" s="25">
        <v>0</v>
      </c>
      <c r="BL30" s="25">
        <v>23</v>
      </c>
      <c r="BM30" s="25">
        <v>422</v>
      </c>
      <c r="BN30" s="25">
        <v>238</v>
      </c>
      <c r="BO30" s="25">
        <v>406</v>
      </c>
      <c r="BP30" s="25">
        <v>238</v>
      </c>
      <c r="BQ30" s="25">
        <v>399</v>
      </c>
      <c r="BR30" s="25">
        <v>240</v>
      </c>
      <c r="BS30" s="25">
        <v>7</v>
      </c>
      <c r="BT30" s="25">
        <v>10</v>
      </c>
      <c r="BU30" s="25">
        <v>0</v>
      </c>
      <c r="BV30" s="25">
        <v>23</v>
      </c>
      <c r="BW30" s="25">
        <v>13</v>
      </c>
      <c r="BX30" s="25">
        <v>19</v>
      </c>
      <c r="BY30" s="25">
        <v>3</v>
      </c>
      <c r="BZ30" s="25">
        <v>6</v>
      </c>
      <c r="CA30" s="25">
        <v>0</v>
      </c>
      <c r="CB30" s="25">
        <v>23</v>
      </c>
      <c r="CC30" s="25">
        <v>0</v>
      </c>
      <c r="CD30" s="25">
        <v>23</v>
      </c>
      <c r="CE30" s="25">
        <v>0</v>
      </c>
      <c r="CF30" s="25">
        <v>23</v>
      </c>
      <c r="CG30" s="25">
        <v>379</v>
      </c>
      <c r="CH30" s="25">
        <v>135</v>
      </c>
      <c r="CI30" s="25">
        <v>249</v>
      </c>
      <c r="CJ30" s="25">
        <v>122</v>
      </c>
      <c r="CK30" s="25">
        <v>224</v>
      </c>
      <c r="CL30" s="25">
        <v>107</v>
      </c>
      <c r="CM30" s="25">
        <v>25</v>
      </c>
      <c r="CN30" s="25">
        <v>31</v>
      </c>
      <c r="CO30" s="25">
        <v>30</v>
      </c>
      <c r="CP30" s="25">
        <v>26</v>
      </c>
      <c r="CQ30" s="25">
        <v>11</v>
      </c>
      <c r="CR30" s="25">
        <v>17</v>
      </c>
      <c r="CS30" s="25">
        <v>29</v>
      </c>
      <c r="CT30" s="25">
        <v>23</v>
      </c>
      <c r="CU30" s="25">
        <v>12</v>
      </c>
      <c r="CV30" s="25">
        <v>13</v>
      </c>
      <c r="CW30" s="25">
        <v>48</v>
      </c>
      <c r="CX30" s="25">
        <v>35</v>
      </c>
      <c r="CY30" s="25">
        <v>0</v>
      </c>
      <c r="CZ30" s="25">
        <v>23</v>
      </c>
      <c r="DA30" s="25">
        <v>348</v>
      </c>
      <c r="DB30" s="25">
        <v>110</v>
      </c>
      <c r="DC30" s="25">
        <v>263</v>
      </c>
      <c r="DD30" s="25">
        <v>98</v>
      </c>
      <c r="DE30" s="25">
        <v>243</v>
      </c>
      <c r="DF30" s="25">
        <v>97</v>
      </c>
      <c r="DG30" s="25">
        <v>20</v>
      </c>
      <c r="DH30" s="25">
        <v>23</v>
      </c>
      <c r="DI30" s="25">
        <v>43</v>
      </c>
      <c r="DJ30" s="25">
        <v>40</v>
      </c>
      <c r="DK30" s="25">
        <v>21</v>
      </c>
      <c r="DL30" s="25">
        <v>23</v>
      </c>
      <c r="DM30" s="25">
        <v>9</v>
      </c>
      <c r="DN30" s="25">
        <v>11</v>
      </c>
      <c r="DO30" s="25">
        <v>0</v>
      </c>
      <c r="DP30" s="25">
        <v>23</v>
      </c>
      <c r="DQ30" s="25">
        <v>12</v>
      </c>
      <c r="DR30" s="25">
        <v>15</v>
      </c>
      <c r="DS30" s="25">
        <v>0</v>
      </c>
      <c r="DT30" s="25">
        <v>23</v>
      </c>
      <c r="DU30" s="25">
        <v>2498</v>
      </c>
      <c r="DV30" s="25">
        <v>252</v>
      </c>
      <c r="DW30" s="25">
        <v>1792</v>
      </c>
      <c r="DX30" s="25">
        <v>250</v>
      </c>
      <c r="DY30" s="25">
        <v>1060</v>
      </c>
      <c r="DZ30" s="25">
        <v>181</v>
      </c>
      <c r="EA30" s="25">
        <v>732</v>
      </c>
      <c r="EB30" s="25">
        <v>183</v>
      </c>
      <c r="EC30" s="25">
        <v>92</v>
      </c>
      <c r="ED30" s="25">
        <v>54</v>
      </c>
      <c r="EE30" s="25">
        <v>74</v>
      </c>
      <c r="EF30" s="25">
        <v>45</v>
      </c>
      <c r="EG30" s="25">
        <v>53</v>
      </c>
      <c r="EH30" s="25">
        <v>47</v>
      </c>
      <c r="EI30" s="25">
        <v>10</v>
      </c>
      <c r="EJ30" s="25">
        <v>12</v>
      </c>
      <c r="EK30" s="25">
        <v>463</v>
      </c>
      <c r="EL30" s="25">
        <v>112</v>
      </c>
      <c r="EM30" s="25">
        <v>14</v>
      </c>
      <c r="EN30" s="25">
        <v>13</v>
      </c>
    </row>
    <row r="31" spans="1:144" x14ac:dyDescent="0.25">
      <c r="A31" s="19">
        <f t="shared" si="8"/>
        <v>45</v>
      </c>
      <c r="B31" s="20" t="str">
        <f t="shared" si="9"/>
        <v>Tooele</v>
      </c>
      <c r="C31" s="24" t="s">
        <v>332</v>
      </c>
      <c r="D31" s="24" t="s">
        <v>333</v>
      </c>
      <c r="E31" s="25">
        <v>25913</v>
      </c>
      <c r="F31" s="25">
        <v>709</v>
      </c>
      <c r="G31" s="25">
        <v>18141</v>
      </c>
      <c r="H31" s="25">
        <v>808</v>
      </c>
      <c r="I31" s="25">
        <v>17573</v>
      </c>
      <c r="J31" s="25">
        <v>798</v>
      </c>
      <c r="K31" s="25">
        <v>568</v>
      </c>
      <c r="L31" s="25">
        <v>207</v>
      </c>
      <c r="M31" s="25">
        <v>1236</v>
      </c>
      <c r="N31" s="25">
        <v>260</v>
      </c>
      <c r="O31" s="25">
        <v>2383</v>
      </c>
      <c r="P31" s="25">
        <v>381</v>
      </c>
      <c r="Q31" s="25">
        <v>1174</v>
      </c>
      <c r="R31" s="25">
        <v>302</v>
      </c>
      <c r="S31" s="25">
        <v>1979</v>
      </c>
      <c r="T31" s="25">
        <v>328</v>
      </c>
      <c r="U31" s="25">
        <v>975</v>
      </c>
      <c r="V31" s="25">
        <v>230</v>
      </c>
      <c r="W31" s="25">
        <v>25</v>
      </c>
      <c r="X31" s="25">
        <v>25</v>
      </c>
      <c r="Y31" s="25">
        <v>18576</v>
      </c>
      <c r="Z31" s="25">
        <v>864</v>
      </c>
      <c r="AA31" s="25">
        <v>13294</v>
      </c>
      <c r="AB31" s="25">
        <v>866</v>
      </c>
      <c r="AC31" s="25">
        <v>12969</v>
      </c>
      <c r="AD31" s="25">
        <v>856</v>
      </c>
      <c r="AE31" s="25">
        <v>325</v>
      </c>
      <c r="AF31" s="25">
        <v>173</v>
      </c>
      <c r="AG31" s="25">
        <v>956</v>
      </c>
      <c r="AH31" s="25">
        <v>221</v>
      </c>
      <c r="AI31" s="25">
        <v>1903</v>
      </c>
      <c r="AJ31" s="25">
        <v>367</v>
      </c>
      <c r="AK31" s="25">
        <v>847</v>
      </c>
      <c r="AL31" s="25">
        <v>204</v>
      </c>
      <c r="AM31" s="25">
        <v>1131</v>
      </c>
      <c r="AN31" s="25">
        <v>273</v>
      </c>
      <c r="AO31" s="25">
        <v>445</v>
      </c>
      <c r="AP31" s="25">
        <v>159</v>
      </c>
      <c r="AQ31" s="25">
        <v>0</v>
      </c>
      <c r="AR31" s="25">
        <v>26</v>
      </c>
      <c r="AS31" s="25">
        <v>4669</v>
      </c>
      <c r="AT31" s="25">
        <v>578</v>
      </c>
      <c r="AU31" s="25">
        <v>3177</v>
      </c>
      <c r="AV31" s="25">
        <v>430</v>
      </c>
      <c r="AW31" s="25">
        <v>3107</v>
      </c>
      <c r="AX31" s="25">
        <v>428</v>
      </c>
      <c r="AY31" s="25">
        <v>70</v>
      </c>
      <c r="AZ31" s="25">
        <v>66</v>
      </c>
      <c r="BA31" s="25">
        <v>186</v>
      </c>
      <c r="BB31" s="25">
        <v>101</v>
      </c>
      <c r="BC31" s="25">
        <v>335</v>
      </c>
      <c r="BD31" s="25">
        <v>125</v>
      </c>
      <c r="BE31" s="25">
        <v>241</v>
      </c>
      <c r="BF31" s="25">
        <v>193</v>
      </c>
      <c r="BG31" s="25">
        <v>669</v>
      </c>
      <c r="BH31" s="25">
        <v>182</v>
      </c>
      <c r="BI31" s="25">
        <v>56</v>
      </c>
      <c r="BJ31" s="25">
        <v>50</v>
      </c>
      <c r="BK31" s="25">
        <v>5</v>
      </c>
      <c r="BL31" s="25">
        <v>7</v>
      </c>
      <c r="BM31" s="25">
        <v>770</v>
      </c>
      <c r="BN31" s="25">
        <v>226</v>
      </c>
      <c r="BO31" s="25">
        <v>515</v>
      </c>
      <c r="BP31" s="25">
        <v>187</v>
      </c>
      <c r="BQ31" s="25">
        <v>515</v>
      </c>
      <c r="BR31" s="25">
        <v>187</v>
      </c>
      <c r="BS31" s="25">
        <v>0</v>
      </c>
      <c r="BT31" s="25">
        <v>26</v>
      </c>
      <c r="BU31" s="25">
        <v>56</v>
      </c>
      <c r="BV31" s="25">
        <v>48</v>
      </c>
      <c r="BW31" s="25">
        <v>59</v>
      </c>
      <c r="BX31" s="25">
        <v>57</v>
      </c>
      <c r="BY31" s="25">
        <v>60</v>
      </c>
      <c r="BZ31" s="25">
        <v>59</v>
      </c>
      <c r="CA31" s="25">
        <v>80</v>
      </c>
      <c r="CB31" s="25">
        <v>63</v>
      </c>
      <c r="CC31" s="25">
        <v>0</v>
      </c>
      <c r="CD31" s="25">
        <v>26</v>
      </c>
      <c r="CE31" s="25">
        <v>0</v>
      </c>
      <c r="CF31" s="25">
        <v>26</v>
      </c>
      <c r="CG31" s="25">
        <v>465</v>
      </c>
      <c r="CH31" s="25">
        <v>166</v>
      </c>
      <c r="CI31" s="25">
        <v>304</v>
      </c>
      <c r="CJ31" s="25">
        <v>121</v>
      </c>
      <c r="CK31" s="25">
        <v>301</v>
      </c>
      <c r="CL31" s="25">
        <v>118</v>
      </c>
      <c r="CM31" s="25">
        <v>3</v>
      </c>
      <c r="CN31" s="25">
        <v>7</v>
      </c>
      <c r="CO31" s="25">
        <v>12</v>
      </c>
      <c r="CP31" s="25">
        <v>17</v>
      </c>
      <c r="CQ31" s="25">
        <v>28</v>
      </c>
      <c r="CR31" s="25">
        <v>21</v>
      </c>
      <c r="CS31" s="25">
        <v>26</v>
      </c>
      <c r="CT31" s="25">
        <v>31</v>
      </c>
      <c r="CU31" s="25">
        <v>54</v>
      </c>
      <c r="CV31" s="25">
        <v>66</v>
      </c>
      <c r="CW31" s="25">
        <v>41</v>
      </c>
      <c r="CX31" s="25">
        <v>33</v>
      </c>
      <c r="CY31" s="25">
        <v>0</v>
      </c>
      <c r="CZ31" s="25">
        <v>26</v>
      </c>
      <c r="DA31" s="25">
        <v>432</v>
      </c>
      <c r="DB31" s="25">
        <v>157</v>
      </c>
      <c r="DC31" s="25">
        <v>321</v>
      </c>
      <c r="DD31" s="25">
        <v>140</v>
      </c>
      <c r="DE31" s="25">
        <v>316</v>
      </c>
      <c r="DF31" s="25">
        <v>140</v>
      </c>
      <c r="DG31" s="25">
        <v>5</v>
      </c>
      <c r="DH31" s="25">
        <v>5</v>
      </c>
      <c r="DI31" s="25">
        <v>8</v>
      </c>
      <c r="DJ31" s="25">
        <v>12</v>
      </c>
      <c r="DK31" s="25">
        <v>0</v>
      </c>
      <c r="DL31" s="25">
        <v>26</v>
      </c>
      <c r="DM31" s="25">
        <v>0</v>
      </c>
      <c r="DN31" s="25">
        <v>26</v>
      </c>
      <c r="DO31" s="25">
        <v>45</v>
      </c>
      <c r="DP31" s="25">
        <v>40</v>
      </c>
      <c r="DQ31" s="25">
        <v>58</v>
      </c>
      <c r="DR31" s="25">
        <v>63</v>
      </c>
      <c r="DS31" s="25">
        <v>0</v>
      </c>
      <c r="DT31" s="25">
        <v>26</v>
      </c>
      <c r="DU31" s="25">
        <v>1001</v>
      </c>
      <c r="DV31" s="25">
        <v>236</v>
      </c>
      <c r="DW31" s="25">
        <v>530</v>
      </c>
      <c r="DX31" s="25">
        <v>181</v>
      </c>
      <c r="DY31" s="25">
        <v>365</v>
      </c>
      <c r="DZ31" s="25">
        <v>131</v>
      </c>
      <c r="EA31" s="25">
        <v>165</v>
      </c>
      <c r="EB31" s="25">
        <v>101</v>
      </c>
      <c r="EC31" s="25">
        <v>18</v>
      </c>
      <c r="ED31" s="25">
        <v>25</v>
      </c>
      <c r="EE31" s="25">
        <v>58</v>
      </c>
      <c r="EF31" s="25">
        <v>64</v>
      </c>
      <c r="EG31" s="25">
        <v>0</v>
      </c>
      <c r="EH31" s="25">
        <v>26</v>
      </c>
      <c r="EI31" s="25">
        <v>0</v>
      </c>
      <c r="EJ31" s="25">
        <v>26</v>
      </c>
      <c r="EK31" s="25">
        <v>375</v>
      </c>
      <c r="EL31" s="25">
        <v>151</v>
      </c>
      <c r="EM31" s="25">
        <v>20</v>
      </c>
      <c r="EN31" s="25">
        <v>24</v>
      </c>
    </row>
    <row r="32" spans="1:144" x14ac:dyDescent="0.25">
      <c r="A32" s="19">
        <f t="shared" si="8"/>
        <v>47</v>
      </c>
      <c r="B32" s="20" t="str">
        <f t="shared" si="9"/>
        <v>Uintah</v>
      </c>
      <c r="C32" s="24" t="s">
        <v>334</v>
      </c>
      <c r="D32" s="24" t="s">
        <v>335</v>
      </c>
      <c r="E32" s="25">
        <v>15192</v>
      </c>
      <c r="F32" s="25">
        <v>549</v>
      </c>
      <c r="G32" s="25">
        <v>11257</v>
      </c>
      <c r="H32" s="25">
        <v>555</v>
      </c>
      <c r="I32" s="25">
        <v>10652</v>
      </c>
      <c r="J32" s="25">
        <v>535</v>
      </c>
      <c r="K32" s="25">
        <v>605</v>
      </c>
      <c r="L32" s="25">
        <v>152</v>
      </c>
      <c r="M32" s="25">
        <v>651</v>
      </c>
      <c r="N32" s="25">
        <v>184</v>
      </c>
      <c r="O32" s="25">
        <v>1284</v>
      </c>
      <c r="P32" s="25">
        <v>239</v>
      </c>
      <c r="Q32" s="25">
        <v>612</v>
      </c>
      <c r="R32" s="25">
        <v>188</v>
      </c>
      <c r="S32" s="25">
        <v>636</v>
      </c>
      <c r="T32" s="25">
        <v>167</v>
      </c>
      <c r="U32" s="25">
        <v>696</v>
      </c>
      <c r="V32" s="25">
        <v>172</v>
      </c>
      <c r="W32" s="25">
        <v>56</v>
      </c>
      <c r="X32" s="25">
        <v>45</v>
      </c>
      <c r="Y32" s="25">
        <v>12250</v>
      </c>
      <c r="Z32" s="25">
        <v>616</v>
      </c>
      <c r="AA32" s="25">
        <v>9178</v>
      </c>
      <c r="AB32" s="25">
        <v>549</v>
      </c>
      <c r="AC32" s="25">
        <v>8755</v>
      </c>
      <c r="AD32" s="25">
        <v>538</v>
      </c>
      <c r="AE32" s="25">
        <v>423</v>
      </c>
      <c r="AF32" s="25">
        <v>114</v>
      </c>
      <c r="AG32" s="25">
        <v>533</v>
      </c>
      <c r="AH32" s="25">
        <v>167</v>
      </c>
      <c r="AI32" s="25">
        <v>1106</v>
      </c>
      <c r="AJ32" s="25">
        <v>208</v>
      </c>
      <c r="AK32" s="25">
        <v>505</v>
      </c>
      <c r="AL32" s="25">
        <v>171</v>
      </c>
      <c r="AM32" s="25">
        <v>514</v>
      </c>
      <c r="AN32" s="25">
        <v>128</v>
      </c>
      <c r="AO32" s="25">
        <v>386</v>
      </c>
      <c r="AP32" s="25">
        <v>145</v>
      </c>
      <c r="AQ32" s="25">
        <v>28</v>
      </c>
      <c r="AR32" s="25">
        <v>36</v>
      </c>
      <c r="AS32" s="25">
        <v>1694</v>
      </c>
      <c r="AT32" s="25">
        <v>314</v>
      </c>
      <c r="AU32" s="25">
        <v>1366</v>
      </c>
      <c r="AV32" s="25">
        <v>293</v>
      </c>
      <c r="AW32" s="25">
        <v>1310</v>
      </c>
      <c r="AX32" s="25">
        <v>286</v>
      </c>
      <c r="AY32" s="25">
        <v>56</v>
      </c>
      <c r="AZ32" s="25">
        <v>45</v>
      </c>
      <c r="BA32" s="25">
        <v>52</v>
      </c>
      <c r="BB32" s="25">
        <v>53</v>
      </c>
      <c r="BC32" s="25">
        <v>143</v>
      </c>
      <c r="BD32" s="25">
        <v>82</v>
      </c>
      <c r="BE32" s="25">
        <v>58</v>
      </c>
      <c r="BF32" s="25">
        <v>35</v>
      </c>
      <c r="BG32" s="25">
        <v>21</v>
      </c>
      <c r="BH32" s="25">
        <v>22</v>
      </c>
      <c r="BI32" s="25">
        <v>54</v>
      </c>
      <c r="BJ32" s="25">
        <v>37</v>
      </c>
      <c r="BK32" s="25">
        <v>0</v>
      </c>
      <c r="BL32" s="25">
        <v>23</v>
      </c>
      <c r="BM32" s="25">
        <v>129</v>
      </c>
      <c r="BN32" s="25">
        <v>68</v>
      </c>
      <c r="BO32" s="25">
        <v>54</v>
      </c>
      <c r="BP32" s="25">
        <v>45</v>
      </c>
      <c r="BQ32" s="25">
        <v>54</v>
      </c>
      <c r="BR32" s="25">
        <v>45</v>
      </c>
      <c r="BS32" s="25">
        <v>0</v>
      </c>
      <c r="BT32" s="25">
        <v>23</v>
      </c>
      <c r="BU32" s="25">
        <v>0</v>
      </c>
      <c r="BV32" s="25">
        <v>23</v>
      </c>
      <c r="BW32" s="25">
        <v>0</v>
      </c>
      <c r="BX32" s="25">
        <v>23</v>
      </c>
      <c r="BY32" s="25">
        <v>22</v>
      </c>
      <c r="BZ32" s="25">
        <v>26</v>
      </c>
      <c r="CA32" s="25">
        <v>14</v>
      </c>
      <c r="CB32" s="25">
        <v>22</v>
      </c>
      <c r="CC32" s="25">
        <v>17</v>
      </c>
      <c r="CD32" s="25">
        <v>25</v>
      </c>
      <c r="CE32" s="25">
        <v>22</v>
      </c>
      <c r="CF32" s="25">
        <v>34</v>
      </c>
      <c r="CG32" s="25">
        <v>271</v>
      </c>
      <c r="CH32" s="25">
        <v>140</v>
      </c>
      <c r="CI32" s="25">
        <v>234</v>
      </c>
      <c r="CJ32" s="25">
        <v>139</v>
      </c>
      <c r="CK32" s="25">
        <v>223</v>
      </c>
      <c r="CL32" s="25">
        <v>139</v>
      </c>
      <c r="CM32" s="25">
        <v>11</v>
      </c>
      <c r="CN32" s="25">
        <v>10</v>
      </c>
      <c r="CO32" s="25">
        <v>7</v>
      </c>
      <c r="CP32" s="25">
        <v>9</v>
      </c>
      <c r="CQ32" s="25">
        <v>13</v>
      </c>
      <c r="CR32" s="25">
        <v>23</v>
      </c>
      <c r="CS32" s="25">
        <v>5</v>
      </c>
      <c r="CT32" s="25">
        <v>9</v>
      </c>
      <c r="CU32" s="25">
        <v>7</v>
      </c>
      <c r="CV32" s="25">
        <v>12</v>
      </c>
      <c r="CW32" s="25">
        <v>5</v>
      </c>
      <c r="CX32" s="25">
        <v>7</v>
      </c>
      <c r="CY32" s="25">
        <v>0</v>
      </c>
      <c r="CZ32" s="25">
        <v>23</v>
      </c>
      <c r="DA32" s="25">
        <v>313</v>
      </c>
      <c r="DB32" s="25">
        <v>115</v>
      </c>
      <c r="DC32" s="25">
        <v>162</v>
      </c>
      <c r="DD32" s="25">
        <v>71</v>
      </c>
      <c r="DE32" s="25">
        <v>162</v>
      </c>
      <c r="DF32" s="25">
        <v>71</v>
      </c>
      <c r="DG32" s="25">
        <v>0</v>
      </c>
      <c r="DH32" s="25">
        <v>23</v>
      </c>
      <c r="DI32" s="25">
        <v>52</v>
      </c>
      <c r="DJ32" s="25">
        <v>60</v>
      </c>
      <c r="DK32" s="25">
        <v>14</v>
      </c>
      <c r="DL32" s="25">
        <v>25</v>
      </c>
      <c r="DM32" s="25">
        <v>22</v>
      </c>
      <c r="DN32" s="25">
        <v>24</v>
      </c>
      <c r="DO32" s="25">
        <v>63</v>
      </c>
      <c r="DP32" s="25">
        <v>95</v>
      </c>
      <c r="DQ32" s="25">
        <v>0</v>
      </c>
      <c r="DR32" s="25">
        <v>23</v>
      </c>
      <c r="DS32" s="25">
        <v>0</v>
      </c>
      <c r="DT32" s="25">
        <v>23</v>
      </c>
      <c r="DU32" s="25">
        <v>535</v>
      </c>
      <c r="DV32" s="25">
        <v>146</v>
      </c>
      <c r="DW32" s="25">
        <v>263</v>
      </c>
      <c r="DX32" s="25">
        <v>111</v>
      </c>
      <c r="DY32" s="25">
        <v>148</v>
      </c>
      <c r="DZ32" s="25">
        <v>74</v>
      </c>
      <c r="EA32" s="25">
        <v>115</v>
      </c>
      <c r="EB32" s="25">
        <v>78</v>
      </c>
      <c r="EC32" s="25">
        <v>7</v>
      </c>
      <c r="ED32" s="25">
        <v>8</v>
      </c>
      <c r="EE32" s="25">
        <v>8</v>
      </c>
      <c r="EF32" s="25">
        <v>10</v>
      </c>
      <c r="EG32" s="25">
        <v>0</v>
      </c>
      <c r="EH32" s="25">
        <v>23</v>
      </c>
      <c r="EI32" s="25">
        <v>17</v>
      </c>
      <c r="EJ32" s="25">
        <v>27</v>
      </c>
      <c r="EK32" s="25">
        <v>234</v>
      </c>
      <c r="EL32" s="25">
        <v>85</v>
      </c>
      <c r="EM32" s="25">
        <v>6</v>
      </c>
      <c r="EN32" s="25">
        <v>10</v>
      </c>
    </row>
    <row r="33" spans="1:144" x14ac:dyDescent="0.25">
      <c r="A33" s="19">
        <f t="shared" si="8"/>
        <v>49</v>
      </c>
      <c r="B33" s="20" t="str">
        <f t="shared" si="9"/>
        <v>Utah</v>
      </c>
      <c r="C33" s="24" t="s">
        <v>336</v>
      </c>
      <c r="D33" s="24" t="s">
        <v>337</v>
      </c>
      <c r="E33" s="25">
        <v>236168</v>
      </c>
      <c r="F33" s="25">
        <v>1730</v>
      </c>
      <c r="G33" s="25">
        <v>170403</v>
      </c>
      <c r="H33" s="25">
        <v>2098</v>
      </c>
      <c r="I33" s="25">
        <v>160978</v>
      </c>
      <c r="J33" s="25">
        <v>2085</v>
      </c>
      <c r="K33" s="25">
        <v>9425</v>
      </c>
      <c r="L33" s="25">
        <v>541</v>
      </c>
      <c r="M33" s="25">
        <v>25725</v>
      </c>
      <c r="N33" s="25">
        <v>1208</v>
      </c>
      <c r="O33" s="25">
        <v>13838</v>
      </c>
      <c r="P33" s="25">
        <v>683</v>
      </c>
      <c r="Q33" s="25">
        <v>12206</v>
      </c>
      <c r="R33" s="25">
        <v>672</v>
      </c>
      <c r="S33" s="25">
        <v>3212</v>
      </c>
      <c r="T33" s="25">
        <v>389</v>
      </c>
      <c r="U33" s="25">
        <v>10376</v>
      </c>
      <c r="V33" s="25">
        <v>586</v>
      </c>
      <c r="W33" s="25">
        <v>408</v>
      </c>
      <c r="X33" s="25">
        <v>162</v>
      </c>
      <c r="Y33" s="25">
        <v>172228</v>
      </c>
      <c r="Z33" s="25">
        <v>1963</v>
      </c>
      <c r="AA33" s="25">
        <v>127735</v>
      </c>
      <c r="AB33" s="25">
        <v>2028</v>
      </c>
      <c r="AC33" s="25">
        <v>121729</v>
      </c>
      <c r="AD33" s="25">
        <v>2056</v>
      </c>
      <c r="AE33" s="25">
        <v>6006</v>
      </c>
      <c r="AF33" s="25">
        <v>420</v>
      </c>
      <c r="AG33" s="25">
        <v>16020</v>
      </c>
      <c r="AH33" s="25">
        <v>933</v>
      </c>
      <c r="AI33" s="25">
        <v>11421</v>
      </c>
      <c r="AJ33" s="25">
        <v>578</v>
      </c>
      <c r="AK33" s="25">
        <v>9581</v>
      </c>
      <c r="AL33" s="25">
        <v>699</v>
      </c>
      <c r="AM33" s="25">
        <v>2381</v>
      </c>
      <c r="AN33" s="25">
        <v>332</v>
      </c>
      <c r="AO33" s="25">
        <v>4940</v>
      </c>
      <c r="AP33" s="25">
        <v>420</v>
      </c>
      <c r="AQ33" s="25">
        <v>150</v>
      </c>
      <c r="AR33" s="25">
        <v>70</v>
      </c>
      <c r="AS33" s="25">
        <v>30174</v>
      </c>
      <c r="AT33" s="25">
        <v>1217</v>
      </c>
      <c r="AU33" s="25">
        <v>22360</v>
      </c>
      <c r="AV33" s="25">
        <v>1142</v>
      </c>
      <c r="AW33" s="25">
        <v>21558</v>
      </c>
      <c r="AX33" s="25">
        <v>1130</v>
      </c>
      <c r="AY33" s="25">
        <v>802</v>
      </c>
      <c r="AZ33" s="25">
        <v>207</v>
      </c>
      <c r="BA33" s="25">
        <v>3176</v>
      </c>
      <c r="BB33" s="25">
        <v>397</v>
      </c>
      <c r="BC33" s="25">
        <v>1631</v>
      </c>
      <c r="BD33" s="25">
        <v>271</v>
      </c>
      <c r="BE33" s="25">
        <v>1409</v>
      </c>
      <c r="BF33" s="25">
        <v>239</v>
      </c>
      <c r="BG33" s="25">
        <v>546</v>
      </c>
      <c r="BH33" s="25">
        <v>151</v>
      </c>
      <c r="BI33" s="25">
        <v>910</v>
      </c>
      <c r="BJ33" s="25">
        <v>162</v>
      </c>
      <c r="BK33" s="25">
        <v>142</v>
      </c>
      <c r="BL33" s="25">
        <v>112</v>
      </c>
      <c r="BM33" s="25">
        <v>4144</v>
      </c>
      <c r="BN33" s="25">
        <v>487</v>
      </c>
      <c r="BO33" s="25">
        <v>2623</v>
      </c>
      <c r="BP33" s="25">
        <v>436</v>
      </c>
      <c r="BQ33" s="25">
        <v>2598</v>
      </c>
      <c r="BR33" s="25">
        <v>435</v>
      </c>
      <c r="BS33" s="25">
        <v>25</v>
      </c>
      <c r="BT33" s="25">
        <v>21</v>
      </c>
      <c r="BU33" s="25">
        <v>875</v>
      </c>
      <c r="BV33" s="25">
        <v>173</v>
      </c>
      <c r="BW33" s="25">
        <v>98</v>
      </c>
      <c r="BX33" s="25">
        <v>53</v>
      </c>
      <c r="BY33" s="25">
        <v>427</v>
      </c>
      <c r="BZ33" s="25">
        <v>105</v>
      </c>
      <c r="CA33" s="25">
        <v>28</v>
      </c>
      <c r="CB33" s="25">
        <v>25</v>
      </c>
      <c r="CC33" s="25">
        <v>93</v>
      </c>
      <c r="CD33" s="25">
        <v>56</v>
      </c>
      <c r="CE33" s="25">
        <v>0</v>
      </c>
      <c r="CF33" s="25">
        <v>26</v>
      </c>
      <c r="CG33" s="25">
        <v>9331</v>
      </c>
      <c r="CH33" s="25">
        <v>797</v>
      </c>
      <c r="CI33" s="25">
        <v>4807</v>
      </c>
      <c r="CJ33" s="25">
        <v>491</v>
      </c>
      <c r="CK33" s="25">
        <v>4672</v>
      </c>
      <c r="CL33" s="25">
        <v>479</v>
      </c>
      <c r="CM33" s="25">
        <v>135</v>
      </c>
      <c r="CN33" s="25">
        <v>56</v>
      </c>
      <c r="CO33" s="25">
        <v>3562</v>
      </c>
      <c r="CP33" s="25">
        <v>654</v>
      </c>
      <c r="CQ33" s="25">
        <v>362</v>
      </c>
      <c r="CR33" s="25">
        <v>98</v>
      </c>
      <c r="CS33" s="25">
        <v>322</v>
      </c>
      <c r="CT33" s="25">
        <v>94</v>
      </c>
      <c r="CU33" s="25">
        <v>41</v>
      </c>
      <c r="CV33" s="25">
        <v>31</v>
      </c>
      <c r="CW33" s="25">
        <v>230</v>
      </c>
      <c r="CX33" s="25">
        <v>77</v>
      </c>
      <c r="CY33" s="25">
        <v>7</v>
      </c>
      <c r="CZ33" s="25">
        <v>11</v>
      </c>
      <c r="DA33" s="25">
        <v>5844</v>
      </c>
      <c r="DB33" s="25">
        <v>488</v>
      </c>
      <c r="DC33" s="25">
        <v>4018</v>
      </c>
      <c r="DD33" s="25">
        <v>463</v>
      </c>
      <c r="DE33" s="25">
        <v>3878</v>
      </c>
      <c r="DF33" s="25">
        <v>467</v>
      </c>
      <c r="DG33" s="25">
        <v>140</v>
      </c>
      <c r="DH33" s="25">
        <v>61</v>
      </c>
      <c r="DI33" s="25">
        <v>1215</v>
      </c>
      <c r="DJ33" s="25">
        <v>197</v>
      </c>
      <c r="DK33" s="25">
        <v>125</v>
      </c>
      <c r="DL33" s="25">
        <v>53</v>
      </c>
      <c r="DM33" s="25">
        <v>161</v>
      </c>
      <c r="DN33" s="25">
        <v>64</v>
      </c>
      <c r="DO33" s="25">
        <v>103</v>
      </c>
      <c r="DP33" s="25">
        <v>56</v>
      </c>
      <c r="DQ33" s="25">
        <v>222</v>
      </c>
      <c r="DR33" s="25">
        <v>85</v>
      </c>
      <c r="DS33" s="25">
        <v>0</v>
      </c>
      <c r="DT33" s="25">
        <v>26</v>
      </c>
      <c r="DU33" s="25">
        <v>14447</v>
      </c>
      <c r="DV33" s="25">
        <v>822</v>
      </c>
      <c r="DW33" s="25">
        <v>8860</v>
      </c>
      <c r="DX33" s="25">
        <v>583</v>
      </c>
      <c r="DY33" s="25">
        <v>6543</v>
      </c>
      <c r="DZ33" s="25">
        <v>583</v>
      </c>
      <c r="EA33" s="25">
        <v>2317</v>
      </c>
      <c r="EB33" s="25">
        <v>263</v>
      </c>
      <c r="EC33" s="25">
        <v>877</v>
      </c>
      <c r="ED33" s="25">
        <v>229</v>
      </c>
      <c r="EE33" s="25">
        <v>201</v>
      </c>
      <c r="EF33" s="25">
        <v>76</v>
      </c>
      <c r="EG33" s="25">
        <v>306</v>
      </c>
      <c r="EH33" s="25">
        <v>118</v>
      </c>
      <c r="EI33" s="25">
        <v>113</v>
      </c>
      <c r="EJ33" s="25">
        <v>59</v>
      </c>
      <c r="EK33" s="25">
        <v>3981</v>
      </c>
      <c r="EL33" s="25">
        <v>375</v>
      </c>
      <c r="EM33" s="25">
        <v>109</v>
      </c>
      <c r="EN33" s="25">
        <v>80</v>
      </c>
    </row>
    <row r="34" spans="1:144" x14ac:dyDescent="0.25">
      <c r="A34" s="19">
        <f t="shared" si="8"/>
        <v>51</v>
      </c>
      <c r="B34" s="20" t="str">
        <f t="shared" si="9"/>
        <v>Wasatch</v>
      </c>
      <c r="C34" s="24" t="s">
        <v>338</v>
      </c>
      <c r="D34" s="24" t="s">
        <v>339</v>
      </c>
      <c r="E34" s="25">
        <v>12231</v>
      </c>
      <c r="F34" s="25">
        <v>456</v>
      </c>
      <c r="G34" s="25">
        <v>9084</v>
      </c>
      <c r="H34" s="25">
        <v>476</v>
      </c>
      <c r="I34" s="25">
        <v>7886</v>
      </c>
      <c r="J34" s="25">
        <v>466</v>
      </c>
      <c r="K34" s="25">
        <v>1198</v>
      </c>
      <c r="L34" s="25">
        <v>247</v>
      </c>
      <c r="M34" s="25">
        <v>565</v>
      </c>
      <c r="N34" s="25">
        <v>198</v>
      </c>
      <c r="O34" s="25">
        <v>1172</v>
      </c>
      <c r="P34" s="25">
        <v>214</v>
      </c>
      <c r="Q34" s="25">
        <v>472</v>
      </c>
      <c r="R34" s="25">
        <v>114</v>
      </c>
      <c r="S34" s="25">
        <v>280</v>
      </c>
      <c r="T34" s="25">
        <v>158</v>
      </c>
      <c r="U34" s="25">
        <v>632</v>
      </c>
      <c r="V34" s="25">
        <v>179</v>
      </c>
      <c r="W34" s="25">
        <v>26</v>
      </c>
      <c r="X34" s="25">
        <v>26</v>
      </c>
      <c r="Y34" s="25">
        <v>9842</v>
      </c>
      <c r="Z34" s="25">
        <v>598</v>
      </c>
      <c r="AA34" s="25">
        <v>7337</v>
      </c>
      <c r="AB34" s="25">
        <v>561</v>
      </c>
      <c r="AC34" s="25">
        <v>6477</v>
      </c>
      <c r="AD34" s="25">
        <v>520</v>
      </c>
      <c r="AE34" s="25">
        <v>860</v>
      </c>
      <c r="AF34" s="25">
        <v>183</v>
      </c>
      <c r="AG34" s="25">
        <v>469</v>
      </c>
      <c r="AH34" s="25">
        <v>188</v>
      </c>
      <c r="AI34" s="25">
        <v>1069</v>
      </c>
      <c r="AJ34" s="25">
        <v>217</v>
      </c>
      <c r="AK34" s="25">
        <v>392</v>
      </c>
      <c r="AL34" s="25">
        <v>99</v>
      </c>
      <c r="AM34" s="25">
        <v>193</v>
      </c>
      <c r="AN34" s="25">
        <v>127</v>
      </c>
      <c r="AO34" s="25">
        <v>367</v>
      </c>
      <c r="AP34" s="25">
        <v>139</v>
      </c>
      <c r="AQ34" s="25">
        <v>15</v>
      </c>
      <c r="AR34" s="25">
        <v>23</v>
      </c>
      <c r="AS34" s="25">
        <v>1112</v>
      </c>
      <c r="AT34" s="25">
        <v>316</v>
      </c>
      <c r="AU34" s="25">
        <v>852</v>
      </c>
      <c r="AV34" s="25">
        <v>260</v>
      </c>
      <c r="AW34" s="25">
        <v>749</v>
      </c>
      <c r="AX34" s="25">
        <v>244</v>
      </c>
      <c r="AY34" s="25">
        <v>103</v>
      </c>
      <c r="AZ34" s="25">
        <v>101</v>
      </c>
      <c r="BA34" s="25">
        <v>41</v>
      </c>
      <c r="BB34" s="25">
        <v>31</v>
      </c>
      <c r="BC34" s="25">
        <v>66</v>
      </c>
      <c r="BD34" s="25">
        <v>41</v>
      </c>
      <c r="BE34" s="25">
        <v>49</v>
      </c>
      <c r="BF34" s="25">
        <v>47</v>
      </c>
      <c r="BG34" s="25">
        <v>25</v>
      </c>
      <c r="BH34" s="25">
        <v>31</v>
      </c>
      <c r="BI34" s="25">
        <v>79</v>
      </c>
      <c r="BJ34" s="25">
        <v>74</v>
      </c>
      <c r="BK34" s="25">
        <v>0</v>
      </c>
      <c r="BL34" s="25">
        <v>20</v>
      </c>
      <c r="BM34" s="25">
        <v>60</v>
      </c>
      <c r="BN34" s="25">
        <v>74</v>
      </c>
      <c r="BO34" s="25">
        <v>54</v>
      </c>
      <c r="BP34" s="25">
        <v>74</v>
      </c>
      <c r="BQ34" s="25">
        <v>54</v>
      </c>
      <c r="BR34" s="25">
        <v>74</v>
      </c>
      <c r="BS34" s="25">
        <v>0</v>
      </c>
      <c r="BT34" s="25">
        <v>20</v>
      </c>
      <c r="BU34" s="25">
        <v>0</v>
      </c>
      <c r="BV34" s="25">
        <v>20</v>
      </c>
      <c r="BW34" s="25">
        <v>0</v>
      </c>
      <c r="BX34" s="25">
        <v>20</v>
      </c>
      <c r="BY34" s="25">
        <v>0</v>
      </c>
      <c r="BZ34" s="25">
        <v>20</v>
      </c>
      <c r="CA34" s="25">
        <v>0</v>
      </c>
      <c r="CB34" s="25">
        <v>20</v>
      </c>
      <c r="CC34" s="25">
        <v>6</v>
      </c>
      <c r="CD34" s="25">
        <v>10</v>
      </c>
      <c r="CE34" s="25">
        <v>0</v>
      </c>
      <c r="CF34" s="25">
        <v>20</v>
      </c>
      <c r="CG34" s="25">
        <v>183</v>
      </c>
      <c r="CH34" s="25">
        <v>77</v>
      </c>
      <c r="CI34" s="25">
        <v>136</v>
      </c>
      <c r="CJ34" s="25">
        <v>76</v>
      </c>
      <c r="CK34" s="25">
        <v>127</v>
      </c>
      <c r="CL34" s="25">
        <v>75</v>
      </c>
      <c r="CM34" s="25">
        <v>9</v>
      </c>
      <c r="CN34" s="25">
        <v>15</v>
      </c>
      <c r="CO34" s="25">
        <v>14</v>
      </c>
      <c r="CP34" s="25">
        <v>23</v>
      </c>
      <c r="CQ34" s="25">
        <v>10</v>
      </c>
      <c r="CR34" s="25">
        <v>15</v>
      </c>
      <c r="CS34" s="25">
        <v>10</v>
      </c>
      <c r="CT34" s="25">
        <v>18</v>
      </c>
      <c r="CU34" s="25">
        <v>0</v>
      </c>
      <c r="CV34" s="25">
        <v>20</v>
      </c>
      <c r="CW34" s="25">
        <v>13</v>
      </c>
      <c r="CX34" s="25">
        <v>17</v>
      </c>
      <c r="CY34" s="25">
        <v>0</v>
      </c>
      <c r="CZ34" s="25">
        <v>20</v>
      </c>
      <c r="DA34" s="25">
        <v>264</v>
      </c>
      <c r="DB34" s="25">
        <v>133</v>
      </c>
      <c r="DC34" s="25">
        <v>225</v>
      </c>
      <c r="DD34" s="25">
        <v>124</v>
      </c>
      <c r="DE34" s="25">
        <v>223</v>
      </c>
      <c r="DF34" s="25">
        <v>123</v>
      </c>
      <c r="DG34" s="25">
        <v>2</v>
      </c>
      <c r="DH34" s="25">
        <v>3</v>
      </c>
      <c r="DI34" s="25">
        <v>13</v>
      </c>
      <c r="DJ34" s="25">
        <v>19</v>
      </c>
      <c r="DK34" s="25">
        <v>0</v>
      </c>
      <c r="DL34" s="25">
        <v>20</v>
      </c>
      <c r="DM34" s="25">
        <v>11</v>
      </c>
      <c r="DN34" s="25">
        <v>16</v>
      </c>
      <c r="DO34" s="25">
        <v>0</v>
      </c>
      <c r="DP34" s="25">
        <v>20</v>
      </c>
      <c r="DQ34" s="25">
        <v>9</v>
      </c>
      <c r="DR34" s="25">
        <v>16</v>
      </c>
      <c r="DS34" s="25">
        <v>6</v>
      </c>
      <c r="DT34" s="25">
        <v>10</v>
      </c>
      <c r="DU34" s="25">
        <v>770</v>
      </c>
      <c r="DV34" s="25">
        <v>176</v>
      </c>
      <c r="DW34" s="25">
        <v>480</v>
      </c>
      <c r="DX34" s="25">
        <v>130</v>
      </c>
      <c r="DY34" s="25">
        <v>256</v>
      </c>
      <c r="DZ34" s="25">
        <v>94</v>
      </c>
      <c r="EA34" s="25">
        <v>224</v>
      </c>
      <c r="EB34" s="25">
        <v>113</v>
      </c>
      <c r="EC34" s="25">
        <v>28</v>
      </c>
      <c r="ED34" s="25">
        <v>31</v>
      </c>
      <c r="EE34" s="25">
        <v>27</v>
      </c>
      <c r="EF34" s="25">
        <v>33</v>
      </c>
      <c r="EG34" s="25">
        <v>10</v>
      </c>
      <c r="EH34" s="25">
        <v>16</v>
      </c>
      <c r="EI34" s="25">
        <v>62</v>
      </c>
      <c r="EJ34" s="25">
        <v>86</v>
      </c>
      <c r="EK34" s="25">
        <v>158</v>
      </c>
      <c r="EL34" s="25">
        <v>78</v>
      </c>
      <c r="EM34" s="25">
        <v>5</v>
      </c>
      <c r="EN34" s="25">
        <v>6</v>
      </c>
    </row>
    <row r="35" spans="1:144" x14ac:dyDescent="0.25">
      <c r="A35" s="19">
        <f t="shared" si="8"/>
        <v>53</v>
      </c>
      <c r="B35" s="20" t="str">
        <f t="shared" si="9"/>
        <v>Washington</v>
      </c>
      <c r="C35" s="24" t="s">
        <v>340</v>
      </c>
      <c r="D35" s="24" t="s">
        <v>341</v>
      </c>
      <c r="E35" s="25">
        <v>56621</v>
      </c>
      <c r="F35" s="25">
        <v>1322</v>
      </c>
      <c r="G35" s="25">
        <v>42198</v>
      </c>
      <c r="H35" s="25">
        <v>1447</v>
      </c>
      <c r="I35" s="25">
        <v>38837</v>
      </c>
      <c r="J35" s="25">
        <v>1448</v>
      </c>
      <c r="K35" s="25">
        <v>3361</v>
      </c>
      <c r="L35" s="25">
        <v>515</v>
      </c>
      <c r="M35" s="25">
        <v>3678</v>
      </c>
      <c r="N35" s="25">
        <v>511</v>
      </c>
      <c r="O35" s="25">
        <v>4064</v>
      </c>
      <c r="P35" s="25">
        <v>528</v>
      </c>
      <c r="Q35" s="25">
        <v>2915</v>
      </c>
      <c r="R35" s="25">
        <v>426</v>
      </c>
      <c r="S35" s="25">
        <v>747</v>
      </c>
      <c r="T35" s="25">
        <v>189</v>
      </c>
      <c r="U35" s="25">
        <v>2920</v>
      </c>
      <c r="V35" s="25">
        <v>479</v>
      </c>
      <c r="W35" s="25">
        <v>99</v>
      </c>
      <c r="X35" s="25">
        <v>63</v>
      </c>
      <c r="Y35" s="25">
        <v>44269</v>
      </c>
      <c r="Z35" s="25">
        <v>1367</v>
      </c>
      <c r="AA35" s="25">
        <v>33074</v>
      </c>
      <c r="AB35" s="25">
        <v>1236</v>
      </c>
      <c r="AC35" s="25">
        <v>30984</v>
      </c>
      <c r="AD35" s="25">
        <v>1232</v>
      </c>
      <c r="AE35" s="25">
        <v>2090</v>
      </c>
      <c r="AF35" s="25">
        <v>359</v>
      </c>
      <c r="AG35" s="25">
        <v>3157</v>
      </c>
      <c r="AH35" s="25">
        <v>490</v>
      </c>
      <c r="AI35" s="25">
        <v>3425</v>
      </c>
      <c r="AJ35" s="25">
        <v>490</v>
      </c>
      <c r="AK35" s="25">
        <v>2440</v>
      </c>
      <c r="AL35" s="25">
        <v>407</v>
      </c>
      <c r="AM35" s="25">
        <v>404</v>
      </c>
      <c r="AN35" s="25">
        <v>103</v>
      </c>
      <c r="AO35" s="25">
        <v>1714</v>
      </c>
      <c r="AP35" s="25">
        <v>333</v>
      </c>
      <c r="AQ35" s="25">
        <v>55</v>
      </c>
      <c r="AR35" s="25">
        <v>52</v>
      </c>
      <c r="AS35" s="25">
        <v>6630</v>
      </c>
      <c r="AT35" s="25">
        <v>698</v>
      </c>
      <c r="AU35" s="25">
        <v>5249</v>
      </c>
      <c r="AV35" s="25">
        <v>645</v>
      </c>
      <c r="AW35" s="25">
        <v>4833</v>
      </c>
      <c r="AX35" s="25">
        <v>620</v>
      </c>
      <c r="AY35" s="25">
        <v>416</v>
      </c>
      <c r="AZ35" s="25">
        <v>221</v>
      </c>
      <c r="BA35" s="25">
        <v>258</v>
      </c>
      <c r="BB35" s="25">
        <v>116</v>
      </c>
      <c r="BC35" s="25">
        <v>424</v>
      </c>
      <c r="BD35" s="25">
        <v>143</v>
      </c>
      <c r="BE35" s="25">
        <v>311</v>
      </c>
      <c r="BF35" s="25">
        <v>153</v>
      </c>
      <c r="BG35" s="25">
        <v>239</v>
      </c>
      <c r="BH35" s="25">
        <v>166</v>
      </c>
      <c r="BI35" s="25">
        <v>134</v>
      </c>
      <c r="BJ35" s="25">
        <v>72</v>
      </c>
      <c r="BK35" s="25">
        <v>15</v>
      </c>
      <c r="BL35" s="25">
        <v>24</v>
      </c>
      <c r="BM35" s="25">
        <v>296</v>
      </c>
      <c r="BN35" s="25">
        <v>136</v>
      </c>
      <c r="BO35" s="25">
        <v>169</v>
      </c>
      <c r="BP35" s="25">
        <v>88</v>
      </c>
      <c r="BQ35" s="25">
        <v>169</v>
      </c>
      <c r="BR35" s="25">
        <v>88</v>
      </c>
      <c r="BS35" s="25">
        <v>0</v>
      </c>
      <c r="BT35" s="25">
        <v>26</v>
      </c>
      <c r="BU35" s="25">
        <v>57</v>
      </c>
      <c r="BV35" s="25">
        <v>66</v>
      </c>
      <c r="BW35" s="25">
        <v>45</v>
      </c>
      <c r="BX35" s="25">
        <v>50</v>
      </c>
      <c r="BY35" s="25">
        <v>0</v>
      </c>
      <c r="BZ35" s="25">
        <v>26</v>
      </c>
      <c r="CA35" s="25">
        <v>0</v>
      </c>
      <c r="CB35" s="25">
        <v>26</v>
      </c>
      <c r="CC35" s="25">
        <v>25</v>
      </c>
      <c r="CD35" s="25">
        <v>30</v>
      </c>
      <c r="CE35" s="25">
        <v>0</v>
      </c>
      <c r="CF35" s="25">
        <v>26</v>
      </c>
      <c r="CG35" s="25">
        <v>1264</v>
      </c>
      <c r="CH35" s="25">
        <v>335</v>
      </c>
      <c r="CI35" s="25">
        <v>933</v>
      </c>
      <c r="CJ35" s="25">
        <v>257</v>
      </c>
      <c r="CK35" s="25">
        <v>774</v>
      </c>
      <c r="CL35" s="25">
        <v>210</v>
      </c>
      <c r="CM35" s="25">
        <v>159</v>
      </c>
      <c r="CN35" s="25">
        <v>123</v>
      </c>
      <c r="CO35" s="25">
        <v>77</v>
      </c>
      <c r="CP35" s="25">
        <v>66</v>
      </c>
      <c r="CQ35" s="25">
        <v>28</v>
      </c>
      <c r="CR35" s="25">
        <v>47</v>
      </c>
      <c r="CS35" s="25">
        <v>37</v>
      </c>
      <c r="CT35" s="25">
        <v>30</v>
      </c>
      <c r="CU35" s="25">
        <v>16</v>
      </c>
      <c r="CV35" s="25">
        <v>30</v>
      </c>
      <c r="CW35" s="25">
        <v>173</v>
      </c>
      <c r="CX35" s="25">
        <v>110</v>
      </c>
      <c r="CY35" s="25">
        <v>0</v>
      </c>
      <c r="CZ35" s="25">
        <v>26</v>
      </c>
      <c r="DA35" s="25">
        <v>1203</v>
      </c>
      <c r="DB35" s="25">
        <v>272</v>
      </c>
      <c r="DC35" s="25">
        <v>835</v>
      </c>
      <c r="DD35" s="25">
        <v>226</v>
      </c>
      <c r="DE35" s="25">
        <v>740</v>
      </c>
      <c r="DF35" s="25">
        <v>209</v>
      </c>
      <c r="DG35" s="25">
        <v>95</v>
      </c>
      <c r="DH35" s="25">
        <v>95</v>
      </c>
      <c r="DI35" s="25">
        <v>61</v>
      </c>
      <c r="DJ35" s="25">
        <v>40</v>
      </c>
      <c r="DK35" s="25">
        <v>79</v>
      </c>
      <c r="DL35" s="25">
        <v>50</v>
      </c>
      <c r="DM35" s="25">
        <v>84</v>
      </c>
      <c r="DN35" s="25">
        <v>88</v>
      </c>
      <c r="DO35" s="25">
        <v>19</v>
      </c>
      <c r="DP35" s="25">
        <v>22</v>
      </c>
      <c r="DQ35" s="25">
        <v>125</v>
      </c>
      <c r="DR35" s="25">
        <v>96</v>
      </c>
      <c r="DS35" s="25">
        <v>0</v>
      </c>
      <c r="DT35" s="25">
        <v>26</v>
      </c>
      <c r="DU35" s="25">
        <v>2959</v>
      </c>
      <c r="DV35" s="25">
        <v>471</v>
      </c>
      <c r="DW35" s="25">
        <v>1938</v>
      </c>
      <c r="DX35" s="25">
        <v>343</v>
      </c>
      <c r="DY35" s="25">
        <v>1337</v>
      </c>
      <c r="DZ35" s="25">
        <v>296</v>
      </c>
      <c r="EA35" s="25">
        <v>601</v>
      </c>
      <c r="EB35" s="25">
        <v>175</v>
      </c>
      <c r="EC35" s="25">
        <v>68</v>
      </c>
      <c r="ED35" s="25">
        <v>52</v>
      </c>
      <c r="EE35" s="25">
        <v>63</v>
      </c>
      <c r="EF35" s="25">
        <v>56</v>
      </c>
      <c r="EG35" s="25">
        <v>43</v>
      </c>
      <c r="EH35" s="25">
        <v>34</v>
      </c>
      <c r="EI35" s="25">
        <v>69</v>
      </c>
      <c r="EJ35" s="25">
        <v>58</v>
      </c>
      <c r="EK35" s="25">
        <v>749</v>
      </c>
      <c r="EL35" s="25">
        <v>252</v>
      </c>
      <c r="EM35" s="25">
        <v>29</v>
      </c>
      <c r="EN35" s="25">
        <v>34</v>
      </c>
    </row>
    <row r="36" spans="1:144" x14ac:dyDescent="0.25">
      <c r="A36" s="19">
        <f t="shared" si="8"/>
        <v>55</v>
      </c>
      <c r="B36" s="20" t="str">
        <f t="shared" si="9"/>
        <v>Wayne</v>
      </c>
      <c r="C36" s="24" t="s">
        <v>342</v>
      </c>
      <c r="D36" s="24" t="s">
        <v>343</v>
      </c>
      <c r="E36" s="25">
        <v>1234</v>
      </c>
      <c r="F36" s="25">
        <v>93</v>
      </c>
      <c r="G36" s="25">
        <v>787</v>
      </c>
      <c r="H36" s="25">
        <v>95</v>
      </c>
      <c r="I36" s="25">
        <v>652</v>
      </c>
      <c r="J36" s="25">
        <v>105</v>
      </c>
      <c r="K36" s="25">
        <v>135</v>
      </c>
      <c r="L36" s="25">
        <v>65</v>
      </c>
      <c r="M36" s="25">
        <v>48</v>
      </c>
      <c r="N36" s="25">
        <v>26</v>
      </c>
      <c r="O36" s="25">
        <v>71</v>
      </c>
      <c r="P36" s="25">
        <v>34</v>
      </c>
      <c r="Q36" s="25">
        <v>101</v>
      </c>
      <c r="R36" s="25">
        <v>46</v>
      </c>
      <c r="S36" s="25">
        <v>90</v>
      </c>
      <c r="T36" s="25">
        <v>45</v>
      </c>
      <c r="U36" s="25">
        <v>137</v>
      </c>
      <c r="V36" s="25">
        <v>41</v>
      </c>
      <c r="W36" s="25">
        <v>0</v>
      </c>
      <c r="X36" s="25">
        <v>11</v>
      </c>
      <c r="Y36" s="25">
        <v>873</v>
      </c>
      <c r="Z36" s="25">
        <v>100</v>
      </c>
      <c r="AA36" s="25">
        <v>584</v>
      </c>
      <c r="AB36" s="25">
        <v>103</v>
      </c>
      <c r="AC36" s="25">
        <v>541</v>
      </c>
      <c r="AD36" s="25">
        <v>100</v>
      </c>
      <c r="AE36" s="25">
        <v>43</v>
      </c>
      <c r="AF36" s="25">
        <v>30</v>
      </c>
      <c r="AG36" s="25">
        <v>36</v>
      </c>
      <c r="AH36" s="25">
        <v>22</v>
      </c>
      <c r="AI36" s="25">
        <v>66</v>
      </c>
      <c r="AJ36" s="25">
        <v>34</v>
      </c>
      <c r="AK36" s="25">
        <v>65</v>
      </c>
      <c r="AL36" s="25">
        <v>34</v>
      </c>
      <c r="AM36" s="25">
        <v>40</v>
      </c>
      <c r="AN36" s="25">
        <v>23</v>
      </c>
      <c r="AO36" s="25">
        <v>82</v>
      </c>
      <c r="AP36" s="25">
        <v>31</v>
      </c>
      <c r="AQ36" s="25">
        <v>0</v>
      </c>
      <c r="AR36" s="25">
        <v>11</v>
      </c>
      <c r="AS36" s="25">
        <v>185</v>
      </c>
      <c r="AT36" s="25">
        <v>60</v>
      </c>
      <c r="AU36" s="25">
        <v>122</v>
      </c>
      <c r="AV36" s="25">
        <v>44</v>
      </c>
      <c r="AW36" s="25">
        <v>95</v>
      </c>
      <c r="AX36" s="25">
        <v>32</v>
      </c>
      <c r="AY36" s="25">
        <v>27</v>
      </c>
      <c r="AZ36" s="25">
        <v>27</v>
      </c>
      <c r="BA36" s="25">
        <v>7</v>
      </c>
      <c r="BB36" s="25">
        <v>10</v>
      </c>
      <c r="BC36" s="25">
        <v>5</v>
      </c>
      <c r="BD36" s="25">
        <v>5</v>
      </c>
      <c r="BE36" s="25">
        <v>2</v>
      </c>
      <c r="BF36" s="25">
        <v>3</v>
      </c>
      <c r="BG36" s="25">
        <v>39</v>
      </c>
      <c r="BH36" s="25">
        <v>28</v>
      </c>
      <c r="BI36" s="25">
        <v>10</v>
      </c>
      <c r="BJ36" s="25">
        <v>11</v>
      </c>
      <c r="BK36" s="25">
        <v>0</v>
      </c>
      <c r="BL36" s="25">
        <v>11</v>
      </c>
      <c r="BM36" s="25">
        <v>13</v>
      </c>
      <c r="BN36" s="25">
        <v>15</v>
      </c>
      <c r="BO36" s="25">
        <v>10</v>
      </c>
      <c r="BP36" s="25">
        <v>15</v>
      </c>
      <c r="BQ36" s="25">
        <v>0</v>
      </c>
      <c r="BR36" s="25">
        <v>11</v>
      </c>
      <c r="BS36" s="25">
        <v>10</v>
      </c>
      <c r="BT36" s="25">
        <v>15</v>
      </c>
      <c r="BU36" s="25">
        <v>0</v>
      </c>
      <c r="BV36" s="25">
        <v>11</v>
      </c>
      <c r="BW36" s="25">
        <v>0</v>
      </c>
      <c r="BX36" s="25">
        <v>11</v>
      </c>
      <c r="BY36" s="25">
        <v>0</v>
      </c>
      <c r="BZ36" s="25">
        <v>11</v>
      </c>
      <c r="CA36" s="25">
        <v>3</v>
      </c>
      <c r="CB36" s="25">
        <v>4</v>
      </c>
      <c r="CC36" s="25">
        <v>0</v>
      </c>
      <c r="CD36" s="25">
        <v>11</v>
      </c>
      <c r="CE36" s="25">
        <v>0</v>
      </c>
      <c r="CF36" s="25">
        <v>11</v>
      </c>
      <c r="CG36" s="25">
        <v>76</v>
      </c>
      <c r="CH36" s="25">
        <v>58</v>
      </c>
      <c r="CI36" s="25">
        <v>62</v>
      </c>
      <c r="CJ36" s="25">
        <v>55</v>
      </c>
      <c r="CK36" s="25">
        <v>14</v>
      </c>
      <c r="CL36" s="25">
        <v>18</v>
      </c>
      <c r="CM36" s="25">
        <v>48</v>
      </c>
      <c r="CN36" s="25">
        <v>51</v>
      </c>
      <c r="CO36" s="25">
        <v>1</v>
      </c>
      <c r="CP36" s="25">
        <v>2</v>
      </c>
      <c r="CQ36" s="25">
        <v>0</v>
      </c>
      <c r="CR36" s="25">
        <v>11</v>
      </c>
      <c r="CS36" s="25">
        <v>5</v>
      </c>
      <c r="CT36" s="25">
        <v>8</v>
      </c>
      <c r="CU36" s="25">
        <v>5</v>
      </c>
      <c r="CV36" s="25">
        <v>6</v>
      </c>
      <c r="CW36" s="25">
        <v>3</v>
      </c>
      <c r="CX36" s="25">
        <v>10</v>
      </c>
      <c r="CY36" s="25">
        <v>0</v>
      </c>
      <c r="CZ36" s="25">
        <v>11</v>
      </c>
      <c r="DA36" s="25">
        <v>0</v>
      </c>
      <c r="DB36" s="25">
        <v>11</v>
      </c>
      <c r="DC36" s="25">
        <v>0</v>
      </c>
      <c r="DD36" s="25">
        <v>11</v>
      </c>
      <c r="DE36" s="25">
        <v>0</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87</v>
      </c>
      <c r="DV36" s="25">
        <v>45</v>
      </c>
      <c r="DW36" s="25">
        <v>9</v>
      </c>
      <c r="DX36" s="25">
        <v>9</v>
      </c>
      <c r="DY36" s="25">
        <v>2</v>
      </c>
      <c r="DZ36" s="25">
        <v>4</v>
      </c>
      <c r="EA36" s="25">
        <v>7</v>
      </c>
      <c r="EB36" s="25">
        <v>8</v>
      </c>
      <c r="EC36" s="25">
        <v>4</v>
      </c>
      <c r="ED36" s="25">
        <v>9</v>
      </c>
      <c r="EE36" s="25">
        <v>0</v>
      </c>
      <c r="EF36" s="25">
        <v>11</v>
      </c>
      <c r="EG36" s="25">
        <v>29</v>
      </c>
      <c r="EH36" s="25">
        <v>35</v>
      </c>
      <c r="EI36" s="25">
        <v>3</v>
      </c>
      <c r="EJ36" s="25">
        <v>3</v>
      </c>
      <c r="EK36" s="25">
        <v>42</v>
      </c>
      <c r="EL36" s="25">
        <v>28</v>
      </c>
      <c r="EM36" s="25">
        <v>0</v>
      </c>
      <c r="EN36" s="25">
        <v>11</v>
      </c>
    </row>
    <row r="37" spans="1:144" x14ac:dyDescent="0.25">
      <c r="A37" s="19">
        <f t="shared" si="8"/>
        <v>57</v>
      </c>
      <c r="B37" s="20" t="str">
        <f t="shared" si="9"/>
        <v>Weber</v>
      </c>
      <c r="C37" s="24" t="s">
        <v>344</v>
      </c>
      <c r="D37" s="24" t="s">
        <v>345</v>
      </c>
      <c r="E37" s="25">
        <v>108557</v>
      </c>
      <c r="F37" s="25">
        <v>1440</v>
      </c>
      <c r="G37" s="25">
        <v>75839</v>
      </c>
      <c r="H37" s="25">
        <v>1447</v>
      </c>
      <c r="I37" s="25">
        <v>71584</v>
      </c>
      <c r="J37" s="25">
        <v>1537</v>
      </c>
      <c r="K37" s="25">
        <v>4255</v>
      </c>
      <c r="L37" s="25">
        <v>439</v>
      </c>
      <c r="M37" s="25">
        <v>6736</v>
      </c>
      <c r="N37" s="25">
        <v>667</v>
      </c>
      <c r="O37" s="25">
        <v>6285</v>
      </c>
      <c r="P37" s="25">
        <v>512</v>
      </c>
      <c r="Q37" s="25">
        <v>4874</v>
      </c>
      <c r="R37" s="25">
        <v>461</v>
      </c>
      <c r="S37" s="25">
        <v>10482</v>
      </c>
      <c r="T37" s="25">
        <v>769</v>
      </c>
      <c r="U37" s="25">
        <v>4217</v>
      </c>
      <c r="V37" s="25">
        <v>483</v>
      </c>
      <c r="W37" s="25">
        <v>124</v>
      </c>
      <c r="X37" s="25">
        <v>80</v>
      </c>
      <c r="Y37" s="25">
        <v>85795</v>
      </c>
      <c r="Z37" s="25">
        <v>1495</v>
      </c>
      <c r="AA37" s="25">
        <v>60004</v>
      </c>
      <c r="AB37" s="25">
        <v>1524</v>
      </c>
      <c r="AC37" s="25">
        <v>57084</v>
      </c>
      <c r="AD37" s="25">
        <v>1547</v>
      </c>
      <c r="AE37" s="25">
        <v>2920</v>
      </c>
      <c r="AF37" s="25">
        <v>367</v>
      </c>
      <c r="AG37" s="25">
        <v>5368</v>
      </c>
      <c r="AH37" s="25">
        <v>619</v>
      </c>
      <c r="AI37" s="25">
        <v>5132</v>
      </c>
      <c r="AJ37" s="25">
        <v>444</v>
      </c>
      <c r="AK37" s="25">
        <v>3761</v>
      </c>
      <c r="AL37" s="25">
        <v>365</v>
      </c>
      <c r="AM37" s="25">
        <v>8881</v>
      </c>
      <c r="AN37" s="25">
        <v>709</v>
      </c>
      <c r="AO37" s="25">
        <v>2567</v>
      </c>
      <c r="AP37" s="25">
        <v>392</v>
      </c>
      <c r="AQ37" s="25">
        <v>82</v>
      </c>
      <c r="AR37" s="25">
        <v>79</v>
      </c>
      <c r="AS37" s="25">
        <v>13034</v>
      </c>
      <c r="AT37" s="25">
        <v>792</v>
      </c>
      <c r="AU37" s="25">
        <v>9670</v>
      </c>
      <c r="AV37" s="25">
        <v>692</v>
      </c>
      <c r="AW37" s="25">
        <v>9327</v>
      </c>
      <c r="AX37" s="25">
        <v>671</v>
      </c>
      <c r="AY37" s="25">
        <v>343</v>
      </c>
      <c r="AZ37" s="25">
        <v>140</v>
      </c>
      <c r="BA37" s="25">
        <v>689</v>
      </c>
      <c r="BB37" s="25">
        <v>159</v>
      </c>
      <c r="BC37" s="25">
        <v>725</v>
      </c>
      <c r="BD37" s="25">
        <v>197</v>
      </c>
      <c r="BE37" s="25">
        <v>609</v>
      </c>
      <c r="BF37" s="25">
        <v>164</v>
      </c>
      <c r="BG37" s="25">
        <v>1111</v>
      </c>
      <c r="BH37" s="25">
        <v>254</v>
      </c>
      <c r="BI37" s="25">
        <v>209</v>
      </c>
      <c r="BJ37" s="25">
        <v>78</v>
      </c>
      <c r="BK37" s="25">
        <v>21</v>
      </c>
      <c r="BL37" s="25">
        <v>21</v>
      </c>
      <c r="BM37" s="25">
        <v>1989</v>
      </c>
      <c r="BN37" s="25">
        <v>357</v>
      </c>
      <c r="BO37" s="25">
        <v>1336</v>
      </c>
      <c r="BP37" s="25">
        <v>295</v>
      </c>
      <c r="BQ37" s="25">
        <v>1319</v>
      </c>
      <c r="BR37" s="25">
        <v>296</v>
      </c>
      <c r="BS37" s="25">
        <v>17</v>
      </c>
      <c r="BT37" s="25">
        <v>20</v>
      </c>
      <c r="BU37" s="25">
        <v>285</v>
      </c>
      <c r="BV37" s="25">
        <v>109</v>
      </c>
      <c r="BW37" s="25">
        <v>86</v>
      </c>
      <c r="BX37" s="25">
        <v>46</v>
      </c>
      <c r="BY37" s="25">
        <v>148</v>
      </c>
      <c r="BZ37" s="25">
        <v>74</v>
      </c>
      <c r="CA37" s="25">
        <v>126</v>
      </c>
      <c r="CB37" s="25">
        <v>88</v>
      </c>
      <c r="CC37" s="25">
        <v>8</v>
      </c>
      <c r="CD37" s="25">
        <v>13</v>
      </c>
      <c r="CE37" s="25">
        <v>0</v>
      </c>
      <c r="CF37" s="25">
        <v>26</v>
      </c>
      <c r="CG37" s="25">
        <v>1487</v>
      </c>
      <c r="CH37" s="25">
        <v>242</v>
      </c>
      <c r="CI37" s="25">
        <v>897</v>
      </c>
      <c r="CJ37" s="25">
        <v>191</v>
      </c>
      <c r="CK37" s="25">
        <v>850</v>
      </c>
      <c r="CL37" s="25">
        <v>191</v>
      </c>
      <c r="CM37" s="25">
        <v>47</v>
      </c>
      <c r="CN37" s="25">
        <v>36</v>
      </c>
      <c r="CO37" s="25">
        <v>100</v>
      </c>
      <c r="CP37" s="25">
        <v>48</v>
      </c>
      <c r="CQ37" s="25">
        <v>216</v>
      </c>
      <c r="CR37" s="25">
        <v>87</v>
      </c>
      <c r="CS37" s="25">
        <v>139</v>
      </c>
      <c r="CT37" s="25">
        <v>95</v>
      </c>
      <c r="CU37" s="25">
        <v>59</v>
      </c>
      <c r="CV37" s="25">
        <v>59</v>
      </c>
      <c r="CW37" s="25">
        <v>76</v>
      </c>
      <c r="CX37" s="25">
        <v>36</v>
      </c>
      <c r="CY37" s="25">
        <v>0</v>
      </c>
      <c r="CZ37" s="25">
        <v>26</v>
      </c>
      <c r="DA37" s="25">
        <v>1787</v>
      </c>
      <c r="DB37" s="25">
        <v>270</v>
      </c>
      <c r="DC37" s="25">
        <v>1366</v>
      </c>
      <c r="DD37" s="25">
        <v>253</v>
      </c>
      <c r="DE37" s="25">
        <v>1284</v>
      </c>
      <c r="DF37" s="25">
        <v>239</v>
      </c>
      <c r="DG37" s="25">
        <v>82</v>
      </c>
      <c r="DH37" s="25">
        <v>72</v>
      </c>
      <c r="DI37" s="25">
        <v>99</v>
      </c>
      <c r="DJ37" s="25">
        <v>55</v>
      </c>
      <c r="DK37" s="25">
        <v>89</v>
      </c>
      <c r="DL37" s="25">
        <v>53</v>
      </c>
      <c r="DM37" s="25">
        <v>31</v>
      </c>
      <c r="DN37" s="25">
        <v>31</v>
      </c>
      <c r="DO37" s="25">
        <v>61</v>
      </c>
      <c r="DP37" s="25">
        <v>45</v>
      </c>
      <c r="DQ37" s="25">
        <v>136</v>
      </c>
      <c r="DR37" s="25">
        <v>76</v>
      </c>
      <c r="DS37" s="25">
        <v>5</v>
      </c>
      <c r="DT37" s="25">
        <v>7</v>
      </c>
      <c r="DU37" s="25">
        <v>4465</v>
      </c>
      <c r="DV37" s="25">
        <v>531</v>
      </c>
      <c r="DW37" s="25">
        <v>2566</v>
      </c>
      <c r="DX37" s="25">
        <v>326</v>
      </c>
      <c r="DY37" s="25">
        <v>1720</v>
      </c>
      <c r="DZ37" s="25">
        <v>263</v>
      </c>
      <c r="EA37" s="25">
        <v>846</v>
      </c>
      <c r="EB37" s="25">
        <v>207</v>
      </c>
      <c r="EC37" s="25">
        <v>195</v>
      </c>
      <c r="ED37" s="25">
        <v>93</v>
      </c>
      <c r="EE37" s="25">
        <v>37</v>
      </c>
      <c r="EF37" s="25">
        <v>26</v>
      </c>
      <c r="EG37" s="25">
        <v>186</v>
      </c>
      <c r="EH37" s="25">
        <v>82</v>
      </c>
      <c r="EI37" s="25">
        <v>244</v>
      </c>
      <c r="EJ37" s="25">
        <v>113</v>
      </c>
      <c r="EK37" s="25">
        <v>1221</v>
      </c>
      <c r="EL37" s="25">
        <v>274</v>
      </c>
      <c r="EM37" s="25">
        <v>16</v>
      </c>
      <c r="EN37" s="25">
        <v>16</v>
      </c>
    </row>
    <row r="39" spans="1:144" x14ac:dyDescent="0.25">
      <c r="A39" s="19">
        <f>VLOOKUP($C39, lu_GEOID, 2, FALSE)</f>
        <v>101</v>
      </c>
      <c r="B39" s="20" t="str">
        <f>VLOOKUP($C39, lu_GEOID, 3, FALSE)</f>
        <v>Wasatch Front</v>
      </c>
      <c r="C39" s="17" t="s">
        <v>401</v>
      </c>
      <c r="D39" s="21" t="str">
        <f>B39</f>
        <v>Wasatch Front</v>
      </c>
      <c r="E39" s="22">
        <f>E14 + E26 + E33 + E37</f>
        <v>1021606</v>
      </c>
      <c r="F39" s="22">
        <f t="shared" ref="F39:BQ39" si="10">F14 + F26 + F33 + F37</f>
        <v>6974</v>
      </c>
      <c r="G39" s="22">
        <f t="shared" si="10"/>
        <v>744984</v>
      </c>
      <c r="H39" s="22">
        <f t="shared" si="10"/>
        <v>8214</v>
      </c>
      <c r="I39" s="22">
        <f t="shared" si="10"/>
        <v>706002</v>
      </c>
      <c r="J39" s="22">
        <f t="shared" si="10"/>
        <v>8411</v>
      </c>
      <c r="K39" s="22">
        <f t="shared" si="10"/>
        <v>38982</v>
      </c>
      <c r="L39" s="22">
        <f t="shared" si="10"/>
        <v>2451</v>
      </c>
      <c r="M39" s="22">
        <f t="shared" si="10"/>
        <v>79460</v>
      </c>
      <c r="N39" s="22">
        <f t="shared" si="10"/>
        <v>3739</v>
      </c>
      <c r="O39" s="22">
        <f t="shared" si="10"/>
        <v>56344</v>
      </c>
      <c r="P39" s="22">
        <f t="shared" si="10"/>
        <v>3115</v>
      </c>
      <c r="Q39" s="22">
        <f t="shared" si="10"/>
        <v>56854</v>
      </c>
      <c r="R39" s="22">
        <f t="shared" si="10"/>
        <v>2964</v>
      </c>
      <c r="S39" s="22">
        <f t="shared" si="10"/>
        <v>38219</v>
      </c>
      <c r="T39" s="22">
        <f t="shared" si="10"/>
        <v>2732</v>
      </c>
      <c r="U39" s="22">
        <f t="shared" si="10"/>
        <v>44401</v>
      </c>
      <c r="V39" s="22">
        <f t="shared" si="10"/>
        <v>2686</v>
      </c>
      <c r="W39" s="22">
        <f t="shared" si="10"/>
        <v>1344</v>
      </c>
      <c r="X39" s="22">
        <f t="shared" si="10"/>
        <v>521</v>
      </c>
      <c r="Y39" s="22">
        <f t="shared" si="10"/>
        <v>773924</v>
      </c>
      <c r="Z39" s="22">
        <f t="shared" si="10"/>
        <v>8244</v>
      </c>
      <c r="AA39" s="22">
        <f t="shared" si="10"/>
        <v>572925</v>
      </c>
      <c r="AB39" s="22">
        <f t="shared" si="10"/>
        <v>8352</v>
      </c>
      <c r="AC39" s="22">
        <f t="shared" si="10"/>
        <v>547397</v>
      </c>
      <c r="AD39" s="22">
        <f t="shared" si="10"/>
        <v>8383</v>
      </c>
      <c r="AE39" s="22">
        <f t="shared" si="10"/>
        <v>25528</v>
      </c>
      <c r="AF39" s="22">
        <f t="shared" si="10"/>
        <v>1974</v>
      </c>
      <c r="AG39" s="22">
        <f t="shared" si="10"/>
        <v>56467</v>
      </c>
      <c r="AH39" s="22">
        <f t="shared" si="10"/>
        <v>3138</v>
      </c>
      <c r="AI39" s="22">
        <f t="shared" si="10"/>
        <v>46221</v>
      </c>
      <c r="AJ39" s="22">
        <f t="shared" si="10"/>
        <v>2776</v>
      </c>
      <c r="AK39" s="22">
        <f t="shared" si="10"/>
        <v>42904</v>
      </c>
      <c r="AL39" s="22">
        <f t="shared" si="10"/>
        <v>2688</v>
      </c>
      <c r="AM39" s="22">
        <f t="shared" si="10"/>
        <v>31351</v>
      </c>
      <c r="AN39" s="22">
        <f t="shared" si="10"/>
        <v>2464</v>
      </c>
      <c r="AO39" s="22">
        <f t="shared" si="10"/>
        <v>23390</v>
      </c>
      <c r="AP39" s="22">
        <f t="shared" si="10"/>
        <v>1935</v>
      </c>
      <c r="AQ39" s="22">
        <f t="shared" si="10"/>
        <v>666</v>
      </c>
      <c r="AR39" s="22">
        <f t="shared" si="10"/>
        <v>319</v>
      </c>
      <c r="AS39" s="22">
        <f t="shared" si="10"/>
        <v>120450</v>
      </c>
      <c r="AT39" s="22">
        <f t="shared" si="10"/>
        <v>5064</v>
      </c>
      <c r="AU39" s="22">
        <f t="shared" si="10"/>
        <v>91313</v>
      </c>
      <c r="AV39" s="22">
        <f t="shared" si="10"/>
        <v>4396</v>
      </c>
      <c r="AW39" s="22">
        <f t="shared" si="10"/>
        <v>87457</v>
      </c>
      <c r="AX39" s="22">
        <f t="shared" si="10"/>
        <v>4266</v>
      </c>
      <c r="AY39" s="22">
        <f t="shared" si="10"/>
        <v>3856</v>
      </c>
      <c r="AZ39" s="22">
        <f t="shared" si="10"/>
        <v>817</v>
      </c>
      <c r="BA39" s="22">
        <f t="shared" si="10"/>
        <v>9138</v>
      </c>
      <c r="BB39" s="22">
        <f t="shared" si="10"/>
        <v>1240</v>
      </c>
      <c r="BC39" s="22">
        <f t="shared" si="10"/>
        <v>6017</v>
      </c>
      <c r="BD39" s="22">
        <f t="shared" si="10"/>
        <v>1055</v>
      </c>
      <c r="BE39" s="22">
        <f t="shared" si="10"/>
        <v>6083</v>
      </c>
      <c r="BF39" s="22">
        <f t="shared" si="10"/>
        <v>992</v>
      </c>
      <c r="BG39" s="22">
        <f t="shared" si="10"/>
        <v>3985</v>
      </c>
      <c r="BH39" s="22">
        <f t="shared" si="10"/>
        <v>877</v>
      </c>
      <c r="BI39" s="22">
        <f t="shared" si="10"/>
        <v>3603</v>
      </c>
      <c r="BJ39" s="22">
        <f t="shared" si="10"/>
        <v>756</v>
      </c>
      <c r="BK39" s="22">
        <f t="shared" si="10"/>
        <v>311</v>
      </c>
      <c r="BL39" s="22">
        <f t="shared" si="10"/>
        <v>237</v>
      </c>
      <c r="BM39" s="22">
        <f t="shared" si="10"/>
        <v>29790</v>
      </c>
      <c r="BN39" s="22">
        <f t="shared" si="10"/>
        <v>2241</v>
      </c>
      <c r="BO39" s="22">
        <f t="shared" si="10"/>
        <v>18624</v>
      </c>
      <c r="BP39" s="22">
        <f t="shared" si="10"/>
        <v>1934</v>
      </c>
      <c r="BQ39" s="22">
        <f t="shared" si="10"/>
        <v>18405</v>
      </c>
      <c r="BR39" s="22">
        <f t="shared" ref="BR39:EC39" si="11">BR14 + BR26 + BR33 + BR37</f>
        <v>1915</v>
      </c>
      <c r="BS39" s="22">
        <f t="shared" si="11"/>
        <v>219</v>
      </c>
      <c r="BT39" s="22">
        <f t="shared" si="11"/>
        <v>153</v>
      </c>
      <c r="BU39" s="22">
        <f t="shared" si="11"/>
        <v>4573</v>
      </c>
      <c r="BV39" s="22">
        <f t="shared" si="11"/>
        <v>817</v>
      </c>
      <c r="BW39" s="22">
        <f t="shared" si="11"/>
        <v>1351</v>
      </c>
      <c r="BX39" s="22">
        <f t="shared" si="11"/>
        <v>406</v>
      </c>
      <c r="BY39" s="22">
        <f t="shared" si="11"/>
        <v>3852</v>
      </c>
      <c r="BZ39" s="22">
        <f t="shared" si="11"/>
        <v>710</v>
      </c>
      <c r="CA39" s="22">
        <f t="shared" si="11"/>
        <v>1053</v>
      </c>
      <c r="CB39" s="22">
        <f t="shared" si="11"/>
        <v>451</v>
      </c>
      <c r="CC39" s="22">
        <f t="shared" si="11"/>
        <v>337</v>
      </c>
      <c r="CD39" s="22">
        <f t="shared" si="11"/>
        <v>187</v>
      </c>
      <c r="CE39" s="22">
        <f t="shared" si="11"/>
        <v>0</v>
      </c>
      <c r="CF39" s="22">
        <f t="shared" si="11"/>
        <v>104</v>
      </c>
      <c r="CG39" s="22">
        <f t="shared" si="11"/>
        <v>24455</v>
      </c>
      <c r="CH39" s="22">
        <f t="shared" si="11"/>
        <v>2257</v>
      </c>
      <c r="CI39" s="22">
        <f t="shared" si="11"/>
        <v>15446</v>
      </c>
      <c r="CJ39" s="22">
        <f t="shared" si="11"/>
        <v>1729</v>
      </c>
      <c r="CK39" s="22">
        <f t="shared" si="11"/>
        <v>14871</v>
      </c>
      <c r="CL39" s="22">
        <f t="shared" si="11"/>
        <v>1707</v>
      </c>
      <c r="CM39" s="22">
        <f t="shared" si="11"/>
        <v>575</v>
      </c>
      <c r="CN39" s="22">
        <f t="shared" si="11"/>
        <v>258</v>
      </c>
      <c r="CO39" s="22">
        <f t="shared" si="11"/>
        <v>4591</v>
      </c>
      <c r="CP39" s="22">
        <f t="shared" si="11"/>
        <v>981</v>
      </c>
      <c r="CQ39" s="22">
        <f t="shared" si="11"/>
        <v>1181</v>
      </c>
      <c r="CR39" s="22">
        <f t="shared" si="11"/>
        <v>373</v>
      </c>
      <c r="CS39" s="22">
        <f t="shared" si="11"/>
        <v>1675</v>
      </c>
      <c r="CT39" s="22">
        <f t="shared" si="11"/>
        <v>504</v>
      </c>
      <c r="CU39" s="22">
        <f t="shared" si="11"/>
        <v>365</v>
      </c>
      <c r="CV39" s="22">
        <f t="shared" si="11"/>
        <v>248</v>
      </c>
      <c r="CW39" s="22">
        <f t="shared" si="11"/>
        <v>1180</v>
      </c>
      <c r="CX39" s="22">
        <f t="shared" si="11"/>
        <v>407</v>
      </c>
      <c r="CY39" s="22">
        <f t="shared" si="11"/>
        <v>17</v>
      </c>
      <c r="CZ39" s="22">
        <f t="shared" si="11"/>
        <v>78</v>
      </c>
      <c r="DA39" s="22">
        <f t="shared" si="11"/>
        <v>20212</v>
      </c>
      <c r="DB39" s="22">
        <f t="shared" si="11"/>
        <v>1854</v>
      </c>
      <c r="DC39" s="22">
        <f t="shared" si="11"/>
        <v>14423</v>
      </c>
      <c r="DD39" s="22">
        <f t="shared" si="11"/>
        <v>1625</v>
      </c>
      <c r="DE39" s="22">
        <f t="shared" si="11"/>
        <v>13850</v>
      </c>
      <c r="DF39" s="22">
        <f t="shared" si="11"/>
        <v>1581</v>
      </c>
      <c r="DG39" s="22">
        <f t="shared" si="11"/>
        <v>573</v>
      </c>
      <c r="DH39" s="22">
        <f t="shared" si="11"/>
        <v>315</v>
      </c>
      <c r="DI39" s="22">
        <f t="shared" si="11"/>
        <v>2189</v>
      </c>
      <c r="DJ39" s="22">
        <f t="shared" si="11"/>
        <v>479</v>
      </c>
      <c r="DK39" s="22">
        <f t="shared" si="11"/>
        <v>963</v>
      </c>
      <c r="DL39" s="22">
        <f t="shared" si="11"/>
        <v>340</v>
      </c>
      <c r="DM39" s="22">
        <f t="shared" si="11"/>
        <v>1067</v>
      </c>
      <c r="DN39" s="22">
        <f t="shared" si="11"/>
        <v>328</v>
      </c>
      <c r="DO39" s="22">
        <f t="shared" si="11"/>
        <v>621</v>
      </c>
      <c r="DP39" s="22">
        <f t="shared" si="11"/>
        <v>261</v>
      </c>
      <c r="DQ39" s="22">
        <f t="shared" si="11"/>
        <v>939</v>
      </c>
      <c r="DR39" s="22">
        <f t="shared" si="11"/>
        <v>441</v>
      </c>
      <c r="DS39" s="22">
        <f t="shared" si="11"/>
        <v>10</v>
      </c>
      <c r="DT39" s="22">
        <f t="shared" si="11"/>
        <v>68</v>
      </c>
      <c r="DU39" s="22">
        <f t="shared" si="11"/>
        <v>52775</v>
      </c>
      <c r="DV39" s="22">
        <f t="shared" si="11"/>
        <v>3248</v>
      </c>
      <c r="DW39" s="22">
        <f t="shared" si="11"/>
        <v>32253</v>
      </c>
      <c r="DX39" s="22">
        <f t="shared" si="11"/>
        <v>2332</v>
      </c>
      <c r="DY39" s="22">
        <f t="shared" si="11"/>
        <v>24022</v>
      </c>
      <c r="DZ39" s="22">
        <f t="shared" si="11"/>
        <v>1987</v>
      </c>
      <c r="EA39" s="22">
        <f t="shared" si="11"/>
        <v>8231</v>
      </c>
      <c r="EB39" s="22">
        <f t="shared" si="11"/>
        <v>1225</v>
      </c>
      <c r="EC39" s="22">
        <f t="shared" si="11"/>
        <v>2502</v>
      </c>
      <c r="ED39" s="22">
        <f t="shared" ref="ED39:EN39" si="12">ED14 + ED26 + ED33 + ED37</f>
        <v>648</v>
      </c>
      <c r="EE39" s="22">
        <f t="shared" si="12"/>
        <v>611</v>
      </c>
      <c r="EF39" s="22">
        <f t="shared" si="12"/>
        <v>247</v>
      </c>
      <c r="EG39" s="22">
        <f t="shared" si="12"/>
        <v>1273</v>
      </c>
      <c r="EH39" s="22">
        <f t="shared" si="12"/>
        <v>448</v>
      </c>
      <c r="EI39" s="22">
        <f t="shared" si="12"/>
        <v>844</v>
      </c>
      <c r="EJ39" s="22">
        <f t="shared" si="12"/>
        <v>411</v>
      </c>
      <c r="EK39" s="22">
        <f t="shared" si="12"/>
        <v>14952</v>
      </c>
      <c r="EL39" s="22">
        <f t="shared" si="12"/>
        <v>1511</v>
      </c>
      <c r="EM39" s="22">
        <f t="shared" si="12"/>
        <v>340</v>
      </c>
      <c r="EN39" s="22">
        <f t="shared" si="12"/>
        <v>256</v>
      </c>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145861221</v>
      </c>
      <c r="F7" s="25">
        <v>149643</v>
      </c>
      <c r="G7" s="25">
        <v>104123776</v>
      </c>
      <c r="H7" s="25">
        <v>66202</v>
      </c>
      <c r="I7" s="25">
        <v>99070791</v>
      </c>
      <c r="J7" s="25">
        <v>67349</v>
      </c>
      <c r="K7" s="25">
        <v>5052985</v>
      </c>
      <c r="L7" s="25">
        <v>16151</v>
      </c>
      <c r="M7" s="25">
        <v>11717489</v>
      </c>
      <c r="N7" s="25">
        <v>65323</v>
      </c>
      <c r="O7" s="25">
        <v>9768465</v>
      </c>
      <c r="P7" s="25">
        <v>57195</v>
      </c>
      <c r="Q7" s="25">
        <v>6701342</v>
      </c>
      <c r="R7" s="25">
        <v>45916</v>
      </c>
      <c r="S7" s="25">
        <v>4726595</v>
      </c>
      <c r="T7" s="25">
        <v>28540</v>
      </c>
      <c r="U7" s="25">
        <v>8597820</v>
      </c>
      <c r="V7" s="25">
        <v>20962</v>
      </c>
      <c r="W7" s="25">
        <v>225734</v>
      </c>
      <c r="X7" s="25">
        <v>3420</v>
      </c>
      <c r="Y7" s="25">
        <v>111448640</v>
      </c>
      <c r="Z7" s="25">
        <v>114473</v>
      </c>
      <c r="AA7" s="25">
        <v>80445760</v>
      </c>
      <c r="AB7" s="25">
        <v>63153</v>
      </c>
      <c r="AC7" s="25">
        <v>77048704</v>
      </c>
      <c r="AD7" s="25">
        <v>66723</v>
      </c>
      <c r="AE7" s="25">
        <v>3397056</v>
      </c>
      <c r="AF7" s="25">
        <v>13568</v>
      </c>
      <c r="AG7" s="25">
        <v>8861057</v>
      </c>
      <c r="AH7" s="25">
        <v>48674</v>
      </c>
      <c r="AI7" s="25">
        <v>8096970</v>
      </c>
      <c r="AJ7" s="25">
        <v>43625</v>
      </c>
      <c r="AK7" s="25">
        <v>5236997</v>
      </c>
      <c r="AL7" s="25">
        <v>35877</v>
      </c>
      <c r="AM7" s="25">
        <v>3592132</v>
      </c>
      <c r="AN7" s="25">
        <v>22007</v>
      </c>
      <c r="AO7" s="25">
        <v>5097522</v>
      </c>
      <c r="AP7" s="25">
        <v>16310</v>
      </c>
      <c r="AQ7" s="25">
        <v>118202</v>
      </c>
      <c r="AR7" s="25">
        <v>2459</v>
      </c>
      <c r="AS7" s="25">
        <v>13588601</v>
      </c>
      <c r="AT7" s="25">
        <v>65300</v>
      </c>
      <c r="AU7" s="25">
        <v>9841159</v>
      </c>
      <c r="AV7" s="25">
        <v>31814</v>
      </c>
      <c r="AW7" s="25">
        <v>9397294</v>
      </c>
      <c r="AX7" s="25">
        <v>30829</v>
      </c>
      <c r="AY7" s="25">
        <v>443865</v>
      </c>
      <c r="AZ7" s="25">
        <v>4597</v>
      </c>
      <c r="BA7" s="25">
        <v>1041698</v>
      </c>
      <c r="BB7" s="25">
        <v>13306</v>
      </c>
      <c r="BC7" s="25">
        <v>818692</v>
      </c>
      <c r="BD7" s="25">
        <v>13874</v>
      </c>
      <c r="BE7" s="25">
        <v>640240</v>
      </c>
      <c r="BF7" s="25">
        <v>10535</v>
      </c>
      <c r="BG7" s="25">
        <v>411331</v>
      </c>
      <c r="BH7" s="25">
        <v>6240</v>
      </c>
      <c r="BI7" s="25">
        <v>800836</v>
      </c>
      <c r="BJ7" s="25">
        <v>6974</v>
      </c>
      <c r="BK7" s="25">
        <v>34645</v>
      </c>
      <c r="BL7" s="25">
        <v>1458</v>
      </c>
      <c r="BM7" s="25">
        <v>7476312</v>
      </c>
      <c r="BN7" s="25">
        <v>18432</v>
      </c>
      <c r="BO7" s="25">
        <v>5461954</v>
      </c>
      <c r="BP7" s="25">
        <v>18832</v>
      </c>
      <c r="BQ7" s="25">
        <v>5365507</v>
      </c>
      <c r="BR7" s="25">
        <v>19033</v>
      </c>
      <c r="BS7" s="25">
        <v>96447</v>
      </c>
      <c r="BT7" s="25">
        <v>2256</v>
      </c>
      <c r="BU7" s="25">
        <v>761039</v>
      </c>
      <c r="BV7" s="25">
        <v>7384</v>
      </c>
      <c r="BW7" s="25">
        <v>411051</v>
      </c>
      <c r="BX7" s="25">
        <v>5163</v>
      </c>
      <c r="BY7" s="25">
        <v>288724</v>
      </c>
      <c r="BZ7" s="25">
        <v>4406</v>
      </c>
      <c r="CA7" s="25">
        <v>289760</v>
      </c>
      <c r="CB7" s="25">
        <v>4202</v>
      </c>
      <c r="CC7" s="25">
        <v>257933</v>
      </c>
      <c r="CD7" s="25">
        <v>4163</v>
      </c>
      <c r="CE7" s="25">
        <v>5851</v>
      </c>
      <c r="CF7" s="25">
        <v>548</v>
      </c>
      <c r="CG7" s="25">
        <v>4030730</v>
      </c>
      <c r="CH7" s="25">
        <v>16741</v>
      </c>
      <c r="CI7" s="25">
        <v>2625186</v>
      </c>
      <c r="CJ7" s="25">
        <v>14978</v>
      </c>
      <c r="CK7" s="25">
        <v>2486539</v>
      </c>
      <c r="CL7" s="25">
        <v>14265</v>
      </c>
      <c r="CM7" s="25">
        <v>138647</v>
      </c>
      <c r="CN7" s="25">
        <v>2808</v>
      </c>
      <c r="CO7" s="25">
        <v>493574</v>
      </c>
      <c r="CP7" s="25">
        <v>4600</v>
      </c>
      <c r="CQ7" s="25">
        <v>186204</v>
      </c>
      <c r="CR7" s="25">
        <v>2796</v>
      </c>
      <c r="CS7" s="25">
        <v>240043</v>
      </c>
      <c r="CT7" s="25">
        <v>4100</v>
      </c>
      <c r="CU7" s="25">
        <v>194289</v>
      </c>
      <c r="CV7" s="25">
        <v>3471</v>
      </c>
      <c r="CW7" s="25">
        <v>278100</v>
      </c>
      <c r="CX7" s="25">
        <v>3823</v>
      </c>
      <c r="CY7" s="25">
        <v>13334</v>
      </c>
      <c r="CZ7" s="25">
        <v>877</v>
      </c>
      <c r="DA7" s="25">
        <v>2655046</v>
      </c>
      <c r="DB7" s="25">
        <v>14041</v>
      </c>
      <c r="DC7" s="25">
        <v>1925300</v>
      </c>
      <c r="DD7" s="25">
        <v>13506</v>
      </c>
      <c r="DE7" s="25">
        <v>1843372</v>
      </c>
      <c r="DF7" s="25">
        <v>13069</v>
      </c>
      <c r="DG7" s="25">
        <v>81928</v>
      </c>
      <c r="DH7" s="25">
        <v>2120</v>
      </c>
      <c r="DI7" s="25">
        <v>207086</v>
      </c>
      <c r="DJ7" s="25">
        <v>2646</v>
      </c>
      <c r="DK7" s="25">
        <v>121628</v>
      </c>
      <c r="DL7" s="25">
        <v>2117</v>
      </c>
      <c r="DM7" s="25">
        <v>125019</v>
      </c>
      <c r="DN7" s="25">
        <v>2918</v>
      </c>
      <c r="DO7" s="25">
        <v>84720</v>
      </c>
      <c r="DP7" s="25">
        <v>2106</v>
      </c>
      <c r="DQ7" s="25">
        <v>185407</v>
      </c>
      <c r="DR7" s="25">
        <v>3225</v>
      </c>
      <c r="DS7" s="25">
        <v>5886</v>
      </c>
      <c r="DT7" s="25">
        <v>526</v>
      </c>
      <c r="DU7" s="25">
        <v>6661892</v>
      </c>
      <c r="DV7" s="25">
        <v>19354</v>
      </c>
      <c r="DW7" s="25">
        <v>3824417</v>
      </c>
      <c r="DX7" s="25">
        <v>14204</v>
      </c>
      <c r="DY7" s="25">
        <v>2929375</v>
      </c>
      <c r="DZ7" s="25">
        <v>12356</v>
      </c>
      <c r="EA7" s="25">
        <v>895042</v>
      </c>
      <c r="EB7" s="25">
        <v>7823</v>
      </c>
      <c r="EC7" s="25">
        <v>353035</v>
      </c>
      <c r="ED7" s="25">
        <v>3822</v>
      </c>
      <c r="EE7" s="25">
        <v>133920</v>
      </c>
      <c r="EF7" s="25">
        <v>2254</v>
      </c>
      <c r="EG7" s="25">
        <v>170319</v>
      </c>
      <c r="EH7" s="25">
        <v>3038</v>
      </c>
      <c r="EI7" s="25">
        <v>154363</v>
      </c>
      <c r="EJ7" s="25">
        <v>2730</v>
      </c>
      <c r="EK7" s="25">
        <v>1978022</v>
      </c>
      <c r="EL7" s="25">
        <v>11911</v>
      </c>
      <c r="EM7" s="25">
        <v>47816</v>
      </c>
      <c r="EN7" s="25">
        <v>1355</v>
      </c>
    </row>
    <row r="8" spans="1:144" x14ac:dyDescent="0.25">
      <c r="A8" s="19">
        <f t="shared" si="8"/>
        <v>1049</v>
      </c>
      <c r="B8" s="20" t="str">
        <f t="shared" si="9"/>
        <v>State of Utah</v>
      </c>
      <c r="C8" s="24" t="s">
        <v>286</v>
      </c>
      <c r="D8" s="24" t="s">
        <v>287</v>
      </c>
      <c r="E8" s="25">
        <v>1355380</v>
      </c>
      <c r="F8" s="25">
        <v>4671</v>
      </c>
      <c r="G8" s="25">
        <v>990608</v>
      </c>
      <c r="H8" s="25">
        <v>5195</v>
      </c>
      <c r="I8" s="25">
        <v>935425</v>
      </c>
      <c r="J8" s="25">
        <v>5409</v>
      </c>
      <c r="K8" s="25">
        <v>55183</v>
      </c>
      <c r="L8" s="25">
        <v>1616</v>
      </c>
      <c r="M8" s="25">
        <v>97457</v>
      </c>
      <c r="N8" s="25">
        <v>2415</v>
      </c>
      <c r="O8" s="25">
        <v>78699</v>
      </c>
      <c r="P8" s="25">
        <v>1777</v>
      </c>
      <c r="Q8" s="25">
        <v>77881</v>
      </c>
      <c r="R8" s="25">
        <v>2007</v>
      </c>
      <c r="S8" s="25">
        <v>45917</v>
      </c>
      <c r="T8" s="25">
        <v>1429</v>
      </c>
      <c r="U8" s="25">
        <v>62724</v>
      </c>
      <c r="V8" s="25">
        <v>1727</v>
      </c>
      <c r="W8" s="25">
        <v>2094</v>
      </c>
      <c r="X8" s="25">
        <v>313</v>
      </c>
      <c r="Y8" s="25">
        <v>1029092</v>
      </c>
      <c r="Z8" s="25">
        <v>5218</v>
      </c>
      <c r="AA8" s="25">
        <v>762433</v>
      </c>
      <c r="AB8" s="25">
        <v>5126</v>
      </c>
      <c r="AC8" s="25">
        <v>726958</v>
      </c>
      <c r="AD8" s="25">
        <v>5241</v>
      </c>
      <c r="AE8" s="25">
        <v>35475</v>
      </c>
      <c r="AF8" s="25">
        <v>1244</v>
      </c>
      <c r="AG8" s="25">
        <v>71662</v>
      </c>
      <c r="AH8" s="25">
        <v>1938</v>
      </c>
      <c r="AI8" s="25">
        <v>65189</v>
      </c>
      <c r="AJ8" s="25">
        <v>1711</v>
      </c>
      <c r="AK8" s="25">
        <v>59313</v>
      </c>
      <c r="AL8" s="25">
        <v>1631</v>
      </c>
      <c r="AM8" s="25">
        <v>37078</v>
      </c>
      <c r="AN8" s="25">
        <v>1317</v>
      </c>
      <c r="AO8" s="25">
        <v>32474</v>
      </c>
      <c r="AP8" s="25">
        <v>1266</v>
      </c>
      <c r="AQ8" s="25">
        <v>943</v>
      </c>
      <c r="AR8" s="25">
        <v>175</v>
      </c>
      <c r="AS8" s="25">
        <v>157489</v>
      </c>
      <c r="AT8" s="25">
        <v>3151</v>
      </c>
      <c r="AU8" s="25">
        <v>119918</v>
      </c>
      <c r="AV8" s="25">
        <v>2605</v>
      </c>
      <c r="AW8" s="25">
        <v>114584</v>
      </c>
      <c r="AX8" s="25">
        <v>2452</v>
      </c>
      <c r="AY8" s="25">
        <v>5334</v>
      </c>
      <c r="AZ8" s="25">
        <v>519</v>
      </c>
      <c r="BA8" s="25">
        <v>10691</v>
      </c>
      <c r="BB8" s="25">
        <v>765</v>
      </c>
      <c r="BC8" s="25">
        <v>7862</v>
      </c>
      <c r="BD8" s="25">
        <v>514</v>
      </c>
      <c r="BE8" s="25">
        <v>7894</v>
      </c>
      <c r="BF8" s="25">
        <v>480</v>
      </c>
      <c r="BG8" s="25">
        <v>5320</v>
      </c>
      <c r="BH8" s="25">
        <v>542</v>
      </c>
      <c r="BI8" s="25">
        <v>5412</v>
      </c>
      <c r="BJ8" s="25">
        <v>453</v>
      </c>
      <c r="BK8" s="25">
        <v>392</v>
      </c>
      <c r="BL8" s="25">
        <v>140</v>
      </c>
      <c r="BM8" s="25">
        <v>34729</v>
      </c>
      <c r="BN8" s="25">
        <v>1419</v>
      </c>
      <c r="BO8" s="25">
        <v>22019</v>
      </c>
      <c r="BP8" s="25">
        <v>1057</v>
      </c>
      <c r="BQ8" s="25">
        <v>21695</v>
      </c>
      <c r="BR8" s="25">
        <v>1040</v>
      </c>
      <c r="BS8" s="25">
        <v>324</v>
      </c>
      <c r="BT8" s="25">
        <v>115</v>
      </c>
      <c r="BU8" s="25">
        <v>4933</v>
      </c>
      <c r="BV8" s="25">
        <v>434</v>
      </c>
      <c r="BW8" s="25">
        <v>1728</v>
      </c>
      <c r="BX8" s="25">
        <v>272</v>
      </c>
      <c r="BY8" s="25">
        <v>4515</v>
      </c>
      <c r="BZ8" s="25">
        <v>511</v>
      </c>
      <c r="CA8" s="25">
        <v>1046</v>
      </c>
      <c r="CB8" s="25">
        <v>270</v>
      </c>
      <c r="CC8" s="25">
        <v>470</v>
      </c>
      <c r="CD8" s="25">
        <v>132</v>
      </c>
      <c r="CE8" s="25">
        <v>18</v>
      </c>
      <c r="CF8" s="25">
        <v>28</v>
      </c>
      <c r="CG8" s="25">
        <v>35290</v>
      </c>
      <c r="CH8" s="25">
        <v>1433</v>
      </c>
      <c r="CI8" s="25">
        <v>23099</v>
      </c>
      <c r="CJ8" s="25">
        <v>1119</v>
      </c>
      <c r="CK8" s="25">
        <v>21961</v>
      </c>
      <c r="CL8" s="25">
        <v>1101</v>
      </c>
      <c r="CM8" s="25">
        <v>1138</v>
      </c>
      <c r="CN8" s="25">
        <v>175</v>
      </c>
      <c r="CO8" s="25">
        <v>4889</v>
      </c>
      <c r="CP8" s="25">
        <v>671</v>
      </c>
      <c r="CQ8" s="25">
        <v>1780</v>
      </c>
      <c r="CR8" s="25">
        <v>293</v>
      </c>
      <c r="CS8" s="25">
        <v>2890</v>
      </c>
      <c r="CT8" s="25">
        <v>430</v>
      </c>
      <c r="CU8" s="25">
        <v>498</v>
      </c>
      <c r="CV8" s="25">
        <v>139</v>
      </c>
      <c r="CW8" s="25">
        <v>2075</v>
      </c>
      <c r="CX8" s="25">
        <v>353</v>
      </c>
      <c r="CY8" s="25">
        <v>59</v>
      </c>
      <c r="CZ8" s="25">
        <v>37</v>
      </c>
      <c r="DA8" s="25">
        <v>26058</v>
      </c>
      <c r="DB8" s="25">
        <v>1290</v>
      </c>
      <c r="DC8" s="25">
        <v>18697</v>
      </c>
      <c r="DD8" s="25">
        <v>1150</v>
      </c>
      <c r="DE8" s="25">
        <v>17980</v>
      </c>
      <c r="DF8" s="25">
        <v>1144</v>
      </c>
      <c r="DG8" s="25">
        <v>717</v>
      </c>
      <c r="DH8" s="25">
        <v>163</v>
      </c>
      <c r="DI8" s="25">
        <v>2361</v>
      </c>
      <c r="DJ8" s="25">
        <v>282</v>
      </c>
      <c r="DK8" s="25">
        <v>1218</v>
      </c>
      <c r="DL8" s="25">
        <v>246</v>
      </c>
      <c r="DM8" s="25">
        <v>1569</v>
      </c>
      <c r="DN8" s="25">
        <v>249</v>
      </c>
      <c r="DO8" s="25">
        <v>805</v>
      </c>
      <c r="DP8" s="25">
        <v>162</v>
      </c>
      <c r="DQ8" s="25">
        <v>1329</v>
      </c>
      <c r="DR8" s="25">
        <v>277</v>
      </c>
      <c r="DS8" s="25">
        <v>79</v>
      </c>
      <c r="DT8" s="25">
        <v>51</v>
      </c>
      <c r="DU8" s="25">
        <v>72722</v>
      </c>
      <c r="DV8" s="25">
        <v>1999</v>
      </c>
      <c r="DW8" s="25">
        <v>44442</v>
      </c>
      <c r="DX8" s="25">
        <v>1455</v>
      </c>
      <c r="DY8" s="25">
        <v>32247</v>
      </c>
      <c r="DZ8" s="25">
        <v>1214</v>
      </c>
      <c r="EA8" s="25">
        <v>12195</v>
      </c>
      <c r="EB8" s="25">
        <v>632</v>
      </c>
      <c r="EC8" s="25">
        <v>2921</v>
      </c>
      <c r="ED8" s="25">
        <v>382</v>
      </c>
      <c r="EE8" s="25">
        <v>922</v>
      </c>
      <c r="EF8" s="25">
        <v>181</v>
      </c>
      <c r="EG8" s="25">
        <v>1700</v>
      </c>
      <c r="EH8" s="25">
        <v>224</v>
      </c>
      <c r="EI8" s="25">
        <v>1170</v>
      </c>
      <c r="EJ8" s="25">
        <v>230</v>
      </c>
      <c r="EK8" s="25">
        <v>20964</v>
      </c>
      <c r="EL8" s="25">
        <v>1012</v>
      </c>
      <c r="EM8" s="25">
        <v>603</v>
      </c>
      <c r="EN8" s="25">
        <v>157</v>
      </c>
    </row>
    <row r="9" spans="1:144" x14ac:dyDescent="0.25">
      <c r="A9" s="19">
        <f t="shared" si="8"/>
        <v>1</v>
      </c>
      <c r="B9" s="20" t="str">
        <f t="shared" si="9"/>
        <v>Beaver</v>
      </c>
      <c r="C9" s="24" t="s">
        <v>288</v>
      </c>
      <c r="D9" s="24" t="s">
        <v>289</v>
      </c>
      <c r="E9" s="25">
        <v>2751</v>
      </c>
      <c r="F9" s="25">
        <v>141</v>
      </c>
      <c r="G9" s="25">
        <v>2053</v>
      </c>
      <c r="H9" s="25">
        <v>160</v>
      </c>
      <c r="I9" s="25">
        <v>1899</v>
      </c>
      <c r="J9" s="25">
        <v>165</v>
      </c>
      <c r="K9" s="25">
        <v>154</v>
      </c>
      <c r="L9" s="25">
        <v>58</v>
      </c>
      <c r="M9" s="25">
        <v>70</v>
      </c>
      <c r="N9" s="25">
        <v>38</v>
      </c>
      <c r="O9" s="25">
        <v>306</v>
      </c>
      <c r="P9" s="25">
        <v>70</v>
      </c>
      <c r="Q9" s="25">
        <v>167</v>
      </c>
      <c r="R9" s="25">
        <v>67</v>
      </c>
      <c r="S9" s="25">
        <v>3</v>
      </c>
      <c r="T9" s="25">
        <v>6</v>
      </c>
      <c r="U9" s="25">
        <v>133</v>
      </c>
      <c r="V9" s="25">
        <v>56</v>
      </c>
      <c r="W9" s="25">
        <v>19</v>
      </c>
      <c r="X9" s="25">
        <v>28</v>
      </c>
      <c r="Y9" s="25">
        <v>2196</v>
      </c>
      <c r="Z9" s="25">
        <v>189</v>
      </c>
      <c r="AA9" s="25">
        <v>1640</v>
      </c>
      <c r="AB9" s="25">
        <v>180</v>
      </c>
      <c r="AC9" s="25">
        <v>1534</v>
      </c>
      <c r="AD9" s="25">
        <v>180</v>
      </c>
      <c r="AE9" s="25">
        <v>106</v>
      </c>
      <c r="AF9" s="25">
        <v>44</v>
      </c>
      <c r="AG9" s="25">
        <v>68</v>
      </c>
      <c r="AH9" s="25">
        <v>39</v>
      </c>
      <c r="AI9" s="25">
        <v>249</v>
      </c>
      <c r="AJ9" s="25">
        <v>68</v>
      </c>
      <c r="AK9" s="25">
        <v>152</v>
      </c>
      <c r="AL9" s="25">
        <v>64</v>
      </c>
      <c r="AM9" s="25">
        <v>3</v>
      </c>
      <c r="AN9" s="25">
        <v>6</v>
      </c>
      <c r="AO9" s="25">
        <v>65</v>
      </c>
      <c r="AP9" s="25">
        <v>41</v>
      </c>
      <c r="AQ9" s="25">
        <v>19</v>
      </c>
      <c r="AR9" s="25">
        <v>28</v>
      </c>
      <c r="AS9" s="25">
        <v>394</v>
      </c>
      <c r="AT9" s="25">
        <v>105</v>
      </c>
      <c r="AU9" s="25">
        <v>323</v>
      </c>
      <c r="AV9" s="25">
        <v>101</v>
      </c>
      <c r="AW9" s="25">
        <v>296</v>
      </c>
      <c r="AX9" s="25">
        <v>89</v>
      </c>
      <c r="AY9" s="25">
        <v>27</v>
      </c>
      <c r="AZ9" s="25">
        <v>35</v>
      </c>
      <c r="BA9" s="25">
        <v>2</v>
      </c>
      <c r="BB9" s="25">
        <v>3</v>
      </c>
      <c r="BC9" s="25">
        <v>34</v>
      </c>
      <c r="BD9" s="25">
        <v>24</v>
      </c>
      <c r="BE9" s="25">
        <v>15</v>
      </c>
      <c r="BF9" s="25">
        <v>14</v>
      </c>
      <c r="BG9" s="25">
        <v>0</v>
      </c>
      <c r="BH9" s="25">
        <v>15</v>
      </c>
      <c r="BI9" s="25">
        <v>20</v>
      </c>
      <c r="BJ9" s="25">
        <v>19</v>
      </c>
      <c r="BK9" s="25">
        <v>0</v>
      </c>
      <c r="BL9" s="25">
        <v>15</v>
      </c>
      <c r="BM9" s="25">
        <v>7</v>
      </c>
      <c r="BN9" s="25">
        <v>12</v>
      </c>
      <c r="BO9" s="25">
        <v>7</v>
      </c>
      <c r="BP9" s="25">
        <v>12</v>
      </c>
      <c r="BQ9" s="25">
        <v>7</v>
      </c>
      <c r="BR9" s="25">
        <v>12</v>
      </c>
      <c r="BS9" s="25">
        <v>0</v>
      </c>
      <c r="BT9" s="25">
        <v>15</v>
      </c>
      <c r="BU9" s="25">
        <v>0</v>
      </c>
      <c r="BV9" s="25">
        <v>15</v>
      </c>
      <c r="BW9" s="25">
        <v>0</v>
      </c>
      <c r="BX9" s="25">
        <v>15</v>
      </c>
      <c r="BY9" s="25">
        <v>0</v>
      </c>
      <c r="BZ9" s="25">
        <v>15</v>
      </c>
      <c r="CA9" s="25">
        <v>0</v>
      </c>
      <c r="CB9" s="25">
        <v>15</v>
      </c>
      <c r="CC9" s="25">
        <v>0</v>
      </c>
      <c r="CD9" s="25">
        <v>15</v>
      </c>
      <c r="CE9" s="25">
        <v>0</v>
      </c>
      <c r="CF9" s="25">
        <v>15</v>
      </c>
      <c r="CG9" s="25">
        <v>81</v>
      </c>
      <c r="CH9" s="25">
        <v>42</v>
      </c>
      <c r="CI9" s="25">
        <v>49</v>
      </c>
      <c r="CJ9" s="25">
        <v>37</v>
      </c>
      <c r="CK9" s="25">
        <v>42</v>
      </c>
      <c r="CL9" s="25">
        <v>33</v>
      </c>
      <c r="CM9" s="25">
        <v>7</v>
      </c>
      <c r="CN9" s="25">
        <v>10</v>
      </c>
      <c r="CO9" s="25">
        <v>0</v>
      </c>
      <c r="CP9" s="25">
        <v>15</v>
      </c>
      <c r="CQ9" s="25">
        <v>23</v>
      </c>
      <c r="CR9" s="25">
        <v>24</v>
      </c>
      <c r="CS9" s="25">
        <v>0</v>
      </c>
      <c r="CT9" s="25">
        <v>15</v>
      </c>
      <c r="CU9" s="25">
        <v>0</v>
      </c>
      <c r="CV9" s="25">
        <v>15</v>
      </c>
      <c r="CW9" s="25">
        <v>9</v>
      </c>
      <c r="CX9" s="25">
        <v>11</v>
      </c>
      <c r="CY9" s="25">
        <v>0</v>
      </c>
      <c r="CZ9" s="25">
        <v>15</v>
      </c>
      <c r="DA9" s="25">
        <v>17</v>
      </c>
      <c r="DB9" s="25">
        <v>28</v>
      </c>
      <c r="DC9" s="25">
        <v>17</v>
      </c>
      <c r="DD9" s="25">
        <v>28</v>
      </c>
      <c r="DE9" s="25">
        <v>17</v>
      </c>
      <c r="DF9" s="25">
        <v>28</v>
      </c>
      <c r="DG9" s="25">
        <v>0</v>
      </c>
      <c r="DH9" s="25">
        <v>15</v>
      </c>
      <c r="DI9" s="25">
        <v>0</v>
      </c>
      <c r="DJ9" s="25">
        <v>15</v>
      </c>
      <c r="DK9" s="25">
        <v>0</v>
      </c>
      <c r="DL9" s="25">
        <v>15</v>
      </c>
      <c r="DM9" s="25">
        <v>0</v>
      </c>
      <c r="DN9" s="25">
        <v>15</v>
      </c>
      <c r="DO9" s="25">
        <v>0</v>
      </c>
      <c r="DP9" s="25">
        <v>15</v>
      </c>
      <c r="DQ9" s="25">
        <v>0</v>
      </c>
      <c r="DR9" s="25">
        <v>15</v>
      </c>
      <c r="DS9" s="25">
        <v>0</v>
      </c>
      <c r="DT9" s="25">
        <v>15</v>
      </c>
      <c r="DU9" s="25">
        <v>56</v>
      </c>
      <c r="DV9" s="25">
        <v>32</v>
      </c>
      <c r="DW9" s="25">
        <v>17</v>
      </c>
      <c r="DX9" s="25">
        <v>13</v>
      </c>
      <c r="DY9" s="25">
        <v>3</v>
      </c>
      <c r="DZ9" s="25">
        <v>4</v>
      </c>
      <c r="EA9" s="25">
        <v>14</v>
      </c>
      <c r="EB9" s="25">
        <v>13</v>
      </c>
      <c r="EC9" s="25">
        <v>0</v>
      </c>
      <c r="ED9" s="25">
        <v>15</v>
      </c>
      <c r="EE9" s="25">
        <v>0</v>
      </c>
      <c r="EF9" s="25">
        <v>15</v>
      </c>
      <c r="EG9" s="25">
        <v>0</v>
      </c>
      <c r="EH9" s="25">
        <v>15</v>
      </c>
      <c r="EI9" s="25">
        <v>0</v>
      </c>
      <c r="EJ9" s="25">
        <v>15</v>
      </c>
      <c r="EK9" s="25">
        <v>39</v>
      </c>
      <c r="EL9" s="25">
        <v>30</v>
      </c>
      <c r="EM9" s="25">
        <v>0</v>
      </c>
      <c r="EN9" s="25">
        <v>15</v>
      </c>
    </row>
    <row r="10" spans="1:144" x14ac:dyDescent="0.25">
      <c r="A10" s="19">
        <f t="shared" si="8"/>
        <v>3</v>
      </c>
      <c r="B10" s="20" t="str">
        <f t="shared" si="9"/>
        <v>Box Elder</v>
      </c>
      <c r="C10" s="24" t="s">
        <v>290</v>
      </c>
      <c r="D10" s="24" t="s">
        <v>291</v>
      </c>
      <c r="E10" s="25">
        <v>21459</v>
      </c>
      <c r="F10" s="25">
        <v>489</v>
      </c>
      <c r="G10" s="25">
        <v>16264</v>
      </c>
      <c r="H10" s="25">
        <v>547</v>
      </c>
      <c r="I10" s="25">
        <v>15537</v>
      </c>
      <c r="J10" s="25">
        <v>551</v>
      </c>
      <c r="K10" s="25">
        <v>727</v>
      </c>
      <c r="L10" s="25">
        <v>164</v>
      </c>
      <c r="M10" s="25">
        <v>839</v>
      </c>
      <c r="N10" s="25">
        <v>160</v>
      </c>
      <c r="O10" s="25">
        <v>1390</v>
      </c>
      <c r="P10" s="25">
        <v>209</v>
      </c>
      <c r="Q10" s="25">
        <v>906</v>
      </c>
      <c r="R10" s="25">
        <v>156</v>
      </c>
      <c r="S10" s="25">
        <v>945</v>
      </c>
      <c r="T10" s="25">
        <v>173</v>
      </c>
      <c r="U10" s="25">
        <v>1096</v>
      </c>
      <c r="V10" s="25">
        <v>198</v>
      </c>
      <c r="W10" s="25">
        <v>19</v>
      </c>
      <c r="X10" s="25">
        <v>13</v>
      </c>
      <c r="Y10" s="25">
        <v>16659</v>
      </c>
      <c r="Z10" s="25">
        <v>478</v>
      </c>
      <c r="AA10" s="25">
        <v>12926</v>
      </c>
      <c r="AB10" s="25">
        <v>490</v>
      </c>
      <c r="AC10" s="25">
        <v>12437</v>
      </c>
      <c r="AD10" s="25">
        <v>487</v>
      </c>
      <c r="AE10" s="25">
        <v>489</v>
      </c>
      <c r="AF10" s="25">
        <v>148</v>
      </c>
      <c r="AG10" s="25">
        <v>648</v>
      </c>
      <c r="AH10" s="25">
        <v>130</v>
      </c>
      <c r="AI10" s="25">
        <v>1145</v>
      </c>
      <c r="AJ10" s="25">
        <v>196</v>
      </c>
      <c r="AK10" s="25">
        <v>736</v>
      </c>
      <c r="AL10" s="25">
        <v>134</v>
      </c>
      <c r="AM10" s="25">
        <v>671</v>
      </c>
      <c r="AN10" s="25">
        <v>155</v>
      </c>
      <c r="AO10" s="25">
        <v>524</v>
      </c>
      <c r="AP10" s="25">
        <v>132</v>
      </c>
      <c r="AQ10" s="25">
        <v>9</v>
      </c>
      <c r="AR10" s="25">
        <v>8</v>
      </c>
      <c r="AS10" s="25">
        <v>3188</v>
      </c>
      <c r="AT10" s="25">
        <v>302</v>
      </c>
      <c r="AU10" s="25">
        <v>2409</v>
      </c>
      <c r="AV10" s="25">
        <v>256</v>
      </c>
      <c r="AW10" s="25">
        <v>2313</v>
      </c>
      <c r="AX10" s="25">
        <v>256</v>
      </c>
      <c r="AY10" s="25">
        <v>96</v>
      </c>
      <c r="AZ10" s="25">
        <v>49</v>
      </c>
      <c r="BA10" s="25">
        <v>155</v>
      </c>
      <c r="BB10" s="25">
        <v>70</v>
      </c>
      <c r="BC10" s="25">
        <v>171</v>
      </c>
      <c r="BD10" s="25">
        <v>58</v>
      </c>
      <c r="BE10" s="25">
        <v>97</v>
      </c>
      <c r="BF10" s="25">
        <v>37</v>
      </c>
      <c r="BG10" s="25">
        <v>219</v>
      </c>
      <c r="BH10" s="25">
        <v>75</v>
      </c>
      <c r="BI10" s="25">
        <v>137</v>
      </c>
      <c r="BJ10" s="25">
        <v>61</v>
      </c>
      <c r="BK10" s="25">
        <v>0</v>
      </c>
      <c r="BL10" s="25">
        <v>26</v>
      </c>
      <c r="BM10" s="25">
        <v>142</v>
      </c>
      <c r="BN10" s="25">
        <v>60</v>
      </c>
      <c r="BO10" s="25">
        <v>104</v>
      </c>
      <c r="BP10" s="25">
        <v>59</v>
      </c>
      <c r="BQ10" s="25">
        <v>104</v>
      </c>
      <c r="BR10" s="25">
        <v>59</v>
      </c>
      <c r="BS10" s="25">
        <v>0</v>
      </c>
      <c r="BT10" s="25">
        <v>26</v>
      </c>
      <c r="BU10" s="25">
        <v>8</v>
      </c>
      <c r="BV10" s="25">
        <v>15</v>
      </c>
      <c r="BW10" s="25">
        <v>16</v>
      </c>
      <c r="BX10" s="25">
        <v>15</v>
      </c>
      <c r="BY10" s="25">
        <v>8</v>
      </c>
      <c r="BZ10" s="25">
        <v>12</v>
      </c>
      <c r="CA10" s="25">
        <v>6</v>
      </c>
      <c r="CB10" s="25">
        <v>9</v>
      </c>
      <c r="CC10" s="25">
        <v>0</v>
      </c>
      <c r="CD10" s="25">
        <v>26</v>
      </c>
      <c r="CE10" s="25">
        <v>0</v>
      </c>
      <c r="CF10" s="25">
        <v>26</v>
      </c>
      <c r="CG10" s="25">
        <v>385</v>
      </c>
      <c r="CH10" s="25">
        <v>96</v>
      </c>
      <c r="CI10" s="25">
        <v>277</v>
      </c>
      <c r="CJ10" s="25">
        <v>87</v>
      </c>
      <c r="CK10" s="25">
        <v>249</v>
      </c>
      <c r="CL10" s="25">
        <v>79</v>
      </c>
      <c r="CM10" s="25">
        <v>28</v>
      </c>
      <c r="CN10" s="25">
        <v>25</v>
      </c>
      <c r="CO10" s="25">
        <v>6</v>
      </c>
      <c r="CP10" s="25">
        <v>12</v>
      </c>
      <c r="CQ10" s="25">
        <v>32</v>
      </c>
      <c r="CR10" s="25">
        <v>29</v>
      </c>
      <c r="CS10" s="25">
        <v>14</v>
      </c>
      <c r="CT10" s="25">
        <v>21</v>
      </c>
      <c r="CU10" s="25">
        <v>4</v>
      </c>
      <c r="CV10" s="25">
        <v>5</v>
      </c>
      <c r="CW10" s="25">
        <v>52</v>
      </c>
      <c r="CX10" s="25">
        <v>29</v>
      </c>
      <c r="CY10" s="25">
        <v>0</v>
      </c>
      <c r="CZ10" s="25">
        <v>26</v>
      </c>
      <c r="DA10" s="25">
        <v>232</v>
      </c>
      <c r="DB10" s="25">
        <v>76</v>
      </c>
      <c r="DC10" s="25">
        <v>170</v>
      </c>
      <c r="DD10" s="25">
        <v>76</v>
      </c>
      <c r="DE10" s="25">
        <v>167</v>
      </c>
      <c r="DF10" s="25">
        <v>76</v>
      </c>
      <c r="DG10" s="25">
        <v>3</v>
      </c>
      <c r="DH10" s="25">
        <v>4</v>
      </c>
      <c r="DI10" s="25">
        <v>2</v>
      </c>
      <c r="DJ10" s="25">
        <v>4</v>
      </c>
      <c r="DK10" s="25">
        <v>24</v>
      </c>
      <c r="DL10" s="25">
        <v>16</v>
      </c>
      <c r="DM10" s="25">
        <v>14</v>
      </c>
      <c r="DN10" s="25">
        <v>12</v>
      </c>
      <c r="DO10" s="25">
        <v>9</v>
      </c>
      <c r="DP10" s="25">
        <v>10</v>
      </c>
      <c r="DQ10" s="25">
        <v>6</v>
      </c>
      <c r="DR10" s="25">
        <v>8</v>
      </c>
      <c r="DS10" s="25">
        <v>7</v>
      </c>
      <c r="DT10" s="25">
        <v>9</v>
      </c>
      <c r="DU10" s="25">
        <v>853</v>
      </c>
      <c r="DV10" s="25">
        <v>176</v>
      </c>
      <c r="DW10" s="25">
        <v>378</v>
      </c>
      <c r="DX10" s="25">
        <v>126</v>
      </c>
      <c r="DY10" s="25">
        <v>267</v>
      </c>
      <c r="DZ10" s="25">
        <v>103</v>
      </c>
      <c r="EA10" s="25">
        <v>111</v>
      </c>
      <c r="EB10" s="25">
        <v>62</v>
      </c>
      <c r="EC10" s="25">
        <v>20</v>
      </c>
      <c r="ED10" s="25">
        <v>15</v>
      </c>
      <c r="EE10" s="25">
        <v>2</v>
      </c>
      <c r="EF10" s="25">
        <v>3</v>
      </c>
      <c r="EG10" s="25">
        <v>37</v>
      </c>
      <c r="EH10" s="25">
        <v>30</v>
      </c>
      <c r="EI10" s="25">
        <v>36</v>
      </c>
      <c r="EJ10" s="25">
        <v>24</v>
      </c>
      <c r="EK10" s="25">
        <v>377</v>
      </c>
      <c r="EL10" s="25">
        <v>129</v>
      </c>
      <c r="EM10" s="25">
        <v>3</v>
      </c>
      <c r="EN10" s="25">
        <v>4</v>
      </c>
    </row>
    <row r="11" spans="1:144" x14ac:dyDescent="0.25">
      <c r="A11" s="19">
        <f t="shared" si="8"/>
        <v>5</v>
      </c>
      <c r="B11" s="20" t="str">
        <f t="shared" si="9"/>
        <v>Cache</v>
      </c>
      <c r="C11" s="24" t="s">
        <v>292</v>
      </c>
      <c r="D11" s="24" t="s">
        <v>293</v>
      </c>
      <c r="E11" s="25">
        <v>55055</v>
      </c>
      <c r="F11" s="25">
        <v>749</v>
      </c>
      <c r="G11" s="25">
        <v>38808</v>
      </c>
      <c r="H11" s="25">
        <v>872</v>
      </c>
      <c r="I11" s="25">
        <v>36358</v>
      </c>
      <c r="J11" s="25">
        <v>804</v>
      </c>
      <c r="K11" s="25">
        <v>2450</v>
      </c>
      <c r="L11" s="25">
        <v>258</v>
      </c>
      <c r="M11" s="25">
        <v>3736</v>
      </c>
      <c r="N11" s="25">
        <v>355</v>
      </c>
      <c r="O11" s="25">
        <v>3372</v>
      </c>
      <c r="P11" s="25">
        <v>324</v>
      </c>
      <c r="Q11" s="25">
        <v>5543</v>
      </c>
      <c r="R11" s="25">
        <v>618</v>
      </c>
      <c r="S11" s="25">
        <v>799</v>
      </c>
      <c r="T11" s="25">
        <v>156</v>
      </c>
      <c r="U11" s="25">
        <v>2702</v>
      </c>
      <c r="V11" s="25">
        <v>294</v>
      </c>
      <c r="W11" s="25">
        <v>95</v>
      </c>
      <c r="X11" s="25">
        <v>51</v>
      </c>
      <c r="Y11" s="25">
        <v>41042</v>
      </c>
      <c r="Z11" s="25">
        <v>869</v>
      </c>
      <c r="AA11" s="25">
        <v>29755</v>
      </c>
      <c r="AB11" s="25">
        <v>825</v>
      </c>
      <c r="AC11" s="25">
        <v>28220</v>
      </c>
      <c r="AD11" s="25">
        <v>779</v>
      </c>
      <c r="AE11" s="25">
        <v>1535</v>
      </c>
      <c r="AF11" s="25">
        <v>203</v>
      </c>
      <c r="AG11" s="25">
        <v>2848</v>
      </c>
      <c r="AH11" s="25">
        <v>290</v>
      </c>
      <c r="AI11" s="25">
        <v>2782</v>
      </c>
      <c r="AJ11" s="25">
        <v>296</v>
      </c>
      <c r="AK11" s="25">
        <v>3690</v>
      </c>
      <c r="AL11" s="25">
        <v>393</v>
      </c>
      <c r="AM11" s="25">
        <v>557</v>
      </c>
      <c r="AN11" s="25">
        <v>141</v>
      </c>
      <c r="AO11" s="25">
        <v>1366</v>
      </c>
      <c r="AP11" s="25">
        <v>180</v>
      </c>
      <c r="AQ11" s="25">
        <v>44</v>
      </c>
      <c r="AR11" s="25">
        <v>31</v>
      </c>
      <c r="AS11" s="25">
        <v>6210</v>
      </c>
      <c r="AT11" s="25">
        <v>516</v>
      </c>
      <c r="AU11" s="25">
        <v>4679</v>
      </c>
      <c r="AV11" s="25">
        <v>507</v>
      </c>
      <c r="AW11" s="25">
        <v>4488</v>
      </c>
      <c r="AX11" s="25">
        <v>488</v>
      </c>
      <c r="AY11" s="25">
        <v>191</v>
      </c>
      <c r="AZ11" s="25">
        <v>68</v>
      </c>
      <c r="BA11" s="25">
        <v>299</v>
      </c>
      <c r="BB11" s="25">
        <v>89</v>
      </c>
      <c r="BC11" s="25">
        <v>300</v>
      </c>
      <c r="BD11" s="25">
        <v>98</v>
      </c>
      <c r="BE11" s="25">
        <v>534</v>
      </c>
      <c r="BF11" s="25">
        <v>142</v>
      </c>
      <c r="BG11" s="25">
        <v>112</v>
      </c>
      <c r="BH11" s="25">
        <v>47</v>
      </c>
      <c r="BI11" s="25">
        <v>271</v>
      </c>
      <c r="BJ11" s="25">
        <v>133</v>
      </c>
      <c r="BK11" s="25">
        <v>15</v>
      </c>
      <c r="BL11" s="25">
        <v>20</v>
      </c>
      <c r="BM11" s="25">
        <v>1231</v>
      </c>
      <c r="BN11" s="25">
        <v>239</v>
      </c>
      <c r="BO11" s="25">
        <v>765</v>
      </c>
      <c r="BP11" s="25">
        <v>193</v>
      </c>
      <c r="BQ11" s="25">
        <v>741</v>
      </c>
      <c r="BR11" s="25">
        <v>191</v>
      </c>
      <c r="BS11" s="25">
        <v>24</v>
      </c>
      <c r="BT11" s="25">
        <v>28</v>
      </c>
      <c r="BU11" s="25">
        <v>140</v>
      </c>
      <c r="BV11" s="25">
        <v>62</v>
      </c>
      <c r="BW11" s="25">
        <v>46</v>
      </c>
      <c r="BX11" s="25">
        <v>35</v>
      </c>
      <c r="BY11" s="25">
        <v>263</v>
      </c>
      <c r="BZ11" s="25">
        <v>145</v>
      </c>
      <c r="CA11" s="25">
        <v>0</v>
      </c>
      <c r="CB11" s="25">
        <v>26</v>
      </c>
      <c r="CC11" s="25">
        <v>17</v>
      </c>
      <c r="CD11" s="25">
        <v>15</v>
      </c>
      <c r="CE11" s="25">
        <v>0</v>
      </c>
      <c r="CF11" s="25">
        <v>26</v>
      </c>
      <c r="CG11" s="25">
        <v>2273</v>
      </c>
      <c r="CH11" s="25">
        <v>302</v>
      </c>
      <c r="CI11" s="25">
        <v>1018</v>
      </c>
      <c r="CJ11" s="25">
        <v>203</v>
      </c>
      <c r="CK11" s="25">
        <v>902</v>
      </c>
      <c r="CL11" s="25">
        <v>195</v>
      </c>
      <c r="CM11" s="25">
        <v>116</v>
      </c>
      <c r="CN11" s="25">
        <v>47</v>
      </c>
      <c r="CO11" s="25">
        <v>200</v>
      </c>
      <c r="CP11" s="25">
        <v>86</v>
      </c>
      <c r="CQ11" s="25">
        <v>139</v>
      </c>
      <c r="CR11" s="25">
        <v>61</v>
      </c>
      <c r="CS11" s="25">
        <v>687</v>
      </c>
      <c r="CT11" s="25">
        <v>224</v>
      </c>
      <c r="CU11" s="25">
        <v>68</v>
      </c>
      <c r="CV11" s="25">
        <v>44</v>
      </c>
      <c r="CW11" s="25">
        <v>159</v>
      </c>
      <c r="CX11" s="25">
        <v>89</v>
      </c>
      <c r="CY11" s="25">
        <v>2</v>
      </c>
      <c r="CZ11" s="25">
        <v>3</v>
      </c>
      <c r="DA11" s="25">
        <v>1494</v>
      </c>
      <c r="DB11" s="25">
        <v>224</v>
      </c>
      <c r="DC11" s="25">
        <v>1003</v>
      </c>
      <c r="DD11" s="25">
        <v>206</v>
      </c>
      <c r="DE11" s="25">
        <v>984</v>
      </c>
      <c r="DF11" s="25">
        <v>205</v>
      </c>
      <c r="DG11" s="25">
        <v>19</v>
      </c>
      <c r="DH11" s="25">
        <v>18</v>
      </c>
      <c r="DI11" s="25">
        <v>138</v>
      </c>
      <c r="DJ11" s="25">
        <v>69</v>
      </c>
      <c r="DK11" s="25">
        <v>58</v>
      </c>
      <c r="DL11" s="25">
        <v>36</v>
      </c>
      <c r="DM11" s="25">
        <v>234</v>
      </c>
      <c r="DN11" s="25">
        <v>87</v>
      </c>
      <c r="DO11" s="25">
        <v>24</v>
      </c>
      <c r="DP11" s="25">
        <v>24</v>
      </c>
      <c r="DQ11" s="25">
        <v>37</v>
      </c>
      <c r="DR11" s="25">
        <v>24</v>
      </c>
      <c r="DS11" s="25">
        <v>0</v>
      </c>
      <c r="DT11" s="25">
        <v>26</v>
      </c>
      <c r="DU11" s="25">
        <v>2805</v>
      </c>
      <c r="DV11" s="25">
        <v>319</v>
      </c>
      <c r="DW11" s="25">
        <v>1588</v>
      </c>
      <c r="DX11" s="25">
        <v>252</v>
      </c>
      <c r="DY11" s="25">
        <v>1023</v>
      </c>
      <c r="DZ11" s="25">
        <v>203</v>
      </c>
      <c r="EA11" s="25">
        <v>565</v>
      </c>
      <c r="EB11" s="25">
        <v>134</v>
      </c>
      <c r="EC11" s="25">
        <v>111</v>
      </c>
      <c r="ED11" s="25">
        <v>40</v>
      </c>
      <c r="EE11" s="25">
        <v>47</v>
      </c>
      <c r="EF11" s="25">
        <v>42</v>
      </c>
      <c r="EG11" s="25">
        <v>135</v>
      </c>
      <c r="EH11" s="25">
        <v>103</v>
      </c>
      <c r="EI11" s="25">
        <v>38</v>
      </c>
      <c r="EJ11" s="25">
        <v>28</v>
      </c>
      <c r="EK11" s="25">
        <v>852</v>
      </c>
      <c r="EL11" s="25">
        <v>153</v>
      </c>
      <c r="EM11" s="25">
        <v>34</v>
      </c>
      <c r="EN11" s="25">
        <v>31</v>
      </c>
    </row>
    <row r="12" spans="1:144" x14ac:dyDescent="0.25">
      <c r="A12" s="19">
        <f t="shared" si="8"/>
        <v>7</v>
      </c>
      <c r="B12" s="20" t="str">
        <f t="shared" si="9"/>
        <v>Carbon</v>
      </c>
      <c r="C12" s="24" t="s">
        <v>294</v>
      </c>
      <c r="D12" s="24" t="s">
        <v>295</v>
      </c>
      <c r="E12" s="25">
        <v>8807</v>
      </c>
      <c r="F12" s="25">
        <v>292</v>
      </c>
      <c r="G12" s="25">
        <v>6159</v>
      </c>
      <c r="H12" s="25">
        <v>344</v>
      </c>
      <c r="I12" s="25">
        <v>5945</v>
      </c>
      <c r="J12" s="25">
        <v>340</v>
      </c>
      <c r="K12" s="25">
        <v>214</v>
      </c>
      <c r="L12" s="25">
        <v>72</v>
      </c>
      <c r="M12" s="25">
        <v>344</v>
      </c>
      <c r="N12" s="25">
        <v>119</v>
      </c>
      <c r="O12" s="25">
        <v>889</v>
      </c>
      <c r="P12" s="25">
        <v>166</v>
      </c>
      <c r="Q12" s="25">
        <v>772</v>
      </c>
      <c r="R12" s="25">
        <v>140</v>
      </c>
      <c r="S12" s="25">
        <v>214</v>
      </c>
      <c r="T12" s="25">
        <v>62</v>
      </c>
      <c r="U12" s="25">
        <v>396</v>
      </c>
      <c r="V12" s="25">
        <v>99</v>
      </c>
      <c r="W12" s="25">
        <v>33</v>
      </c>
      <c r="X12" s="25">
        <v>25</v>
      </c>
      <c r="Y12" s="25">
        <v>7083</v>
      </c>
      <c r="Z12" s="25">
        <v>288</v>
      </c>
      <c r="AA12" s="25">
        <v>4959</v>
      </c>
      <c r="AB12" s="25">
        <v>323</v>
      </c>
      <c r="AC12" s="25">
        <v>4794</v>
      </c>
      <c r="AD12" s="25">
        <v>319</v>
      </c>
      <c r="AE12" s="25">
        <v>165</v>
      </c>
      <c r="AF12" s="25">
        <v>67</v>
      </c>
      <c r="AG12" s="25">
        <v>251</v>
      </c>
      <c r="AH12" s="25">
        <v>97</v>
      </c>
      <c r="AI12" s="25">
        <v>809</v>
      </c>
      <c r="AJ12" s="25">
        <v>160</v>
      </c>
      <c r="AK12" s="25">
        <v>670</v>
      </c>
      <c r="AL12" s="25">
        <v>130</v>
      </c>
      <c r="AM12" s="25">
        <v>148</v>
      </c>
      <c r="AN12" s="25">
        <v>59</v>
      </c>
      <c r="AO12" s="25">
        <v>241</v>
      </c>
      <c r="AP12" s="25">
        <v>78</v>
      </c>
      <c r="AQ12" s="25">
        <v>5</v>
      </c>
      <c r="AR12" s="25">
        <v>12</v>
      </c>
      <c r="AS12" s="25">
        <v>1053</v>
      </c>
      <c r="AT12" s="25">
        <v>176</v>
      </c>
      <c r="AU12" s="25">
        <v>795</v>
      </c>
      <c r="AV12" s="25">
        <v>155</v>
      </c>
      <c r="AW12" s="25">
        <v>785</v>
      </c>
      <c r="AX12" s="25">
        <v>155</v>
      </c>
      <c r="AY12" s="25">
        <v>10</v>
      </c>
      <c r="AZ12" s="25">
        <v>12</v>
      </c>
      <c r="BA12" s="25">
        <v>66</v>
      </c>
      <c r="BB12" s="25">
        <v>52</v>
      </c>
      <c r="BC12" s="25">
        <v>34</v>
      </c>
      <c r="BD12" s="25">
        <v>28</v>
      </c>
      <c r="BE12" s="25">
        <v>71</v>
      </c>
      <c r="BF12" s="25">
        <v>34</v>
      </c>
      <c r="BG12" s="25">
        <v>36</v>
      </c>
      <c r="BH12" s="25">
        <v>24</v>
      </c>
      <c r="BI12" s="25">
        <v>51</v>
      </c>
      <c r="BJ12" s="25">
        <v>38</v>
      </c>
      <c r="BK12" s="25">
        <v>0</v>
      </c>
      <c r="BL12" s="25">
        <v>20</v>
      </c>
      <c r="BM12" s="25">
        <v>38</v>
      </c>
      <c r="BN12" s="25">
        <v>33</v>
      </c>
      <c r="BO12" s="25">
        <v>16</v>
      </c>
      <c r="BP12" s="25">
        <v>24</v>
      </c>
      <c r="BQ12" s="25">
        <v>16</v>
      </c>
      <c r="BR12" s="25">
        <v>24</v>
      </c>
      <c r="BS12" s="25">
        <v>0</v>
      </c>
      <c r="BT12" s="25">
        <v>20</v>
      </c>
      <c r="BU12" s="25">
        <v>10</v>
      </c>
      <c r="BV12" s="25">
        <v>16</v>
      </c>
      <c r="BW12" s="25">
        <v>12</v>
      </c>
      <c r="BX12" s="25">
        <v>19</v>
      </c>
      <c r="BY12" s="25">
        <v>0</v>
      </c>
      <c r="BZ12" s="25">
        <v>20</v>
      </c>
      <c r="CA12" s="25">
        <v>0</v>
      </c>
      <c r="CB12" s="25">
        <v>20</v>
      </c>
      <c r="CC12" s="25">
        <v>0</v>
      </c>
      <c r="CD12" s="25">
        <v>20</v>
      </c>
      <c r="CE12" s="25">
        <v>0</v>
      </c>
      <c r="CF12" s="25">
        <v>20</v>
      </c>
      <c r="CG12" s="25">
        <v>278</v>
      </c>
      <c r="CH12" s="25">
        <v>89</v>
      </c>
      <c r="CI12" s="25">
        <v>191</v>
      </c>
      <c r="CJ12" s="25">
        <v>82</v>
      </c>
      <c r="CK12" s="25">
        <v>177</v>
      </c>
      <c r="CL12" s="25">
        <v>77</v>
      </c>
      <c r="CM12" s="25">
        <v>14</v>
      </c>
      <c r="CN12" s="25">
        <v>22</v>
      </c>
      <c r="CO12" s="25">
        <v>6</v>
      </c>
      <c r="CP12" s="25">
        <v>14</v>
      </c>
      <c r="CQ12" s="25">
        <v>4</v>
      </c>
      <c r="CR12" s="25">
        <v>7</v>
      </c>
      <c r="CS12" s="25">
        <v>26</v>
      </c>
      <c r="CT12" s="25">
        <v>21</v>
      </c>
      <c r="CU12" s="25">
        <v>22</v>
      </c>
      <c r="CV12" s="25">
        <v>17</v>
      </c>
      <c r="CW12" s="25">
        <v>22</v>
      </c>
      <c r="CX12" s="25">
        <v>21</v>
      </c>
      <c r="CY12" s="25">
        <v>7</v>
      </c>
      <c r="CZ12" s="25">
        <v>12</v>
      </c>
      <c r="DA12" s="25">
        <v>78</v>
      </c>
      <c r="DB12" s="25">
        <v>47</v>
      </c>
      <c r="DC12" s="25">
        <v>64</v>
      </c>
      <c r="DD12" s="25">
        <v>46</v>
      </c>
      <c r="DE12" s="25">
        <v>64</v>
      </c>
      <c r="DF12" s="25">
        <v>46</v>
      </c>
      <c r="DG12" s="25">
        <v>0</v>
      </c>
      <c r="DH12" s="25">
        <v>20</v>
      </c>
      <c r="DI12" s="25">
        <v>2</v>
      </c>
      <c r="DJ12" s="25">
        <v>4</v>
      </c>
      <c r="DK12" s="25">
        <v>1</v>
      </c>
      <c r="DL12" s="25">
        <v>3</v>
      </c>
      <c r="DM12" s="25">
        <v>5</v>
      </c>
      <c r="DN12" s="25">
        <v>9</v>
      </c>
      <c r="DO12" s="25">
        <v>0</v>
      </c>
      <c r="DP12" s="25">
        <v>20</v>
      </c>
      <c r="DQ12" s="25">
        <v>6</v>
      </c>
      <c r="DR12" s="25">
        <v>8</v>
      </c>
      <c r="DS12" s="25">
        <v>0</v>
      </c>
      <c r="DT12" s="25">
        <v>20</v>
      </c>
      <c r="DU12" s="25">
        <v>277</v>
      </c>
      <c r="DV12" s="25">
        <v>81</v>
      </c>
      <c r="DW12" s="25">
        <v>134</v>
      </c>
      <c r="DX12" s="25">
        <v>64</v>
      </c>
      <c r="DY12" s="25">
        <v>109</v>
      </c>
      <c r="DZ12" s="25">
        <v>62</v>
      </c>
      <c r="EA12" s="25">
        <v>25</v>
      </c>
      <c r="EB12" s="25">
        <v>20</v>
      </c>
      <c r="EC12" s="25">
        <v>9</v>
      </c>
      <c r="ED12" s="25">
        <v>16</v>
      </c>
      <c r="EE12" s="25">
        <v>29</v>
      </c>
      <c r="EF12" s="25">
        <v>27</v>
      </c>
      <c r="EG12" s="25">
        <v>0</v>
      </c>
      <c r="EH12" s="25">
        <v>20</v>
      </c>
      <c r="EI12" s="25">
        <v>8</v>
      </c>
      <c r="EJ12" s="25">
        <v>14</v>
      </c>
      <c r="EK12" s="25">
        <v>76</v>
      </c>
      <c r="EL12" s="25">
        <v>47</v>
      </c>
      <c r="EM12" s="25">
        <v>21</v>
      </c>
      <c r="EN12" s="25">
        <v>19</v>
      </c>
    </row>
    <row r="13" spans="1:144" x14ac:dyDescent="0.25">
      <c r="A13" s="19">
        <f t="shared" si="8"/>
        <v>9</v>
      </c>
      <c r="B13" s="20" t="str">
        <f t="shared" si="9"/>
        <v>Daggett</v>
      </c>
      <c r="C13" s="24" t="s">
        <v>296</v>
      </c>
      <c r="D13" s="24" t="s">
        <v>297</v>
      </c>
      <c r="E13" s="25">
        <v>279</v>
      </c>
      <c r="F13" s="25">
        <v>80</v>
      </c>
      <c r="G13" s="25">
        <v>191</v>
      </c>
      <c r="H13" s="25">
        <v>79</v>
      </c>
      <c r="I13" s="25">
        <v>174</v>
      </c>
      <c r="J13" s="25">
        <v>79</v>
      </c>
      <c r="K13" s="25">
        <v>17</v>
      </c>
      <c r="L13" s="25">
        <v>16</v>
      </c>
      <c r="M13" s="25">
        <v>0</v>
      </c>
      <c r="N13" s="25">
        <v>11</v>
      </c>
      <c r="O13" s="25">
        <v>47</v>
      </c>
      <c r="P13" s="25">
        <v>25</v>
      </c>
      <c r="Q13" s="25">
        <v>13</v>
      </c>
      <c r="R13" s="25">
        <v>15</v>
      </c>
      <c r="S13" s="25">
        <v>13</v>
      </c>
      <c r="T13" s="25">
        <v>10</v>
      </c>
      <c r="U13" s="25">
        <v>15</v>
      </c>
      <c r="V13" s="25">
        <v>11</v>
      </c>
      <c r="W13" s="25">
        <v>0</v>
      </c>
      <c r="X13" s="25">
        <v>11</v>
      </c>
      <c r="Y13" s="25">
        <v>153</v>
      </c>
      <c r="Z13" s="25">
        <v>51</v>
      </c>
      <c r="AA13" s="25">
        <v>77</v>
      </c>
      <c r="AB13" s="25">
        <v>34</v>
      </c>
      <c r="AC13" s="25">
        <v>70</v>
      </c>
      <c r="AD13" s="25">
        <v>33</v>
      </c>
      <c r="AE13" s="25">
        <v>7</v>
      </c>
      <c r="AF13" s="25">
        <v>8</v>
      </c>
      <c r="AG13" s="25">
        <v>0</v>
      </c>
      <c r="AH13" s="25">
        <v>11</v>
      </c>
      <c r="AI13" s="25">
        <v>47</v>
      </c>
      <c r="AJ13" s="25">
        <v>25</v>
      </c>
      <c r="AK13" s="25">
        <v>13</v>
      </c>
      <c r="AL13" s="25">
        <v>15</v>
      </c>
      <c r="AM13" s="25">
        <v>10</v>
      </c>
      <c r="AN13" s="25">
        <v>8</v>
      </c>
      <c r="AO13" s="25">
        <v>6</v>
      </c>
      <c r="AP13" s="25">
        <v>5</v>
      </c>
      <c r="AQ13" s="25">
        <v>0</v>
      </c>
      <c r="AR13" s="25">
        <v>11</v>
      </c>
      <c r="AS13" s="25">
        <v>8</v>
      </c>
      <c r="AT13" s="25">
        <v>8</v>
      </c>
      <c r="AU13" s="25">
        <v>5</v>
      </c>
      <c r="AV13" s="25">
        <v>7</v>
      </c>
      <c r="AW13" s="25">
        <v>5</v>
      </c>
      <c r="AX13" s="25">
        <v>7</v>
      </c>
      <c r="AY13" s="25">
        <v>0</v>
      </c>
      <c r="AZ13" s="25">
        <v>11</v>
      </c>
      <c r="BA13" s="25">
        <v>0</v>
      </c>
      <c r="BB13" s="25">
        <v>11</v>
      </c>
      <c r="BC13" s="25">
        <v>0</v>
      </c>
      <c r="BD13" s="25">
        <v>11</v>
      </c>
      <c r="BE13" s="25">
        <v>0</v>
      </c>
      <c r="BF13" s="25">
        <v>11</v>
      </c>
      <c r="BG13" s="25">
        <v>3</v>
      </c>
      <c r="BH13" s="25">
        <v>5</v>
      </c>
      <c r="BI13" s="25">
        <v>0</v>
      </c>
      <c r="BJ13" s="25">
        <v>11</v>
      </c>
      <c r="BK13" s="25">
        <v>0</v>
      </c>
      <c r="BL13" s="25">
        <v>11</v>
      </c>
      <c r="BM13" s="25">
        <v>3</v>
      </c>
      <c r="BN13" s="25">
        <v>4</v>
      </c>
      <c r="BO13" s="25">
        <v>3</v>
      </c>
      <c r="BP13" s="25">
        <v>4</v>
      </c>
      <c r="BQ13" s="25">
        <v>3</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88</v>
      </c>
      <c r="CH13" s="25">
        <v>83</v>
      </c>
      <c r="CI13" s="25">
        <v>88</v>
      </c>
      <c r="CJ13" s="25">
        <v>83</v>
      </c>
      <c r="CK13" s="25">
        <v>88</v>
      </c>
      <c r="CL13" s="25">
        <v>83</v>
      </c>
      <c r="CM13" s="25">
        <v>0</v>
      </c>
      <c r="CN13" s="25">
        <v>11</v>
      </c>
      <c r="CO13" s="25">
        <v>0</v>
      </c>
      <c r="CP13" s="25">
        <v>11</v>
      </c>
      <c r="CQ13" s="25">
        <v>0</v>
      </c>
      <c r="CR13" s="25">
        <v>11</v>
      </c>
      <c r="CS13" s="25">
        <v>0</v>
      </c>
      <c r="CT13" s="25">
        <v>11</v>
      </c>
      <c r="CU13" s="25">
        <v>0</v>
      </c>
      <c r="CV13" s="25">
        <v>11</v>
      </c>
      <c r="CW13" s="25">
        <v>0</v>
      </c>
      <c r="CX13" s="25">
        <v>11</v>
      </c>
      <c r="CY13" s="25">
        <v>0</v>
      </c>
      <c r="CZ13" s="25">
        <v>11</v>
      </c>
      <c r="DA13" s="25">
        <v>5</v>
      </c>
      <c r="DB13" s="25">
        <v>8</v>
      </c>
      <c r="DC13" s="25">
        <v>5</v>
      </c>
      <c r="DD13" s="25">
        <v>8</v>
      </c>
      <c r="DE13" s="25">
        <v>5</v>
      </c>
      <c r="DF13" s="25">
        <v>8</v>
      </c>
      <c r="DG13" s="25">
        <v>0</v>
      </c>
      <c r="DH13" s="25">
        <v>11</v>
      </c>
      <c r="DI13" s="25">
        <v>0</v>
      </c>
      <c r="DJ13" s="25">
        <v>11</v>
      </c>
      <c r="DK13" s="25">
        <v>0</v>
      </c>
      <c r="DL13" s="25">
        <v>11</v>
      </c>
      <c r="DM13" s="25">
        <v>0</v>
      </c>
      <c r="DN13" s="25">
        <v>11</v>
      </c>
      <c r="DO13" s="25">
        <v>0</v>
      </c>
      <c r="DP13" s="25">
        <v>11</v>
      </c>
      <c r="DQ13" s="25">
        <v>0</v>
      </c>
      <c r="DR13" s="25">
        <v>11</v>
      </c>
      <c r="DS13" s="25">
        <v>0</v>
      </c>
      <c r="DT13" s="25">
        <v>11</v>
      </c>
      <c r="DU13" s="25">
        <v>22</v>
      </c>
      <c r="DV13" s="25">
        <v>18</v>
      </c>
      <c r="DW13" s="25">
        <v>13</v>
      </c>
      <c r="DX13" s="25">
        <v>16</v>
      </c>
      <c r="DY13" s="25">
        <v>3</v>
      </c>
      <c r="DZ13" s="25">
        <v>6</v>
      </c>
      <c r="EA13" s="25">
        <v>10</v>
      </c>
      <c r="EB13" s="25">
        <v>14</v>
      </c>
      <c r="EC13" s="25">
        <v>0</v>
      </c>
      <c r="ED13" s="25">
        <v>11</v>
      </c>
      <c r="EE13" s="25">
        <v>0</v>
      </c>
      <c r="EF13" s="25">
        <v>11</v>
      </c>
      <c r="EG13" s="25">
        <v>0</v>
      </c>
      <c r="EH13" s="25">
        <v>11</v>
      </c>
      <c r="EI13" s="25">
        <v>0</v>
      </c>
      <c r="EJ13" s="25">
        <v>11</v>
      </c>
      <c r="EK13" s="25">
        <v>9</v>
      </c>
      <c r="EL13" s="25">
        <v>10</v>
      </c>
      <c r="EM13" s="25">
        <v>0</v>
      </c>
      <c r="EN13" s="25">
        <v>11</v>
      </c>
    </row>
    <row r="14" spans="1:144" x14ac:dyDescent="0.25">
      <c r="A14" s="19">
        <f t="shared" si="8"/>
        <v>11</v>
      </c>
      <c r="B14" s="20" t="str">
        <f t="shared" si="9"/>
        <v>Davis</v>
      </c>
      <c r="C14" s="24" t="s">
        <v>298</v>
      </c>
      <c r="D14" s="24" t="s">
        <v>299</v>
      </c>
      <c r="E14" s="25">
        <v>151810</v>
      </c>
      <c r="F14" s="25">
        <v>1297</v>
      </c>
      <c r="G14" s="25">
        <v>105487</v>
      </c>
      <c r="H14" s="25">
        <v>1623</v>
      </c>
      <c r="I14" s="25">
        <v>99957</v>
      </c>
      <c r="J14" s="25">
        <v>1662</v>
      </c>
      <c r="K14" s="25">
        <v>5530</v>
      </c>
      <c r="L14" s="25">
        <v>431</v>
      </c>
      <c r="M14" s="25">
        <v>10434</v>
      </c>
      <c r="N14" s="25">
        <v>765</v>
      </c>
      <c r="O14" s="25">
        <v>9407</v>
      </c>
      <c r="P14" s="25">
        <v>643</v>
      </c>
      <c r="Q14" s="25">
        <v>7344</v>
      </c>
      <c r="R14" s="25">
        <v>563</v>
      </c>
      <c r="S14" s="25">
        <v>12676</v>
      </c>
      <c r="T14" s="25">
        <v>751</v>
      </c>
      <c r="U14" s="25">
        <v>6248</v>
      </c>
      <c r="V14" s="25">
        <v>595</v>
      </c>
      <c r="W14" s="25">
        <v>214</v>
      </c>
      <c r="X14" s="25">
        <v>91</v>
      </c>
      <c r="Y14" s="25">
        <v>120365</v>
      </c>
      <c r="Z14" s="25">
        <v>1519</v>
      </c>
      <c r="AA14" s="25">
        <v>84606</v>
      </c>
      <c r="AB14" s="25">
        <v>1628</v>
      </c>
      <c r="AC14" s="25">
        <v>81007</v>
      </c>
      <c r="AD14" s="25">
        <v>1659</v>
      </c>
      <c r="AE14" s="25">
        <v>3599</v>
      </c>
      <c r="AF14" s="25">
        <v>396</v>
      </c>
      <c r="AG14" s="25">
        <v>7981</v>
      </c>
      <c r="AH14" s="25">
        <v>597</v>
      </c>
      <c r="AI14" s="25">
        <v>7884</v>
      </c>
      <c r="AJ14" s="25">
        <v>594</v>
      </c>
      <c r="AK14" s="25">
        <v>5732</v>
      </c>
      <c r="AL14" s="25">
        <v>483</v>
      </c>
      <c r="AM14" s="25">
        <v>11016</v>
      </c>
      <c r="AN14" s="25">
        <v>768</v>
      </c>
      <c r="AO14" s="25">
        <v>3068</v>
      </c>
      <c r="AP14" s="25">
        <v>374</v>
      </c>
      <c r="AQ14" s="25">
        <v>78</v>
      </c>
      <c r="AR14" s="25">
        <v>42</v>
      </c>
      <c r="AS14" s="25">
        <v>14932</v>
      </c>
      <c r="AT14" s="25">
        <v>833</v>
      </c>
      <c r="AU14" s="25">
        <v>10628</v>
      </c>
      <c r="AV14" s="25">
        <v>764</v>
      </c>
      <c r="AW14" s="25">
        <v>9947</v>
      </c>
      <c r="AX14" s="25">
        <v>774</v>
      </c>
      <c r="AY14" s="25">
        <v>681</v>
      </c>
      <c r="AZ14" s="25">
        <v>170</v>
      </c>
      <c r="BA14" s="25">
        <v>1158</v>
      </c>
      <c r="BB14" s="25">
        <v>217</v>
      </c>
      <c r="BC14" s="25">
        <v>900</v>
      </c>
      <c r="BD14" s="25">
        <v>157</v>
      </c>
      <c r="BE14" s="25">
        <v>723</v>
      </c>
      <c r="BF14" s="25">
        <v>187</v>
      </c>
      <c r="BG14" s="25">
        <v>950</v>
      </c>
      <c r="BH14" s="25">
        <v>204</v>
      </c>
      <c r="BI14" s="25">
        <v>544</v>
      </c>
      <c r="BJ14" s="25">
        <v>172</v>
      </c>
      <c r="BK14" s="25">
        <v>29</v>
      </c>
      <c r="BL14" s="25">
        <v>27</v>
      </c>
      <c r="BM14" s="25">
        <v>3876</v>
      </c>
      <c r="BN14" s="25">
        <v>508</v>
      </c>
      <c r="BO14" s="25">
        <v>1887</v>
      </c>
      <c r="BP14" s="25">
        <v>353</v>
      </c>
      <c r="BQ14" s="25">
        <v>1821</v>
      </c>
      <c r="BR14" s="25">
        <v>338</v>
      </c>
      <c r="BS14" s="25">
        <v>66</v>
      </c>
      <c r="BT14" s="25">
        <v>53</v>
      </c>
      <c r="BU14" s="25">
        <v>840</v>
      </c>
      <c r="BV14" s="25">
        <v>231</v>
      </c>
      <c r="BW14" s="25">
        <v>241</v>
      </c>
      <c r="BX14" s="25">
        <v>134</v>
      </c>
      <c r="BY14" s="25">
        <v>564</v>
      </c>
      <c r="BZ14" s="25">
        <v>187</v>
      </c>
      <c r="CA14" s="25">
        <v>220</v>
      </c>
      <c r="CB14" s="25">
        <v>122</v>
      </c>
      <c r="CC14" s="25">
        <v>124</v>
      </c>
      <c r="CD14" s="25">
        <v>90</v>
      </c>
      <c r="CE14" s="25">
        <v>0</v>
      </c>
      <c r="CF14" s="25">
        <v>26</v>
      </c>
      <c r="CG14" s="25">
        <v>2353</v>
      </c>
      <c r="CH14" s="25">
        <v>360</v>
      </c>
      <c r="CI14" s="25">
        <v>1792</v>
      </c>
      <c r="CJ14" s="25">
        <v>332</v>
      </c>
      <c r="CK14" s="25">
        <v>1702</v>
      </c>
      <c r="CL14" s="25">
        <v>327</v>
      </c>
      <c r="CM14" s="25">
        <v>90</v>
      </c>
      <c r="CN14" s="25">
        <v>55</v>
      </c>
      <c r="CO14" s="25">
        <v>76</v>
      </c>
      <c r="CP14" s="25">
        <v>45</v>
      </c>
      <c r="CQ14" s="25">
        <v>178</v>
      </c>
      <c r="CR14" s="25">
        <v>90</v>
      </c>
      <c r="CS14" s="25">
        <v>83</v>
      </c>
      <c r="CT14" s="25">
        <v>65</v>
      </c>
      <c r="CU14" s="25">
        <v>99</v>
      </c>
      <c r="CV14" s="25">
        <v>78</v>
      </c>
      <c r="CW14" s="25">
        <v>112</v>
      </c>
      <c r="CX14" s="25">
        <v>66</v>
      </c>
      <c r="CY14" s="25">
        <v>13</v>
      </c>
      <c r="CZ14" s="25">
        <v>20</v>
      </c>
      <c r="DA14" s="25">
        <v>2390</v>
      </c>
      <c r="DB14" s="25">
        <v>367</v>
      </c>
      <c r="DC14" s="25">
        <v>1761</v>
      </c>
      <c r="DD14" s="25">
        <v>314</v>
      </c>
      <c r="DE14" s="25">
        <v>1720</v>
      </c>
      <c r="DF14" s="25">
        <v>317</v>
      </c>
      <c r="DG14" s="25">
        <v>41</v>
      </c>
      <c r="DH14" s="25">
        <v>34</v>
      </c>
      <c r="DI14" s="25">
        <v>96</v>
      </c>
      <c r="DJ14" s="25">
        <v>50</v>
      </c>
      <c r="DK14" s="25">
        <v>112</v>
      </c>
      <c r="DL14" s="25">
        <v>64</v>
      </c>
      <c r="DM14" s="25">
        <v>118</v>
      </c>
      <c r="DN14" s="25">
        <v>58</v>
      </c>
      <c r="DO14" s="25">
        <v>93</v>
      </c>
      <c r="DP14" s="25">
        <v>54</v>
      </c>
      <c r="DQ14" s="25">
        <v>203</v>
      </c>
      <c r="DR14" s="25">
        <v>120</v>
      </c>
      <c r="DS14" s="25">
        <v>7</v>
      </c>
      <c r="DT14" s="25">
        <v>12</v>
      </c>
      <c r="DU14" s="25">
        <v>7894</v>
      </c>
      <c r="DV14" s="25">
        <v>587</v>
      </c>
      <c r="DW14" s="25">
        <v>4813</v>
      </c>
      <c r="DX14" s="25">
        <v>448</v>
      </c>
      <c r="DY14" s="25">
        <v>3760</v>
      </c>
      <c r="DZ14" s="25">
        <v>409</v>
      </c>
      <c r="EA14" s="25">
        <v>1053</v>
      </c>
      <c r="EB14" s="25">
        <v>187</v>
      </c>
      <c r="EC14" s="25">
        <v>283</v>
      </c>
      <c r="ED14" s="25">
        <v>108</v>
      </c>
      <c r="EE14" s="25">
        <v>92</v>
      </c>
      <c r="EF14" s="25">
        <v>52</v>
      </c>
      <c r="EG14" s="25">
        <v>124</v>
      </c>
      <c r="EH14" s="25">
        <v>63</v>
      </c>
      <c r="EI14" s="25">
        <v>298</v>
      </c>
      <c r="EJ14" s="25">
        <v>130</v>
      </c>
      <c r="EK14" s="25">
        <v>2197</v>
      </c>
      <c r="EL14" s="25">
        <v>320</v>
      </c>
      <c r="EM14" s="25">
        <v>87</v>
      </c>
      <c r="EN14" s="25">
        <v>71</v>
      </c>
    </row>
    <row r="15" spans="1:144" x14ac:dyDescent="0.25">
      <c r="A15" s="19">
        <f t="shared" si="8"/>
        <v>13</v>
      </c>
      <c r="B15" s="20" t="str">
        <f t="shared" si="9"/>
        <v>Duchesne</v>
      </c>
      <c r="C15" s="24" t="s">
        <v>300</v>
      </c>
      <c r="D15" s="24" t="s">
        <v>301</v>
      </c>
      <c r="E15" s="25">
        <v>7759</v>
      </c>
      <c r="F15" s="25">
        <v>211</v>
      </c>
      <c r="G15" s="25">
        <v>5553</v>
      </c>
      <c r="H15" s="25">
        <v>198</v>
      </c>
      <c r="I15" s="25">
        <v>4944</v>
      </c>
      <c r="J15" s="25">
        <v>191</v>
      </c>
      <c r="K15" s="25">
        <v>609</v>
      </c>
      <c r="L15" s="25">
        <v>99</v>
      </c>
      <c r="M15" s="25">
        <v>332</v>
      </c>
      <c r="N15" s="25">
        <v>64</v>
      </c>
      <c r="O15" s="25">
        <v>1018</v>
      </c>
      <c r="P15" s="25">
        <v>115</v>
      </c>
      <c r="Q15" s="25">
        <v>277</v>
      </c>
      <c r="R15" s="25">
        <v>68</v>
      </c>
      <c r="S15" s="25">
        <v>184</v>
      </c>
      <c r="T15" s="25">
        <v>52</v>
      </c>
      <c r="U15" s="25">
        <v>361</v>
      </c>
      <c r="V15" s="25">
        <v>71</v>
      </c>
      <c r="W15" s="25">
        <v>34</v>
      </c>
      <c r="X15" s="25">
        <v>20</v>
      </c>
      <c r="Y15" s="25">
        <v>6427</v>
      </c>
      <c r="Z15" s="25">
        <v>210</v>
      </c>
      <c r="AA15" s="25">
        <v>4628</v>
      </c>
      <c r="AB15" s="25">
        <v>195</v>
      </c>
      <c r="AC15" s="25">
        <v>4203</v>
      </c>
      <c r="AD15" s="25">
        <v>196</v>
      </c>
      <c r="AE15" s="25">
        <v>425</v>
      </c>
      <c r="AF15" s="25">
        <v>82</v>
      </c>
      <c r="AG15" s="25">
        <v>288</v>
      </c>
      <c r="AH15" s="25">
        <v>61</v>
      </c>
      <c r="AI15" s="25">
        <v>895</v>
      </c>
      <c r="AJ15" s="25">
        <v>112</v>
      </c>
      <c r="AK15" s="25">
        <v>248</v>
      </c>
      <c r="AL15" s="25">
        <v>60</v>
      </c>
      <c r="AM15" s="25">
        <v>171</v>
      </c>
      <c r="AN15" s="25">
        <v>51</v>
      </c>
      <c r="AO15" s="25">
        <v>185</v>
      </c>
      <c r="AP15" s="25">
        <v>50</v>
      </c>
      <c r="AQ15" s="25">
        <v>12</v>
      </c>
      <c r="AR15" s="25">
        <v>11</v>
      </c>
      <c r="AS15" s="25">
        <v>630</v>
      </c>
      <c r="AT15" s="25">
        <v>98</v>
      </c>
      <c r="AU15" s="25">
        <v>490</v>
      </c>
      <c r="AV15" s="25">
        <v>76</v>
      </c>
      <c r="AW15" s="25">
        <v>452</v>
      </c>
      <c r="AX15" s="25">
        <v>73</v>
      </c>
      <c r="AY15" s="25">
        <v>38</v>
      </c>
      <c r="AZ15" s="25">
        <v>24</v>
      </c>
      <c r="BA15" s="25">
        <v>21</v>
      </c>
      <c r="BB15" s="25">
        <v>19</v>
      </c>
      <c r="BC15" s="25">
        <v>70</v>
      </c>
      <c r="BD15" s="25">
        <v>36</v>
      </c>
      <c r="BE15" s="25">
        <v>4</v>
      </c>
      <c r="BF15" s="25">
        <v>7</v>
      </c>
      <c r="BG15" s="25">
        <v>5</v>
      </c>
      <c r="BH15" s="25">
        <v>7</v>
      </c>
      <c r="BI15" s="25">
        <v>40</v>
      </c>
      <c r="BJ15" s="25">
        <v>32</v>
      </c>
      <c r="BK15" s="25">
        <v>0</v>
      </c>
      <c r="BL15" s="25">
        <v>20</v>
      </c>
      <c r="BM15" s="25">
        <v>32</v>
      </c>
      <c r="BN15" s="25">
        <v>20</v>
      </c>
      <c r="BO15" s="25">
        <v>0</v>
      </c>
      <c r="BP15" s="25">
        <v>20</v>
      </c>
      <c r="BQ15" s="25">
        <v>0</v>
      </c>
      <c r="BR15" s="25">
        <v>20</v>
      </c>
      <c r="BS15" s="25">
        <v>0</v>
      </c>
      <c r="BT15" s="25">
        <v>20</v>
      </c>
      <c r="BU15" s="25">
        <v>0</v>
      </c>
      <c r="BV15" s="25">
        <v>20</v>
      </c>
      <c r="BW15" s="25">
        <v>26</v>
      </c>
      <c r="BX15" s="25">
        <v>18</v>
      </c>
      <c r="BY15" s="25">
        <v>0</v>
      </c>
      <c r="BZ15" s="25">
        <v>20</v>
      </c>
      <c r="CA15" s="25">
        <v>0</v>
      </c>
      <c r="CB15" s="25">
        <v>20</v>
      </c>
      <c r="CC15" s="25">
        <v>6</v>
      </c>
      <c r="CD15" s="25">
        <v>9</v>
      </c>
      <c r="CE15" s="25">
        <v>0</v>
      </c>
      <c r="CF15" s="25">
        <v>20</v>
      </c>
      <c r="CG15" s="25">
        <v>245</v>
      </c>
      <c r="CH15" s="25">
        <v>56</v>
      </c>
      <c r="CI15" s="25">
        <v>168</v>
      </c>
      <c r="CJ15" s="25">
        <v>46</v>
      </c>
      <c r="CK15" s="25">
        <v>121</v>
      </c>
      <c r="CL15" s="25">
        <v>38</v>
      </c>
      <c r="CM15" s="25">
        <v>47</v>
      </c>
      <c r="CN15" s="25">
        <v>26</v>
      </c>
      <c r="CO15" s="25">
        <v>8</v>
      </c>
      <c r="CP15" s="25">
        <v>10</v>
      </c>
      <c r="CQ15" s="25">
        <v>17</v>
      </c>
      <c r="CR15" s="25">
        <v>12</v>
      </c>
      <c r="CS15" s="25">
        <v>21</v>
      </c>
      <c r="CT15" s="25">
        <v>24</v>
      </c>
      <c r="CU15" s="25">
        <v>4</v>
      </c>
      <c r="CV15" s="25">
        <v>5</v>
      </c>
      <c r="CW15" s="25">
        <v>18</v>
      </c>
      <c r="CX15" s="25">
        <v>15</v>
      </c>
      <c r="CY15" s="25">
        <v>9</v>
      </c>
      <c r="CZ15" s="25">
        <v>7</v>
      </c>
      <c r="DA15" s="25">
        <v>61</v>
      </c>
      <c r="DB15" s="25">
        <v>26</v>
      </c>
      <c r="DC15" s="25">
        <v>45</v>
      </c>
      <c r="DD15" s="25">
        <v>24</v>
      </c>
      <c r="DE15" s="25">
        <v>45</v>
      </c>
      <c r="DF15" s="25">
        <v>24</v>
      </c>
      <c r="DG15" s="25">
        <v>0</v>
      </c>
      <c r="DH15" s="25">
        <v>20</v>
      </c>
      <c r="DI15" s="25">
        <v>4</v>
      </c>
      <c r="DJ15" s="25">
        <v>6</v>
      </c>
      <c r="DK15" s="25">
        <v>5</v>
      </c>
      <c r="DL15" s="25">
        <v>8</v>
      </c>
      <c r="DM15" s="25">
        <v>0</v>
      </c>
      <c r="DN15" s="25">
        <v>20</v>
      </c>
      <c r="DO15" s="25">
        <v>0</v>
      </c>
      <c r="DP15" s="25">
        <v>20</v>
      </c>
      <c r="DQ15" s="25">
        <v>7</v>
      </c>
      <c r="DR15" s="25">
        <v>11</v>
      </c>
      <c r="DS15" s="25">
        <v>0</v>
      </c>
      <c r="DT15" s="25">
        <v>20</v>
      </c>
      <c r="DU15" s="25">
        <v>364</v>
      </c>
      <c r="DV15" s="25">
        <v>74</v>
      </c>
      <c r="DW15" s="25">
        <v>222</v>
      </c>
      <c r="DX15" s="25">
        <v>58</v>
      </c>
      <c r="DY15" s="25">
        <v>123</v>
      </c>
      <c r="DZ15" s="25">
        <v>39</v>
      </c>
      <c r="EA15" s="25">
        <v>99</v>
      </c>
      <c r="EB15" s="25">
        <v>42</v>
      </c>
      <c r="EC15" s="25">
        <v>11</v>
      </c>
      <c r="ED15" s="25">
        <v>12</v>
      </c>
      <c r="EE15" s="25">
        <v>5</v>
      </c>
      <c r="EF15" s="25">
        <v>7</v>
      </c>
      <c r="EG15" s="25">
        <v>4</v>
      </c>
      <c r="EH15" s="25">
        <v>7</v>
      </c>
      <c r="EI15" s="25">
        <v>4</v>
      </c>
      <c r="EJ15" s="25">
        <v>7</v>
      </c>
      <c r="EK15" s="25">
        <v>105</v>
      </c>
      <c r="EL15" s="25">
        <v>38</v>
      </c>
      <c r="EM15" s="25">
        <v>13</v>
      </c>
      <c r="EN15" s="25">
        <v>13</v>
      </c>
    </row>
    <row r="16" spans="1:144" x14ac:dyDescent="0.25">
      <c r="A16" s="19">
        <f t="shared" si="8"/>
        <v>15</v>
      </c>
      <c r="B16" s="20" t="str">
        <f t="shared" si="9"/>
        <v>Emery</v>
      </c>
      <c r="C16" s="24" t="s">
        <v>302</v>
      </c>
      <c r="D16" s="24" t="s">
        <v>303</v>
      </c>
      <c r="E16" s="25">
        <v>3903</v>
      </c>
      <c r="F16" s="25">
        <v>182</v>
      </c>
      <c r="G16" s="25">
        <v>2602</v>
      </c>
      <c r="H16" s="25">
        <v>184</v>
      </c>
      <c r="I16" s="25">
        <v>2538</v>
      </c>
      <c r="J16" s="25">
        <v>185</v>
      </c>
      <c r="K16" s="25">
        <v>64</v>
      </c>
      <c r="L16" s="25">
        <v>38</v>
      </c>
      <c r="M16" s="25">
        <v>161</v>
      </c>
      <c r="N16" s="25">
        <v>52</v>
      </c>
      <c r="O16" s="25">
        <v>512</v>
      </c>
      <c r="P16" s="25">
        <v>91</v>
      </c>
      <c r="Q16" s="25">
        <v>264</v>
      </c>
      <c r="R16" s="25">
        <v>56</v>
      </c>
      <c r="S16" s="25">
        <v>98</v>
      </c>
      <c r="T16" s="25">
        <v>45</v>
      </c>
      <c r="U16" s="25">
        <v>259</v>
      </c>
      <c r="V16" s="25">
        <v>74</v>
      </c>
      <c r="W16" s="25">
        <v>7</v>
      </c>
      <c r="X16" s="25">
        <v>7</v>
      </c>
      <c r="Y16" s="25">
        <v>3151</v>
      </c>
      <c r="Z16" s="25">
        <v>164</v>
      </c>
      <c r="AA16" s="25">
        <v>2185</v>
      </c>
      <c r="AB16" s="25">
        <v>152</v>
      </c>
      <c r="AC16" s="25">
        <v>2157</v>
      </c>
      <c r="AD16" s="25">
        <v>154</v>
      </c>
      <c r="AE16" s="25">
        <v>28</v>
      </c>
      <c r="AF16" s="25">
        <v>17</v>
      </c>
      <c r="AG16" s="25">
        <v>139</v>
      </c>
      <c r="AH16" s="25">
        <v>46</v>
      </c>
      <c r="AI16" s="25">
        <v>430</v>
      </c>
      <c r="AJ16" s="25">
        <v>78</v>
      </c>
      <c r="AK16" s="25">
        <v>233</v>
      </c>
      <c r="AL16" s="25">
        <v>54</v>
      </c>
      <c r="AM16" s="25">
        <v>78</v>
      </c>
      <c r="AN16" s="25">
        <v>35</v>
      </c>
      <c r="AO16" s="25">
        <v>83</v>
      </c>
      <c r="AP16" s="25">
        <v>40</v>
      </c>
      <c r="AQ16" s="25">
        <v>3</v>
      </c>
      <c r="AR16" s="25">
        <v>6</v>
      </c>
      <c r="AS16" s="25">
        <v>337</v>
      </c>
      <c r="AT16" s="25">
        <v>77</v>
      </c>
      <c r="AU16" s="25">
        <v>276</v>
      </c>
      <c r="AV16" s="25">
        <v>74</v>
      </c>
      <c r="AW16" s="25">
        <v>269</v>
      </c>
      <c r="AX16" s="25">
        <v>74</v>
      </c>
      <c r="AY16" s="25">
        <v>7</v>
      </c>
      <c r="AZ16" s="25">
        <v>9</v>
      </c>
      <c r="BA16" s="25">
        <v>13</v>
      </c>
      <c r="BB16" s="25">
        <v>11</v>
      </c>
      <c r="BC16" s="25">
        <v>21</v>
      </c>
      <c r="BD16" s="25">
        <v>20</v>
      </c>
      <c r="BE16" s="25">
        <v>22</v>
      </c>
      <c r="BF16" s="25">
        <v>19</v>
      </c>
      <c r="BG16" s="25">
        <v>0</v>
      </c>
      <c r="BH16" s="25">
        <v>17</v>
      </c>
      <c r="BI16" s="25">
        <v>5</v>
      </c>
      <c r="BJ16" s="25">
        <v>6</v>
      </c>
      <c r="BK16" s="25">
        <v>0</v>
      </c>
      <c r="BL16" s="25">
        <v>17</v>
      </c>
      <c r="BM16" s="25">
        <v>59</v>
      </c>
      <c r="BN16" s="25">
        <v>40</v>
      </c>
      <c r="BO16" s="25">
        <v>27</v>
      </c>
      <c r="BP16" s="25">
        <v>30</v>
      </c>
      <c r="BQ16" s="25">
        <v>27</v>
      </c>
      <c r="BR16" s="25">
        <v>30</v>
      </c>
      <c r="BS16" s="25">
        <v>0</v>
      </c>
      <c r="BT16" s="25">
        <v>17</v>
      </c>
      <c r="BU16" s="25">
        <v>0</v>
      </c>
      <c r="BV16" s="25">
        <v>17</v>
      </c>
      <c r="BW16" s="25">
        <v>32</v>
      </c>
      <c r="BX16" s="25">
        <v>31</v>
      </c>
      <c r="BY16" s="25">
        <v>0</v>
      </c>
      <c r="BZ16" s="25">
        <v>17</v>
      </c>
      <c r="CA16" s="25">
        <v>0</v>
      </c>
      <c r="CB16" s="25">
        <v>17</v>
      </c>
      <c r="CC16" s="25">
        <v>0</v>
      </c>
      <c r="CD16" s="25">
        <v>17</v>
      </c>
      <c r="CE16" s="25">
        <v>0</v>
      </c>
      <c r="CF16" s="25">
        <v>17</v>
      </c>
      <c r="CG16" s="25">
        <v>63</v>
      </c>
      <c r="CH16" s="25">
        <v>27</v>
      </c>
      <c r="CI16" s="25">
        <v>26</v>
      </c>
      <c r="CJ16" s="25">
        <v>25</v>
      </c>
      <c r="CK16" s="25">
        <v>26</v>
      </c>
      <c r="CL16" s="25">
        <v>25</v>
      </c>
      <c r="CM16" s="25">
        <v>0</v>
      </c>
      <c r="CN16" s="25">
        <v>17</v>
      </c>
      <c r="CO16" s="25">
        <v>9</v>
      </c>
      <c r="CP16" s="25">
        <v>13</v>
      </c>
      <c r="CQ16" s="25">
        <v>15</v>
      </c>
      <c r="CR16" s="25">
        <v>12</v>
      </c>
      <c r="CS16" s="25">
        <v>7</v>
      </c>
      <c r="CT16" s="25">
        <v>7</v>
      </c>
      <c r="CU16" s="25">
        <v>4</v>
      </c>
      <c r="CV16" s="25">
        <v>5</v>
      </c>
      <c r="CW16" s="25">
        <v>2</v>
      </c>
      <c r="CX16" s="25">
        <v>5</v>
      </c>
      <c r="CY16" s="25">
        <v>0</v>
      </c>
      <c r="CZ16" s="25">
        <v>17</v>
      </c>
      <c r="DA16" s="25">
        <v>36</v>
      </c>
      <c r="DB16" s="25">
        <v>30</v>
      </c>
      <c r="DC16" s="25">
        <v>16</v>
      </c>
      <c r="DD16" s="25">
        <v>15</v>
      </c>
      <c r="DE16" s="25">
        <v>16</v>
      </c>
      <c r="DF16" s="25">
        <v>15</v>
      </c>
      <c r="DG16" s="25">
        <v>0</v>
      </c>
      <c r="DH16" s="25">
        <v>17</v>
      </c>
      <c r="DI16" s="25">
        <v>0</v>
      </c>
      <c r="DJ16" s="25">
        <v>17</v>
      </c>
      <c r="DK16" s="25">
        <v>4</v>
      </c>
      <c r="DL16" s="25">
        <v>5</v>
      </c>
      <c r="DM16" s="25">
        <v>0</v>
      </c>
      <c r="DN16" s="25">
        <v>17</v>
      </c>
      <c r="DO16" s="25">
        <v>16</v>
      </c>
      <c r="DP16" s="25">
        <v>24</v>
      </c>
      <c r="DQ16" s="25">
        <v>0</v>
      </c>
      <c r="DR16" s="25">
        <v>17</v>
      </c>
      <c r="DS16" s="25">
        <v>0</v>
      </c>
      <c r="DT16" s="25">
        <v>17</v>
      </c>
      <c r="DU16" s="25">
        <v>257</v>
      </c>
      <c r="DV16" s="25">
        <v>81</v>
      </c>
      <c r="DW16" s="25">
        <v>72</v>
      </c>
      <c r="DX16" s="25">
        <v>48</v>
      </c>
      <c r="DY16" s="25">
        <v>43</v>
      </c>
      <c r="DZ16" s="25">
        <v>42</v>
      </c>
      <c r="EA16" s="25">
        <v>29</v>
      </c>
      <c r="EB16" s="25">
        <v>30</v>
      </c>
      <c r="EC16" s="25">
        <v>0</v>
      </c>
      <c r="ED16" s="25">
        <v>17</v>
      </c>
      <c r="EE16" s="25">
        <v>10</v>
      </c>
      <c r="EF16" s="25">
        <v>9</v>
      </c>
      <c r="EG16" s="25">
        <v>2</v>
      </c>
      <c r="EH16" s="25">
        <v>3</v>
      </c>
      <c r="EI16" s="25">
        <v>0</v>
      </c>
      <c r="EJ16" s="25">
        <v>17</v>
      </c>
      <c r="EK16" s="25">
        <v>169</v>
      </c>
      <c r="EL16" s="25">
        <v>60</v>
      </c>
      <c r="EM16" s="25">
        <v>4</v>
      </c>
      <c r="EN16" s="25">
        <v>5</v>
      </c>
    </row>
    <row r="17" spans="1:144" x14ac:dyDescent="0.25">
      <c r="A17" s="19">
        <f t="shared" si="8"/>
        <v>17</v>
      </c>
      <c r="B17" s="20" t="str">
        <f t="shared" si="9"/>
        <v>Garfield</v>
      </c>
      <c r="C17" s="24" t="s">
        <v>304</v>
      </c>
      <c r="D17" s="24" t="s">
        <v>305</v>
      </c>
      <c r="E17" s="25">
        <v>2062</v>
      </c>
      <c r="F17" s="25">
        <v>130</v>
      </c>
      <c r="G17" s="25">
        <v>1362</v>
      </c>
      <c r="H17" s="25">
        <v>155</v>
      </c>
      <c r="I17" s="25">
        <v>1293</v>
      </c>
      <c r="J17" s="25">
        <v>158</v>
      </c>
      <c r="K17" s="25">
        <v>69</v>
      </c>
      <c r="L17" s="25">
        <v>40</v>
      </c>
      <c r="M17" s="25">
        <v>97</v>
      </c>
      <c r="N17" s="25">
        <v>31</v>
      </c>
      <c r="O17" s="25">
        <v>184</v>
      </c>
      <c r="P17" s="25">
        <v>45</v>
      </c>
      <c r="Q17" s="25">
        <v>111</v>
      </c>
      <c r="R17" s="25">
        <v>39</v>
      </c>
      <c r="S17" s="25">
        <v>149</v>
      </c>
      <c r="T17" s="25">
        <v>64</v>
      </c>
      <c r="U17" s="25">
        <v>159</v>
      </c>
      <c r="V17" s="25">
        <v>75</v>
      </c>
      <c r="W17" s="25">
        <v>0</v>
      </c>
      <c r="X17" s="25">
        <v>15</v>
      </c>
      <c r="Y17" s="25">
        <v>1469</v>
      </c>
      <c r="Z17" s="25">
        <v>131</v>
      </c>
      <c r="AA17" s="25">
        <v>928</v>
      </c>
      <c r="AB17" s="25">
        <v>120</v>
      </c>
      <c r="AC17" s="25">
        <v>881</v>
      </c>
      <c r="AD17" s="25">
        <v>119</v>
      </c>
      <c r="AE17" s="25">
        <v>47</v>
      </c>
      <c r="AF17" s="25">
        <v>37</v>
      </c>
      <c r="AG17" s="25">
        <v>51</v>
      </c>
      <c r="AH17" s="25">
        <v>18</v>
      </c>
      <c r="AI17" s="25">
        <v>157</v>
      </c>
      <c r="AJ17" s="25">
        <v>39</v>
      </c>
      <c r="AK17" s="25">
        <v>78</v>
      </c>
      <c r="AL17" s="25">
        <v>34</v>
      </c>
      <c r="AM17" s="25">
        <v>141</v>
      </c>
      <c r="AN17" s="25">
        <v>62</v>
      </c>
      <c r="AO17" s="25">
        <v>114</v>
      </c>
      <c r="AP17" s="25">
        <v>73</v>
      </c>
      <c r="AQ17" s="25">
        <v>0</v>
      </c>
      <c r="AR17" s="25">
        <v>15</v>
      </c>
      <c r="AS17" s="25">
        <v>256</v>
      </c>
      <c r="AT17" s="25">
        <v>94</v>
      </c>
      <c r="AU17" s="25">
        <v>200</v>
      </c>
      <c r="AV17" s="25">
        <v>75</v>
      </c>
      <c r="AW17" s="25">
        <v>197</v>
      </c>
      <c r="AX17" s="25">
        <v>75</v>
      </c>
      <c r="AY17" s="25">
        <v>3</v>
      </c>
      <c r="AZ17" s="25">
        <v>4</v>
      </c>
      <c r="BA17" s="25">
        <v>13</v>
      </c>
      <c r="BB17" s="25">
        <v>13</v>
      </c>
      <c r="BC17" s="25">
        <v>10</v>
      </c>
      <c r="BD17" s="25">
        <v>7</v>
      </c>
      <c r="BE17" s="25">
        <v>23</v>
      </c>
      <c r="BF17" s="25">
        <v>26</v>
      </c>
      <c r="BG17" s="25">
        <v>7</v>
      </c>
      <c r="BH17" s="25">
        <v>8</v>
      </c>
      <c r="BI17" s="25">
        <v>3</v>
      </c>
      <c r="BJ17" s="25">
        <v>4</v>
      </c>
      <c r="BK17" s="25">
        <v>0</v>
      </c>
      <c r="BL17" s="25">
        <v>15</v>
      </c>
      <c r="BM17" s="25">
        <v>0</v>
      </c>
      <c r="BN17" s="25">
        <v>15</v>
      </c>
      <c r="BO17" s="25">
        <v>0</v>
      </c>
      <c r="BP17" s="25">
        <v>15</v>
      </c>
      <c r="BQ17" s="25">
        <v>0</v>
      </c>
      <c r="BR17" s="25">
        <v>15</v>
      </c>
      <c r="BS17" s="25">
        <v>0</v>
      </c>
      <c r="BT17" s="25">
        <v>15</v>
      </c>
      <c r="BU17" s="25">
        <v>0</v>
      </c>
      <c r="BV17" s="25">
        <v>15</v>
      </c>
      <c r="BW17" s="25">
        <v>0</v>
      </c>
      <c r="BX17" s="25">
        <v>15</v>
      </c>
      <c r="BY17" s="25">
        <v>0</v>
      </c>
      <c r="BZ17" s="25">
        <v>15</v>
      </c>
      <c r="CA17" s="25">
        <v>0</v>
      </c>
      <c r="CB17" s="25">
        <v>15</v>
      </c>
      <c r="CC17" s="25">
        <v>0</v>
      </c>
      <c r="CD17" s="25">
        <v>15</v>
      </c>
      <c r="CE17" s="25">
        <v>0</v>
      </c>
      <c r="CF17" s="25">
        <v>15</v>
      </c>
      <c r="CG17" s="25">
        <v>150</v>
      </c>
      <c r="CH17" s="25">
        <v>74</v>
      </c>
      <c r="CI17" s="25">
        <v>122</v>
      </c>
      <c r="CJ17" s="25">
        <v>71</v>
      </c>
      <c r="CK17" s="25">
        <v>115</v>
      </c>
      <c r="CL17" s="25">
        <v>72</v>
      </c>
      <c r="CM17" s="25">
        <v>7</v>
      </c>
      <c r="CN17" s="25">
        <v>9</v>
      </c>
      <c r="CO17" s="25">
        <v>1</v>
      </c>
      <c r="CP17" s="25">
        <v>2</v>
      </c>
      <c r="CQ17" s="25">
        <v>10</v>
      </c>
      <c r="CR17" s="25">
        <v>13</v>
      </c>
      <c r="CS17" s="25">
        <v>10</v>
      </c>
      <c r="CT17" s="25">
        <v>13</v>
      </c>
      <c r="CU17" s="25">
        <v>1</v>
      </c>
      <c r="CV17" s="25">
        <v>3</v>
      </c>
      <c r="CW17" s="25">
        <v>6</v>
      </c>
      <c r="CX17" s="25">
        <v>6</v>
      </c>
      <c r="CY17" s="25">
        <v>0</v>
      </c>
      <c r="CZ17" s="25">
        <v>15</v>
      </c>
      <c r="DA17" s="25">
        <v>53</v>
      </c>
      <c r="DB17" s="25">
        <v>28</v>
      </c>
      <c r="DC17" s="25">
        <v>32</v>
      </c>
      <c r="DD17" s="25">
        <v>21</v>
      </c>
      <c r="DE17" s="25">
        <v>32</v>
      </c>
      <c r="DF17" s="25">
        <v>21</v>
      </c>
      <c r="DG17" s="25">
        <v>0</v>
      </c>
      <c r="DH17" s="25">
        <v>15</v>
      </c>
      <c r="DI17" s="25">
        <v>8</v>
      </c>
      <c r="DJ17" s="25">
        <v>10</v>
      </c>
      <c r="DK17" s="25">
        <v>7</v>
      </c>
      <c r="DL17" s="25">
        <v>8</v>
      </c>
      <c r="DM17" s="25">
        <v>0</v>
      </c>
      <c r="DN17" s="25">
        <v>15</v>
      </c>
      <c r="DO17" s="25">
        <v>0</v>
      </c>
      <c r="DP17" s="25">
        <v>15</v>
      </c>
      <c r="DQ17" s="25">
        <v>6</v>
      </c>
      <c r="DR17" s="25">
        <v>6</v>
      </c>
      <c r="DS17" s="25">
        <v>0</v>
      </c>
      <c r="DT17" s="25">
        <v>15</v>
      </c>
      <c r="DU17" s="25">
        <v>134</v>
      </c>
      <c r="DV17" s="25">
        <v>45</v>
      </c>
      <c r="DW17" s="25">
        <v>80</v>
      </c>
      <c r="DX17" s="25">
        <v>40</v>
      </c>
      <c r="DY17" s="25">
        <v>68</v>
      </c>
      <c r="DZ17" s="25">
        <v>37</v>
      </c>
      <c r="EA17" s="25">
        <v>12</v>
      </c>
      <c r="EB17" s="25">
        <v>9</v>
      </c>
      <c r="EC17" s="25">
        <v>24</v>
      </c>
      <c r="ED17" s="25">
        <v>22</v>
      </c>
      <c r="EE17" s="25">
        <v>0</v>
      </c>
      <c r="EF17" s="25">
        <v>15</v>
      </c>
      <c r="EG17" s="25">
        <v>0</v>
      </c>
      <c r="EH17" s="25">
        <v>15</v>
      </c>
      <c r="EI17" s="25">
        <v>0</v>
      </c>
      <c r="EJ17" s="25">
        <v>15</v>
      </c>
      <c r="EK17" s="25">
        <v>30</v>
      </c>
      <c r="EL17" s="25">
        <v>17</v>
      </c>
      <c r="EM17" s="25">
        <v>0</v>
      </c>
      <c r="EN17" s="25">
        <v>15</v>
      </c>
    </row>
    <row r="18" spans="1:144" x14ac:dyDescent="0.25">
      <c r="A18" s="19">
        <f t="shared" si="8"/>
        <v>19</v>
      </c>
      <c r="B18" s="20" t="str">
        <f t="shared" si="9"/>
        <v>Grand</v>
      </c>
      <c r="C18" s="24" t="s">
        <v>306</v>
      </c>
      <c r="D18" s="24" t="s">
        <v>307</v>
      </c>
      <c r="E18" s="25">
        <v>4560</v>
      </c>
      <c r="F18" s="25">
        <v>298</v>
      </c>
      <c r="G18" s="25">
        <v>3089</v>
      </c>
      <c r="H18" s="25">
        <v>389</v>
      </c>
      <c r="I18" s="25">
        <v>2947</v>
      </c>
      <c r="J18" s="25">
        <v>378</v>
      </c>
      <c r="K18" s="25">
        <v>142</v>
      </c>
      <c r="L18" s="25">
        <v>70</v>
      </c>
      <c r="M18" s="25">
        <v>456</v>
      </c>
      <c r="N18" s="25">
        <v>167</v>
      </c>
      <c r="O18" s="25">
        <v>288</v>
      </c>
      <c r="P18" s="25">
        <v>111</v>
      </c>
      <c r="Q18" s="25">
        <v>87</v>
      </c>
      <c r="R18" s="25">
        <v>59</v>
      </c>
      <c r="S18" s="25">
        <v>257</v>
      </c>
      <c r="T18" s="25">
        <v>105</v>
      </c>
      <c r="U18" s="25">
        <v>383</v>
      </c>
      <c r="V18" s="25">
        <v>163</v>
      </c>
      <c r="W18" s="25">
        <v>0</v>
      </c>
      <c r="X18" s="25">
        <v>15</v>
      </c>
      <c r="Y18" s="25">
        <v>3099</v>
      </c>
      <c r="Z18" s="25">
        <v>313</v>
      </c>
      <c r="AA18" s="25">
        <v>2230</v>
      </c>
      <c r="AB18" s="25">
        <v>322</v>
      </c>
      <c r="AC18" s="25">
        <v>2149</v>
      </c>
      <c r="AD18" s="25">
        <v>310</v>
      </c>
      <c r="AE18" s="25">
        <v>81</v>
      </c>
      <c r="AF18" s="25">
        <v>59</v>
      </c>
      <c r="AG18" s="25">
        <v>315</v>
      </c>
      <c r="AH18" s="25">
        <v>137</v>
      </c>
      <c r="AI18" s="25">
        <v>249</v>
      </c>
      <c r="AJ18" s="25">
        <v>105</v>
      </c>
      <c r="AK18" s="25">
        <v>58</v>
      </c>
      <c r="AL18" s="25">
        <v>56</v>
      </c>
      <c r="AM18" s="25">
        <v>117</v>
      </c>
      <c r="AN18" s="25">
        <v>74</v>
      </c>
      <c r="AO18" s="25">
        <v>130</v>
      </c>
      <c r="AP18" s="25">
        <v>93</v>
      </c>
      <c r="AQ18" s="25">
        <v>0</v>
      </c>
      <c r="AR18" s="25">
        <v>15</v>
      </c>
      <c r="AS18" s="25">
        <v>558</v>
      </c>
      <c r="AT18" s="25">
        <v>202</v>
      </c>
      <c r="AU18" s="25">
        <v>321</v>
      </c>
      <c r="AV18" s="25">
        <v>137</v>
      </c>
      <c r="AW18" s="25">
        <v>312</v>
      </c>
      <c r="AX18" s="25">
        <v>136</v>
      </c>
      <c r="AY18" s="25">
        <v>9</v>
      </c>
      <c r="AZ18" s="25">
        <v>14</v>
      </c>
      <c r="BA18" s="25">
        <v>99</v>
      </c>
      <c r="BB18" s="25">
        <v>109</v>
      </c>
      <c r="BC18" s="25">
        <v>13</v>
      </c>
      <c r="BD18" s="25">
        <v>18</v>
      </c>
      <c r="BE18" s="25">
        <v>22</v>
      </c>
      <c r="BF18" s="25">
        <v>24</v>
      </c>
      <c r="BG18" s="25">
        <v>71</v>
      </c>
      <c r="BH18" s="25">
        <v>76</v>
      </c>
      <c r="BI18" s="25">
        <v>32</v>
      </c>
      <c r="BJ18" s="25">
        <v>41</v>
      </c>
      <c r="BK18" s="25">
        <v>0</v>
      </c>
      <c r="BL18" s="25">
        <v>15</v>
      </c>
      <c r="BM18" s="25">
        <v>2</v>
      </c>
      <c r="BN18" s="25">
        <v>4</v>
      </c>
      <c r="BO18" s="25">
        <v>0</v>
      </c>
      <c r="BP18" s="25">
        <v>15</v>
      </c>
      <c r="BQ18" s="25">
        <v>0</v>
      </c>
      <c r="BR18" s="25">
        <v>15</v>
      </c>
      <c r="BS18" s="25">
        <v>0</v>
      </c>
      <c r="BT18" s="25">
        <v>15</v>
      </c>
      <c r="BU18" s="25">
        <v>0</v>
      </c>
      <c r="BV18" s="25">
        <v>15</v>
      </c>
      <c r="BW18" s="25">
        <v>0</v>
      </c>
      <c r="BX18" s="25">
        <v>15</v>
      </c>
      <c r="BY18" s="25">
        <v>0</v>
      </c>
      <c r="BZ18" s="25">
        <v>15</v>
      </c>
      <c r="CA18" s="25">
        <v>0</v>
      </c>
      <c r="CB18" s="25">
        <v>15</v>
      </c>
      <c r="CC18" s="25">
        <v>2</v>
      </c>
      <c r="CD18" s="25">
        <v>4</v>
      </c>
      <c r="CE18" s="25">
        <v>0</v>
      </c>
      <c r="CF18" s="25">
        <v>15</v>
      </c>
      <c r="CG18" s="25">
        <v>256</v>
      </c>
      <c r="CH18" s="25">
        <v>181</v>
      </c>
      <c r="CI18" s="25">
        <v>211</v>
      </c>
      <c r="CJ18" s="25">
        <v>176</v>
      </c>
      <c r="CK18" s="25">
        <v>211</v>
      </c>
      <c r="CL18" s="25">
        <v>176</v>
      </c>
      <c r="CM18" s="25">
        <v>0</v>
      </c>
      <c r="CN18" s="25">
        <v>15</v>
      </c>
      <c r="CO18" s="25">
        <v>15</v>
      </c>
      <c r="CP18" s="25">
        <v>24</v>
      </c>
      <c r="CQ18" s="25">
        <v>0</v>
      </c>
      <c r="CR18" s="25">
        <v>15</v>
      </c>
      <c r="CS18" s="25">
        <v>0</v>
      </c>
      <c r="CT18" s="25">
        <v>15</v>
      </c>
      <c r="CU18" s="25">
        <v>20</v>
      </c>
      <c r="CV18" s="25">
        <v>30</v>
      </c>
      <c r="CW18" s="25">
        <v>10</v>
      </c>
      <c r="CX18" s="25">
        <v>17</v>
      </c>
      <c r="CY18" s="25">
        <v>0</v>
      </c>
      <c r="CZ18" s="25">
        <v>15</v>
      </c>
      <c r="DA18" s="25">
        <v>278</v>
      </c>
      <c r="DB18" s="25">
        <v>148</v>
      </c>
      <c r="DC18" s="25">
        <v>191</v>
      </c>
      <c r="DD18" s="25">
        <v>124</v>
      </c>
      <c r="DE18" s="25">
        <v>191</v>
      </c>
      <c r="DF18" s="25">
        <v>124</v>
      </c>
      <c r="DG18" s="25">
        <v>0</v>
      </c>
      <c r="DH18" s="25">
        <v>15</v>
      </c>
      <c r="DI18" s="25">
        <v>0</v>
      </c>
      <c r="DJ18" s="25">
        <v>15</v>
      </c>
      <c r="DK18" s="25">
        <v>26</v>
      </c>
      <c r="DL18" s="25">
        <v>31</v>
      </c>
      <c r="DM18" s="25">
        <v>0</v>
      </c>
      <c r="DN18" s="25">
        <v>15</v>
      </c>
      <c r="DO18" s="25">
        <v>36</v>
      </c>
      <c r="DP18" s="25">
        <v>37</v>
      </c>
      <c r="DQ18" s="25">
        <v>25</v>
      </c>
      <c r="DR18" s="25">
        <v>45</v>
      </c>
      <c r="DS18" s="25">
        <v>0</v>
      </c>
      <c r="DT18" s="25">
        <v>15</v>
      </c>
      <c r="DU18" s="25">
        <v>367</v>
      </c>
      <c r="DV18" s="25">
        <v>159</v>
      </c>
      <c r="DW18" s="25">
        <v>136</v>
      </c>
      <c r="DX18" s="25">
        <v>89</v>
      </c>
      <c r="DY18" s="25">
        <v>84</v>
      </c>
      <c r="DZ18" s="25">
        <v>79</v>
      </c>
      <c r="EA18" s="25">
        <v>52</v>
      </c>
      <c r="EB18" s="25">
        <v>41</v>
      </c>
      <c r="EC18" s="25">
        <v>27</v>
      </c>
      <c r="ED18" s="25">
        <v>22</v>
      </c>
      <c r="EE18" s="25">
        <v>0</v>
      </c>
      <c r="EF18" s="25">
        <v>15</v>
      </c>
      <c r="EG18" s="25">
        <v>7</v>
      </c>
      <c r="EH18" s="25">
        <v>10</v>
      </c>
      <c r="EI18" s="25">
        <v>13</v>
      </c>
      <c r="EJ18" s="25">
        <v>21</v>
      </c>
      <c r="EK18" s="25">
        <v>184</v>
      </c>
      <c r="EL18" s="25">
        <v>113</v>
      </c>
      <c r="EM18" s="25">
        <v>0</v>
      </c>
      <c r="EN18" s="25">
        <v>15</v>
      </c>
    </row>
    <row r="19" spans="1:144" x14ac:dyDescent="0.25">
      <c r="A19" s="19">
        <f t="shared" si="8"/>
        <v>21</v>
      </c>
      <c r="B19" s="20" t="str">
        <f t="shared" si="9"/>
        <v>Iron</v>
      </c>
      <c r="C19" s="24" t="s">
        <v>308</v>
      </c>
      <c r="D19" s="24" t="s">
        <v>309</v>
      </c>
      <c r="E19" s="25">
        <v>19758</v>
      </c>
      <c r="F19" s="25">
        <v>864</v>
      </c>
      <c r="G19" s="25">
        <v>14037</v>
      </c>
      <c r="H19" s="25">
        <v>693</v>
      </c>
      <c r="I19" s="25">
        <v>13077</v>
      </c>
      <c r="J19" s="25">
        <v>717</v>
      </c>
      <c r="K19" s="25">
        <v>960</v>
      </c>
      <c r="L19" s="25">
        <v>264</v>
      </c>
      <c r="M19" s="25">
        <v>938</v>
      </c>
      <c r="N19" s="25">
        <v>210</v>
      </c>
      <c r="O19" s="25">
        <v>1654</v>
      </c>
      <c r="P19" s="25">
        <v>290</v>
      </c>
      <c r="Q19" s="25">
        <v>1759</v>
      </c>
      <c r="R19" s="25">
        <v>280</v>
      </c>
      <c r="S19" s="25">
        <v>482</v>
      </c>
      <c r="T19" s="25">
        <v>160</v>
      </c>
      <c r="U19" s="25">
        <v>882</v>
      </c>
      <c r="V19" s="25">
        <v>193</v>
      </c>
      <c r="W19" s="25">
        <v>6</v>
      </c>
      <c r="X19" s="25">
        <v>8</v>
      </c>
      <c r="Y19" s="25">
        <v>15166</v>
      </c>
      <c r="Z19" s="25">
        <v>820</v>
      </c>
      <c r="AA19" s="25">
        <v>10794</v>
      </c>
      <c r="AB19" s="25">
        <v>671</v>
      </c>
      <c r="AC19" s="25">
        <v>10168</v>
      </c>
      <c r="AD19" s="25">
        <v>654</v>
      </c>
      <c r="AE19" s="25">
        <v>626</v>
      </c>
      <c r="AF19" s="25">
        <v>163</v>
      </c>
      <c r="AG19" s="25">
        <v>746</v>
      </c>
      <c r="AH19" s="25">
        <v>197</v>
      </c>
      <c r="AI19" s="25">
        <v>1505</v>
      </c>
      <c r="AJ19" s="25">
        <v>273</v>
      </c>
      <c r="AK19" s="25">
        <v>1354</v>
      </c>
      <c r="AL19" s="25">
        <v>241</v>
      </c>
      <c r="AM19" s="25">
        <v>350</v>
      </c>
      <c r="AN19" s="25">
        <v>121</v>
      </c>
      <c r="AO19" s="25">
        <v>411</v>
      </c>
      <c r="AP19" s="25">
        <v>154</v>
      </c>
      <c r="AQ19" s="25">
        <v>6</v>
      </c>
      <c r="AR19" s="25">
        <v>8</v>
      </c>
      <c r="AS19" s="25">
        <v>2644</v>
      </c>
      <c r="AT19" s="25">
        <v>408</v>
      </c>
      <c r="AU19" s="25">
        <v>2107</v>
      </c>
      <c r="AV19" s="25">
        <v>357</v>
      </c>
      <c r="AW19" s="25">
        <v>1917</v>
      </c>
      <c r="AX19" s="25">
        <v>354</v>
      </c>
      <c r="AY19" s="25">
        <v>190</v>
      </c>
      <c r="AZ19" s="25">
        <v>186</v>
      </c>
      <c r="BA19" s="25">
        <v>42</v>
      </c>
      <c r="BB19" s="25">
        <v>35</v>
      </c>
      <c r="BC19" s="25">
        <v>111</v>
      </c>
      <c r="BD19" s="25">
        <v>67</v>
      </c>
      <c r="BE19" s="25">
        <v>208</v>
      </c>
      <c r="BF19" s="25">
        <v>118</v>
      </c>
      <c r="BG19" s="25">
        <v>94</v>
      </c>
      <c r="BH19" s="25">
        <v>79</v>
      </c>
      <c r="BI19" s="25">
        <v>82</v>
      </c>
      <c r="BJ19" s="25">
        <v>46</v>
      </c>
      <c r="BK19" s="25">
        <v>0</v>
      </c>
      <c r="BL19" s="25">
        <v>23</v>
      </c>
      <c r="BM19" s="25">
        <v>72</v>
      </c>
      <c r="BN19" s="25">
        <v>75</v>
      </c>
      <c r="BO19" s="25">
        <v>70</v>
      </c>
      <c r="BP19" s="25">
        <v>76</v>
      </c>
      <c r="BQ19" s="25">
        <v>70</v>
      </c>
      <c r="BR19" s="25">
        <v>76</v>
      </c>
      <c r="BS19" s="25">
        <v>0</v>
      </c>
      <c r="BT19" s="25">
        <v>23</v>
      </c>
      <c r="BU19" s="25">
        <v>0</v>
      </c>
      <c r="BV19" s="25">
        <v>23</v>
      </c>
      <c r="BW19" s="25">
        <v>0</v>
      </c>
      <c r="BX19" s="25">
        <v>23</v>
      </c>
      <c r="BY19" s="25">
        <v>0</v>
      </c>
      <c r="BZ19" s="25">
        <v>23</v>
      </c>
      <c r="CA19" s="25">
        <v>0</v>
      </c>
      <c r="CB19" s="25">
        <v>23</v>
      </c>
      <c r="CC19" s="25">
        <v>2</v>
      </c>
      <c r="CD19" s="25">
        <v>5</v>
      </c>
      <c r="CE19" s="25">
        <v>0</v>
      </c>
      <c r="CF19" s="25">
        <v>23</v>
      </c>
      <c r="CG19" s="25">
        <v>990</v>
      </c>
      <c r="CH19" s="25">
        <v>290</v>
      </c>
      <c r="CI19" s="25">
        <v>651</v>
      </c>
      <c r="CJ19" s="25">
        <v>223</v>
      </c>
      <c r="CK19" s="25">
        <v>601</v>
      </c>
      <c r="CL19" s="25">
        <v>224</v>
      </c>
      <c r="CM19" s="25">
        <v>50</v>
      </c>
      <c r="CN19" s="25">
        <v>27</v>
      </c>
      <c r="CO19" s="25">
        <v>137</v>
      </c>
      <c r="CP19" s="25">
        <v>89</v>
      </c>
      <c r="CQ19" s="25">
        <v>38</v>
      </c>
      <c r="CR19" s="25">
        <v>34</v>
      </c>
      <c r="CS19" s="25">
        <v>53</v>
      </c>
      <c r="CT19" s="25">
        <v>68</v>
      </c>
      <c r="CU19" s="25">
        <v>14</v>
      </c>
      <c r="CV19" s="25">
        <v>20</v>
      </c>
      <c r="CW19" s="25">
        <v>97</v>
      </c>
      <c r="CX19" s="25">
        <v>74</v>
      </c>
      <c r="CY19" s="25">
        <v>0</v>
      </c>
      <c r="CZ19" s="25">
        <v>23</v>
      </c>
      <c r="DA19" s="25">
        <v>279</v>
      </c>
      <c r="DB19" s="25">
        <v>161</v>
      </c>
      <c r="DC19" s="25">
        <v>108</v>
      </c>
      <c r="DD19" s="25">
        <v>85</v>
      </c>
      <c r="DE19" s="25">
        <v>106</v>
      </c>
      <c r="DF19" s="25">
        <v>85</v>
      </c>
      <c r="DG19" s="25">
        <v>2</v>
      </c>
      <c r="DH19" s="25">
        <v>3</v>
      </c>
      <c r="DI19" s="25">
        <v>0</v>
      </c>
      <c r="DJ19" s="25">
        <v>23</v>
      </c>
      <c r="DK19" s="25">
        <v>0</v>
      </c>
      <c r="DL19" s="25">
        <v>23</v>
      </c>
      <c r="DM19" s="25">
        <v>92</v>
      </c>
      <c r="DN19" s="25">
        <v>73</v>
      </c>
      <c r="DO19" s="25">
        <v>24</v>
      </c>
      <c r="DP19" s="25">
        <v>37</v>
      </c>
      <c r="DQ19" s="25">
        <v>55</v>
      </c>
      <c r="DR19" s="25">
        <v>57</v>
      </c>
      <c r="DS19" s="25">
        <v>0</v>
      </c>
      <c r="DT19" s="25">
        <v>23</v>
      </c>
      <c r="DU19" s="25">
        <v>607</v>
      </c>
      <c r="DV19" s="25">
        <v>177</v>
      </c>
      <c r="DW19" s="25">
        <v>307</v>
      </c>
      <c r="DX19" s="25">
        <v>155</v>
      </c>
      <c r="DY19" s="25">
        <v>215</v>
      </c>
      <c r="DZ19" s="25">
        <v>121</v>
      </c>
      <c r="EA19" s="25">
        <v>92</v>
      </c>
      <c r="EB19" s="25">
        <v>83</v>
      </c>
      <c r="EC19" s="25">
        <v>13</v>
      </c>
      <c r="ED19" s="25">
        <v>20</v>
      </c>
      <c r="EE19" s="25">
        <v>0</v>
      </c>
      <c r="EF19" s="25">
        <v>23</v>
      </c>
      <c r="EG19" s="25">
        <v>52</v>
      </c>
      <c r="EH19" s="25">
        <v>42</v>
      </c>
      <c r="EI19" s="25">
        <v>0</v>
      </c>
      <c r="EJ19" s="25">
        <v>23</v>
      </c>
      <c r="EK19" s="25">
        <v>235</v>
      </c>
      <c r="EL19" s="25">
        <v>85</v>
      </c>
      <c r="EM19" s="25">
        <v>0</v>
      </c>
      <c r="EN19" s="25">
        <v>23</v>
      </c>
    </row>
    <row r="20" spans="1:144" x14ac:dyDescent="0.25">
      <c r="A20" s="19">
        <f t="shared" si="8"/>
        <v>23</v>
      </c>
      <c r="B20" s="20" t="str">
        <f t="shared" si="9"/>
        <v>Juab</v>
      </c>
      <c r="C20" s="24" t="s">
        <v>310</v>
      </c>
      <c r="D20" s="24" t="s">
        <v>311</v>
      </c>
      <c r="E20" s="25">
        <v>4201</v>
      </c>
      <c r="F20" s="25">
        <v>252</v>
      </c>
      <c r="G20" s="25">
        <v>3013</v>
      </c>
      <c r="H20" s="25">
        <v>208</v>
      </c>
      <c r="I20" s="25">
        <v>2907</v>
      </c>
      <c r="J20" s="25">
        <v>207</v>
      </c>
      <c r="K20" s="25">
        <v>106</v>
      </c>
      <c r="L20" s="25">
        <v>40</v>
      </c>
      <c r="M20" s="25">
        <v>216</v>
      </c>
      <c r="N20" s="25">
        <v>76</v>
      </c>
      <c r="O20" s="25">
        <v>407</v>
      </c>
      <c r="P20" s="25">
        <v>92</v>
      </c>
      <c r="Q20" s="25">
        <v>258</v>
      </c>
      <c r="R20" s="25">
        <v>82</v>
      </c>
      <c r="S20" s="25">
        <v>74</v>
      </c>
      <c r="T20" s="25">
        <v>31</v>
      </c>
      <c r="U20" s="25">
        <v>231</v>
      </c>
      <c r="V20" s="25">
        <v>61</v>
      </c>
      <c r="W20" s="25">
        <v>2</v>
      </c>
      <c r="X20" s="25">
        <v>3</v>
      </c>
      <c r="Y20" s="25">
        <v>3059</v>
      </c>
      <c r="Z20" s="25">
        <v>216</v>
      </c>
      <c r="AA20" s="25">
        <v>2207</v>
      </c>
      <c r="AB20" s="25">
        <v>185</v>
      </c>
      <c r="AC20" s="25">
        <v>2135</v>
      </c>
      <c r="AD20" s="25">
        <v>186</v>
      </c>
      <c r="AE20" s="25">
        <v>72</v>
      </c>
      <c r="AF20" s="25">
        <v>34</v>
      </c>
      <c r="AG20" s="25">
        <v>125</v>
      </c>
      <c r="AH20" s="25">
        <v>52</v>
      </c>
      <c r="AI20" s="25">
        <v>362</v>
      </c>
      <c r="AJ20" s="25">
        <v>87</v>
      </c>
      <c r="AK20" s="25">
        <v>238</v>
      </c>
      <c r="AL20" s="25">
        <v>77</v>
      </c>
      <c r="AM20" s="25">
        <v>25</v>
      </c>
      <c r="AN20" s="25">
        <v>20</v>
      </c>
      <c r="AO20" s="25">
        <v>100</v>
      </c>
      <c r="AP20" s="25">
        <v>40</v>
      </c>
      <c r="AQ20" s="25">
        <v>2</v>
      </c>
      <c r="AR20" s="25">
        <v>3</v>
      </c>
      <c r="AS20" s="25">
        <v>698</v>
      </c>
      <c r="AT20" s="25">
        <v>131</v>
      </c>
      <c r="AU20" s="25">
        <v>538</v>
      </c>
      <c r="AV20" s="25">
        <v>111</v>
      </c>
      <c r="AW20" s="25">
        <v>515</v>
      </c>
      <c r="AX20" s="25">
        <v>106</v>
      </c>
      <c r="AY20" s="25">
        <v>23</v>
      </c>
      <c r="AZ20" s="25">
        <v>23</v>
      </c>
      <c r="BA20" s="25">
        <v>63</v>
      </c>
      <c r="BB20" s="25">
        <v>51</v>
      </c>
      <c r="BC20" s="25">
        <v>28</v>
      </c>
      <c r="BD20" s="25">
        <v>26</v>
      </c>
      <c r="BE20" s="25">
        <v>2</v>
      </c>
      <c r="BF20" s="25">
        <v>3</v>
      </c>
      <c r="BG20" s="25">
        <v>34</v>
      </c>
      <c r="BH20" s="25">
        <v>22</v>
      </c>
      <c r="BI20" s="25">
        <v>33</v>
      </c>
      <c r="BJ20" s="25">
        <v>26</v>
      </c>
      <c r="BK20" s="25">
        <v>0</v>
      </c>
      <c r="BL20" s="25">
        <v>17</v>
      </c>
      <c r="BM20" s="25">
        <v>11</v>
      </c>
      <c r="BN20" s="25">
        <v>13</v>
      </c>
      <c r="BO20" s="25">
        <v>0</v>
      </c>
      <c r="BP20" s="25">
        <v>17</v>
      </c>
      <c r="BQ20" s="25">
        <v>0</v>
      </c>
      <c r="BR20" s="25">
        <v>17</v>
      </c>
      <c r="BS20" s="25">
        <v>0</v>
      </c>
      <c r="BT20" s="25">
        <v>17</v>
      </c>
      <c r="BU20" s="25">
        <v>3</v>
      </c>
      <c r="BV20" s="25">
        <v>4</v>
      </c>
      <c r="BW20" s="25">
        <v>0</v>
      </c>
      <c r="BX20" s="25">
        <v>17</v>
      </c>
      <c r="BY20" s="25">
        <v>8</v>
      </c>
      <c r="BZ20" s="25">
        <v>12</v>
      </c>
      <c r="CA20" s="25">
        <v>0</v>
      </c>
      <c r="CB20" s="25">
        <v>17</v>
      </c>
      <c r="CC20" s="25">
        <v>0</v>
      </c>
      <c r="CD20" s="25">
        <v>17</v>
      </c>
      <c r="CE20" s="25">
        <v>0</v>
      </c>
      <c r="CF20" s="25">
        <v>17</v>
      </c>
      <c r="CG20" s="25">
        <v>180</v>
      </c>
      <c r="CH20" s="25">
        <v>51</v>
      </c>
      <c r="CI20" s="25">
        <v>131</v>
      </c>
      <c r="CJ20" s="25">
        <v>48</v>
      </c>
      <c r="CK20" s="25">
        <v>131</v>
      </c>
      <c r="CL20" s="25">
        <v>48</v>
      </c>
      <c r="CM20" s="25">
        <v>0</v>
      </c>
      <c r="CN20" s="25">
        <v>17</v>
      </c>
      <c r="CO20" s="25">
        <v>8</v>
      </c>
      <c r="CP20" s="25">
        <v>8</v>
      </c>
      <c r="CQ20" s="25">
        <v>12</v>
      </c>
      <c r="CR20" s="25">
        <v>11</v>
      </c>
      <c r="CS20" s="25">
        <v>10</v>
      </c>
      <c r="CT20" s="25">
        <v>16</v>
      </c>
      <c r="CU20" s="25">
        <v>7</v>
      </c>
      <c r="CV20" s="25">
        <v>9</v>
      </c>
      <c r="CW20" s="25">
        <v>12</v>
      </c>
      <c r="CX20" s="25">
        <v>13</v>
      </c>
      <c r="CY20" s="25">
        <v>0</v>
      </c>
      <c r="CZ20" s="25">
        <v>17</v>
      </c>
      <c r="DA20" s="25">
        <v>26</v>
      </c>
      <c r="DB20" s="25">
        <v>15</v>
      </c>
      <c r="DC20" s="25">
        <v>13</v>
      </c>
      <c r="DD20" s="25">
        <v>8</v>
      </c>
      <c r="DE20" s="25">
        <v>13</v>
      </c>
      <c r="DF20" s="25">
        <v>8</v>
      </c>
      <c r="DG20" s="25">
        <v>0</v>
      </c>
      <c r="DH20" s="25">
        <v>17</v>
      </c>
      <c r="DI20" s="25">
        <v>2</v>
      </c>
      <c r="DJ20" s="25">
        <v>4</v>
      </c>
      <c r="DK20" s="25">
        <v>3</v>
      </c>
      <c r="DL20" s="25">
        <v>4</v>
      </c>
      <c r="DM20" s="25">
        <v>0</v>
      </c>
      <c r="DN20" s="25">
        <v>17</v>
      </c>
      <c r="DO20" s="25">
        <v>8</v>
      </c>
      <c r="DP20" s="25">
        <v>14</v>
      </c>
      <c r="DQ20" s="25">
        <v>0</v>
      </c>
      <c r="DR20" s="25">
        <v>17</v>
      </c>
      <c r="DS20" s="25">
        <v>0</v>
      </c>
      <c r="DT20" s="25">
        <v>17</v>
      </c>
      <c r="DU20" s="25">
        <v>227</v>
      </c>
      <c r="DV20" s="25">
        <v>81</v>
      </c>
      <c r="DW20" s="25">
        <v>124</v>
      </c>
      <c r="DX20" s="25">
        <v>56</v>
      </c>
      <c r="DY20" s="25">
        <v>113</v>
      </c>
      <c r="DZ20" s="25">
        <v>53</v>
      </c>
      <c r="EA20" s="25">
        <v>11</v>
      </c>
      <c r="EB20" s="25">
        <v>10</v>
      </c>
      <c r="EC20" s="25">
        <v>15</v>
      </c>
      <c r="ED20" s="25">
        <v>19</v>
      </c>
      <c r="EE20" s="25">
        <v>2</v>
      </c>
      <c r="EF20" s="25">
        <v>5</v>
      </c>
      <c r="EG20" s="25">
        <v>0</v>
      </c>
      <c r="EH20" s="25">
        <v>17</v>
      </c>
      <c r="EI20" s="25">
        <v>0</v>
      </c>
      <c r="EJ20" s="25">
        <v>17</v>
      </c>
      <c r="EK20" s="25">
        <v>86</v>
      </c>
      <c r="EL20" s="25">
        <v>37</v>
      </c>
      <c r="EM20" s="25">
        <v>0</v>
      </c>
      <c r="EN20" s="25">
        <v>17</v>
      </c>
    </row>
    <row r="21" spans="1:144" x14ac:dyDescent="0.25">
      <c r="A21" s="19">
        <f t="shared" si="8"/>
        <v>25</v>
      </c>
      <c r="B21" s="20" t="str">
        <f t="shared" si="9"/>
        <v>Kane</v>
      </c>
      <c r="C21" s="24" t="s">
        <v>312</v>
      </c>
      <c r="D21" s="24" t="s">
        <v>313</v>
      </c>
      <c r="E21" s="25">
        <v>3075</v>
      </c>
      <c r="F21" s="25">
        <v>215</v>
      </c>
      <c r="G21" s="25">
        <v>1698</v>
      </c>
      <c r="H21" s="25">
        <v>226</v>
      </c>
      <c r="I21" s="25">
        <v>1551</v>
      </c>
      <c r="J21" s="25">
        <v>221</v>
      </c>
      <c r="K21" s="25">
        <v>147</v>
      </c>
      <c r="L21" s="25">
        <v>78</v>
      </c>
      <c r="M21" s="25">
        <v>521</v>
      </c>
      <c r="N21" s="25">
        <v>136</v>
      </c>
      <c r="O21" s="25">
        <v>323</v>
      </c>
      <c r="P21" s="25">
        <v>110</v>
      </c>
      <c r="Q21" s="25">
        <v>157</v>
      </c>
      <c r="R21" s="25">
        <v>80</v>
      </c>
      <c r="S21" s="25">
        <v>150</v>
      </c>
      <c r="T21" s="25">
        <v>72</v>
      </c>
      <c r="U21" s="25">
        <v>182</v>
      </c>
      <c r="V21" s="25">
        <v>65</v>
      </c>
      <c r="W21" s="25">
        <v>44</v>
      </c>
      <c r="X21" s="25">
        <v>30</v>
      </c>
      <c r="Y21" s="25">
        <v>2544</v>
      </c>
      <c r="Z21" s="25">
        <v>189</v>
      </c>
      <c r="AA21" s="25">
        <v>1367</v>
      </c>
      <c r="AB21" s="25">
        <v>180</v>
      </c>
      <c r="AC21" s="25">
        <v>1300</v>
      </c>
      <c r="AD21" s="25">
        <v>179</v>
      </c>
      <c r="AE21" s="25">
        <v>67</v>
      </c>
      <c r="AF21" s="25">
        <v>47</v>
      </c>
      <c r="AG21" s="25">
        <v>476</v>
      </c>
      <c r="AH21" s="25">
        <v>130</v>
      </c>
      <c r="AI21" s="25">
        <v>256</v>
      </c>
      <c r="AJ21" s="25">
        <v>112</v>
      </c>
      <c r="AK21" s="25">
        <v>157</v>
      </c>
      <c r="AL21" s="25">
        <v>80</v>
      </c>
      <c r="AM21" s="25">
        <v>150</v>
      </c>
      <c r="AN21" s="25">
        <v>72</v>
      </c>
      <c r="AO21" s="25">
        <v>130</v>
      </c>
      <c r="AP21" s="25">
        <v>62</v>
      </c>
      <c r="AQ21" s="25">
        <v>8</v>
      </c>
      <c r="AR21" s="25">
        <v>15</v>
      </c>
      <c r="AS21" s="25">
        <v>194</v>
      </c>
      <c r="AT21" s="25">
        <v>84</v>
      </c>
      <c r="AU21" s="25">
        <v>144</v>
      </c>
      <c r="AV21" s="25">
        <v>82</v>
      </c>
      <c r="AW21" s="25">
        <v>142</v>
      </c>
      <c r="AX21" s="25">
        <v>82</v>
      </c>
      <c r="AY21" s="25">
        <v>2</v>
      </c>
      <c r="AZ21" s="25">
        <v>4</v>
      </c>
      <c r="BA21" s="25">
        <v>20</v>
      </c>
      <c r="BB21" s="25">
        <v>27</v>
      </c>
      <c r="BC21" s="25">
        <v>7</v>
      </c>
      <c r="BD21" s="25">
        <v>9</v>
      </c>
      <c r="BE21" s="25">
        <v>0</v>
      </c>
      <c r="BF21" s="25">
        <v>15</v>
      </c>
      <c r="BG21" s="25">
        <v>0</v>
      </c>
      <c r="BH21" s="25">
        <v>15</v>
      </c>
      <c r="BI21" s="25">
        <v>19</v>
      </c>
      <c r="BJ21" s="25">
        <v>15</v>
      </c>
      <c r="BK21" s="25">
        <v>4</v>
      </c>
      <c r="BL21" s="25">
        <v>5</v>
      </c>
      <c r="BM21" s="25">
        <v>1</v>
      </c>
      <c r="BN21" s="25">
        <v>2</v>
      </c>
      <c r="BO21" s="25">
        <v>0</v>
      </c>
      <c r="BP21" s="25">
        <v>15</v>
      </c>
      <c r="BQ21" s="25">
        <v>0</v>
      </c>
      <c r="BR21" s="25">
        <v>15</v>
      </c>
      <c r="BS21" s="25">
        <v>0</v>
      </c>
      <c r="BT21" s="25">
        <v>15</v>
      </c>
      <c r="BU21" s="25">
        <v>0</v>
      </c>
      <c r="BV21" s="25">
        <v>15</v>
      </c>
      <c r="BW21" s="25">
        <v>0</v>
      </c>
      <c r="BX21" s="25">
        <v>15</v>
      </c>
      <c r="BY21" s="25">
        <v>0</v>
      </c>
      <c r="BZ21" s="25">
        <v>15</v>
      </c>
      <c r="CA21" s="25">
        <v>0</v>
      </c>
      <c r="CB21" s="25">
        <v>15</v>
      </c>
      <c r="CC21" s="25">
        <v>1</v>
      </c>
      <c r="CD21" s="25">
        <v>2</v>
      </c>
      <c r="CE21" s="25">
        <v>0</v>
      </c>
      <c r="CF21" s="25">
        <v>15</v>
      </c>
      <c r="CG21" s="25">
        <v>76</v>
      </c>
      <c r="CH21" s="25">
        <v>53</v>
      </c>
      <c r="CI21" s="25">
        <v>23</v>
      </c>
      <c r="CJ21" s="25">
        <v>25</v>
      </c>
      <c r="CK21" s="25">
        <v>15</v>
      </c>
      <c r="CL21" s="25">
        <v>21</v>
      </c>
      <c r="CM21" s="25">
        <v>8</v>
      </c>
      <c r="CN21" s="25">
        <v>14</v>
      </c>
      <c r="CO21" s="25">
        <v>8</v>
      </c>
      <c r="CP21" s="25">
        <v>13</v>
      </c>
      <c r="CQ21" s="25">
        <v>44</v>
      </c>
      <c r="CR21" s="25">
        <v>45</v>
      </c>
      <c r="CS21" s="25">
        <v>0</v>
      </c>
      <c r="CT21" s="25">
        <v>15</v>
      </c>
      <c r="CU21" s="25">
        <v>0</v>
      </c>
      <c r="CV21" s="25">
        <v>15</v>
      </c>
      <c r="CW21" s="25">
        <v>1</v>
      </c>
      <c r="CX21" s="25">
        <v>2</v>
      </c>
      <c r="CY21" s="25">
        <v>0</v>
      </c>
      <c r="CZ21" s="25">
        <v>15</v>
      </c>
      <c r="DA21" s="25">
        <v>49</v>
      </c>
      <c r="DB21" s="25">
        <v>35</v>
      </c>
      <c r="DC21" s="25">
        <v>32</v>
      </c>
      <c r="DD21" s="25">
        <v>31</v>
      </c>
      <c r="DE21" s="25">
        <v>13</v>
      </c>
      <c r="DF21" s="25">
        <v>14</v>
      </c>
      <c r="DG21" s="25">
        <v>19</v>
      </c>
      <c r="DH21" s="25">
        <v>29</v>
      </c>
      <c r="DI21" s="25">
        <v>0</v>
      </c>
      <c r="DJ21" s="25">
        <v>15</v>
      </c>
      <c r="DK21" s="25">
        <v>16</v>
      </c>
      <c r="DL21" s="25">
        <v>18</v>
      </c>
      <c r="DM21" s="25">
        <v>0</v>
      </c>
      <c r="DN21" s="25">
        <v>15</v>
      </c>
      <c r="DO21" s="25">
        <v>0</v>
      </c>
      <c r="DP21" s="25">
        <v>15</v>
      </c>
      <c r="DQ21" s="25">
        <v>1</v>
      </c>
      <c r="DR21" s="25">
        <v>3</v>
      </c>
      <c r="DS21" s="25">
        <v>0</v>
      </c>
      <c r="DT21" s="25">
        <v>15</v>
      </c>
      <c r="DU21" s="25">
        <v>211</v>
      </c>
      <c r="DV21" s="25">
        <v>89</v>
      </c>
      <c r="DW21" s="25">
        <v>132</v>
      </c>
      <c r="DX21" s="25">
        <v>87</v>
      </c>
      <c r="DY21" s="25">
        <v>81</v>
      </c>
      <c r="DZ21" s="25">
        <v>46</v>
      </c>
      <c r="EA21" s="25">
        <v>51</v>
      </c>
      <c r="EB21" s="25">
        <v>57</v>
      </c>
      <c r="EC21" s="25">
        <v>17</v>
      </c>
      <c r="ED21" s="25">
        <v>28</v>
      </c>
      <c r="EE21" s="25">
        <v>0</v>
      </c>
      <c r="EF21" s="25">
        <v>15</v>
      </c>
      <c r="EG21" s="25">
        <v>0</v>
      </c>
      <c r="EH21" s="25">
        <v>15</v>
      </c>
      <c r="EI21" s="25">
        <v>0</v>
      </c>
      <c r="EJ21" s="25">
        <v>15</v>
      </c>
      <c r="EK21" s="25">
        <v>30</v>
      </c>
      <c r="EL21" s="25">
        <v>24</v>
      </c>
      <c r="EM21" s="25">
        <v>32</v>
      </c>
      <c r="EN21" s="25">
        <v>27</v>
      </c>
    </row>
    <row r="22" spans="1:144" x14ac:dyDescent="0.25">
      <c r="A22" s="19">
        <f t="shared" si="8"/>
        <v>27</v>
      </c>
      <c r="B22" s="20" t="str">
        <f t="shared" si="9"/>
        <v>Millard</v>
      </c>
      <c r="C22" s="24" t="s">
        <v>314</v>
      </c>
      <c r="D22" s="24" t="s">
        <v>315</v>
      </c>
      <c r="E22" s="25">
        <v>5311</v>
      </c>
      <c r="F22" s="25">
        <v>214</v>
      </c>
      <c r="G22" s="25">
        <v>3702</v>
      </c>
      <c r="H22" s="25">
        <v>227</v>
      </c>
      <c r="I22" s="25">
        <v>3546</v>
      </c>
      <c r="J22" s="25">
        <v>232</v>
      </c>
      <c r="K22" s="25">
        <v>156</v>
      </c>
      <c r="L22" s="25">
        <v>55</v>
      </c>
      <c r="M22" s="25">
        <v>249</v>
      </c>
      <c r="N22" s="25">
        <v>68</v>
      </c>
      <c r="O22" s="25">
        <v>439</v>
      </c>
      <c r="P22" s="25">
        <v>101</v>
      </c>
      <c r="Q22" s="25">
        <v>309</v>
      </c>
      <c r="R22" s="25">
        <v>73</v>
      </c>
      <c r="S22" s="25">
        <v>81</v>
      </c>
      <c r="T22" s="25">
        <v>31</v>
      </c>
      <c r="U22" s="25">
        <v>520</v>
      </c>
      <c r="V22" s="25">
        <v>92</v>
      </c>
      <c r="W22" s="25">
        <v>11</v>
      </c>
      <c r="X22" s="25">
        <v>11</v>
      </c>
      <c r="Y22" s="25">
        <v>4004</v>
      </c>
      <c r="Z22" s="25">
        <v>248</v>
      </c>
      <c r="AA22" s="25">
        <v>2930</v>
      </c>
      <c r="AB22" s="25">
        <v>226</v>
      </c>
      <c r="AC22" s="25">
        <v>2822</v>
      </c>
      <c r="AD22" s="25">
        <v>223</v>
      </c>
      <c r="AE22" s="25">
        <v>108</v>
      </c>
      <c r="AF22" s="25">
        <v>47</v>
      </c>
      <c r="AG22" s="25">
        <v>185</v>
      </c>
      <c r="AH22" s="25">
        <v>60</v>
      </c>
      <c r="AI22" s="25">
        <v>315</v>
      </c>
      <c r="AJ22" s="25">
        <v>86</v>
      </c>
      <c r="AK22" s="25">
        <v>208</v>
      </c>
      <c r="AL22" s="25">
        <v>62</v>
      </c>
      <c r="AM22" s="25">
        <v>64</v>
      </c>
      <c r="AN22" s="25">
        <v>28</v>
      </c>
      <c r="AO22" s="25">
        <v>293</v>
      </c>
      <c r="AP22" s="25">
        <v>84</v>
      </c>
      <c r="AQ22" s="25">
        <v>9</v>
      </c>
      <c r="AR22" s="25">
        <v>11</v>
      </c>
      <c r="AS22" s="25">
        <v>838</v>
      </c>
      <c r="AT22" s="25">
        <v>136</v>
      </c>
      <c r="AU22" s="25">
        <v>602</v>
      </c>
      <c r="AV22" s="25">
        <v>120</v>
      </c>
      <c r="AW22" s="25">
        <v>588</v>
      </c>
      <c r="AX22" s="25">
        <v>120</v>
      </c>
      <c r="AY22" s="25">
        <v>14</v>
      </c>
      <c r="AZ22" s="25">
        <v>11</v>
      </c>
      <c r="BA22" s="25">
        <v>54</v>
      </c>
      <c r="BB22" s="25">
        <v>33</v>
      </c>
      <c r="BC22" s="25">
        <v>83</v>
      </c>
      <c r="BD22" s="25">
        <v>40</v>
      </c>
      <c r="BE22" s="25">
        <v>64</v>
      </c>
      <c r="BF22" s="25">
        <v>33</v>
      </c>
      <c r="BG22" s="25">
        <v>6</v>
      </c>
      <c r="BH22" s="25">
        <v>7</v>
      </c>
      <c r="BI22" s="25">
        <v>29</v>
      </c>
      <c r="BJ22" s="25">
        <v>25</v>
      </c>
      <c r="BK22" s="25">
        <v>0</v>
      </c>
      <c r="BL22" s="25">
        <v>17</v>
      </c>
      <c r="BM22" s="25">
        <v>4</v>
      </c>
      <c r="BN22" s="25">
        <v>6</v>
      </c>
      <c r="BO22" s="25">
        <v>4</v>
      </c>
      <c r="BP22" s="25">
        <v>6</v>
      </c>
      <c r="BQ22" s="25">
        <v>4</v>
      </c>
      <c r="BR22" s="25">
        <v>6</v>
      </c>
      <c r="BS22" s="25">
        <v>0</v>
      </c>
      <c r="BT22" s="25">
        <v>17</v>
      </c>
      <c r="BU22" s="25">
        <v>0</v>
      </c>
      <c r="BV22" s="25">
        <v>17</v>
      </c>
      <c r="BW22" s="25">
        <v>0</v>
      </c>
      <c r="BX22" s="25">
        <v>17</v>
      </c>
      <c r="BY22" s="25">
        <v>0</v>
      </c>
      <c r="BZ22" s="25">
        <v>17</v>
      </c>
      <c r="CA22" s="25">
        <v>0</v>
      </c>
      <c r="CB22" s="25">
        <v>17</v>
      </c>
      <c r="CC22" s="25">
        <v>0</v>
      </c>
      <c r="CD22" s="25">
        <v>17</v>
      </c>
      <c r="CE22" s="25">
        <v>0</v>
      </c>
      <c r="CF22" s="25">
        <v>17</v>
      </c>
      <c r="CG22" s="25">
        <v>164</v>
      </c>
      <c r="CH22" s="25">
        <v>74</v>
      </c>
      <c r="CI22" s="25">
        <v>65</v>
      </c>
      <c r="CJ22" s="25">
        <v>50</v>
      </c>
      <c r="CK22" s="25">
        <v>46</v>
      </c>
      <c r="CL22" s="25">
        <v>44</v>
      </c>
      <c r="CM22" s="25">
        <v>19</v>
      </c>
      <c r="CN22" s="25">
        <v>22</v>
      </c>
      <c r="CO22" s="25">
        <v>9</v>
      </c>
      <c r="CP22" s="25">
        <v>15</v>
      </c>
      <c r="CQ22" s="25">
        <v>37</v>
      </c>
      <c r="CR22" s="25">
        <v>34</v>
      </c>
      <c r="CS22" s="25">
        <v>22</v>
      </c>
      <c r="CT22" s="25">
        <v>26</v>
      </c>
      <c r="CU22" s="25">
        <v>8</v>
      </c>
      <c r="CV22" s="25">
        <v>9</v>
      </c>
      <c r="CW22" s="25">
        <v>23</v>
      </c>
      <c r="CX22" s="25">
        <v>19</v>
      </c>
      <c r="CY22" s="25">
        <v>0</v>
      </c>
      <c r="CZ22" s="25">
        <v>17</v>
      </c>
      <c r="DA22" s="25">
        <v>65</v>
      </c>
      <c r="DB22" s="25">
        <v>51</v>
      </c>
      <c r="DC22" s="25">
        <v>33</v>
      </c>
      <c r="DD22" s="25">
        <v>27</v>
      </c>
      <c r="DE22" s="25">
        <v>27</v>
      </c>
      <c r="DF22" s="25">
        <v>25</v>
      </c>
      <c r="DG22" s="25">
        <v>6</v>
      </c>
      <c r="DH22" s="25">
        <v>8</v>
      </c>
      <c r="DI22" s="25">
        <v>1</v>
      </c>
      <c r="DJ22" s="25">
        <v>3</v>
      </c>
      <c r="DK22" s="25">
        <v>0</v>
      </c>
      <c r="DL22" s="25">
        <v>17</v>
      </c>
      <c r="DM22" s="25">
        <v>11</v>
      </c>
      <c r="DN22" s="25">
        <v>17</v>
      </c>
      <c r="DO22" s="25">
        <v>3</v>
      </c>
      <c r="DP22" s="25">
        <v>9</v>
      </c>
      <c r="DQ22" s="25">
        <v>17</v>
      </c>
      <c r="DR22" s="25">
        <v>22</v>
      </c>
      <c r="DS22" s="25">
        <v>0</v>
      </c>
      <c r="DT22" s="25">
        <v>17</v>
      </c>
      <c r="DU22" s="25">
        <v>236</v>
      </c>
      <c r="DV22" s="25">
        <v>71</v>
      </c>
      <c r="DW22" s="25">
        <v>68</v>
      </c>
      <c r="DX22" s="25">
        <v>38</v>
      </c>
      <c r="DY22" s="25">
        <v>59</v>
      </c>
      <c r="DZ22" s="25">
        <v>37</v>
      </c>
      <c r="EA22" s="25">
        <v>9</v>
      </c>
      <c r="EB22" s="25">
        <v>9</v>
      </c>
      <c r="EC22" s="25">
        <v>0</v>
      </c>
      <c r="ED22" s="25">
        <v>17</v>
      </c>
      <c r="EE22" s="25">
        <v>4</v>
      </c>
      <c r="EF22" s="25">
        <v>6</v>
      </c>
      <c r="EG22" s="25">
        <v>4</v>
      </c>
      <c r="EH22" s="25">
        <v>6</v>
      </c>
      <c r="EI22" s="25">
        <v>0</v>
      </c>
      <c r="EJ22" s="25">
        <v>17</v>
      </c>
      <c r="EK22" s="25">
        <v>158</v>
      </c>
      <c r="EL22" s="25">
        <v>59</v>
      </c>
      <c r="EM22" s="25">
        <v>2</v>
      </c>
      <c r="EN22" s="25">
        <v>4</v>
      </c>
    </row>
    <row r="23" spans="1:144" x14ac:dyDescent="0.25">
      <c r="A23" s="19">
        <f t="shared" si="8"/>
        <v>29</v>
      </c>
      <c r="B23" s="20" t="str">
        <f t="shared" si="9"/>
        <v>Morgan</v>
      </c>
      <c r="C23" s="24" t="s">
        <v>316</v>
      </c>
      <c r="D23" s="24" t="s">
        <v>317</v>
      </c>
      <c r="E23" s="25">
        <v>4358</v>
      </c>
      <c r="F23" s="25">
        <v>201</v>
      </c>
      <c r="G23" s="25">
        <v>3259</v>
      </c>
      <c r="H23" s="25">
        <v>227</v>
      </c>
      <c r="I23" s="25">
        <v>3014</v>
      </c>
      <c r="J23" s="25">
        <v>237</v>
      </c>
      <c r="K23" s="25">
        <v>245</v>
      </c>
      <c r="L23" s="25">
        <v>79</v>
      </c>
      <c r="M23" s="25">
        <v>230</v>
      </c>
      <c r="N23" s="25">
        <v>76</v>
      </c>
      <c r="O23" s="25">
        <v>263</v>
      </c>
      <c r="P23" s="25">
        <v>109</v>
      </c>
      <c r="Q23" s="25">
        <v>165</v>
      </c>
      <c r="R23" s="25">
        <v>71</v>
      </c>
      <c r="S23" s="25">
        <v>210</v>
      </c>
      <c r="T23" s="25">
        <v>73</v>
      </c>
      <c r="U23" s="25">
        <v>212</v>
      </c>
      <c r="V23" s="25">
        <v>81</v>
      </c>
      <c r="W23" s="25">
        <v>19</v>
      </c>
      <c r="X23" s="25">
        <v>30</v>
      </c>
      <c r="Y23" s="25">
        <v>3725</v>
      </c>
      <c r="Z23" s="25">
        <v>198</v>
      </c>
      <c r="AA23" s="25">
        <v>2820</v>
      </c>
      <c r="AB23" s="25">
        <v>240</v>
      </c>
      <c r="AC23" s="25">
        <v>2624</v>
      </c>
      <c r="AD23" s="25">
        <v>244</v>
      </c>
      <c r="AE23" s="25">
        <v>196</v>
      </c>
      <c r="AF23" s="25">
        <v>66</v>
      </c>
      <c r="AG23" s="25">
        <v>195</v>
      </c>
      <c r="AH23" s="25">
        <v>75</v>
      </c>
      <c r="AI23" s="25">
        <v>238</v>
      </c>
      <c r="AJ23" s="25">
        <v>110</v>
      </c>
      <c r="AK23" s="25">
        <v>149</v>
      </c>
      <c r="AL23" s="25">
        <v>70</v>
      </c>
      <c r="AM23" s="25">
        <v>189</v>
      </c>
      <c r="AN23" s="25">
        <v>74</v>
      </c>
      <c r="AO23" s="25">
        <v>115</v>
      </c>
      <c r="AP23" s="25">
        <v>59</v>
      </c>
      <c r="AQ23" s="25">
        <v>19</v>
      </c>
      <c r="AR23" s="25">
        <v>30</v>
      </c>
      <c r="AS23" s="25">
        <v>373</v>
      </c>
      <c r="AT23" s="25">
        <v>120</v>
      </c>
      <c r="AU23" s="25">
        <v>281</v>
      </c>
      <c r="AV23" s="25">
        <v>99</v>
      </c>
      <c r="AW23" s="25">
        <v>268</v>
      </c>
      <c r="AX23" s="25">
        <v>95</v>
      </c>
      <c r="AY23" s="25">
        <v>13</v>
      </c>
      <c r="AZ23" s="25">
        <v>21</v>
      </c>
      <c r="BA23" s="25">
        <v>18</v>
      </c>
      <c r="BB23" s="25">
        <v>23</v>
      </c>
      <c r="BC23" s="25">
        <v>18</v>
      </c>
      <c r="BD23" s="25">
        <v>17</v>
      </c>
      <c r="BE23" s="25">
        <v>5</v>
      </c>
      <c r="BF23" s="25">
        <v>9</v>
      </c>
      <c r="BG23" s="25">
        <v>21</v>
      </c>
      <c r="BH23" s="25">
        <v>17</v>
      </c>
      <c r="BI23" s="25">
        <v>30</v>
      </c>
      <c r="BJ23" s="25">
        <v>29</v>
      </c>
      <c r="BK23" s="25">
        <v>0</v>
      </c>
      <c r="BL23" s="25">
        <v>17</v>
      </c>
      <c r="BM23" s="25">
        <v>17</v>
      </c>
      <c r="BN23" s="25">
        <v>22</v>
      </c>
      <c r="BO23" s="25">
        <v>0</v>
      </c>
      <c r="BP23" s="25">
        <v>17</v>
      </c>
      <c r="BQ23" s="25">
        <v>0</v>
      </c>
      <c r="BR23" s="25">
        <v>17</v>
      </c>
      <c r="BS23" s="25">
        <v>0</v>
      </c>
      <c r="BT23" s="25">
        <v>17</v>
      </c>
      <c r="BU23" s="25">
        <v>13</v>
      </c>
      <c r="BV23" s="25">
        <v>22</v>
      </c>
      <c r="BW23" s="25">
        <v>0</v>
      </c>
      <c r="BX23" s="25">
        <v>17</v>
      </c>
      <c r="BY23" s="25">
        <v>4</v>
      </c>
      <c r="BZ23" s="25">
        <v>6</v>
      </c>
      <c r="CA23" s="25">
        <v>0</v>
      </c>
      <c r="CB23" s="25">
        <v>17</v>
      </c>
      <c r="CC23" s="25">
        <v>0</v>
      </c>
      <c r="CD23" s="25">
        <v>17</v>
      </c>
      <c r="CE23" s="25">
        <v>0</v>
      </c>
      <c r="CF23" s="25">
        <v>17</v>
      </c>
      <c r="CG23" s="25">
        <v>54</v>
      </c>
      <c r="CH23" s="25">
        <v>35</v>
      </c>
      <c r="CI23" s="25">
        <v>31</v>
      </c>
      <c r="CJ23" s="25">
        <v>20</v>
      </c>
      <c r="CK23" s="25">
        <v>31</v>
      </c>
      <c r="CL23" s="25">
        <v>20</v>
      </c>
      <c r="CM23" s="25">
        <v>0</v>
      </c>
      <c r="CN23" s="25">
        <v>17</v>
      </c>
      <c r="CO23" s="25">
        <v>4</v>
      </c>
      <c r="CP23" s="25">
        <v>7</v>
      </c>
      <c r="CQ23" s="25">
        <v>7</v>
      </c>
      <c r="CR23" s="25">
        <v>10</v>
      </c>
      <c r="CS23" s="25">
        <v>0</v>
      </c>
      <c r="CT23" s="25">
        <v>17</v>
      </c>
      <c r="CU23" s="25">
        <v>0</v>
      </c>
      <c r="CV23" s="25">
        <v>17</v>
      </c>
      <c r="CW23" s="25">
        <v>12</v>
      </c>
      <c r="CX23" s="25">
        <v>18</v>
      </c>
      <c r="CY23" s="25">
        <v>0</v>
      </c>
      <c r="CZ23" s="25">
        <v>17</v>
      </c>
      <c r="DA23" s="25">
        <v>24</v>
      </c>
      <c r="DB23" s="25">
        <v>27</v>
      </c>
      <c r="DC23" s="25">
        <v>24</v>
      </c>
      <c r="DD23" s="25">
        <v>27</v>
      </c>
      <c r="DE23" s="25">
        <v>24</v>
      </c>
      <c r="DF23" s="25">
        <v>27</v>
      </c>
      <c r="DG23" s="25">
        <v>0</v>
      </c>
      <c r="DH23" s="25">
        <v>17</v>
      </c>
      <c r="DI23" s="25">
        <v>0</v>
      </c>
      <c r="DJ23" s="25">
        <v>17</v>
      </c>
      <c r="DK23" s="25">
        <v>0</v>
      </c>
      <c r="DL23" s="25">
        <v>17</v>
      </c>
      <c r="DM23" s="25">
        <v>0</v>
      </c>
      <c r="DN23" s="25">
        <v>17</v>
      </c>
      <c r="DO23" s="25">
        <v>0</v>
      </c>
      <c r="DP23" s="25">
        <v>17</v>
      </c>
      <c r="DQ23" s="25">
        <v>0</v>
      </c>
      <c r="DR23" s="25">
        <v>17</v>
      </c>
      <c r="DS23" s="25">
        <v>0</v>
      </c>
      <c r="DT23" s="25">
        <v>17</v>
      </c>
      <c r="DU23" s="25">
        <v>165</v>
      </c>
      <c r="DV23" s="25">
        <v>62</v>
      </c>
      <c r="DW23" s="25">
        <v>103</v>
      </c>
      <c r="DX23" s="25">
        <v>43</v>
      </c>
      <c r="DY23" s="25">
        <v>67</v>
      </c>
      <c r="DZ23" s="25">
        <v>39</v>
      </c>
      <c r="EA23" s="25">
        <v>36</v>
      </c>
      <c r="EB23" s="25">
        <v>23</v>
      </c>
      <c r="EC23" s="25">
        <v>0</v>
      </c>
      <c r="ED23" s="25">
        <v>17</v>
      </c>
      <c r="EE23" s="25">
        <v>0</v>
      </c>
      <c r="EF23" s="25">
        <v>17</v>
      </c>
      <c r="EG23" s="25">
        <v>7</v>
      </c>
      <c r="EH23" s="25">
        <v>10</v>
      </c>
      <c r="EI23" s="25">
        <v>0</v>
      </c>
      <c r="EJ23" s="25">
        <v>17</v>
      </c>
      <c r="EK23" s="25">
        <v>55</v>
      </c>
      <c r="EL23" s="25">
        <v>38</v>
      </c>
      <c r="EM23" s="25">
        <v>0</v>
      </c>
      <c r="EN23" s="25">
        <v>17</v>
      </c>
    </row>
    <row r="24" spans="1:144" x14ac:dyDescent="0.25">
      <c r="A24" s="19">
        <f t="shared" si="8"/>
        <v>31</v>
      </c>
      <c r="B24" s="20" t="str">
        <f t="shared" si="9"/>
        <v>Piute</v>
      </c>
      <c r="C24" s="24" t="s">
        <v>318</v>
      </c>
      <c r="D24" s="24" t="s">
        <v>319</v>
      </c>
      <c r="E24" s="25">
        <v>597</v>
      </c>
      <c r="F24" s="25">
        <v>74</v>
      </c>
      <c r="G24" s="25">
        <v>363</v>
      </c>
      <c r="H24" s="25">
        <v>60</v>
      </c>
      <c r="I24" s="25">
        <v>339</v>
      </c>
      <c r="J24" s="25">
        <v>59</v>
      </c>
      <c r="K24" s="25">
        <v>24</v>
      </c>
      <c r="L24" s="25">
        <v>15</v>
      </c>
      <c r="M24" s="25">
        <v>39</v>
      </c>
      <c r="N24" s="25">
        <v>15</v>
      </c>
      <c r="O24" s="25">
        <v>49</v>
      </c>
      <c r="P24" s="25">
        <v>20</v>
      </c>
      <c r="Q24" s="25">
        <v>84</v>
      </c>
      <c r="R24" s="25">
        <v>33</v>
      </c>
      <c r="S24" s="25">
        <v>17</v>
      </c>
      <c r="T24" s="25">
        <v>13</v>
      </c>
      <c r="U24" s="25">
        <v>40</v>
      </c>
      <c r="V24" s="25">
        <v>17</v>
      </c>
      <c r="W24" s="25">
        <v>5</v>
      </c>
      <c r="X24" s="25">
        <v>7</v>
      </c>
      <c r="Y24" s="25">
        <v>446</v>
      </c>
      <c r="Z24" s="25">
        <v>59</v>
      </c>
      <c r="AA24" s="25">
        <v>277</v>
      </c>
      <c r="AB24" s="25">
        <v>50</v>
      </c>
      <c r="AC24" s="25">
        <v>264</v>
      </c>
      <c r="AD24" s="25">
        <v>51</v>
      </c>
      <c r="AE24" s="25">
        <v>13</v>
      </c>
      <c r="AF24" s="25">
        <v>10</v>
      </c>
      <c r="AG24" s="25">
        <v>35</v>
      </c>
      <c r="AH24" s="25">
        <v>15</v>
      </c>
      <c r="AI24" s="25">
        <v>43</v>
      </c>
      <c r="AJ24" s="25">
        <v>20</v>
      </c>
      <c r="AK24" s="25">
        <v>48</v>
      </c>
      <c r="AL24" s="25">
        <v>21</v>
      </c>
      <c r="AM24" s="25">
        <v>14</v>
      </c>
      <c r="AN24" s="25">
        <v>13</v>
      </c>
      <c r="AO24" s="25">
        <v>29</v>
      </c>
      <c r="AP24" s="25">
        <v>16</v>
      </c>
      <c r="AQ24" s="25">
        <v>0</v>
      </c>
      <c r="AR24" s="25">
        <v>11</v>
      </c>
      <c r="AS24" s="25">
        <v>66</v>
      </c>
      <c r="AT24" s="25">
        <v>39</v>
      </c>
      <c r="AU24" s="25">
        <v>46</v>
      </c>
      <c r="AV24" s="25">
        <v>32</v>
      </c>
      <c r="AW24" s="25">
        <v>46</v>
      </c>
      <c r="AX24" s="25">
        <v>32</v>
      </c>
      <c r="AY24" s="25">
        <v>0</v>
      </c>
      <c r="AZ24" s="25">
        <v>11</v>
      </c>
      <c r="BA24" s="25">
        <v>0</v>
      </c>
      <c r="BB24" s="25">
        <v>11</v>
      </c>
      <c r="BC24" s="25">
        <v>3</v>
      </c>
      <c r="BD24" s="25">
        <v>6</v>
      </c>
      <c r="BE24" s="25">
        <v>14</v>
      </c>
      <c r="BF24" s="25">
        <v>19</v>
      </c>
      <c r="BG24" s="25">
        <v>0</v>
      </c>
      <c r="BH24" s="25">
        <v>11</v>
      </c>
      <c r="BI24" s="25">
        <v>3</v>
      </c>
      <c r="BJ24" s="25">
        <v>4</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29</v>
      </c>
      <c r="CH24" s="25">
        <v>18</v>
      </c>
      <c r="CI24" s="25">
        <v>17</v>
      </c>
      <c r="CJ24" s="25">
        <v>15</v>
      </c>
      <c r="CK24" s="25">
        <v>9</v>
      </c>
      <c r="CL24" s="25">
        <v>12</v>
      </c>
      <c r="CM24" s="25">
        <v>8</v>
      </c>
      <c r="CN24" s="25">
        <v>10</v>
      </c>
      <c r="CO24" s="25">
        <v>4</v>
      </c>
      <c r="CP24" s="25">
        <v>5</v>
      </c>
      <c r="CQ24" s="25">
        <v>3</v>
      </c>
      <c r="CR24" s="25">
        <v>3</v>
      </c>
      <c r="CS24" s="25">
        <v>0</v>
      </c>
      <c r="CT24" s="25">
        <v>11</v>
      </c>
      <c r="CU24" s="25">
        <v>0</v>
      </c>
      <c r="CV24" s="25">
        <v>11</v>
      </c>
      <c r="CW24" s="25">
        <v>0</v>
      </c>
      <c r="CX24" s="25">
        <v>11</v>
      </c>
      <c r="CY24" s="25">
        <v>5</v>
      </c>
      <c r="CZ24" s="25">
        <v>7</v>
      </c>
      <c r="DA24" s="25">
        <v>20</v>
      </c>
      <c r="DB24" s="25">
        <v>12</v>
      </c>
      <c r="DC24" s="25">
        <v>16</v>
      </c>
      <c r="DD24" s="25">
        <v>10</v>
      </c>
      <c r="DE24" s="25">
        <v>16</v>
      </c>
      <c r="DF24" s="25">
        <v>10</v>
      </c>
      <c r="DG24" s="25">
        <v>0</v>
      </c>
      <c r="DH24" s="25">
        <v>11</v>
      </c>
      <c r="DI24" s="25">
        <v>0</v>
      </c>
      <c r="DJ24" s="25">
        <v>11</v>
      </c>
      <c r="DK24" s="25">
        <v>0</v>
      </c>
      <c r="DL24" s="25">
        <v>11</v>
      </c>
      <c r="DM24" s="25">
        <v>0</v>
      </c>
      <c r="DN24" s="25">
        <v>11</v>
      </c>
      <c r="DO24" s="25">
        <v>0</v>
      </c>
      <c r="DP24" s="25">
        <v>11</v>
      </c>
      <c r="DQ24" s="25">
        <v>4</v>
      </c>
      <c r="DR24" s="25">
        <v>5</v>
      </c>
      <c r="DS24" s="25">
        <v>0</v>
      </c>
      <c r="DT24" s="25">
        <v>11</v>
      </c>
      <c r="DU24" s="25">
        <v>36</v>
      </c>
      <c r="DV24" s="25">
        <v>22</v>
      </c>
      <c r="DW24" s="25">
        <v>7</v>
      </c>
      <c r="DX24" s="25">
        <v>6</v>
      </c>
      <c r="DY24" s="25">
        <v>4</v>
      </c>
      <c r="DZ24" s="25">
        <v>6</v>
      </c>
      <c r="EA24" s="25">
        <v>3</v>
      </c>
      <c r="EB24" s="25">
        <v>6</v>
      </c>
      <c r="EC24" s="25">
        <v>0</v>
      </c>
      <c r="ED24" s="25">
        <v>11</v>
      </c>
      <c r="EE24" s="25">
        <v>0</v>
      </c>
      <c r="EF24" s="25">
        <v>11</v>
      </c>
      <c r="EG24" s="25">
        <v>22</v>
      </c>
      <c r="EH24" s="25">
        <v>18</v>
      </c>
      <c r="EI24" s="25">
        <v>3</v>
      </c>
      <c r="EJ24" s="25">
        <v>4</v>
      </c>
      <c r="EK24" s="25">
        <v>4</v>
      </c>
      <c r="EL24" s="25">
        <v>5</v>
      </c>
      <c r="EM24" s="25">
        <v>0</v>
      </c>
      <c r="EN24" s="25">
        <v>11</v>
      </c>
    </row>
    <row r="25" spans="1:144" x14ac:dyDescent="0.25">
      <c r="A25" s="19">
        <f t="shared" si="8"/>
        <v>33</v>
      </c>
      <c r="B25" s="20" t="str">
        <f t="shared" si="9"/>
        <v>Rich</v>
      </c>
      <c r="C25" s="24" t="s">
        <v>320</v>
      </c>
      <c r="D25" s="24" t="s">
        <v>321</v>
      </c>
      <c r="E25" s="25">
        <v>710</v>
      </c>
      <c r="F25" s="25">
        <v>87</v>
      </c>
      <c r="G25" s="25">
        <v>506</v>
      </c>
      <c r="H25" s="25">
        <v>85</v>
      </c>
      <c r="I25" s="25">
        <v>398</v>
      </c>
      <c r="J25" s="25">
        <v>78</v>
      </c>
      <c r="K25" s="25">
        <v>108</v>
      </c>
      <c r="L25" s="25">
        <v>42</v>
      </c>
      <c r="M25" s="25">
        <v>20</v>
      </c>
      <c r="N25" s="25">
        <v>14</v>
      </c>
      <c r="O25" s="25">
        <v>106</v>
      </c>
      <c r="P25" s="25">
        <v>44</v>
      </c>
      <c r="Q25" s="25">
        <v>31</v>
      </c>
      <c r="R25" s="25">
        <v>16</v>
      </c>
      <c r="S25" s="25">
        <v>2</v>
      </c>
      <c r="T25" s="25">
        <v>3</v>
      </c>
      <c r="U25" s="25">
        <v>45</v>
      </c>
      <c r="V25" s="25">
        <v>19</v>
      </c>
      <c r="W25" s="25">
        <v>0</v>
      </c>
      <c r="X25" s="25">
        <v>11</v>
      </c>
      <c r="Y25" s="25">
        <v>479</v>
      </c>
      <c r="Z25" s="25">
        <v>67</v>
      </c>
      <c r="AA25" s="25">
        <v>330</v>
      </c>
      <c r="AB25" s="25">
        <v>64</v>
      </c>
      <c r="AC25" s="25">
        <v>269</v>
      </c>
      <c r="AD25" s="25">
        <v>58</v>
      </c>
      <c r="AE25" s="25">
        <v>61</v>
      </c>
      <c r="AF25" s="25">
        <v>29</v>
      </c>
      <c r="AG25" s="25">
        <v>14</v>
      </c>
      <c r="AH25" s="25">
        <v>11</v>
      </c>
      <c r="AI25" s="25">
        <v>85</v>
      </c>
      <c r="AJ25" s="25">
        <v>41</v>
      </c>
      <c r="AK25" s="25">
        <v>24</v>
      </c>
      <c r="AL25" s="25">
        <v>13</v>
      </c>
      <c r="AM25" s="25">
        <v>2</v>
      </c>
      <c r="AN25" s="25">
        <v>3</v>
      </c>
      <c r="AO25" s="25">
        <v>24</v>
      </c>
      <c r="AP25" s="25">
        <v>18</v>
      </c>
      <c r="AQ25" s="25">
        <v>0</v>
      </c>
      <c r="AR25" s="25">
        <v>11</v>
      </c>
      <c r="AS25" s="25">
        <v>83</v>
      </c>
      <c r="AT25" s="25">
        <v>30</v>
      </c>
      <c r="AU25" s="25">
        <v>72</v>
      </c>
      <c r="AV25" s="25">
        <v>28</v>
      </c>
      <c r="AW25" s="25">
        <v>60</v>
      </c>
      <c r="AX25" s="25">
        <v>27</v>
      </c>
      <c r="AY25" s="25">
        <v>12</v>
      </c>
      <c r="AZ25" s="25">
        <v>11</v>
      </c>
      <c r="BA25" s="25">
        <v>6</v>
      </c>
      <c r="BB25" s="25">
        <v>8</v>
      </c>
      <c r="BC25" s="25">
        <v>4</v>
      </c>
      <c r="BD25" s="25">
        <v>5</v>
      </c>
      <c r="BE25" s="25">
        <v>0</v>
      </c>
      <c r="BF25" s="25">
        <v>11</v>
      </c>
      <c r="BG25" s="25">
        <v>0</v>
      </c>
      <c r="BH25" s="25">
        <v>11</v>
      </c>
      <c r="BI25" s="25">
        <v>1</v>
      </c>
      <c r="BJ25" s="25">
        <v>3</v>
      </c>
      <c r="BK25" s="25">
        <v>0</v>
      </c>
      <c r="BL25" s="25">
        <v>11</v>
      </c>
      <c r="BM25" s="25">
        <v>0</v>
      </c>
      <c r="BN25" s="25">
        <v>11</v>
      </c>
      <c r="BO25" s="25">
        <v>0</v>
      </c>
      <c r="BP25" s="25">
        <v>11</v>
      </c>
      <c r="BQ25" s="25">
        <v>0</v>
      </c>
      <c r="BR25" s="25">
        <v>11</v>
      </c>
      <c r="BS25" s="25">
        <v>0</v>
      </c>
      <c r="BT25" s="25">
        <v>11</v>
      </c>
      <c r="BU25" s="25">
        <v>0</v>
      </c>
      <c r="BV25" s="25">
        <v>11</v>
      </c>
      <c r="BW25" s="25">
        <v>0</v>
      </c>
      <c r="BX25" s="25">
        <v>11</v>
      </c>
      <c r="BY25" s="25">
        <v>0</v>
      </c>
      <c r="BZ25" s="25">
        <v>11</v>
      </c>
      <c r="CA25" s="25">
        <v>0</v>
      </c>
      <c r="CB25" s="25">
        <v>11</v>
      </c>
      <c r="CC25" s="25">
        <v>0</v>
      </c>
      <c r="CD25" s="25">
        <v>11</v>
      </c>
      <c r="CE25" s="25">
        <v>0</v>
      </c>
      <c r="CF25" s="25">
        <v>11</v>
      </c>
      <c r="CG25" s="25">
        <v>60</v>
      </c>
      <c r="CH25" s="25">
        <v>24</v>
      </c>
      <c r="CI25" s="25">
        <v>34</v>
      </c>
      <c r="CJ25" s="25">
        <v>16</v>
      </c>
      <c r="CK25" s="25">
        <v>23</v>
      </c>
      <c r="CL25" s="25">
        <v>15</v>
      </c>
      <c r="CM25" s="25">
        <v>11</v>
      </c>
      <c r="CN25" s="25">
        <v>10</v>
      </c>
      <c r="CO25" s="25">
        <v>0</v>
      </c>
      <c r="CP25" s="25">
        <v>11</v>
      </c>
      <c r="CQ25" s="25">
        <v>15</v>
      </c>
      <c r="CR25" s="25">
        <v>17</v>
      </c>
      <c r="CS25" s="25">
        <v>2</v>
      </c>
      <c r="CT25" s="25">
        <v>6</v>
      </c>
      <c r="CU25" s="25">
        <v>0</v>
      </c>
      <c r="CV25" s="25">
        <v>11</v>
      </c>
      <c r="CW25" s="25">
        <v>9</v>
      </c>
      <c r="CX25" s="25">
        <v>8</v>
      </c>
      <c r="CY25" s="25">
        <v>0</v>
      </c>
      <c r="CZ25" s="25">
        <v>11</v>
      </c>
      <c r="DA25" s="25">
        <v>30</v>
      </c>
      <c r="DB25" s="25">
        <v>30</v>
      </c>
      <c r="DC25" s="25">
        <v>27</v>
      </c>
      <c r="DD25" s="25">
        <v>28</v>
      </c>
      <c r="DE25" s="25">
        <v>25</v>
      </c>
      <c r="DF25" s="25">
        <v>29</v>
      </c>
      <c r="DG25" s="25">
        <v>2</v>
      </c>
      <c r="DH25" s="25">
        <v>3</v>
      </c>
      <c r="DI25" s="25">
        <v>0</v>
      </c>
      <c r="DJ25" s="25">
        <v>11</v>
      </c>
      <c r="DK25" s="25">
        <v>2</v>
      </c>
      <c r="DL25" s="25">
        <v>3</v>
      </c>
      <c r="DM25" s="25">
        <v>1</v>
      </c>
      <c r="DN25" s="25">
        <v>2</v>
      </c>
      <c r="DO25" s="25">
        <v>0</v>
      </c>
      <c r="DP25" s="25">
        <v>11</v>
      </c>
      <c r="DQ25" s="25">
        <v>0</v>
      </c>
      <c r="DR25" s="25">
        <v>11</v>
      </c>
      <c r="DS25" s="25">
        <v>0</v>
      </c>
      <c r="DT25" s="25">
        <v>11</v>
      </c>
      <c r="DU25" s="25">
        <v>58</v>
      </c>
      <c r="DV25" s="25">
        <v>39</v>
      </c>
      <c r="DW25" s="25">
        <v>43</v>
      </c>
      <c r="DX25" s="25">
        <v>39</v>
      </c>
      <c r="DY25" s="25">
        <v>21</v>
      </c>
      <c r="DZ25" s="25">
        <v>32</v>
      </c>
      <c r="EA25" s="25">
        <v>22</v>
      </c>
      <c r="EB25" s="25">
        <v>23</v>
      </c>
      <c r="EC25" s="25">
        <v>0</v>
      </c>
      <c r="ED25" s="25">
        <v>11</v>
      </c>
      <c r="EE25" s="25">
        <v>0</v>
      </c>
      <c r="EF25" s="25">
        <v>11</v>
      </c>
      <c r="EG25" s="25">
        <v>4</v>
      </c>
      <c r="EH25" s="25">
        <v>5</v>
      </c>
      <c r="EI25" s="25">
        <v>0</v>
      </c>
      <c r="EJ25" s="25">
        <v>11</v>
      </c>
      <c r="EK25" s="25">
        <v>11</v>
      </c>
      <c r="EL25" s="25">
        <v>8</v>
      </c>
      <c r="EM25" s="25">
        <v>0</v>
      </c>
      <c r="EN25" s="25">
        <v>11</v>
      </c>
    </row>
    <row r="26" spans="1:144" x14ac:dyDescent="0.25">
      <c r="A26" s="19">
        <f t="shared" si="8"/>
        <v>35</v>
      </c>
      <c r="B26" s="20" t="str">
        <f t="shared" si="9"/>
        <v>Salt Lake</v>
      </c>
      <c r="C26" s="24" t="s">
        <v>322</v>
      </c>
      <c r="D26" s="24" t="s">
        <v>323</v>
      </c>
      <c r="E26" s="25">
        <v>542042</v>
      </c>
      <c r="F26" s="25">
        <v>3013</v>
      </c>
      <c r="G26" s="25">
        <v>407887</v>
      </c>
      <c r="H26" s="25">
        <v>3180</v>
      </c>
      <c r="I26" s="25">
        <v>387500</v>
      </c>
      <c r="J26" s="25">
        <v>3352</v>
      </c>
      <c r="K26" s="25">
        <v>20387</v>
      </c>
      <c r="L26" s="25">
        <v>1070</v>
      </c>
      <c r="M26" s="25">
        <v>38089</v>
      </c>
      <c r="N26" s="25">
        <v>1441</v>
      </c>
      <c r="O26" s="25">
        <v>25707</v>
      </c>
      <c r="P26" s="25">
        <v>1099</v>
      </c>
      <c r="Q26" s="25">
        <v>33744</v>
      </c>
      <c r="R26" s="25">
        <v>1335</v>
      </c>
      <c r="S26" s="25">
        <v>11176</v>
      </c>
      <c r="T26" s="25">
        <v>787</v>
      </c>
      <c r="U26" s="25">
        <v>24745</v>
      </c>
      <c r="V26" s="25">
        <v>1040</v>
      </c>
      <c r="W26" s="25">
        <v>694</v>
      </c>
      <c r="X26" s="25">
        <v>191</v>
      </c>
      <c r="Y26" s="25">
        <v>407164</v>
      </c>
      <c r="Z26" s="25">
        <v>3442</v>
      </c>
      <c r="AA26" s="25">
        <v>310746</v>
      </c>
      <c r="AB26" s="25">
        <v>3165</v>
      </c>
      <c r="AC26" s="25">
        <v>297658</v>
      </c>
      <c r="AD26" s="25">
        <v>3141</v>
      </c>
      <c r="AE26" s="25">
        <v>13088</v>
      </c>
      <c r="AF26" s="25">
        <v>787</v>
      </c>
      <c r="AG26" s="25">
        <v>28493</v>
      </c>
      <c r="AH26" s="25">
        <v>1132</v>
      </c>
      <c r="AI26" s="25">
        <v>20790</v>
      </c>
      <c r="AJ26" s="25">
        <v>1028</v>
      </c>
      <c r="AK26" s="25">
        <v>24734</v>
      </c>
      <c r="AL26" s="25">
        <v>1013</v>
      </c>
      <c r="AM26" s="25">
        <v>8746</v>
      </c>
      <c r="AN26" s="25">
        <v>684</v>
      </c>
      <c r="AO26" s="25">
        <v>13287</v>
      </c>
      <c r="AP26" s="25">
        <v>846</v>
      </c>
      <c r="AQ26" s="25">
        <v>368</v>
      </c>
      <c r="AR26" s="25">
        <v>121</v>
      </c>
      <c r="AS26" s="25">
        <v>63421</v>
      </c>
      <c r="AT26" s="25">
        <v>1923</v>
      </c>
      <c r="AU26" s="25">
        <v>50054</v>
      </c>
      <c r="AV26" s="25">
        <v>1707</v>
      </c>
      <c r="AW26" s="25">
        <v>47903</v>
      </c>
      <c r="AX26" s="25">
        <v>1696</v>
      </c>
      <c r="AY26" s="25">
        <v>2151</v>
      </c>
      <c r="AZ26" s="25">
        <v>295</v>
      </c>
      <c r="BA26" s="25">
        <v>4057</v>
      </c>
      <c r="BB26" s="25">
        <v>454</v>
      </c>
      <c r="BC26" s="25">
        <v>2647</v>
      </c>
      <c r="BD26" s="25">
        <v>309</v>
      </c>
      <c r="BE26" s="25">
        <v>3251</v>
      </c>
      <c r="BF26" s="25">
        <v>407</v>
      </c>
      <c r="BG26" s="25">
        <v>1165</v>
      </c>
      <c r="BH26" s="25">
        <v>271</v>
      </c>
      <c r="BI26" s="25">
        <v>2129</v>
      </c>
      <c r="BJ26" s="25">
        <v>334</v>
      </c>
      <c r="BK26" s="25">
        <v>118</v>
      </c>
      <c r="BL26" s="25">
        <v>82</v>
      </c>
      <c r="BM26" s="25">
        <v>21334</v>
      </c>
      <c r="BN26" s="25">
        <v>1077</v>
      </c>
      <c r="BO26" s="25">
        <v>14033</v>
      </c>
      <c r="BP26" s="25">
        <v>913</v>
      </c>
      <c r="BQ26" s="25">
        <v>13895</v>
      </c>
      <c r="BR26" s="25">
        <v>910</v>
      </c>
      <c r="BS26" s="25">
        <v>138</v>
      </c>
      <c r="BT26" s="25">
        <v>72</v>
      </c>
      <c r="BU26" s="25">
        <v>2595</v>
      </c>
      <c r="BV26" s="25">
        <v>365</v>
      </c>
      <c r="BW26" s="25">
        <v>921</v>
      </c>
      <c r="BX26" s="25">
        <v>195</v>
      </c>
      <c r="BY26" s="25">
        <v>3029</v>
      </c>
      <c r="BZ26" s="25">
        <v>390</v>
      </c>
      <c r="CA26" s="25">
        <v>570</v>
      </c>
      <c r="CB26" s="25">
        <v>216</v>
      </c>
      <c r="CC26" s="25">
        <v>186</v>
      </c>
      <c r="CD26" s="25">
        <v>85</v>
      </c>
      <c r="CE26" s="25">
        <v>0</v>
      </c>
      <c r="CF26" s="25">
        <v>26</v>
      </c>
      <c r="CG26" s="25">
        <v>12008</v>
      </c>
      <c r="CH26" s="25">
        <v>1003</v>
      </c>
      <c r="CI26" s="25">
        <v>8265</v>
      </c>
      <c r="CJ26" s="25">
        <v>769</v>
      </c>
      <c r="CK26" s="25">
        <v>7996</v>
      </c>
      <c r="CL26" s="25">
        <v>752</v>
      </c>
      <c r="CM26" s="25">
        <v>269</v>
      </c>
      <c r="CN26" s="25">
        <v>98</v>
      </c>
      <c r="CO26" s="25">
        <v>1044</v>
      </c>
      <c r="CP26" s="25">
        <v>230</v>
      </c>
      <c r="CQ26" s="25">
        <v>524</v>
      </c>
      <c r="CR26" s="25">
        <v>167</v>
      </c>
      <c r="CS26" s="25">
        <v>1253</v>
      </c>
      <c r="CT26" s="25">
        <v>306</v>
      </c>
      <c r="CU26" s="25">
        <v>129</v>
      </c>
      <c r="CV26" s="25">
        <v>77</v>
      </c>
      <c r="CW26" s="25">
        <v>780</v>
      </c>
      <c r="CX26" s="25">
        <v>238</v>
      </c>
      <c r="CY26" s="25">
        <v>13</v>
      </c>
      <c r="CZ26" s="25">
        <v>21</v>
      </c>
      <c r="DA26" s="25">
        <v>10298</v>
      </c>
      <c r="DB26" s="25">
        <v>756</v>
      </c>
      <c r="DC26" s="25">
        <v>7343</v>
      </c>
      <c r="DD26" s="25">
        <v>606</v>
      </c>
      <c r="DE26" s="25">
        <v>7076</v>
      </c>
      <c r="DF26" s="25">
        <v>612</v>
      </c>
      <c r="DG26" s="25">
        <v>267</v>
      </c>
      <c r="DH26" s="25">
        <v>99</v>
      </c>
      <c r="DI26" s="25">
        <v>800</v>
      </c>
      <c r="DJ26" s="25">
        <v>187</v>
      </c>
      <c r="DK26" s="25">
        <v>600</v>
      </c>
      <c r="DL26" s="25">
        <v>170</v>
      </c>
      <c r="DM26" s="25">
        <v>782</v>
      </c>
      <c r="DN26" s="25">
        <v>172</v>
      </c>
      <c r="DO26" s="25">
        <v>360</v>
      </c>
      <c r="DP26" s="25">
        <v>119</v>
      </c>
      <c r="DQ26" s="25">
        <v>413</v>
      </c>
      <c r="DR26" s="25">
        <v>132</v>
      </c>
      <c r="DS26" s="25">
        <v>0</v>
      </c>
      <c r="DT26" s="25">
        <v>26</v>
      </c>
      <c r="DU26" s="25">
        <v>27817</v>
      </c>
      <c r="DV26" s="25">
        <v>1252</v>
      </c>
      <c r="DW26" s="25">
        <v>17446</v>
      </c>
      <c r="DX26" s="25">
        <v>1020</v>
      </c>
      <c r="DY26" s="25">
        <v>12972</v>
      </c>
      <c r="DZ26" s="25">
        <v>910</v>
      </c>
      <c r="EA26" s="25">
        <v>4474</v>
      </c>
      <c r="EB26" s="25">
        <v>467</v>
      </c>
      <c r="EC26" s="25">
        <v>1100</v>
      </c>
      <c r="ED26" s="25">
        <v>206</v>
      </c>
      <c r="EE26" s="25">
        <v>225</v>
      </c>
      <c r="EF26" s="25">
        <v>85</v>
      </c>
      <c r="EG26" s="25">
        <v>695</v>
      </c>
      <c r="EH26" s="25">
        <v>188</v>
      </c>
      <c r="EI26" s="25">
        <v>206</v>
      </c>
      <c r="EJ26" s="25">
        <v>92</v>
      </c>
      <c r="EK26" s="25">
        <v>7950</v>
      </c>
      <c r="EL26" s="25">
        <v>713</v>
      </c>
      <c r="EM26" s="25">
        <v>195</v>
      </c>
      <c r="EN26" s="25">
        <v>114</v>
      </c>
    </row>
    <row r="27" spans="1:144" x14ac:dyDescent="0.25">
      <c r="A27" s="19">
        <f t="shared" si="8"/>
        <v>37</v>
      </c>
      <c r="B27" s="20" t="str">
        <f t="shared" si="9"/>
        <v>San Juan</v>
      </c>
      <c r="C27" s="24" t="s">
        <v>324</v>
      </c>
      <c r="D27" s="24" t="s">
        <v>325</v>
      </c>
      <c r="E27" s="25">
        <v>5104</v>
      </c>
      <c r="F27" s="25">
        <v>253</v>
      </c>
      <c r="G27" s="25">
        <v>2798</v>
      </c>
      <c r="H27" s="25">
        <v>208</v>
      </c>
      <c r="I27" s="25">
        <v>2556</v>
      </c>
      <c r="J27" s="25">
        <v>202</v>
      </c>
      <c r="K27" s="25">
        <v>242</v>
      </c>
      <c r="L27" s="25">
        <v>82</v>
      </c>
      <c r="M27" s="25">
        <v>274</v>
      </c>
      <c r="N27" s="25">
        <v>80</v>
      </c>
      <c r="O27" s="25">
        <v>875</v>
      </c>
      <c r="P27" s="25">
        <v>159</v>
      </c>
      <c r="Q27" s="25">
        <v>525</v>
      </c>
      <c r="R27" s="25">
        <v>108</v>
      </c>
      <c r="S27" s="25">
        <v>238</v>
      </c>
      <c r="T27" s="25">
        <v>50</v>
      </c>
      <c r="U27" s="25">
        <v>377</v>
      </c>
      <c r="V27" s="25">
        <v>115</v>
      </c>
      <c r="W27" s="25">
        <v>17</v>
      </c>
      <c r="X27" s="25">
        <v>22</v>
      </c>
      <c r="Y27" s="25">
        <v>3781</v>
      </c>
      <c r="Z27" s="25">
        <v>242</v>
      </c>
      <c r="AA27" s="25">
        <v>2082</v>
      </c>
      <c r="AB27" s="25">
        <v>187</v>
      </c>
      <c r="AC27" s="25">
        <v>1964</v>
      </c>
      <c r="AD27" s="25">
        <v>189</v>
      </c>
      <c r="AE27" s="25">
        <v>118</v>
      </c>
      <c r="AF27" s="25">
        <v>54</v>
      </c>
      <c r="AG27" s="25">
        <v>207</v>
      </c>
      <c r="AH27" s="25">
        <v>80</v>
      </c>
      <c r="AI27" s="25">
        <v>722</v>
      </c>
      <c r="AJ27" s="25">
        <v>142</v>
      </c>
      <c r="AK27" s="25">
        <v>423</v>
      </c>
      <c r="AL27" s="25">
        <v>108</v>
      </c>
      <c r="AM27" s="25">
        <v>191</v>
      </c>
      <c r="AN27" s="25">
        <v>51</v>
      </c>
      <c r="AO27" s="25">
        <v>139</v>
      </c>
      <c r="AP27" s="25">
        <v>70</v>
      </c>
      <c r="AQ27" s="25">
        <v>17</v>
      </c>
      <c r="AR27" s="25">
        <v>22</v>
      </c>
      <c r="AS27" s="25">
        <v>501</v>
      </c>
      <c r="AT27" s="25">
        <v>110</v>
      </c>
      <c r="AU27" s="25">
        <v>321</v>
      </c>
      <c r="AV27" s="25">
        <v>78</v>
      </c>
      <c r="AW27" s="25">
        <v>294</v>
      </c>
      <c r="AX27" s="25">
        <v>73</v>
      </c>
      <c r="AY27" s="25">
        <v>27</v>
      </c>
      <c r="AZ27" s="25">
        <v>20</v>
      </c>
      <c r="BA27" s="25">
        <v>51</v>
      </c>
      <c r="BB27" s="25">
        <v>31</v>
      </c>
      <c r="BC27" s="25">
        <v>51</v>
      </c>
      <c r="BD27" s="25">
        <v>26</v>
      </c>
      <c r="BE27" s="25">
        <v>50</v>
      </c>
      <c r="BF27" s="25">
        <v>26</v>
      </c>
      <c r="BG27" s="25">
        <v>22</v>
      </c>
      <c r="BH27" s="25">
        <v>15</v>
      </c>
      <c r="BI27" s="25">
        <v>6</v>
      </c>
      <c r="BJ27" s="25">
        <v>11</v>
      </c>
      <c r="BK27" s="25">
        <v>0</v>
      </c>
      <c r="BL27" s="25">
        <v>17</v>
      </c>
      <c r="BM27" s="25">
        <v>19</v>
      </c>
      <c r="BN27" s="25">
        <v>12</v>
      </c>
      <c r="BO27" s="25">
        <v>10</v>
      </c>
      <c r="BP27" s="25">
        <v>10</v>
      </c>
      <c r="BQ27" s="25">
        <v>10</v>
      </c>
      <c r="BR27" s="25">
        <v>10</v>
      </c>
      <c r="BS27" s="25">
        <v>0</v>
      </c>
      <c r="BT27" s="25">
        <v>17</v>
      </c>
      <c r="BU27" s="25">
        <v>0</v>
      </c>
      <c r="BV27" s="25">
        <v>17</v>
      </c>
      <c r="BW27" s="25">
        <v>3</v>
      </c>
      <c r="BX27" s="25">
        <v>4</v>
      </c>
      <c r="BY27" s="25">
        <v>0</v>
      </c>
      <c r="BZ27" s="25">
        <v>17</v>
      </c>
      <c r="CA27" s="25">
        <v>6</v>
      </c>
      <c r="CB27" s="25">
        <v>7</v>
      </c>
      <c r="CC27" s="25">
        <v>0</v>
      </c>
      <c r="CD27" s="25">
        <v>17</v>
      </c>
      <c r="CE27" s="25">
        <v>0</v>
      </c>
      <c r="CF27" s="25">
        <v>17</v>
      </c>
      <c r="CG27" s="25">
        <v>280</v>
      </c>
      <c r="CH27" s="25">
        <v>68</v>
      </c>
      <c r="CI27" s="25">
        <v>140</v>
      </c>
      <c r="CJ27" s="25">
        <v>53</v>
      </c>
      <c r="CK27" s="25">
        <v>140</v>
      </c>
      <c r="CL27" s="25">
        <v>53</v>
      </c>
      <c r="CM27" s="25">
        <v>0</v>
      </c>
      <c r="CN27" s="25">
        <v>17</v>
      </c>
      <c r="CO27" s="25">
        <v>16</v>
      </c>
      <c r="CP27" s="25">
        <v>18</v>
      </c>
      <c r="CQ27" s="25">
        <v>65</v>
      </c>
      <c r="CR27" s="25">
        <v>36</v>
      </c>
      <c r="CS27" s="25">
        <v>42</v>
      </c>
      <c r="CT27" s="25">
        <v>30</v>
      </c>
      <c r="CU27" s="25">
        <v>6</v>
      </c>
      <c r="CV27" s="25">
        <v>9</v>
      </c>
      <c r="CW27" s="25">
        <v>11</v>
      </c>
      <c r="CX27" s="25">
        <v>12</v>
      </c>
      <c r="CY27" s="25">
        <v>0</v>
      </c>
      <c r="CZ27" s="25">
        <v>17</v>
      </c>
      <c r="DA27" s="25">
        <v>29</v>
      </c>
      <c r="DB27" s="25">
        <v>20</v>
      </c>
      <c r="DC27" s="25">
        <v>7</v>
      </c>
      <c r="DD27" s="25">
        <v>10</v>
      </c>
      <c r="DE27" s="25">
        <v>7</v>
      </c>
      <c r="DF27" s="25">
        <v>10</v>
      </c>
      <c r="DG27" s="25">
        <v>0</v>
      </c>
      <c r="DH27" s="25">
        <v>17</v>
      </c>
      <c r="DI27" s="25">
        <v>0</v>
      </c>
      <c r="DJ27" s="25">
        <v>17</v>
      </c>
      <c r="DK27" s="25">
        <v>16</v>
      </c>
      <c r="DL27" s="25">
        <v>14</v>
      </c>
      <c r="DM27" s="25">
        <v>6</v>
      </c>
      <c r="DN27" s="25">
        <v>9</v>
      </c>
      <c r="DO27" s="25">
        <v>0</v>
      </c>
      <c r="DP27" s="25">
        <v>17</v>
      </c>
      <c r="DQ27" s="25">
        <v>0</v>
      </c>
      <c r="DR27" s="25">
        <v>17</v>
      </c>
      <c r="DS27" s="25">
        <v>0</v>
      </c>
      <c r="DT27" s="25">
        <v>17</v>
      </c>
      <c r="DU27" s="25">
        <v>494</v>
      </c>
      <c r="DV27" s="25">
        <v>127</v>
      </c>
      <c r="DW27" s="25">
        <v>238</v>
      </c>
      <c r="DX27" s="25">
        <v>83</v>
      </c>
      <c r="DY27" s="25">
        <v>141</v>
      </c>
      <c r="DZ27" s="25">
        <v>69</v>
      </c>
      <c r="EA27" s="25">
        <v>97</v>
      </c>
      <c r="EB27" s="25">
        <v>58</v>
      </c>
      <c r="EC27" s="25">
        <v>0</v>
      </c>
      <c r="ED27" s="25">
        <v>17</v>
      </c>
      <c r="EE27" s="25">
        <v>18</v>
      </c>
      <c r="EF27" s="25">
        <v>20</v>
      </c>
      <c r="EG27" s="25">
        <v>4</v>
      </c>
      <c r="EH27" s="25">
        <v>7</v>
      </c>
      <c r="EI27" s="25">
        <v>13</v>
      </c>
      <c r="EJ27" s="25">
        <v>21</v>
      </c>
      <c r="EK27" s="25">
        <v>221</v>
      </c>
      <c r="EL27" s="25">
        <v>102</v>
      </c>
      <c r="EM27" s="25">
        <v>0</v>
      </c>
      <c r="EN27" s="25">
        <v>17</v>
      </c>
    </row>
    <row r="28" spans="1:144" x14ac:dyDescent="0.25">
      <c r="A28" s="19">
        <f t="shared" si="8"/>
        <v>39</v>
      </c>
      <c r="B28" s="20" t="str">
        <f t="shared" si="9"/>
        <v>Sanpete</v>
      </c>
      <c r="C28" s="24" t="s">
        <v>326</v>
      </c>
      <c r="D28" s="24" t="s">
        <v>327</v>
      </c>
      <c r="E28" s="25">
        <v>10361</v>
      </c>
      <c r="F28" s="25">
        <v>452</v>
      </c>
      <c r="G28" s="25">
        <v>7094</v>
      </c>
      <c r="H28" s="25">
        <v>423</v>
      </c>
      <c r="I28" s="25">
        <v>6565</v>
      </c>
      <c r="J28" s="25">
        <v>416</v>
      </c>
      <c r="K28" s="25">
        <v>529</v>
      </c>
      <c r="L28" s="25">
        <v>132</v>
      </c>
      <c r="M28" s="25">
        <v>690</v>
      </c>
      <c r="N28" s="25">
        <v>173</v>
      </c>
      <c r="O28" s="25">
        <v>483</v>
      </c>
      <c r="P28" s="25">
        <v>94</v>
      </c>
      <c r="Q28" s="25">
        <v>1196</v>
      </c>
      <c r="R28" s="25">
        <v>183</v>
      </c>
      <c r="S28" s="25">
        <v>133</v>
      </c>
      <c r="T28" s="25">
        <v>55</v>
      </c>
      <c r="U28" s="25">
        <v>752</v>
      </c>
      <c r="V28" s="25">
        <v>169</v>
      </c>
      <c r="W28" s="25">
        <v>13</v>
      </c>
      <c r="X28" s="25">
        <v>11</v>
      </c>
      <c r="Y28" s="25">
        <v>7495</v>
      </c>
      <c r="Z28" s="25">
        <v>424</v>
      </c>
      <c r="AA28" s="25">
        <v>5030</v>
      </c>
      <c r="AB28" s="25">
        <v>375</v>
      </c>
      <c r="AC28" s="25">
        <v>4740</v>
      </c>
      <c r="AD28" s="25">
        <v>379</v>
      </c>
      <c r="AE28" s="25">
        <v>290</v>
      </c>
      <c r="AF28" s="25">
        <v>79</v>
      </c>
      <c r="AG28" s="25">
        <v>516</v>
      </c>
      <c r="AH28" s="25">
        <v>139</v>
      </c>
      <c r="AI28" s="25">
        <v>401</v>
      </c>
      <c r="AJ28" s="25">
        <v>84</v>
      </c>
      <c r="AK28" s="25">
        <v>969</v>
      </c>
      <c r="AL28" s="25">
        <v>163</v>
      </c>
      <c r="AM28" s="25">
        <v>133</v>
      </c>
      <c r="AN28" s="25">
        <v>55</v>
      </c>
      <c r="AO28" s="25">
        <v>438</v>
      </c>
      <c r="AP28" s="25">
        <v>164</v>
      </c>
      <c r="AQ28" s="25">
        <v>8</v>
      </c>
      <c r="AR28" s="25">
        <v>9</v>
      </c>
      <c r="AS28" s="25">
        <v>1553</v>
      </c>
      <c r="AT28" s="25">
        <v>236</v>
      </c>
      <c r="AU28" s="25">
        <v>1196</v>
      </c>
      <c r="AV28" s="25">
        <v>219</v>
      </c>
      <c r="AW28" s="25">
        <v>1162</v>
      </c>
      <c r="AX28" s="25">
        <v>213</v>
      </c>
      <c r="AY28" s="25">
        <v>34</v>
      </c>
      <c r="AZ28" s="25">
        <v>23</v>
      </c>
      <c r="BA28" s="25">
        <v>111</v>
      </c>
      <c r="BB28" s="25">
        <v>66</v>
      </c>
      <c r="BC28" s="25">
        <v>36</v>
      </c>
      <c r="BD28" s="25">
        <v>26</v>
      </c>
      <c r="BE28" s="25">
        <v>147</v>
      </c>
      <c r="BF28" s="25">
        <v>52</v>
      </c>
      <c r="BG28" s="25">
        <v>0</v>
      </c>
      <c r="BH28" s="25">
        <v>20</v>
      </c>
      <c r="BI28" s="25">
        <v>58</v>
      </c>
      <c r="BJ28" s="25">
        <v>41</v>
      </c>
      <c r="BK28" s="25">
        <v>5</v>
      </c>
      <c r="BL28" s="25">
        <v>7</v>
      </c>
      <c r="BM28" s="25">
        <v>26</v>
      </c>
      <c r="BN28" s="25">
        <v>29</v>
      </c>
      <c r="BO28" s="25">
        <v>25</v>
      </c>
      <c r="BP28" s="25">
        <v>28</v>
      </c>
      <c r="BQ28" s="25">
        <v>25</v>
      </c>
      <c r="BR28" s="25">
        <v>28</v>
      </c>
      <c r="BS28" s="25">
        <v>0</v>
      </c>
      <c r="BT28" s="25">
        <v>20</v>
      </c>
      <c r="BU28" s="25">
        <v>0</v>
      </c>
      <c r="BV28" s="25">
        <v>20</v>
      </c>
      <c r="BW28" s="25">
        <v>1</v>
      </c>
      <c r="BX28" s="25">
        <v>4</v>
      </c>
      <c r="BY28" s="25">
        <v>0</v>
      </c>
      <c r="BZ28" s="25">
        <v>20</v>
      </c>
      <c r="CA28" s="25">
        <v>0</v>
      </c>
      <c r="CB28" s="25">
        <v>20</v>
      </c>
      <c r="CC28" s="25">
        <v>0</v>
      </c>
      <c r="CD28" s="25">
        <v>20</v>
      </c>
      <c r="CE28" s="25">
        <v>0</v>
      </c>
      <c r="CF28" s="25">
        <v>20</v>
      </c>
      <c r="CG28" s="25">
        <v>592</v>
      </c>
      <c r="CH28" s="25">
        <v>156</v>
      </c>
      <c r="CI28" s="25">
        <v>452</v>
      </c>
      <c r="CJ28" s="25">
        <v>123</v>
      </c>
      <c r="CK28" s="25">
        <v>423</v>
      </c>
      <c r="CL28" s="25">
        <v>125</v>
      </c>
      <c r="CM28" s="25">
        <v>29</v>
      </c>
      <c r="CN28" s="25">
        <v>29</v>
      </c>
      <c r="CO28" s="25">
        <v>38</v>
      </c>
      <c r="CP28" s="25">
        <v>42</v>
      </c>
      <c r="CQ28" s="25">
        <v>27</v>
      </c>
      <c r="CR28" s="25">
        <v>30</v>
      </c>
      <c r="CS28" s="25">
        <v>55</v>
      </c>
      <c r="CT28" s="25">
        <v>39</v>
      </c>
      <c r="CU28" s="25">
        <v>0</v>
      </c>
      <c r="CV28" s="25">
        <v>20</v>
      </c>
      <c r="CW28" s="25">
        <v>20</v>
      </c>
      <c r="CX28" s="25">
        <v>22</v>
      </c>
      <c r="CY28" s="25">
        <v>0</v>
      </c>
      <c r="CZ28" s="25">
        <v>20</v>
      </c>
      <c r="DA28" s="25">
        <v>92</v>
      </c>
      <c r="DB28" s="25">
        <v>43</v>
      </c>
      <c r="DC28" s="25">
        <v>52</v>
      </c>
      <c r="DD28" s="25">
        <v>31</v>
      </c>
      <c r="DE28" s="25">
        <v>36</v>
      </c>
      <c r="DF28" s="25">
        <v>26</v>
      </c>
      <c r="DG28" s="25">
        <v>16</v>
      </c>
      <c r="DH28" s="25">
        <v>15</v>
      </c>
      <c r="DI28" s="25">
        <v>4</v>
      </c>
      <c r="DJ28" s="25">
        <v>8</v>
      </c>
      <c r="DK28" s="25">
        <v>0</v>
      </c>
      <c r="DL28" s="25">
        <v>20</v>
      </c>
      <c r="DM28" s="25">
        <v>11</v>
      </c>
      <c r="DN28" s="25">
        <v>17</v>
      </c>
      <c r="DO28" s="25">
        <v>0</v>
      </c>
      <c r="DP28" s="25">
        <v>20</v>
      </c>
      <c r="DQ28" s="25">
        <v>25</v>
      </c>
      <c r="DR28" s="25">
        <v>19</v>
      </c>
      <c r="DS28" s="25">
        <v>0</v>
      </c>
      <c r="DT28" s="25">
        <v>20</v>
      </c>
      <c r="DU28" s="25">
        <v>603</v>
      </c>
      <c r="DV28" s="25">
        <v>149</v>
      </c>
      <c r="DW28" s="25">
        <v>339</v>
      </c>
      <c r="DX28" s="25">
        <v>128</v>
      </c>
      <c r="DY28" s="25">
        <v>179</v>
      </c>
      <c r="DZ28" s="25">
        <v>82</v>
      </c>
      <c r="EA28" s="25">
        <v>160</v>
      </c>
      <c r="EB28" s="25">
        <v>105</v>
      </c>
      <c r="EC28" s="25">
        <v>21</v>
      </c>
      <c r="ED28" s="25">
        <v>18</v>
      </c>
      <c r="EE28" s="25">
        <v>18</v>
      </c>
      <c r="EF28" s="25">
        <v>19</v>
      </c>
      <c r="EG28" s="25">
        <v>14</v>
      </c>
      <c r="EH28" s="25">
        <v>15</v>
      </c>
      <c r="EI28" s="25">
        <v>0</v>
      </c>
      <c r="EJ28" s="25">
        <v>20</v>
      </c>
      <c r="EK28" s="25">
        <v>211</v>
      </c>
      <c r="EL28" s="25">
        <v>74</v>
      </c>
      <c r="EM28" s="25">
        <v>0</v>
      </c>
      <c r="EN28" s="25">
        <v>20</v>
      </c>
    </row>
    <row r="29" spans="1:144" x14ac:dyDescent="0.25">
      <c r="A29" s="19">
        <f t="shared" si="8"/>
        <v>41</v>
      </c>
      <c r="B29" s="20" t="str">
        <f t="shared" si="9"/>
        <v>Sevier</v>
      </c>
      <c r="C29" s="24" t="s">
        <v>328</v>
      </c>
      <c r="D29" s="24" t="s">
        <v>329</v>
      </c>
      <c r="E29" s="25">
        <v>8446</v>
      </c>
      <c r="F29" s="25">
        <v>289</v>
      </c>
      <c r="G29" s="25">
        <v>5652</v>
      </c>
      <c r="H29" s="25">
        <v>234</v>
      </c>
      <c r="I29" s="25">
        <v>5235</v>
      </c>
      <c r="J29" s="25">
        <v>234</v>
      </c>
      <c r="K29" s="25">
        <v>417</v>
      </c>
      <c r="L29" s="25">
        <v>84</v>
      </c>
      <c r="M29" s="25">
        <v>333</v>
      </c>
      <c r="N29" s="25">
        <v>84</v>
      </c>
      <c r="O29" s="25">
        <v>495</v>
      </c>
      <c r="P29" s="25">
        <v>103</v>
      </c>
      <c r="Q29" s="25">
        <v>1049</v>
      </c>
      <c r="R29" s="25">
        <v>161</v>
      </c>
      <c r="S29" s="25">
        <v>260</v>
      </c>
      <c r="T29" s="25">
        <v>71</v>
      </c>
      <c r="U29" s="25">
        <v>533</v>
      </c>
      <c r="V29" s="25">
        <v>122</v>
      </c>
      <c r="W29" s="25">
        <v>124</v>
      </c>
      <c r="X29" s="25">
        <v>104</v>
      </c>
      <c r="Y29" s="25">
        <v>6745</v>
      </c>
      <c r="Z29" s="25">
        <v>312</v>
      </c>
      <c r="AA29" s="25">
        <v>4627</v>
      </c>
      <c r="AB29" s="25">
        <v>267</v>
      </c>
      <c r="AC29" s="25">
        <v>4329</v>
      </c>
      <c r="AD29" s="25">
        <v>272</v>
      </c>
      <c r="AE29" s="25">
        <v>298</v>
      </c>
      <c r="AF29" s="25">
        <v>66</v>
      </c>
      <c r="AG29" s="25">
        <v>277</v>
      </c>
      <c r="AH29" s="25">
        <v>73</v>
      </c>
      <c r="AI29" s="25">
        <v>405</v>
      </c>
      <c r="AJ29" s="25">
        <v>92</v>
      </c>
      <c r="AK29" s="25">
        <v>890</v>
      </c>
      <c r="AL29" s="25">
        <v>136</v>
      </c>
      <c r="AM29" s="25">
        <v>247</v>
      </c>
      <c r="AN29" s="25">
        <v>72</v>
      </c>
      <c r="AO29" s="25">
        <v>247</v>
      </c>
      <c r="AP29" s="25">
        <v>82</v>
      </c>
      <c r="AQ29" s="25">
        <v>52</v>
      </c>
      <c r="AR29" s="25">
        <v>38</v>
      </c>
      <c r="AS29" s="25">
        <v>917</v>
      </c>
      <c r="AT29" s="25">
        <v>167</v>
      </c>
      <c r="AU29" s="25">
        <v>617</v>
      </c>
      <c r="AV29" s="25">
        <v>145</v>
      </c>
      <c r="AW29" s="25">
        <v>608</v>
      </c>
      <c r="AX29" s="25">
        <v>143</v>
      </c>
      <c r="AY29" s="25">
        <v>9</v>
      </c>
      <c r="AZ29" s="25">
        <v>11</v>
      </c>
      <c r="BA29" s="25">
        <v>47</v>
      </c>
      <c r="BB29" s="25">
        <v>28</v>
      </c>
      <c r="BC29" s="25">
        <v>70</v>
      </c>
      <c r="BD29" s="25">
        <v>33</v>
      </c>
      <c r="BE29" s="25">
        <v>93</v>
      </c>
      <c r="BF29" s="25">
        <v>46</v>
      </c>
      <c r="BG29" s="25">
        <v>8</v>
      </c>
      <c r="BH29" s="25">
        <v>11</v>
      </c>
      <c r="BI29" s="25">
        <v>64</v>
      </c>
      <c r="BJ29" s="25">
        <v>38</v>
      </c>
      <c r="BK29" s="25">
        <v>18</v>
      </c>
      <c r="BL29" s="25">
        <v>25</v>
      </c>
      <c r="BM29" s="25">
        <v>54</v>
      </c>
      <c r="BN29" s="25">
        <v>36</v>
      </c>
      <c r="BO29" s="25">
        <v>22</v>
      </c>
      <c r="BP29" s="25">
        <v>20</v>
      </c>
      <c r="BQ29" s="25">
        <v>22</v>
      </c>
      <c r="BR29" s="25">
        <v>20</v>
      </c>
      <c r="BS29" s="25">
        <v>0</v>
      </c>
      <c r="BT29" s="25">
        <v>20</v>
      </c>
      <c r="BU29" s="25">
        <v>8</v>
      </c>
      <c r="BV29" s="25">
        <v>14</v>
      </c>
      <c r="BW29" s="25">
        <v>19</v>
      </c>
      <c r="BX29" s="25">
        <v>27</v>
      </c>
      <c r="BY29" s="25">
        <v>0</v>
      </c>
      <c r="BZ29" s="25">
        <v>20</v>
      </c>
      <c r="CA29" s="25">
        <v>3</v>
      </c>
      <c r="CB29" s="25">
        <v>4</v>
      </c>
      <c r="CC29" s="25">
        <v>2</v>
      </c>
      <c r="CD29" s="25">
        <v>3</v>
      </c>
      <c r="CE29" s="25">
        <v>0</v>
      </c>
      <c r="CF29" s="25">
        <v>20</v>
      </c>
      <c r="CG29" s="25">
        <v>150</v>
      </c>
      <c r="CH29" s="25">
        <v>60</v>
      </c>
      <c r="CI29" s="25">
        <v>59</v>
      </c>
      <c r="CJ29" s="25">
        <v>35</v>
      </c>
      <c r="CK29" s="25">
        <v>25</v>
      </c>
      <c r="CL29" s="25">
        <v>23</v>
      </c>
      <c r="CM29" s="25">
        <v>34</v>
      </c>
      <c r="CN29" s="25">
        <v>30</v>
      </c>
      <c r="CO29" s="25">
        <v>0</v>
      </c>
      <c r="CP29" s="25">
        <v>20</v>
      </c>
      <c r="CQ29" s="25">
        <v>1</v>
      </c>
      <c r="CR29" s="25">
        <v>4</v>
      </c>
      <c r="CS29" s="25">
        <v>34</v>
      </c>
      <c r="CT29" s="25">
        <v>39</v>
      </c>
      <c r="CU29" s="25">
        <v>0</v>
      </c>
      <c r="CV29" s="25">
        <v>20</v>
      </c>
      <c r="CW29" s="25">
        <v>46</v>
      </c>
      <c r="CX29" s="25">
        <v>34</v>
      </c>
      <c r="CY29" s="25">
        <v>10</v>
      </c>
      <c r="CZ29" s="25">
        <v>14</v>
      </c>
      <c r="DA29" s="25">
        <v>150</v>
      </c>
      <c r="DB29" s="25">
        <v>71</v>
      </c>
      <c r="DC29" s="25">
        <v>99</v>
      </c>
      <c r="DD29" s="25">
        <v>64</v>
      </c>
      <c r="DE29" s="25">
        <v>99</v>
      </c>
      <c r="DF29" s="25">
        <v>64</v>
      </c>
      <c r="DG29" s="25">
        <v>0</v>
      </c>
      <c r="DH29" s="25">
        <v>20</v>
      </c>
      <c r="DI29" s="25">
        <v>0</v>
      </c>
      <c r="DJ29" s="25">
        <v>20</v>
      </c>
      <c r="DK29" s="25">
        <v>0</v>
      </c>
      <c r="DL29" s="25">
        <v>20</v>
      </c>
      <c r="DM29" s="25">
        <v>6</v>
      </c>
      <c r="DN29" s="25">
        <v>9</v>
      </c>
      <c r="DO29" s="25">
        <v>0</v>
      </c>
      <c r="DP29" s="25">
        <v>20</v>
      </c>
      <c r="DQ29" s="25">
        <v>4</v>
      </c>
      <c r="DR29" s="25">
        <v>5</v>
      </c>
      <c r="DS29" s="25">
        <v>41</v>
      </c>
      <c r="DT29" s="25">
        <v>42</v>
      </c>
      <c r="DU29" s="25">
        <v>430</v>
      </c>
      <c r="DV29" s="25">
        <v>105</v>
      </c>
      <c r="DW29" s="25">
        <v>228</v>
      </c>
      <c r="DX29" s="25">
        <v>81</v>
      </c>
      <c r="DY29" s="25">
        <v>152</v>
      </c>
      <c r="DZ29" s="25">
        <v>65</v>
      </c>
      <c r="EA29" s="25">
        <v>76</v>
      </c>
      <c r="EB29" s="25">
        <v>43</v>
      </c>
      <c r="EC29" s="25">
        <v>1</v>
      </c>
      <c r="ED29" s="25">
        <v>3</v>
      </c>
      <c r="EE29" s="25">
        <v>0</v>
      </c>
      <c r="EF29" s="25">
        <v>20</v>
      </c>
      <c r="EG29" s="25">
        <v>26</v>
      </c>
      <c r="EH29" s="25">
        <v>31</v>
      </c>
      <c r="EI29" s="25">
        <v>2</v>
      </c>
      <c r="EJ29" s="25">
        <v>3</v>
      </c>
      <c r="EK29" s="25">
        <v>170</v>
      </c>
      <c r="EL29" s="25">
        <v>56</v>
      </c>
      <c r="EM29" s="25">
        <v>3</v>
      </c>
      <c r="EN29" s="25">
        <v>5</v>
      </c>
    </row>
    <row r="30" spans="1:144" x14ac:dyDescent="0.25">
      <c r="A30" s="19">
        <f t="shared" si="8"/>
        <v>43</v>
      </c>
      <c r="B30" s="20" t="str">
        <f t="shared" si="9"/>
        <v>Summit</v>
      </c>
      <c r="C30" s="24" t="s">
        <v>330</v>
      </c>
      <c r="D30" s="24" t="s">
        <v>331</v>
      </c>
      <c r="E30" s="25">
        <v>20742</v>
      </c>
      <c r="F30" s="25">
        <v>407</v>
      </c>
      <c r="G30" s="25">
        <v>15354</v>
      </c>
      <c r="H30" s="25">
        <v>469</v>
      </c>
      <c r="I30" s="25">
        <v>13274</v>
      </c>
      <c r="J30" s="25">
        <v>461</v>
      </c>
      <c r="K30" s="25">
        <v>2080</v>
      </c>
      <c r="L30" s="25">
        <v>238</v>
      </c>
      <c r="M30" s="25">
        <v>1266</v>
      </c>
      <c r="N30" s="25">
        <v>206</v>
      </c>
      <c r="O30" s="25">
        <v>1364</v>
      </c>
      <c r="P30" s="25">
        <v>202</v>
      </c>
      <c r="Q30" s="25">
        <v>904</v>
      </c>
      <c r="R30" s="25">
        <v>139</v>
      </c>
      <c r="S30" s="25">
        <v>383</v>
      </c>
      <c r="T30" s="25">
        <v>108</v>
      </c>
      <c r="U30" s="25">
        <v>1442</v>
      </c>
      <c r="V30" s="25">
        <v>234</v>
      </c>
      <c r="W30" s="25">
        <v>29</v>
      </c>
      <c r="X30" s="25">
        <v>17</v>
      </c>
      <c r="Y30" s="25">
        <v>15547</v>
      </c>
      <c r="Z30" s="25">
        <v>509</v>
      </c>
      <c r="AA30" s="25">
        <v>11578</v>
      </c>
      <c r="AB30" s="25">
        <v>484</v>
      </c>
      <c r="AC30" s="25">
        <v>10444</v>
      </c>
      <c r="AD30" s="25">
        <v>490</v>
      </c>
      <c r="AE30" s="25">
        <v>1134</v>
      </c>
      <c r="AF30" s="25">
        <v>159</v>
      </c>
      <c r="AG30" s="25">
        <v>1010</v>
      </c>
      <c r="AH30" s="25">
        <v>176</v>
      </c>
      <c r="AI30" s="25">
        <v>1185</v>
      </c>
      <c r="AJ30" s="25">
        <v>178</v>
      </c>
      <c r="AK30" s="25">
        <v>701</v>
      </c>
      <c r="AL30" s="25">
        <v>127</v>
      </c>
      <c r="AM30" s="25">
        <v>317</v>
      </c>
      <c r="AN30" s="25">
        <v>109</v>
      </c>
      <c r="AO30" s="25">
        <v>742</v>
      </c>
      <c r="AP30" s="25">
        <v>157</v>
      </c>
      <c r="AQ30" s="25">
        <v>14</v>
      </c>
      <c r="AR30" s="25">
        <v>16</v>
      </c>
      <c r="AS30" s="25">
        <v>1285</v>
      </c>
      <c r="AT30" s="25">
        <v>256</v>
      </c>
      <c r="AU30" s="25">
        <v>965</v>
      </c>
      <c r="AV30" s="25">
        <v>222</v>
      </c>
      <c r="AW30" s="25">
        <v>875</v>
      </c>
      <c r="AX30" s="25">
        <v>215</v>
      </c>
      <c r="AY30" s="25">
        <v>90</v>
      </c>
      <c r="AZ30" s="25">
        <v>66</v>
      </c>
      <c r="BA30" s="25">
        <v>76</v>
      </c>
      <c r="BB30" s="25">
        <v>45</v>
      </c>
      <c r="BC30" s="25">
        <v>55</v>
      </c>
      <c r="BD30" s="25">
        <v>34</v>
      </c>
      <c r="BE30" s="25">
        <v>98</v>
      </c>
      <c r="BF30" s="25">
        <v>48</v>
      </c>
      <c r="BG30" s="25">
        <v>25</v>
      </c>
      <c r="BH30" s="25">
        <v>27</v>
      </c>
      <c r="BI30" s="25">
        <v>66</v>
      </c>
      <c r="BJ30" s="25">
        <v>50</v>
      </c>
      <c r="BK30" s="25">
        <v>0</v>
      </c>
      <c r="BL30" s="25">
        <v>23</v>
      </c>
      <c r="BM30" s="25">
        <v>213</v>
      </c>
      <c r="BN30" s="25">
        <v>105</v>
      </c>
      <c r="BO30" s="25">
        <v>201</v>
      </c>
      <c r="BP30" s="25">
        <v>106</v>
      </c>
      <c r="BQ30" s="25">
        <v>193</v>
      </c>
      <c r="BR30" s="25">
        <v>104</v>
      </c>
      <c r="BS30" s="25">
        <v>8</v>
      </c>
      <c r="BT30" s="25">
        <v>12</v>
      </c>
      <c r="BU30" s="25">
        <v>7</v>
      </c>
      <c r="BV30" s="25">
        <v>10</v>
      </c>
      <c r="BW30" s="25">
        <v>0</v>
      </c>
      <c r="BX30" s="25">
        <v>23</v>
      </c>
      <c r="BY30" s="25">
        <v>5</v>
      </c>
      <c r="BZ30" s="25">
        <v>8</v>
      </c>
      <c r="CA30" s="25">
        <v>0</v>
      </c>
      <c r="CB30" s="25">
        <v>23</v>
      </c>
      <c r="CC30" s="25">
        <v>0</v>
      </c>
      <c r="CD30" s="25">
        <v>23</v>
      </c>
      <c r="CE30" s="25">
        <v>0</v>
      </c>
      <c r="CF30" s="25">
        <v>23</v>
      </c>
      <c r="CG30" s="25">
        <v>467</v>
      </c>
      <c r="CH30" s="25">
        <v>146</v>
      </c>
      <c r="CI30" s="25">
        <v>343</v>
      </c>
      <c r="CJ30" s="25">
        <v>135</v>
      </c>
      <c r="CK30" s="25">
        <v>309</v>
      </c>
      <c r="CL30" s="25">
        <v>129</v>
      </c>
      <c r="CM30" s="25">
        <v>34</v>
      </c>
      <c r="CN30" s="25">
        <v>27</v>
      </c>
      <c r="CO30" s="25">
        <v>26</v>
      </c>
      <c r="CP30" s="25">
        <v>28</v>
      </c>
      <c r="CQ30" s="25">
        <v>10</v>
      </c>
      <c r="CR30" s="25">
        <v>13</v>
      </c>
      <c r="CS30" s="25">
        <v>34</v>
      </c>
      <c r="CT30" s="25">
        <v>28</v>
      </c>
      <c r="CU30" s="25">
        <v>8</v>
      </c>
      <c r="CV30" s="25">
        <v>11</v>
      </c>
      <c r="CW30" s="25">
        <v>46</v>
      </c>
      <c r="CX30" s="25">
        <v>38</v>
      </c>
      <c r="CY30" s="25">
        <v>0</v>
      </c>
      <c r="CZ30" s="25">
        <v>23</v>
      </c>
      <c r="DA30" s="25">
        <v>460</v>
      </c>
      <c r="DB30" s="25">
        <v>125</v>
      </c>
      <c r="DC30" s="25">
        <v>322</v>
      </c>
      <c r="DD30" s="25">
        <v>97</v>
      </c>
      <c r="DE30" s="25">
        <v>303</v>
      </c>
      <c r="DF30" s="25">
        <v>97</v>
      </c>
      <c r="DG30" s="25">
        <v>19</v>
      </c>
      <c r="DH30" s="25">
        <v>25</v>
      </c>
      <c r="DI30" s="25">
        <v>67</v>
      </c>
      <c r="DJ30" s="25">
        <v>63</v>
      </c>
      <c r="DK30" s="25">
        <v>40</v>
      </c>
      <c r="DL30" s="25">
        <v>34</v>
      </c>
      <c r="DM30" s="25">
        <v>17</v>
      </c>
      <c r="DN30" s="25">
        <v>16</v>
      </c>
      <c r="DO30" s="25">
        <v>0</v>
      </c>
      <c r="DP30" s="25">
        <v>23</v>
      </c>
      <c r="DQ30" s="25">
        <v>14</v>
      </c>
      <c r="DR30" s="25">
        <v>19</v>
      </c>
      <c r="DS30" s="25">
        <v>0</v>
      </c>
      <c r="DT30" s="25">
        <v>23</v>
      </c>
      <c r="DU30" s="25">
        <v>2770</v>
      </c>
      <c r="DV30" s="25">
        <v>288</v>
      </c>
      <c r="DW30" s="25">
        <v>1945</v>
      </c>
      <c r="DX30" s="25">
        <v>283</v>
      </c>
      <c r="DY30" s="25">
        <v>1150</v>
      </c>
      <c r="DZ30" s="25">
        <v>207</v>
      </c>
      <c r="EA30" s="25">
        <v>795</v>
      </c>
      <c r="EB30" s="25">
        <v>172</v>
      </c>
      <c r="EC30" s="25">
        <v>80</v>
      </c>
      <c r="ED30" s="25">
        <v>53</v>
      </c>
      <c r="EE30" s="25">
        <v>74</v>
      </c>
      <c r="EF30" s="25">
        <v>52</v>
      </c>
      <c r="EG30" s="25">
        <v>49</v>
      </c>
      <c r="EH30" s="25">
        <v>40</v>
      </c>
      <c r="EI30" s="25">
        <v>33</v>
      </c>
      <c r="EJ30" s="25">
        <v>30</v>
      </c>
      <c r="EK30" s="25">
        <v>574</v>
      </c>
      <c r="EL30" s="25">
        <v>141</v>
      </c>
      <c r="EM30" s="25">
        <v>15</v>
      </c>
      <c r="EN30" s="25">
        <v>13</v>
      </c>
    </row>
    <row r="31" spans="1:144" x14ac:dyDescent="0.25">
      <c r="A31" s="19">
        <f t="shared" si="8"/>
        <v>45</v>
      </c>
      <c r="B31" s="20" t="str">
        <f t="shared" si="9"/>
        <v>Tooele</v>
      </c>
      <c r="C31" s="24" t="s">
        <v>332</v>
      </c>
      <c r="D31" s="24" t="s">
        <v>333</v>
      </c>
      <c r="E31" s="25">
        <v>26613</v>
      </c>
      <c r="F31" s="25">
        <v>613</v>
      </c>
      <c r="G31" s="25">
        <v>19256</v>
      </c>
      <c r="H31" s="25">
        <v>635</v>
      </c>
      <c r="I31" s="25">
        <v>18740</v>
      </c>
      <c r="J31" s="25">
        <v>654</v>
      </c>
      <c r="K31" s="25">
        <v>516</v>
      </c>
      <c r="L31" s="25">
        <v>191</v>
      </c>
      <c r="M31" s="25">
        <v>1190</v>
      </c>
      <c r="N31" s="25">
        <v>222</v>
      </c>
      <c r="O31" s="25">
        <v>2411</v>
      </c>
      <c r="P31" s="25">
        <v>371</v>
      </c>
      <c r="Q31" s="25">
        <v>741</v>
      </c>
      <c r="R31" s="25">
        <v>178</v>
      </c>
      <c r="S31" s="25">
        <v>1931</v>
      </c>
      <c r="T31" s="25">
        <v>263</v>
      </c>
      <c r="U31" s="25">
        <v>1057</v>
      </c>
      <c r="V31" s="25">
        <v>251</v>
      </c>
      <c r="W31" s="25">
        <v>27</v>
      </c>
      <c r="X31" s="25">
        <v>32</v>
      </c>
      <c r="Y31" s="25">
        <v>19417</v>
      </c>
      <c r="Z31" s="25">
        <v>766</v>
      </c>
      <c r="AA31" s="25">
        <v>14364</v>
      </c>
      <c r="AB31" s="25">
        <v>677</v>
      </c>
      <c r="AC31" s="25">
        <v>13955</v>
      </c>
      <c r="AD31" s="25">
        <v>696</v>
      </c>
      <c r="AE31" s="25">
        <v>409</v>
      </c>
      <c r="AF31" s="25">
        <v>175</v>
      </c>
      <c r="AG31" s="25">
        <v>913</v>
      </c>
      <c r="AH31" s="25">
        <v>216</v>
      </c>
      <c r="AI31" s="25">
        <v>2013</v>
      </c>
      <c r="AJ31" s="25">
        <v>358</v>
      </c>
      <c r="AK31" s="25">
        <v>586</v>
      </c>
      <c r="AL31" s="25">
        <v>160</v>
      </c>
      <c r="AM31" s="25">
        <v>1061</v>
      </c>
      <c r="AN31" s="25">
        <v>214</v>
      </c>
      <c r="AO31" s="25">
        <v>480</v>
      </c>
      <c r="AP31" s="25">
        <v>161</v>
      </c>
      <c r="AQ31" s="25">
        <v>0</v>
      </c>
      <c r="AR31" s="25">
        <v>26</v>
      </c>
      <c r="AS31" s="25">
        <v>4740</v>
      </c>
      <c r="AT31" s="25">
        <v>526</v>
      </c>
      <c r="AU31" s="25">
        <v>3354</v>
      </c>
      <c r="AV31" s="25">
        <v>435</v>
      </c>
      <c r="AW31" s="25">
        <v>3320</v>
      </c>
      <c r="AX31" s="25">
        <v>429</v>
      </c>
      <c r="AY31" s="25">
        <v>34</v>
      </c>
      <c r="AZ31" s="25">
        <v>34</v>
      </c>
      <c r="BA31" s="25">
        <v>150</v>
      </c>
      <c r="BB31" s="25">
        <v>82</v>
      </c>
      <c r="BC31" s="25">
        <v>297</v>
      </c>
      <c r="BD31" s="25">
        <v>102</v>
      </c>
      <c r="BE31" s="25">
        <v>103</v>
      </c>
      <c r="BF31" s="25">
        <v>68</v>
      </c>
      <c r="BG31" s="25">
        <v>781</v>
      </c>
      <c r="BH31" s="25">
        <v>181</v>
      </c>
      <c r="BI31" s="25">
        <v>50</v>
      </c>
      <c r="BJ31" s="25">
        <v>47</v>
      </c>
      <c r="BK31" s="25">
        <v>5</v>
      </c>
      <c r="BL31" s="25">
        <v>8</v>
      </c>
      <c r="BM31" s="25">
        <v>549</v>
      </c>
      <c r="BN31" s="25">
        <v>169</v>
      </c>
      <c r="BO31" s="25">
        <v>336</v>
      </c>
      <c r="BP31" s="25">
        <v>151</v>
      </c>
      <c r="BQ31" s="25">
        <v>336</v>
      </c>
      <c r="BR31" s="25">
        <v>151</v>
      </c>
      <c r="BS31" s="25">
        <v>0</v>
      </c>
      <c r="BT31" s="25">
        <v>26</v>
      </c>
      <c r="BU31" s="25">
        <v>66</v>
      </c>
      <c r="BV31" s="25">
        <v>49</v>
      </c>
      <c r="BW31" s="25">
        <v>65</v>
      </c>
      <c r="BX31" s="25">
        <v>50</v>
      </c>
      <c r="BY31" s="25">
        <v>43</v>
      </c>
      <c r="BZ31" s="25">
        <v>33</v>
      </c>
      <c r="CA31" s="25">
        <v>39</v>
      </c>
      <c r="CB31" s="25">
        <v>41</v>
      </c>
      <c r="CC31" s="25">
        <v>0</v>
      </c>
      <c r="CD31" s="25">
        <v>26</v>
      </c>
      <c r="CE31" s="25">
        <v>0</v>
      </c>
      <c r="CF31" s="25">
        <v>26</v>
      </c>
      <c r="CG31" s="25">
        <v>401</v>
      </c>
      <c r="CH31" s="25">
        <v>117</v>
      </c>
      <c r="CI31" s="25">
        <v>304</v>
      </c>
      <c r="CJ31" s="25">
        <v>105</v>
      </c>
      <c r="CK31" s="25">
        <v>304</v>
      </c>
      <c r="CL31" s="25">
        <v>105</v>
      </c>
      <c r="CM31" s="25">
        <v>0</v>
      </c>
      <c r="CN31" s="25">
        <v>26</v>
      </c>
      <c r="CO31" s="25">
        <v>19</v>
      </c>
      <c r="CP31" s="25">
        <v>27</v>
      </c>
      <c r="CQ31" s="25">
        <v>20</v>
      </c>
      <c r="CR31" s="25">
        <v>20</v>
      </c>
      <c r="CS31" s="25">
        <v>7</v>
      </c>
      <c r="CT31" s="25">
        <v>11</v>
      </c>
      <c r="CU31" s="25">
        <v>9</v>
      </c>
      <c r="CV31" s="25">
        <v>14</v>
      </c>
      <c r="CW31" s="25">
        <v>42</v>
      </c>
      <c r="CX31" s="25">
        <v>43</v>
      </c>
      <c r="CY31" s="25">
        <v>0</v>
      </c>
      <c r="CZ31" s="25">
        <v>26</v>
      </c>
      <c r="DA31" s="25">
        <v>402</v>
      </c>
      <c r="DB31" s="25">
        <v>173</v>
      </c>
      <c r="DC31" s="25">
        <v>301</v>
      </c>
      <c r="DD31" s="25">
        <v>154</v>
      </c>
      <c r="DE31" s="25">
        <v>297</v>
      </c>
      <c r="DF31" s="25">
        <v>154</v>
      </c>
      <c r="DG31" s="25">
        <v>4</v>
      </c>
      <c r="DH31" s="25">
        <v>4</v>
      </c>
      <c r="DI31" s="25">
        <v>14</v>
      </c>
      <c r="DJ31" s="25">
        <v>17</v>
      </c>
      <c r="DK31" s="25">
        <v>0</v>
      </c>
      <c r="DL31" s="25">
        <v>26</v>
      </c>
      <c r="DM31" s="25">
        <v>2</v>
      </c>
      <c r="DN31" s="25">
        <v>7</v>
      </c>
      <c r="DO31" s="25">
        <v>34</v>
      </c>
      <c r="DP31" s="25">
        <v>40</v>
      </c>
      <c r="DQ31" s="25">
        <v>51</v>
      </c>
      <c r="DR31" s="25">
        <v>69</v>
      </c>
      <c r="DS31" s="25">
        <v>0</v>
      </c>
      <c r="DT31" s="25">
        <v>26</v>
      </c>
      <c r="DU31" s="25">
        <v>1104</v>
      </c>
      <c r="DV31" s="25">
        <v>214</v>
      </c>
      <c r="DW31" s="25">
        <v>597</v>
      </c>
      <c r="DX31" s="25">
        <v>142</v>
      </c>
      <c r="DY31" s="25">
        <v>528</v>
      </c>
      <c r="DZ31" s="25">
        <v>140</v>
      </c>
      <c r="EA31" s="25">
        <v>69</v>
      </c>
      <c r="EB31" s="25">
        <v>46</v>
      </c>
      <c r="EC31" s="25">
        <v>28</v>
      </c>
      <c r="ED31" s="25">
        <v>28</v>
      </c>
      <c r="EE31" s="25">
        <v>16</v>
      </c>
      <c r="EF31" s="25">
        <v>24</v>
      </c>
      <c r="EG31" s="25">
        <v>0</v>
      </c>
      <c r="EH31" s="25">
        <v>26</v>
      </c>
      <c r="EI31" s="25">
        <v>7</v>
      </c>
      <c r="EJ31" s="25">
        <v>11</v>
      </c>
      <c r="EK31" s="25">
        <v>434</v>
      </c>
      <c r="EL31" s="25">
        <v>147</v>
      </c>
      <c r="EM31" s="25">
        <v>22</v>
      </c>
      <c r="EN31" s="25">
        <v>31</v>
      </c>
    </row>
    <row r="32" spans="1:144" x14ac:dyDescent="0.25">
      <c r="A32" s="19">
        <f t="shared" si="8"/>
        <v>47</v>
      </c>
      <c r="B32" s="20" t="str">
        <f t="shared" si="9"/>
        <v>Uintah</v>
      </c>
      <c r="C32" s="24" t="s">
        <v>334</v>
      </c>
      <c r="D32" s="24" t="s">
        <v>335</v>
      </c>
      <c r="E32" s="25">
        <v>15264</v>
      </c>
      <c r="F32" s="25">
        <v>595</v>
      </c>
      <c r="G32" s="25">
        <v>11306</v>
      </c>
      <c r="H32" s="25">
        <v>553</v>
      </c>
      <c r="I32" s="25">
        <v>10662</v>
      </c>
      <c r="J32" s="25">
        <v>588</v>
      </c>
      <c r="K32" s="25">
        <v>644</v>
      </c>
      <c r="L32" s="25">
        <v>149</v>
      </c>
      <c r="M32" s="25">
        <v>579</v>
      </c>
      <c r="N32" s="25">
        <v>194</v>
      </c>
      <c r="O32" s="25">
        <v>1280</v>
      </c>
      <c r="P32" s="25">
        <v>247</v>
      </c>
      <c r="Q32" s="25">
        <v>681</v>
      </c>
      <c r="R32" s="25">
        <v>138</v>
      </c>
      <c r="S32" s="25">
        <v>617</v>
      </c>
      <c r="T32" s="25">
        <v>132</v>
      </c>
      <c r="U32" s="25">
        <v>757</v>
      </c>
      <c r="V32" s="25">
        <v>143</v>
      </c>
      <c r="W32" s="25">
        <v>44</v>
      </c>
      <c r="X32" s="25">
        <v>33</v>
      </c>
      <c r="Y32" s="25">
        <v>12281</v>
      </c>
      <c r="Z32" s="25">
        <v>640</v>
      </c>
      <c r="AA32" s="25">
        <v>9285</v>
      </c>
      <c r="AB32" s="25">
        <v>594</v>
      </c>
      <c r="AC32" s="25">
        <v>8820</v>
      </c>
      <c r="AD32" s="25">
        <v>620</v>
      </c>
      <c r="AE32" s="25">
        <v>465</v>
      </c>
      <c r="AF32" s="25">
        <v>126</v>
      </c>
      <c r="AG32" s="25">
        <v>411</v>
      </c>
      <c r="AH32" s="25">
        <v>140</v>
      </c>
      <c r="AI32" s="25">
        <v>1058</v>
      </c>
      <c r="AJ32" s="25">
        <v>225</v>
      </c>
      <c r="AK32" s="25">
        <v>565</v>
      </c>
      <c r="AL32" s="25">
        <v>125</v>
      </c>
      <c r="AM32" s="25">
        <v>554</v>
      </c>
      <c r="AN32" s="25">
        <v>124</v>
      </c>
      <c r="AO32" s="25">
        <v>388</v>
      </c>
      <c r="AP32" s="25">
        <v>129</v>
      </c>
      <c r="AQ32" s="25">
        <v>20</v>
      </c>
      <c r="AR32" s="25">
        <v>31</v>
      </c>
      <c r="AS32" s="25">
        <v>1832</v>
      </c>
      <c r="AT32" s="25">
        <v>332</v>
      </c>
      <c r="AU32" s="25">
        <v>1392</v>
      </c>
      <c r="AV32" s="25">
        <v>266</v>
      </c>
      <c r="AW32" s="25">
        <v>1330</v>
      </c>
      <c r="AX32" s="25">
        <v>270</v>
      </c>
      <c r="AY32" s="25">
        <v>62</v>
      </c>
      <c r="AZ32" s="25">
        <v>44</v>
      </c>
      <c r="BA32" s="25">
        <v>118</v>
      </c>
      <c r="BB32" s="25">
        <v>92</v>
      </c>
      <c r="BC32" s="25">
        <v>180</v>
      </c>
      <c r="BD32" s="25">
        <v>102</v>
      </c>
      <c r="BE32" s="25">
        <v>77</v>
      </c>
      <c r="BF32" s="25">
        <v>38</v>
      </c>
      <c r="BG32" s="25">
        <v>18</v>
      </c>
      <c r="BH32" s="25">
        <v>21</v>
      </c>
      <c r="BI32" s="25">
        <v>47</v>
      </c>
      <c r="BJ32" s="25">
        <v>35</v>
      </c>
      <c r="BK32" s="25">
        <v>0</v>
      </c>
      <c r="BL32" s="25">
        <v>23</v>
      </c>
      <c r="BM32" s="25">
        <v>121</v>
      </c>
      <c r="BN32" s="25">
        <v>61</v>
      </c>
      <c r="BO32" s="25">
        <v>49</v>
      </c>
      <c r="BP32" s="25">
        <v>37</v>
      </c>
      <c r="BQ32" s="25">
        <v>49</v>
      </c>
      <c r="BR32" s="25">
        <v>37</v>
      </c>
      <c r="BS32" s="25">
        <v>0</v>
      </c>
      <c r="BT32" s="25">
        <v>23</v>
      </c>
      <c r="BU32" s="25">
        <v>0</v>
      </c>
      <c r="BV32" s="25">
        <v>23</v>
      </c>
      <c r="BW32" s="25">
        <v>0</v>
      </c>
      <c r="BX32" s="25">
        <v>23</v>
      </c>
      <c r="BY32" s="25">
        <v>22</v>
      </c>
      <c r="BZ32" s="25">
        <v>26</v>
      </c>
      <c r="CA32" s="25">
        <v>14</v>
      </c>
      <c r="CB32" s="25">
        <v>24</v>
      </c>
      <c r="CC32" s="25">
        <v>18</v>
      </c>
      <c r="CD32" s="25">
        <v>26</v>
      </c>
      <c r="CE32" s="25">
        <v>18</v>
      </c>
      <c r="CF32" s="25">
        <v>28</v>
      </c>
      <c r="CG32" s="25">
        <v>285</v>
      </c>
      <c r="CH32" s="25">
        <v>123</v>
      </c>
      <c r="CI32" s="25">
        <v>230</v>
      </c>
      <c r="CJ32" s="25">
        <v>122</v>
      </c>
      <c r="CK32" s="25">
        <v>208</v>
      </c>
      <c r="CL32" s="25">
        <v>121</v>
      </c>
      <c r="CM32" s="25">
        <v>22</v>
      </c>
      <c r="CN32" s="25">
        <v>16</v>
      </c>
      <c r="CO32" s="25">
        <v>7</v>
      </c>
      <c r="CP32" s="25">
        <v>10</v>
      </c>
      <c r="CQ32" s="25">
        <v>16</v>
      </c>
      <c r="CR32" s="25">
        <v>26</v>
      </c>
      <c r="CS32" s="25">
        <v>5</v>
      </c>
      <c r="CT32" s="25">
        <v>7</v>
      </c>
      <c r="CU32" s="25">
        <v>9</v>
      </c>
      <c r="CV32" s="25">
        <v>13</v>
      </c>
      <c r="CW32" s="25">
        <v>18</v>
      </c>
      <c r="CX32" s="25">
        <v>21</v>
      </c>
      <c r="CY32" s="25">
        <v>0</v>
      </c>
      <c r="CZ32" s="25">
        <v>23</v>
      </c>
      <c r="DA32" s="25">
        <v>185</v>
      </c>
      <c r="DB32" s="25">
        <v>96</v>
      </c>
      <c r="DC32" s="25">
        <v>107</v>
      </c>
      <c r="DD32" s="25">
        <v>69</v>
      </c>
      <c r="DE32" s="25">
        <v>107</v>
      </c>
      <c r="DF32" s="25">
        <v>69</v>
      </c>
      <c r="DG32" s="25">
        <v>0</v>
      </c>
      <c r="DH32" s="25">
        <v>23</v>
      </c>
      <c r="DI32" s="25">
        <v>40</v>
      </c>
      <c r="DJ32" s="25">
        <v>54</v>
      </c>
      <c r="DK32" s="25">
        <v>26</v>
      </c>
      <c r="DL32" s="25">
        <v>33</v>
      </c>
      <c r="DM32" s="25">
        <v>12</v>
      </c>
      <c r="DN32" s="25">
        <v>18</v>
      </c>
      <c r="DO32" s="25">
        <v>0</v>
      </c>
      <c r="DP32" s="25">
        <v>23</v>
      </c>
      <c r="DQ32" s="25">
        <v>0</v>
      </c>
      <c r="DR32" s="25">
        <v>23</v>
      </c>
      <c r="DS32" s="25">
        <v>0</v>
      </c>
      <c r="DT32" s="25">
        <v>23</v>
      </c>
      <c r="DU32" s="25">
        <v>560</v>
      </c>
      <c r="DV32" s="25">
        <v>146</v>
      </c>
      <c r="DW32" s="25">
        <v>243</v>
      </c>
      <c r="DX32" s="25">
        <v>98</v>
      </c>
      <c r="DY32" s="25">
        <v>148</v>
      </c>
      <c r="DZ32" s="25">
        <v>73</v>
      </c>
      <c r="EA32" s="25">
        <v>95</v>
      </c>
      <c r="EB32" s="25">
        <v>54</v>
      </c>
      <c r="EC32" s="25">
        <v>3</v>
      </c>
      <c r="ED32" s="25">
        <v>5</v>
      </c>
      <c r="EE32" s="25">
        <v>0</v>
      </c>
      <c r="EF32" s="25">
        <v>23</v>
      </c>
      <c r="EG32" s="25">
        <v>0</v>
      </c>
      <c r="EH32" s="25">
        <v>23</v>
      </c>
      <c r="EI32" s="25">
        <v>22</v>
      </c>
      <c r="EJ32" s="25">
        <v>34</v>
      </c>
      <c r="EK32" s="25">
        <v>286</v>
      </c>
      <c r="EL32" s="25">
        <v>96</v>
      </c>
      <c r="EM32" s="25">
        <v>6</v>
      </c>
      <c r="EN32" s="25">
        <v>10</v>
      </c>
    </row>
    <row r="33" spans="1:144" x14ac:dyDescent="0.25">
      <c r="A33" s="19">
        <f t="shared" si="8"/>
        <v>49</v>
      </c>
      <c r="B33" s="20" t="str">
        <f t="shared" si="9"/>
        <v>Utah</v>
      </c>
      <c r="C33" s="24" t="s">
        <v>336</v>
      </c>
      <c r="D33" s="24" t="s">
        <v>337</v>
      </c>
      <c r="E33" s="25">
        <v>245975</v>
      </c>
      <c r="F33" s="25">
        <v>1765</v>
      </c>
      <c r="G33" s="25">
        <v>180443</v>
      </c>
      <c r="H33" s="25">
        <v>1890</v>
      </c>
      <c r="I33" s="25">
        <v>170412</v>
      </c>
      <c r="J33" s="25">
        <v>1870</v>
      </c>
      <c r="K33" s="25">
        <v>10031</v>
      </c>
      <c r="L33" s="25">
        <v>580</v>
      </c>
      <c r="M33" s="25">
        <v>24783</v>
      </c>
      <c r="N33" s="25">
        <v>1083</v>
      </c>
      <c r="O33" s="25">
        <v>14049</v>
      </c>
      <c r="P33" s="25">
        <v>735</v>
      </c>
      <c r="Q33" s="25">
        <v>11972</v>
      </c>
      <c r="R33" s="25">
        <v>616</v>
      </c>
      <c r="S33" s="25">
        <v>3125</v>
      </c>
      <c r="T33" s="25">
        <v>325</v>
      </c>
      <c r="U33" s="25">
        <v>11155</v>
      </c>
      <c r="V33" s="25">
        <v>538</v>
      </c>
      <c r="W33" s="25">
        <v>448</v>
      </c>
      <c r="X33" s="25">
        <v>154</v>
      </c>
      <c r="Y33" s="25">
        <v>179909</v>
      </c>
      <c r="Z33" s="25">
        <v>1829</v>
      </c>
      <c r="AA33" s="25">
        <v>135137</v>
      </c>
      <c r="AB33" s="25">
        <v>1880</v>
      </c>
      <c r="AC33" s="25">
        <v>128669</v>
      </c>
      <c r="AD33" s="25">
        <v>1787</v>
      </c>
      <c r="AE33" s="25">
        <v>6468</v>
      </c>
      <c r="AF33" s="25">
        <v>493</v>
      </c>
      <c r="AG33" s="25">
        <v>16074</v>
      </c>
      <c r="AH33" s="25">
        <v>717</v>
      </c>
      <c r="AI33" s="25">
        <v>11592</v>
      </c>
      <c r="AJ33" s="25">
        <v>718</v>
      </c>
      <c r="AK33" s="25">
        <v>9535</v>
      </c>
      <c r="AL33" s="25">
        <v>553</v>
      </c>
      <c r="AM33" s="25">
        <v>2380</v>
      </c>
      <c r="AN33" s="25">
        <v>260</v>
      </c>
      <c r="AO33" s="25">
        <v>5062</v>
      </c>
      <c r="AP33" s="25">
        <v>389</v>
      </c>
      <c r="AQ33" s="25">
        <v>129</v>
      </c>
      <c r="AR33" s="25">
        <v>62</v>
      </c>
      <c r="AS33" s="25">
        <v>29660</v>
      </c>
      <c r="AT33" s="25">
        <v>1166</v>
      </c>
      <c r="AU33" s="25">
        <v>22146</v>
      </c>
      <c r="AV33" s="25">
        <v>994</v>
      </c>
      <c r="AW33" s="25">
        <v>21380</v>
      </c>
      <c r="AX33" s="25">
        <v>968</v>
      </c>
      <c r="AY33" s="25">
        <v>766</v>
      </c>
      <c r="AZ33" s="25">
        <v>205</v>
      </c>
      <c r="BA33" s="25">
        <v>2908</v>
      </c>
      <c r="BB33" s="25">
        <v>367</v>
      </c>
      <c r="BC33" s="25">
        <v>1598</v>
      </c>
      <c r="BD33" s="25">
        <v>235</v>
      </c>
      <c r="BE33" s="25">
        <v>1286</v>
      </c>
      <c r="BF33" s="25">
        <v>223</v>
      </c>
      <c r="BG33" s="25">
        <v>392</v>
      </c>
      <c r="BH33" s="25">
        <v>113</v>
      </c>
      <c r="BI33" s="25">
        <v>1155</v>
      </c>
      <c r="BJ33" s="25">
        <v>210</v>
      </c>
      <c r="BK33" s="25">
        <v>175</v>
      </c>
      <c r="BL33" s="25">
        <v>112</v>
      </c>
      <c r="BM33" s="25">
        <v>4538</v>
      </c>
      <c r="BN33" s="25">
        <v>476</v>
      </c>
      <c r="BO33" s="25">
        <v>2929</v>
      </c>
      <c r="BP33" s="25">
        <v>391</v>
      </c>
      <c r="BQ33" s="25">
        <v>2859</v>
      </c>
      <c r="BR33" s="25">
        <v>383</v>
      </c>
      <c r="BS33" s="25">
        <v>70</v>
      </c>
      <c r="BT33" s="25">
        <v>48</v>
      </c>
      <c r="BU33" s="25">
        <v>925</v>
      </c>
      <c r="BV33" s="25">
        <v>162</v>
      </c>
      <c r="BW33" s="25">
        <v>175</v>
      </c>
      <c r="BX33" s="25">
        <v>64</v>
      </c>
      <c r="BY33" s="25">
        <v>380</v>
      </c>
      <c r="BZ33" s="25">
        <v>102</v>
      </c>
      <c r="CA33" s="25">
        <v>55</v>
      </c>
      <c r="CB33" s="25">
        <v>39</v>
      </c>
      <c r="CC33" s="25">
        <v>74</v>
      </c>
      <c r="CD33" s="25">
        <v>45</v>
      </c>
      <c r="CE33" s="25">
        <v>0</v>
      </c>
      <c r="CF33" s="25">
        <v>26</v>
      </c>
      <c r="CG33" s="25">
        <v>10163</v>
      </c>
      <c r="CH33" s="25">
        <v>795</v>
      </c>
      <c r="CI33" s="25">
        <v>6182</v>
      </c>
      <c r="CJ33" s="25">
        <v>641</v>
      </c>
      <c r="CK33" s="25">
        <v>6063</v>
      </c>
      <c r="CL33" s="25">
        <v>637</v>
      </c>
      <c r="CM33" s="25">
        <v>119</v>
      </c>
      <c r="CN33" s="25">
        <v>49</v>
      </c>
      <c r="CO33" s="25">
        <v>3011</v>
      </c>
      <c r="CP33" s="25">
        <v>520</v>
      </c>
      <c r="CQ33" s="25">
        <v>335</v>
      </c>
      <c r="CR33" s="25">
        <v>108</v>
      </c>
      <c r="CS33" s="25">
        <v>341</v>
      </c>
      <c r="CT33" s="25">
        <v>100</v>
      </c>
      <c r="CU33" s="25">
        <v>65</v>
      </c>
      <c r="CV33" s="25">
        <v>45</v>
      </c>
      <c r="CW33" s="25">
        <v>229</v>
      </c>
      <c r="CX33" s="25">
        <v>66</v>
      </c>
      <c r="CY33" s="25">
        <v>0</v>
      </c>
      <c r="CZ33" s="25">
        <v>26</v>
      </c>
      <c r="DA33" s="25">
        <v>6149</v>
      </c>
      <c r="DB33" s="25">
        <v>526</v>
      </c>
      <c r="DC33" s="25">
        <v>4450</v>
      </c>
      <c r="DD33" s="25">
        <v>456</v>
      </c>
      <c r="DE33" s="25">
        <v>4283</v>
      </c>
      <c r="DF33" s="25">
        <v>444</v>
      </c>
      <c r="DG33" s="25">
        <v>167</v>
      </c>
      <c r="DH33" s="25">
        <v>74</v>
      </c>
      <c r="DI33" s="25">
        <v>1053</v>
      </c>
      <c r="DJ33" s="25">
        <v>189</v>
      </c>
      <c r="DK33" s="25">
        <v>125</v>
      </c>
      <c r="DL33" s="25">
        <v>58</v>
      </c>
      <c r="DM33" s="25">
        <v>171</v>
      </c>
      <c r="DN33" s="25">
        <v>73</v>
      </c>
      <c r="DO33" s="25">
        <v>100</v>
      </c>
      <c r="DP33" s="25">
        <v>59</v>
      </c>
      <c r="DQ33" s="25">
        <v>239</v>
      </c>
      <c r="DR33" s="25">
        <v>75</v>
      </c>
      <c r="DS33" s="25">
        <v>11</v>
      </c>
      <c r="DT33" s="25">
        <v>18</v>
      </c>
      <c r="DU33" s="25">
        <v>15556</v>
      </c>
      <c r="DV33" s="25">
        <v>704</v>
      </c>
      <c r="DW33" s="25">
        <v>9599</v>
      </c>
      <c r="DX33" s="25">
        <v>548</v>
      </c>
      <c r="DY33" s="25">
        <v>7158</v>
      </c>
      <c r="DZ33" s="25">
        <v>485</v>
      </c>
      <c r="EA33" s="25">
        <v>2441</v>
      </c>
      <c r="EB33" s="25">
        <v>248</v>
      </c>
      <c r="EC33" s="25">
        <v>812</v>
      </c>
      <c r="ED33" s="25">
        <v>203</v>
      </c>
      <c r="EE33" s="25">
        <v>224</v>
      </c>
      <c r="EF33" s="25">
        <v>87</v>
      </c>
      <c r="EG33" s="25">
        <v>259</v>
      </c>
      <c r="EH33" s="25">
        <v>90</v>
      </c>
      <c r="EI33" s="25">
        <v>133</v>
      </c>
      <c r="EJ33" s="25">
        <v>70</v>
      </c>
      <c r="EK33" s="25">
        <v>4396</v>
      </c>
      <c r="EL33" s="25">
        <v>332</v>
      </c>
      <c r="EM33" s="25">
        <v>133</v>
      </c>
      <c r="EN33" s="25">
        <v>89</v>
      </c>
    </row>
    <row r="34" spans="1:144" x14ac:dyDescent="0.25">
      <c r="A34" s="19">
        <f t="shared" si="8"/>
        <v>51</v>
      </c>
      <c r="B34" s="20" t="str">
        <f t="shared" si="9"/>
        <v>Wasatch</v>
      </c>
      <c r="C34" s="24" t="s">
        <v>338</v>
      </c>
      <c r="D34" s="24" t="s">
        <v>339</v>
      </c>
      <c r="E34" s="25">
        <v>12935</v>
      </c>
      <c r="F34" s="25">
        <v>449</v>
      </c>
      <c r="G34" s="25">
        <v>9434</v>
      </c>
      <c r="H34" s="25">
        <v>424</v>
      </c>
      <c r="I34" s="25">
        <v>8320</v>
      </c>
      <c r="J34" s="25">
        <v>411</v>
      </c>
      <c r="K34" s="25">
        <v>1114</v>
      </c>
      <c r="L34" s="25">
        <v>237</v>
      </c>
      <c r="M34" s="25">
        <v>749</v>
      </c>
      <c r="N34" s="25">
        <v>240</v>
      </c>
      <c r="O34" s="25">
        <v>1083</v>
      </c>
      <c r="P34" s="25">
        <v>226</v>
      </c>
      <c r="Q34" s="25">
        <v>629</v>
      </c>
      <c r="R34" s="25">
        <v>167</v>
      </c>
      <c r="S34" s="25">
        <v>284</v>
      </c>
      <c r="T34" s="25">
        <v>166</v>
      </c>
      <c r="U34" s="25">
        <v>734</v>
      </c>
      <c r="V34" s="25">
        <v>170</v>
      </c>
      <c r="W34" s="25">
        <v>22</v>
      </c>
      <c r="X34" s="25">
        <v>22</v>
      </c>
      <c r="Y34" s="25">
        <v>10155</v>
      </c>
      <c r="Z34" s="25">
        <v>605</v>
      </c>
      <c r="AA34" s="25">
        <v>7408</v>
      </c>
      <c r="AB34" s="25">
        <v>537</v>
      </c>
      <c r="AC34" s="25">
        <v>6679</v>
      </c>
      <c r="AD34" s="25">
        <v>524</v>
      </c>
      <c r="AE34" s="25">
        <v>729</v>
      </c>
      <c r="AF34" s="25">
        <v>187</v>
      </c>
      <c r="AG34" s="25">
        <v>621</v>
      </c>
      <c r="AH34" s="25">
        <v>236</v>
      </c>
      <c r="AI34" s="25">
        <v>988</v>
      </c>
      <c r="AJ34" s="25">
        <v>225</v>
      </c>
      <c r="AK34" s="25">
        <v>525</v>
      </c>
      <c r="AL34" s="25">
        <v>148</v>
      </c>
      <c r="AM34" s="25">
        <v>220</v>
      </c>
      <c r="AN34" s="25">
        <v>150</v>
      </c>
      <c r="AO34" s="25">
        <v>384</v>
      </c>
      <c r="AP34" s="25">
        <v>111</v>
      </c>
      <c r="AQ34" s="25">
        <v>9</v>
      </c>
      <c r="AR34" s="25">
        <v>15</v>
      </c>
      <c r="AS34" s="25">
        <v>1499</v>
      </c>
      <c r="AT34" s="25">
        <v>361</v>
      </c>
      <c r="AU34" s="25">
        <v>1166</v>
      </c>
      <c r="AV34" s="25">
        <v>300</v>
      </c>
      <c r="AW34" s="25">
        <v>1012</v>
      </c>
      <c r="AX34" s="25">
        <v>268</v>
      </c>
      <c r="AY34" s="25">
        <v>154</v>
      </c>
      <c r="AZ34" s="25">
        <v>126</v>
      </c>
      <c r="BA34" s="25">
        <v>62</v>
      </c>
      <c r="BB34" s="25">
        <v>48</v>
      </c>
      <c r="BC34" s="25">
        <v>66</v>
      </c>
      <c r="BD34" s="25">
        <v>45</v>
      </c>
      <c r="BE34" s="25">
        <v>65</v>
      </c>
      <c r="BF34" s="25">
        <v>53</v>
      </c>
      <c r="BG34" s="25">
        <v>19</v>
      </c>
      <c r="BH34" s="25">
        <v>24</v>
      </c>
      <c r="BI34" s="25">
        <v>121</v>
      </c>
      <c r="BJ34" s="25">
        <v>95</v>
      </c>
      <c r="BK34" s="25">
        <v>0</v>
      </c>
      <c r="BL34" s="25">
        <v>20</v>
      </c>
      <c r="BM34" s="25">
        <v>2</v>
      </c>
      <c r="BN34" s="25">
        <v>5</v>
      </c>
      <c r="BO34" s="25">
        <v>0</v>
      </c>
      <c r="BP34" s="25">
        <v>20</v>
      </c>
      <c r="BQ34" s="25">
        <v>0</v>
      </c>
      <c r="BR34" s="25">
        <v>20</v>
      </c>
      <c r="BS34" s="25">
        <v>0</v>
      </c>
      <c r="BT34" s="25">
        <v>20</v>
      </c>
      <c r="BU34" s="25">
        <v>0</v>
      </c>
      <c r="BV34" s="25">
        <v>20</v>
      </c>
      <c r="BW34" s="25">
        <v>0</v>
      </c>
      <c r="BX34" s="25">
        <v>20</v>
      </c>
      <c r="BY34" s="25">
        <v>0</v>
      </c>
      <c r="BZ34" s="25">
        <v>20</v>
      </c>
      <c r="CA34" s="25">
        <v>0</v>
      </c>
      <c r="CB34" s="25">
        <v>20</v>
      </c>
      <c r="CC34" s="25">
        <v>2</v>
      </c>
      <c r="CD34" s="25">
        <v>5</v>
      </c>
      <c r="CE34" s="25">
        <v>0</v>
      </c>
      <c r="CF34" s="25">
        <v>20</v>
      </c>
      <c r="CG34" s="25">
        <v>242</v>
      </c>
      <c r="CH34" s="25">
        <v>99</v>
      </c>
      <c r="CI34" s="25">
        <v>191</v>
      </c>
      <c r="CJ34" s="25">
        <v>88</v>
      </c>
      <c r="CK34" s="25">
        <v>176</v>
      </c>
      <c r="CL34" s="25">
        <v>87</v>
      </c>
      <c r="CM34" s="25">
        <v>15</v>
      </c>
      <c r="CN34" s="25">
        <v>23</v>
      </c>
      <c r="CO34" s="25">
        <v>16</v>
      </c>
      <c r="CP34" s="25">
        <v>27</v>
      </c>
      <c r="CQ34" s="25">
        <v>15</v>
      </c>
      <c r="CR34" s="25">
        <v>23</v>
      </c>
      <c r="CS34" s="25">
        <v>0</v>
      </c>
      <c r="CT34" s="25">
        <v>20</v>
      </c>
      <c r="CU34" s="25">
        <v>0</v>
      </c>
      <c r="CV34" s="25">
        <v>20</v>
      </c>
      <c r="CW34" s="25">
        <v>20</v>
      </c>
      <c r="CX34" s="25">
        <v>21</v>
      </c>
      <c r="CY34" s="25">
        <v>0</v>
      </c>
      <c r="CZ34" s="25">
        <v>20</v>
      </c>
      <c r="DA34" s="25">
        <v>199</v>
      </c>
      <c r="DB34" s="25">
        <v>100</v>
      </c>
      <c r="DC34" s="25">
        <v>155</v>
      </c>
      <c r="DD34" s="25">
        <v>87</v>
      </c>
      <c r="DE34" s="25">
        <v>153</v>
      </c>
      <c r="DF34" s="25">
        <v>87</v>
      </c>
      <c r="DG34" s="25">
        <v>2</v>
      </c>
      <c r="DH34" s="25">
        <v>5</v>
      </c>
      <c r="DI34" s="25">
        <v>13</v>
      </c>
      <c r="DJ34" s="25">
        <v>20</v>
      </c>
      <c r="DK34" s="25">
        <v>0</v>
      </c>
      <c r="DL34" s="25">
        <v>20</v>
      </c>
      <c r="DM34" s="25">
        <v>10</v>
      </c>
      <c r="DN34" s="25">
        <v>16</v>
      </c>
      <c r="DO34" s="25">
        <v>0</v>
      </c>
      <c r="DP34" s="25">
        <v>20</v>
      </c>
      <c r="DQ34" s="25">
        <v>13</v>
      </c>
      <c r="DR34" s="25">
        <v>21</v>
      </c>
      <c r="DS34" s="25">
        <v>8</v>
      </c>
      <c r="DT34" s="25">
        <v>12</v>
      </c>
      <c r="DU34" s="25">
        <v>838</v>
      </c>
      <c r="DV34" s="25">
        <v>214</v>
      </c>
      <c r="DW34" s="25">
        <v>514</v>
      </c>
      <c r="DX34" s="25">
        <v>175</v>
      </c>
      <c r="DY34" s="25">
        <v>300</v>
      </c>
      <c r="DZ34" s="25">
        <v>128</v>
      </c>
      <c r="EA34" s="25">
        <v>214</v>
      </c>
      <c r="EB34" s="25">
        <v>101</v>
      </c>
      <c r="EC34" s="25">
        <v>37</v>
      </c>
      <c r="ED34" s="25">
        <v>35</v>
      </c>
      <c r="EE34" s="25">
        <v>14</v>
      </c>
      <c r="EF34" s="25">
        <v>15</v>
      </c>
      <c r="EG34" s="25">
        <v>29</v>
      </c>
      <c r="EH34" s="25">
        <v>31</v>
      </c>
      <c r="EI34" s="25">
        <v>45</v>
      </c>
      <c r="EJ34" s="25">
        <v>63</v>
      </c>
      <c r="EK34" s="25">
        <v>194</v>
      </c>
      <c r="EL34" s="25">
        <v>95</v>
      </c>
      <c r="EM34" s="25">
        <v>5</v>
      </c>
      <c r="EN34" s="25">
        <v>6</v>
      </c>
    </row>
    <row r="35" spans="1:144" x14ac:dyDescent="0.25">
      <c r="A35" s="19">
        <f t="shared" si="8"/>
        <v>53</v>
      </c>
      <c r="B35" s="20" t="str">
        <f t="shared" si="9"/>
        <v>Washington</v>
      </c>
      <c r="C35" s="24" t="s">
        <v>340</v>
      </c>
      <c r="D35" s="24" t="s">
        <v>341</v>
      </c>
      <c r="E35" s="25">
        <v>58861</v>
      </c>
      <c r="F35" s="25">
        <v>1359</v>
      </c>
      <c r="G35" s="25">
        <v>44584</v>
      </c>
      <c r="H35" s="25">
        <v>1393</v>
      </c>
      <c r="I35" s="25">
        <v>41170</v>
      </c>
      <c r="J35" s="25">
        <v>1390</v>
      </c>
      <c r="K35" s="25">
        <v>3414</v>
      </c>
      <c r="L35" s="25">
        <v>531</v>
      </c>
      <c r="M35" s="25">
        <v>3716</v>
      </c>
      <c r="N35" s="25">
        <v>502</v>
      </c>
      <c r="O35" s="25">
        <v>3998</v>
      </c>
      <c r="P35" s="25">
        <v>590</v>
      </c>
      <c r="Q35" s="25">
        <v>2686</v>
      </c>
      <c r="R35" s="25">
        <v>435</v>
      </c>
      <c r="S35" s="25">
        <v>868</v>
      </c>
      <c r="T35" s="25">
        <v>226</v>
      </c>
      <c r="U35" s="25">
        <v>2951</v>
      </c>
      <c r="V35" s="25">
        <v>475</v>
      </c>
      <c r="W35" s="25">
        <v>58</v>
      </c>
      <c r="X35" s="25">
        <v>49</v>
      </c>
      <c r="Y35" s="25">
        <v>45627</v>
      </c>
      <c r="Z35" s="25">
        <v>1179</v>
      </c>
      <c r="AA35" s="25">
        <v>34725</v>
      </c>
      <c r="AB35" s="25">
        <v>1238</v>
      </c>
      <c r="AC35" s="25">
        <v>32495</v>
      </c>
      <c r="AD35" s="25">
        <v>1273</v>
      </c>
      <c r="AE35" s="25">
        <v>2230</v>
      </c>
      <c r="AF35" s="25">
        <v>418</v>
      </c>
      <c r="AG35" s="25">
        <v>3038</v>
      </c>
      <c r="AH35" s="25">
        <v>427</v>
      </c>
      <c r="AI35" s="25">
        <v>3333</v>
      </c>
      <c r="AJ35" s="25">
        <v>538</v>
      </c>
      <c r="AK35" s="25">
        <v>2229</v>
      </c>
      <c r="AL35" s="25">
        <v>387</v>
      </c>
      <c r="AM35" s="25">
        <v>506</v>
      </c>
      <c r="AN35" s="25">
        <v>147</v>
      </c>
      <c r="AO35" s="25">
        <v>1767</v>
      </c>
      <c r="AP35" s="25">
        <v>353</v>
      </c>
      <c r="AQ35" s="25">
        <v>29</v>
      </c>
      <c r="AR35" s="25">
        <v>29</v>
      </c>
      <c r="AS35" s="25">
        <v>7124</v>
      </c>
      <c r="AT35" s="25">
        <v>678</v>
      </c>
      <c r="AU35" s="25">
        <v>5553</v>
      </c>
      <c r="AV35" s="25">
        <v>601</v>
      </c>
      <c r="AW35" s="25">
        <v>5154</v>
      </c>
      <c r="AX35" s="25">
        <v>571</v>
      </c>
      <c r="AY35" s="25">
        <v>399</v>
      </c>
      <c r="AZ35" s="25">
        <v>176</v>
      </c>
      <c r="BA35" s="25">
        <v>341</v>
      </c>
      <c r="BB35" s="25">
        <v>145</v>
      </c>
      <c r="BC35" s="25">
        <v>391</v>
      </c>
      <c r="BD35" s="25">
        <v>187</v>
      </c>
      <c r="BE35" s="25">
        <v>362</v>
      </c>
      <c r="BF35" s="25">
        <v>151</v>
      </c>
      <c r="BG35" s="25">
        <v>275</v>
      </c>
      <c r="BH35" s="25">
        <v>199</v>
      </c>
      <c r="BI35" s="25">
        <v>187</v>
      </c>
      <c r="BJ35" s="25">
        <v>104</v>
      </c>
      <c r="BK35" s="25">
        <v>15</v>
      </c>
      <c r="BL35" s="25">
        <v>29</v>
      </c>
      <c r="BM35" s="25">
        <v>324</v>
      </c>
      <c r="BN35" s="25">
        <v>149</v>
      </c>
      <c r="BO35" s="25">
        <v>174</v>
      </c>
      <c r="BP35" s="25">
        <v>116</v>
      </c>
      <c r="BQ35" s="25">
        <v>174</v>
      </c>
      <c r="BR35" s="25">
        <v>116</v>
      </c>
      <c r="BS35" s="25">
        <v>0</v>
      </c>
      <c r="BT35" s="25">
        <v>26</v>
      </c>
      <c r="BU35" s="25">
        <v>60</v>
      </c>
      <c r="BV35" s="25">
        <v>75</v>
      </c>
      <c r="BW35" s="25">
        <v>63</v>
      </c>
      <c r="BX35" s="25">
        <v>72</v>
      </c>
      <c r="BY35" s="25">
        <v>0</v>
      </c>
      <c r="BZ35" s="25">
        <v>26</v>
      </c>
      <c r="CA35" s="25">
        <v>0</v>
      </c>
      <c r="CB35" s="25">
        <v>26</v>
      </c>
      <c r="CC35" s="25">
        <v>27</v>
      </c>
      <c r="CD35" s="25">
        <v>33</v>
      </c>
      <c r="CE35" s="25">
        <v>0</v>
      </c>
      <c r="CF35" s="25">
        <v>26</v>
      </c>
      <c r="CG35" s="25">
        <v>1349</v>
      </c>
      <c r="CH35" s="25">
        <v>315</v>
      </c>
      <c r="CI35" s="25">
        <v>1003</v>
      </c>
      <c r="CJ35" s="25">
        <v>239</v>
      </c>
      <c r="CK35" s="25">
        <v>899</v>
      </c>
      <c r="CL35" s="25">
        <v>229</v>
      </c>
      <c r="CM35" s="25">
        <v>104</v>
      </c>
      <c r="CN35" s="25">
        <v>84</v>
      </c>
      <c r="CO35" s="25">
        <v>116</v>
      </c>
      <c r="CP35" s="25">
        <v>86</v>
      </c>
      <c r="CQ35" s="25">
        <v>30</v>
      </c>
      <c r="CR35" s="25">
        <v>46</v>
      </c>
      <c r="CS35" s="25">
        <v>29</v>
      </c>
      <c r="CT35" s="25">
        <v>30</v>
      </c>
      <c r="CU35" s="25">
        <v>0</v>
      </c>
      <c r="CV35" s="25">
        <v>26</v>
      </c>
      <c r="CW35" s="25">
        <v>171</v>
      </c>
      <c r="CX35" s="25">
        <v>149</v>
      </c>
      <c r="CY35" s="25">
        <v>0</v>
      </c>
      <c r="CZ35" s="25">
        <v>26</v>
      </c>
      <c r="DA35" s="25">
        <v>1140</v>
      </c>
      <c r="DB35" s="25">
        <v>267</v>
      </c>
      <c r="DC35" s="25">
        <v>846</v>
      </c>
      <c r="DD35" s="25">
        <v>259</v>
      </c>
      <c r="DE35" s="25">
        <v>805</v>
      </c>
      <c r="DF35" s="25">
        <v>235</v>
      </c>
      <c r="DG35" s="25">
        <v>41</v>
      </c>
      <c r="DH35" s="25">
        <v>56</v>
      </c>
      <c r="DI35" s="25">
        <v>55</v>
      </c>
      <c r="DJ35" s="25">
        <v>42</v>
      </c>
      <c r="DK35" s="25">
        <v>71</v>
      </c>
      <c r="DL35" s="25">
        <v>55</v>
      </c>
      <c r="DM35" s="25">
        <v>25</v>
      </c>
      <c r="DN35" s="25">
        <v>29</v>
      </c>
      <c r="DO35" s="25">
        <v>15</v>
      </c>
      <c r="DP35" s="25">
        <v>17</v>
      </c>
      <c r="DQ35" s="25">
        <v>128</v>
      </c>
      <c r="DR35" s="25">
        <v>100</v>
      </c>
      <c r="DS35" s="25">
        <v>0</v>
      </c>
      <c r="DT35" s="25">
        <v>26</v>
      </c>
      <c r="DU35" s="25">
        <v>3297</v>
      </c>
      <c r="DV35" s="25">
        <v>465</v>
      </c>
      <c r="DW35" s="25">
        <v>2283</v>
      </c>
      <c r="DX35" s="25">
        <v>401</v>
      </c>
      <c r="DY35" s="25">
        <v>1643</v>
      </c>
      <c r="DZ35" s="25">
        <v>320</v>
      </c>
      <c r="EA35" s="25">
        <v>640</v>
      </c>
      <c r="EB35" s="25">
        <v>206</v>
      </c>
      <c r="EC35" s="25">
        <v>106</v>
      </c>
      <c r="ED35" s="25">
        <v>80</v>
      </c>
      <c r="EE35" s="25">
        <v>110</v>
      </c>
      <c r="EF35" s="25">
        <v>90</v>
      </c>
      <c r="EG35" s="25">
        <v>41</v>
      </c>
      <c r="EH35" s="25">
        <v>33</v>
      </c>
      <c r="EI35" s="25">
        <v>72</v>
      </c>
      <c r="EJ35" s="25">
        <v>58</v>
      </c>
      <c r="EK35" s="25">
        <v>671</v>
      </c>
      <c r="EL35" s="25">
        <v>147</v>
      </c>
      <c r="EM35" s="25">
        <v>14</v>
      </c>
      <c r="EN35" s="25">
        <v>22</v>
      </c>
    </row>
    <row r="36" spans="1:144" x14ac:dyDescent="0.25">
      <c r="A36" s="19">
        <f t="shared" si="8"/>
        <v>55</v>
      </c>
      <c r="B36" s="20" t="str">
        <f t="shared" si="9"/>
        <v>Wayne</v>
      </c>
      <c r="C36" s="24" t="s">
        <v>342</v>
      </c>
      <c r="D36" s="24" t="s">
        <v>343</v>
      </c>
      <c r="E36" s="25">
        <v>1223</v>
      </c>
      <c r="F36" s="25">
        <v>99</v>
      </c>
      <c r="G36" s="25">
        <v>762</v>
      </c>
      <c r="H36" s="25">
        <v>85</v>
      </c>
      <c r="I36" s="25">
        <v>596</v>
      </c>
      <c r="J36" s="25">
        <v>97</v>
      </c>
      <c r="K36" s="25">
        <v>166</v>
      </c>
      <c r="L36" s="25">
        <v>88</v>
      </c>
      <c r="M36" s="25">
        <v>54</v>
      </c>
      <c r="N36" s="25">
        <v>29</v>
      </c>
      <c r="O36" s="25">
        <v>81</v>
      </c>
      <c r="P36" s="25">
        <v>32</v>
      </c>
      <c r="Q36" s="25">
        <v>120</v>
      </c>
      <c r="R36" s="25">
        <v>43</v>
      </c>
      <c r="S36" s="25">
        <v>54</v>
      </c>
      <c r="T36" s="25">
        <v>22</v>
      </c>
      <c r="U36" s="25">
        <v>142</v>
      </c>
      <c r="V36" s="25">
        <v>46</v>
      </c>
      <c r="W36" s="25">
        <v>10</v>
      </c>
      <c r="X36" s="25">
        <v>12</v>
      </c>
      <c r="Y36" s="25">
        <v>917</v>
      </c>
      <c r="Z36" s="25">
        <v>103</v>
      </c>
      <c r="AA36" s="25">
        <v>581</v>
      </c>
      <c r="AB36" s="25">
        <v>86</v>
      </c>
      <c r="AC36" s="25">
        <v>523</v>
      </c>
      <c r="AD36" s="25">
        <v>87</v>
      </c>
      <c r="AE36" s="25">
        <v>58</v>
      </c>
      <c r="AF36" s="25">
        <v>35</v>
      </c>
      <c r="AG36" s="25">
        <v>43</v>
      </c>
      <c r="AH36" s="25">
        <v>25</v>
      </c>
      <c r="AI36" s="25">
        <v>73</v>
      </c>
      <c r="AJ36" s="25">
        <v>31</v>
      </c>
      <c r="AK36" s="25">
        <v>89</v>
      </c>
      <c r="AL36" s="25">
        <v>33</v>
      </c>
      <c r="AM36" s="25">
        <v>26</v>
      </c>
      <c r="AN36" s="25">
        <v>15</v>
      </c>
      <c r="AO36" s="25">
        <v>95</v>
      </c>
      <c r="AP36" s="25">
        <v>36</v>
      </c>
      <c r="AQ36" s="25">
        <v>10</v>
      </c>
      <c r="AR36" s="25">
        <v>12</v>
      </c>
      <c r="AS36" s="25">
        <v>120</v>
      </c>
      <c r="AT36" s="25">
        <v>49</v>
      </c>
      <c r="AU36" s="25">
        <v>80</v>
      </c>
      <c r="AV36" s="25">
        <v>44</v>
      </c>
      <c r="AW36" s="25">
        <v>48</v>
      </c>
      <c r="AX36" s="25">
        <v>29</v>
      </c>
      <c r="AY36" s="25">
        <v>32</v>
      </c>
      <c r="AZ36" s="25">
        <v>32</v>
      </c>
      <c r="BA36" s="25">
        <v>7</v>
      </c>
      <c r="BB36" s="25">
        <v>11</v>
      </c>
      <c r="BC36" s="25">
        <v>7</v>
      </c>
      <c r="BD36" s="25">
        <v>6</v>
      </c>
      <c r="BE36" s="25">
        <v>2</v>
      </c>
      <c r="BF36" s="25">
        <v>3</v>
      </c>
      <c r="BG36" s="25">
        <v>17</v>
      </c>
      <c r="BH36" s="25">
        <v>15</v>
      </c>
      <c r="BI36" s="25">
        <v>7</v>
      </c>
      <c r="BJ36" s="25">
        <v>9</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91</v>
      </c>
      <c r="CH36" s="25">
        <v>66</v>
      </c>
      <c r="CI36" s="25">
        <v>76</v>
      </c>
      <c r="CJ36" s="25">
        <v>65</v>
      </c>
      <c r="CK36" s="25">
        <v>17</v>
      </c>
      <c r="CL36" s="25">
        <v>17</v>
      </c>
      <c r="CM36" s="25">
        <v>59</v>
      </c>
      <c r="CN36" s="25">
        <v>65</v>
      </c>
      <c r="CO36" s="25">
        <v>1</v>
      </c>
      <c r="CP36" s="25">
        <v>2</v>
      </c>
      <c r="CQ36" s="25">
        <v>0</v>
      </c>
      <c r="CR36" s="25">
        <v>11</v>
      </c>
      <c r="CS36" s="25">
        <v>5</v>
      </c>
      <c r="CT36" s="25">
        <v>8</v>
      </c>
      <c r="CU36" s="25">
        <v>7</v>
      </c>
      <c r="CV36" s="25">
        <v>6</v>
      </c>
      <c r="CW36" s="25">
        <v>2</v>
      </c>
      <c r="CX36" s="25">
        <v>9</v>
      </c>
      <c r="CY36" s="25">
        <v>0</v>
      </c>
      <c r="CZ36" s="25">
        <v>11</v>
      </c>
      <c r="DA36" s="25">
        <v>4</v>
      </c>
      <c r="DB36" s="25">
        <v>7</v>
      </c>
      <c r="DC36" s="25">
        <v>4</v>
      </c>
      <c r="DD36" s="25">
        <v>7</v>
      </c>
      <c r="DE36" s="25">
        <v>4</v>
      </c>
      <c r="DF36" s="25">
        <v>7</v>
      </c>
      <c r="DG36" s="25">
        <v>0</v>
      </c>
      <c r="DH36" s="25">
        <v>11</v>
      </c>
      <c r="DI36" s="25">
        <v>0</v>
      </c>
      <c r="DJ36" s="25">
        <v>11</v>
      </c>
      <c r="DK36" s="25">
        <v>0</v>
      </c>
      <c r="DL36" s="25">
        <v>11</v>
      </c>
      <c r="DM36" s="25">
        <v>0</v>
      </c>
      <c r="DN36" s="25">
        <v>11</v>
      </c>
      <c r="DO36" s="25">
        <v>0</v>
      </c>
      <c r="DP36" s="25">
        <v>11</v>
      </c>
      <c r="DQ36" s="25">
        <v>0</v>
      </c>
      <c r="DR36" s="25">
        <v>11</v>
      </c>
      <c r="DS36" s="25">
        <v>0</v>
      </c>
      <c r="DT36" s="25">
        <v>11</v>
      </c>
      <c r="DU36" s="25">
        <v>91</v>
      </c>
      <c r="DV36" s="25">
        <v>42</v>
      </c>
      <c r="DW36" s="25">
        <v>21</v>
      </c>
      <c r="DX36" s="25">
        <v>16</v>
      </c>
      <c r="DY36" s="25">
        <v>4</v>
      </c>
      <c r="DZ36" s="25">
        <v>4</v>
      </c>
      <c r="EA36" s="25">
        <v>17</v>
      </c>
      <c r="EB36" s="25">
        <v>15</v>
      </c>
      <c r="EC36" s="25">
        <v>3</v>
      </c>
      <c r="ED36" s="25">
        <v>8</v>
      </c>
      <c r="EE36" s="25">
        <v>1</v>
      </c>
      <c r="EF36" s="25">
        <v>3</v>
      </c>
      <c r="EG36" s="25">
        <v>24</v>
      </c>
      <c r="EH36" s="25">
        <v>28</v>
      </c>
      <c r="EI36" s="25">
        <v>4</v>
      </c>
      <c r="EJ36" s="25">
        <v>5</v>
      </c>
      <c r="EK36" s="25">
        <v>38</v>
      </c>
      <c r="EL36" s="25">
        <v>25</v>
      </c>
      <c r="EM36" s="25">
        <v>0</v>
      </c>
      <c r="EN36" s="25">
        <v>11</v>
      </c>
    </row>
    <row r="37" spans="1:144" x14ac:dyDescent="0.25">
      <c r="A37" s="19">
        <f t="shared" si="8"/>
        <v>57</v>
      </c>
      <c r="B37" s="20" t="str">
        <f t="shared" si="9"/>
        <v>Weber</v>
      </c>
      <c r="C37" s="24" t="s">
        <v>344</v>
      </c>
      <c r="D37" s="24" t="s">
        <v>345</v>
      </c>
      <c r="E37" s="25">
        <v>111359</v>
      </c>
      <c r="F37" s="25">
        <v>1402</v>
      </c>
      <c r="G37" s="25">
        <v>77892</v>
      </c>
      <c r="H37" s="25">
        <v>1501</v>
      </c>
      <c r="I37" s="25">
        <v>73971</v>
      </c>
      <c r="J37" s="25">
        <v>1623</v>
      </c>
      <c r="K37" s="25">
        <v>3921</v>
      </c>
      <c r="L37" s="25">
        <v>432</v>
      </c>
      <c r="M37" s="25">
        <v>7052</v>
      </c>
      <c r="N37" s="25">
        <v>715</v>
      </c>
      <c r="O37" s="25">
        <v>6219</v>
      </c>
      <c r="P37" s="25">
        <v>475</v>
      </c>
      <c r="Q37" s="25">
        <v>5387</v>
      </c>
      <c r="R37" s="25">
        <v>428</v>
      </c>
      <c r="S37" s="25">
        <v>10494</v>
      </c>
      <c r="T37" s="25">
        <v>619</v>
      </c>
      <c r="U37" s="25">
        <v>4215</v>
      </c>
      <c r="V37" s="25">
        <v>408</v>
      </c>
      <c r="W37" s="25">
        <v>100</v>
      </c>
      <c r="X37" s="25">
        <v>84</v>
      </c>
      <c r="Y37" s="25">
        <v>88987</v>
      </c>
      <c r="Z37" s="25">
        <v>1745</v>
      </c>
      <c r="AA37" s="25">
        <v>62211</v>
      </c>
      <c r="AB37" s="25">
        <v>1674</v>
      </c>
      <c r="AC37" s="25">
        <v>59648</v>
      </c>
      <c r="AD37" s="25">
        <v>1721</v>
      </c>
      <c r="AE37" s="25">
        <v>2563</v>
      </c>
      <c r="AF37" s="25">
        <v>368</v>
      </c>
      <c r="AG37" s="25">
        <v>5694</v>
      </c>
      <c r="AH37" s="25">
        <v>592</v>
      </c>
      <c r="AI37" s="25">
        <v>5178</v>
      </c>
      <c r="AJ37" s="25">
        <v>433</v>
      </c>
      <c r="AK37" s="25">
        <v>4279</v>
      </c>
      <c r="AL37" s="25">
        <v>358</v>
      </c>
      <c r="AM37" s="25">
        <v>8991</v>
      </c>
      <c r="AN37" s="25">
        <v>570</v>
      </c>
      <c r="AO37" s="25">
        <v>2561</v>
      </c>
      <c r="AP37" s="25">
        <v>388</v>
      </c>
      <c r="AQ37" s="25">
        <v>73</v>
      </c>
      <c r="AR37" s="25">
        <v>82</v>
      </c>
      <c r="AS37" s="25">
        <v>12375</v>
      </c>
      <c r="AT37" s="25">
        <v>928</v>
      </c>
      <c r="AU37" s="25">
        <v>9158</v>
      </c>
      <c r="AV37" s="25">
        <v>758</v>
      </c>
      <c r="AW37" s="25">
        <v>8898</v>
      </c>
      <c r="AX37" s="25">
        <v>718</v>
      </c>
      <c r="AY37" s="25">
        <v>260</v>
      </c>
      <c r="AZ37" s="25">
        <v>156</v>
      </c>
      <c r="BA37" s="25">
        <v>734</v>
      </c>
      <c r="BB37" s="25">
        <v>226</v>
      </c>
      <c r="BC37" s="25">
        <v>657</v>
      </c>
      <c r="BD37" s="25">
        <v>151</v>
      </c>
      <c r="BE37" s="25">
        <v>556</v>
      </c>
      <c r="BF37" s="25">
        <v>156</v>
      </c>
      <c r="BG37" s="25">
        <v>1040</v>
      </c>
      <c r="BH37" s="25">
        <v>229</v>
      </c>
      <c r="BI37" s="25">
        <v>222</v>
      </c>
      <c r="BJ37" s="25">
        <v>77</v>
      </c>
      <c r="BK37" s="25">
        <v>8</v>
      </c>
      <c r="BL37" s="25">
        <v>11</v>
      </c>
      <c r="BM37" s="25">
        <v>2054</v>
      </c>
      <c r="BN37" s="25">
        <v>375</v>
      </c>
      <c r="BO37" s="25">
        <v>1357</v>
      </c>
      <c r="BP37" s="25">
        <v>310</v>
      </c>
      <c r="BQ37" s="25">
        <v>1339</v>
      </c>
      <c r="BR37" s="25">
        <v>309</v>
      </c>
      <c r="BS37" s="25">
        <v>18</v>
      </c>
      <c r="BT37" s="25">
        <v>21</v>
      </c>
      <c r="BU37" s="25">
        <v>258</v>
      </c>
      <c r="BV37" s="25">
        <v>97</v>
      </c>
      <c r="BW37" s="25">
        <v>108</v>
      </c>
      <c r="BX37" s="25">
        <v>57</v>
      </c>
      <c r="BY37" s="25">
        <v>189</v>
      </c>
      <c r="BZ37" s="25">
        <v>82</v>
      </c>
      <c r="CA37" s="25">
        <v>133</v>
      </c>
      <c r="CB37" s="25">
        <v>87</v>
      </c>
      <c r="CC37" s="25">
        <v>9</v>
      </c>
      <c r="CD37" s="25">
        <v>13</v>
      </c>
      <c r="CE37" s="25">
        <v>0</v>
      </c>
      <c r="CF37" s="25">
        <v>26</v>
      </c>
      <c r="CG37" s="25">
        <v>1537</v>
      </c>
      <c r="CH37" s="25">
        <v>292</v>
      </c>
      <c r="CI37" s="25">
        <v>960</v>
      </c>
      <c r="CJ37" s="25">
        <v>239</v>
      </c>
      <c r="CK37" s="25">
        <v>912</v>
      </c>
      <c r="CL37" s="25">
        <v>233</v>
      </c>
      <c r="CM37" s="25">
        <v>48</v>
      </c>
      <c r="CN37" s="25">
        <v>36</v>
      </c>
      <c r="CO37" s="25">
        <v>104</v>
      </c>
      <c r="CP37" s="25">
        <v>60</v>
      </c>
      <c r="CQ37" s="25">
        <v>163</v>
      </c>
      <c r="CR37" s="25">
        <v>78</v>
      </c>
      <c r="CS37" s="25">
        <v>150</v>
      </c>
      <c r="CT37" s="25">
        <v>77</v>
      </c>
      <c r="CU37" s="25">
        <v>14</v>
      </c>
      <c r="CV37" s="25">
        <v>18</v>
      </c>
      <c r="CW37" s="25">
        <v>146</v>
      </c>
      <c r="CX37" s="25">
        <v>83</v>
      </c>
      <c r="CY37" s="25">
        <v>0</v>
      </c>
      <c r="CZ37" s="25">
        <v>26</v>
      </c>
      <c r="DA37" s="25">
        <v>1813</v>
      </c>
      <c r="DB37" s="25">
        <v>274</v>
      </c>
      <c r="DC37" s="25">
        <v>1454</v>
      </c>
      <c r="DD37" s="25">
        <v>258</v>
      </c>
      <c r="DE37" s="25">
        <v>1345</v>
      </c>
      <c r="DF37" s="25">
        <v>238</v>
      </c>
      <c r="DG37" s="25">
        <v>109</v>
      </c>
      <c r="DH37" s="25">
        <v>88</v>
      </c>
      <c r="DI37" s="25">
        <v>62</v>
      </c>
      <c r="DJ37" s="25">
        <v>35</v>
      </c>
      <c r="DK37" s="25">
        <v>82</v>
      </c>
      <c r="DL37" s="25">
        <v>53</v>
      </c>
      <c r="DM37" s="25">
        <v>52</v>
      </c>
      <c r="DN37" s="25">
        <v>52</v>
      </c>
      <c r="DO37" s="25">
        <v>83</v>
      </c>
      <c r="DP37" s="25">
        <v>52</v>
      </c>
      <c r="DQ37" s="25">
        <v>75</v>
      </c>
      <c r="DR37" s="25">
        <v>51</v>
      </c>
      <c r="DS37" s="25">
        <v>5</v>
      </c>
      <c r="DT37" s="25">
        <v>7</v>
      </c>
      <c r="DU37" s="25">
        <v>4593</v>
      </c>
      <c r="DV37" s="25">
        <v>432</v>
      </c>
      <c r="DW37" s="25">
        <v>2752</v>
      </c>
      <c r="DX37" s="25">
        <v>334</v>
      </c>
      <c r="DY37" s="25">
        <v>1829</v>
      </c>
      <c r="DZ37" s="25">
        <v>275</v>
      </c>
      <c r="EA37" s="25">
        <v>923</v>
      </c>
      <c r="EB37" s="25">
        <v>212</v>
      </c>
      <c r="EC37" s="25">
        <v>200</v>
      </c>
      <c r="ED37" s="25">
        <v>93</v>
      </c>
      <c r="EE37" s="25">
        <v>31</v>
      </c>
      <c r="EF37" s="25">
        <v>24</v>
      </c>
      <c r="EG37" s="25">
        <v>161</v>
      </c>
      <c r="EH37" s="25">
        <v>83</v>
      </c>
      <c r="EI37" s="25">
        <v>233</v>
      </c>
      <c r="EJ37" s="25">
        <v>110</v>
      </c>
      <c r="EK37" s="25">
        <v>1202</v>
      </c>
      <c r="EL37" s="25">
        <v>235</v>
      </c>
      <c r="EM37" s="25">
        <v>14</v>
      </c>
      <c r="EN37" s="25">
        <v>12</v>
      </c>
    </row>
    <row r="39" spans="1:144" x14ac:dyDescent="0.25">
      <c r="A39" s="19">
        <f>VLOOKUP($C39, lu_GEOID, 2, FALSE)</f>
        <v>101</v>
      </c>
      <c r="B39" s="20" t="str">
        <f>VLOOKUP($C39, lu_GEOID, 3, FALSE)</f>
        <v>Wasatch Front</v>
      </c>
      <c r="C39" s="17" t="s">
        <v>401</v>
      </c>
      <c r="D39" s="21" t="str">
        <f>B39</f>
        <v>Wasatch Front</v>
      </c>
      <c r="E39" s="22">
        <f>E14 + E26 + E33 + E37</f>
        <v>1051186</v>
      </c>
      <c r="F39" s="22">
        <f t="shared" ref="F39:BQ39" si="10">F14 + F26 + F33 + F37</f>
        <v>7477</v>
      </c>
      <c r="G39" s="22">
        <f t="shared" si="10"/>
        <v>771709</v>
      </c>
      <c r="H39" s="22">
        <f t="shared" si="10"/>
        <v>8194</v>
      </c>
      <c r="I39" s="22">
        <f t="shared" si="10"/>
        <v>731840</v>
      </c>
      <c r="J39" s="22">
        <f t="shared" si="10"/>
        <v>8507</v>
      </c>
      <c r="K39" s="22">
        <f t="shared" si="10"/>
        <v>39869</v>
      </c>
      <c r="L39" s="22">
        <f t="shared" si="10"/>
        <v>2513</v>
      </c>
      <c r="M39" s="22">
        <f t="shared" si="10"/>
        <v>80358</v>
      </c>
      <c r="N39" s="22">
        <f t="shared" si="10"/>
        <v>4004</v>
      </c>
      <c r="O39" s="22">
        <f t="shared" si="10"/>
        <v>55382</v>
      </c>
      <c r="P39" s="22">
        <f t="shared" si="10"/>
        <v>2952</v>
      </c>
      <c r="Q39" s="22">
        <f t="shared" si="10"/>
        <v>58447</v>
      </c>
      <c r="R39" s="22">
        <f t="shared" si="10"/>
        <v>2942</v>
      </c>
      <c r="S39" s="22">
        <f t="shared" si="10"/>
        <v>37471</v>
      </c>
      <c r="T39" s="22">
        <f t="shared" si="10"/>
        <v>2482</v>
      </c>
      <c r="U39" s="22">
        <f t="shared" si="10"/>
        <v>46363</v>
      </c>
      <c r="V39" s="22">
        <f t="shared" si="10"/>
        <v>2581</v>
      </c>
      <c r="W39" s="22">
        <f t="shared" si="10"/>
        <v>1456</v>
      </c>
      <c r="X39" s="22">
        <f t="shared" si="10"/>
        <v>520</v>
      </c>
      <c r="Y39" s="22">
        <f t="shared" si="10"/>
        <v>796425</v>
      </c>
      <c r="Z39" s="22">
        <f t="shared" si="10"/>
        <v>8535</v>
      </c>
      <c r="AA39" s="22">
        <f t="shared" si="10"/>
        <v>592700</v>
      </c>
      <c r="AB39" s="22">
        <f t="shared" si="10"/>
        <v>8347</v>
      </c>
      <c r="AC39" s="22">
        <f t="shared" si="10"/>
        <v>566982</v>
      </c>
      <c r="AD39" s="22">
        <f t="shared" si="10"/>
        <v>8308</v>
      </c>
      <c r="AE39" s="22">
        <f t="shared" si="10"/>
        <v>25718</v>
      </c>
      <c r="AF39" s="22">
        <f t="shared" si="10"/>
        <v>2044</v>
      </c>
      <c r="AG39" s="22">
        <f t="shared" si="10"/>
        <v>58242</v>
      </c>
      <c r="AH39" s="22">
        <f t="shared" si="10"/>
        <v>3038</v>
      </c>
      <c r="AI39" s="22">
        <f t="shared" si="10"/>
        <v>45444</v>
      </c>
      <c r="AJ39" s="22">
        <f t="shared" si="10"/>
        <v>2773</v>
      </c>
      <c r="AK39" s="22">
        <f t="shared" si="10"/>
        <v>44280</v>
      </c>
      <c r="AL39" s="22">
        <f t="shared" si="10"/>
        <v>2407</v>
      </c>
      <c r="AM39" s="22">
        <f t="shared" si="10"/>
        <v>31133</v>
      </c>
      <c r="AN39" s="22">
        <f t="shared" si="10"/>
        <v>2282</v>
      </c>
      <c r="AO39" s="22">
        <f t="shared" si="10"/>
        <v>23978</v>
      </c>
      <c r="AP39" s="22">
        <f t="shared" si="10"/>
        <v>1997</v>
      </c>
      <c r="AQ39" s="22">
        <f t="shared" si="10"/>
        <v>648</v>
      </c>
      <c r="AR39" s="22">
        <f t="shared" si="10"/>
        <v>307</v>
      </c>
      <c r="AS39" s="22">
        <f t="shared" si="10"/>
        <v>120388</v>
      </c>
      <c r="AT39" s="22">
        <f t="shared" si="10"/>
        <v>4850</v>
      </c>
      <c r="AU39" s="22">
        <f t="shared" si="10"/>
        <v>91986</v>
      </c>
      <c r="AV39" s="22">
        <f t="shared" si="10"/>
        <v>4223</v>
      </c>
      <c r="AW39" s="22">
        <f t="shared" si="10"/>
        <v>88128</v>
      </c>
      <c r="AX39" s="22">
        <f t="shared" si="10"/>
        <v>4156</v>
      </c>
      <c r="AY39" s="22">
        <f t="shared" si="10"/>
        <v>3858</v>
      </c>
      <c r="AZ39" s="22">
        <f t="shared" si="10"/>
        <v>826</v>
      </c>
      <c r="BA39" s="22">
        <f t="shared" si="10"/>
        <v>8857</v>
      </c>
      <c r="BB39" s="22">
        <f t="shared" si="10"/>
        <v>1264</v>
      </c>
      <c r="BC39" s="22">
        <f t="shared" si="10"/>
        <v>5802</v>
      </c>
      <c r="BD39" s="22">
        <f t="shared" si="10"/>
        <v>852</v>
      </c>
      <c r="BE39" s="22">
        <f t="shared" si="10"/>
        <v>5816</v>
      </c>
      <c r="BF39" s="22">
        <f t="shared" si="10"/>
        <v>973</v>
      </c>
      <c r="BG39" s="22">
        <f t="shared" si="10"/>
        <v>3547</v>
      </c>
      <c r="BH39" s="22">
        <f t="shared" si="10"/>
        <v>817</v>
      </c>
      <c r="BI39" s="22">
        <f t="shared" si="10"/>
        <v>4050</v>
      </c>
      <c r="BJ39" s="22">
        <f t="shared" si="10"/>
        <v>793</v>
      </c>
      <c r="BK39" s="22">
        <f t="shared" si="10"/>
        <v>330</v>
      </c>
      <c r="BL39" s="22">
        <f t="shared" si="10"/>
        <v>232</v>
      </c>
      <c r="BM39" s="22">
        <f t="shared" si="10"/>
        <v>31802</v>
      </c>
      <c r="BN39" s="22">
        <f t="shared" si="10"/>
        <v>2436</v>
      </c>
      <c r="BO39" s="22">
        <f t="shared" si="10"/>
        <v>20206</v>
      </c>
      <c r="BP39" s="22">
        <f t="shared" si="10"/>
        <v>1967</v>
      </c>
      <c r="BQ39" s="22">
        <f t="shared" si="10"/>
        <v>19914</v>
      </c>
      <c r="BR39" s="22">
        <f t="shared" ref="BR39:EC39" si="11">BR14 + BR26 + BR33 + BR37</f>
        <v>1940</v>
      </c>
      <c r="BS39" s="22">
        <f t="shared" si="11"/>
        <v>292</v>
      </c>
      <c r="BT39" s="22">
        <f t="shared" si="11"/>
        <v>194</v>
      </c>
      <c r="BU39" s="22">
        <f t="shared" si="11"/>
        <v>4618</v>
      </c>
      <c r="BV39" s="22">
        <f t="shared" si="11"/>
        <v>855</v>
      </c>
      <c r="BW39" s="22">
        <f t="shared" si="11"/>
        <v>1445</v>
      </c>
      <c r="BX39" s="22">
        <f t="shared" si="11"/>
        <v>450</v>
      </c>
      <c r="BY39" s="22">
        <f t="shared" si="11"/>
        <v>4162</v>
      </c>
      <c r="BZ39" s="22">
        <f t="shared" si="11"/>
        <v>761</v>
      </c>
      <c r="CA39" s="22">
        <f t="shared" si="11"/>
        <v>978</v>
      </c>
      <c r="CB39" s="22">
        <f t="shared" si="11"/>
        <v>464</v>
      </c>
      <c r="CC39" s="22">
        <f t="shared" si="11"/>
        <v>393</v>
      </c>
      <c r="CD39" s="22">
        <f t="shared" si="11"/>
        <v>233</v>
      </c>
      <c r="CE39" s="22">
        <f t="shared" si="11"/>
        <v>0</v>
      </c>
      <c r="CF39" s="22">
        <f t="shared" si="11"/>
        <v>104</v>
      </c>
      <c r="CG39" s="22">
        <f t="shared" si="11"/>
        <v>26061</v>
      </c>
      <c r="CH39" s="22">
        <f t="shared" si="11"/>
        <v>2450</v>
      </c>
      <c r="CI39" s="22">
        <f t="shared" si="11"/>
        <v>17199</v>
      </c>
      <c r="CJ39" s="22">
        <f t="shared" si="11"/>
        <v>1981</v>
      </c>
      <c r="CK39" s="22">
        <f t="shared" si="11"/>
        <v>16673</v>
      </c>
      <c r="CL39" s="22">
        <f t="shared" si="11"/>
        <v>1949</v>
      </c>
      <c r="CM39" s="22">
        <f t="shared" si="11"/>
        <v>526</v>
      </c>
      <c r="CN39" s="22">
        <f t="shared" si="11"/>
        <v>238</v>
      </c>
      <c r="CO39" s="22">
        <f t="shared" si="11"/>
        <v>4235</v>
      </c>
      <c r="CP39" s="22">
        <f t="shared" si="11"/>
        <v>855</v>
      </c>
      <c r="CQ39" s="22">
        <f t="shared" si="11"/>
        <v>1200</v>
      </c>
      <c r="CR39" s="22">
        <f t="shared" si="11"/>
        <v>443</v>
      </c>
      <c r="CS39" s="22">
        <f t="shared" si="11"/>
        <v>1827</v>
      </c>
      <c r="CT39" s="22">
        <f t="shared" si="11"/>
        <v>548</v>
      </c>
      <c r="CU39" s="22">
        <f t="shared" si="11"/>
        <v>307</v>
      </c>
      <c r="CV39" s="22">
        <f t="shared" si="11"/>
        <v>218</v>
      </c>
      <c r="CW39" s="22">
        <f t="shared" si="11"/>
        <v>1267</v>
      </c>
      <c r="CX39" s="22">
        <f t="shared" si="11"/>
        <v>453</v>
      </c>
      <c r="CY39" s="22">
        <f t="shared" si="11"/>
        <v>26</v>
      </c>
      <c r="CZ39" s="22">
        <f t="shared" si="11"/>
        <v>93</v>
      </c>
      <c r="DA39" s="22">
        <f t="shared" si="11"/>
        <v>20650</v>
      </c>
      <c r="DB39" s="22">
        <f t="shared" si="11"/>
        <v>1923</v>
      </c>
      <c r="DC39" s="22">
        <f t="shared" si="11"/>
        <v>15008</v>
      </c>
      <c r="DD39" s="22">
        <f t="shared" si="11"/>
        <v>1634</v>
      </c>
      <c r="DE39" s="22">
        <f t="shared" si="11"/>
        <v>14424</v>
      </c>
      <c r="DF39" s="22">
        <f t="shared" si="11"/>
        <v>1611</v>
      </c>
      <c r="DG39" s="22">
        <f t="shared" si="11"/>
        <v>584</v>
      </c>
      <c r="DH39" s="22">
        <f t="shared" si="11"/>
        <v>295</v>
      </c>
      <c r="DI39" s="22">
        <f t="shared" si="11"/>
        <v>2011</v>
      </c>
      <c r="DJ39" s="22">
        <f t="shared" si="11"/>
        <v>461</v>
      </c>
      <c r="DK39" s="22">
        <f t="shared" si="11"/>
        <v>919</v>
      </c>
      <c r="DL39" s="22">
        <f t="shared" si="11"/>
        <v>345</v>
      </c>
      <c r="DM39" s="22">
        <f t="shared" si="11"/>
        <v>1123</v>
      </c>
      <c r="DN39" s="22">
        <f t="shared" si="11"/>
        <v>355</v>
      </c>
      <c r="DO39" s="22">
        <f t="shared" si="11"/>
        <v>636</v>
      </c>
      <c r="DP39" s="22">
        <f t="shared" si="11"/>
        <v>284</v>
      </c>
      <c r="DQ39" s="22">
        <f t="shared" si="11"/>
        <v>930</v>
      </c>
      <c r="DR39" s="22">
        <f t="shared" si="11"/>
        <v>378</v>
      </c>
      <c r="DS39" s="22">
        <f t="shared" si="11"/>
        <v>23</v>
      </c>
      <c r="DT39" s="22">
        <f t="shared" si="11"/>
        <v>63</v>
      </c>
      <c r="DU39" s="22">
        <f t="shared" si="11"/>
        <v>55860</v>
      </c>
      <c r="DV39" s="22">
        <f t="shared" si="11"/>
        <v>2975</v>
      </c>
      <c r="DW39" s="22">
        <f t="shared" si="11"/>
        <v>34610</v>
      </c>
      <c r="DX39" s="22">
        <f t="shared" si="11"/>
        <v>2350</v>
      </c>
      <c r="DY39" s="22">
        <f t="shared" si="11"/>
        <v>25719</v>
      </c>
      <c r="DZ39" s="22">
        <f t="shared" si="11"/>
        <v>2079</v>
      </c>
      <c r="EA39" s="22">
        <f t="shared" si="11"/>
        <v>8891</v>
      </c>
      <c r="EB39" s="22">
        <f t="shared" si="11"/>
        <v>1114</v>
      </c>
      <c r="EC39" s="22">
        <f t="shared" si="11"/>
        <v>2395</v>
      </c>
      <c r="ED39" s="22">
        <f t="shared" ref="ED39:EN39" si="12">ED14 + ED26 + ED33 + ED37</f>
        <v>610</v>
      </c>
      <c r="EE39" s="22">
        <f t="shared" si="12"/>
        <v>572</v>
      </c>
      <c r="EF39" s="22">
        <f t="shared" si="12"/>
        <v>248</v>
      </c>
      <c r="EG39" s="22">
        <f t="shared" si="12"/>
        <v>1239</v>
      </c>
      <c r="EH39" s="22">
        <f t="shared" si="12"/>
        <v>424</v>
      </c>
      <c r="EI39" s="22">
        <f t="shared" si="12"/>
        <v>870</v>
      </c>
      <c r="EJ39" s="22">
        <f t="shared" si="12"/>
        <v>402</v>
      </c>
      <c r="EK39" s="22">
        <f t="shared" si="12"/>
        <v>15745</v>
      </c>
      <c r="EL39" s="22">
        <f t="shared" si="12"/>
        <v>1600</v>
      </c>
      <c r="EM39" s="22">
        <f t="shared" si="12"/>
        <v>429</v>
      </c>
      <c r="EN39" s="22">
        <f t="shared" si="12"/>
        <v>286</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148432042</v>
      </c>
      <c r="F7" s="25">
        <v>153416</v>
      </c>
      <c r="G7" s="25">
        <v>106295657</v>
      </c>
      <c r="H7" s="25">
        <v>66326</v>
      </c>
      <c r="I7" s="25">
        <v>101091859</v>
      </c>
      <c r="J7" s="25">
        <v>68333</v>
      </c>
      <c r="K7" s="25">
        <v>5203798</v>
      </c>
      <c r="L7" s="25">
        <v>19888</v>
      </c>
      <c r="M7" s="25">
        <v>11895769</v>
      </c>
      <c r="N7" s="25">
        <v>67877</v>
      </c>
      <c r="O7" s="25">
        <v>9885230</v>
      </c>
      <c r="P7" s="25">
        <v>62325</v>
      </c>
      <c r="Q7" s="25">
        <v>6707265</v>
      </c>
      <c r="R7" s="25">
        <v>46942</v>
      </c>
      <c r="S7" s="25">
        <v>4713365</v>
      </c>
      <c r="T7" s="25">
        <v>28512</v>
      </c>
      <c r="U7" s="25">
        <v>8705068</v>
      </c>
      <c r="V7" s="25">
        <v>24132</v>
      </c>
      <c r="W7" s="25">
        <v>229688</v>
      </c>
      <c r="X7" s="25">
        <v>3452</v>
      </c>
      <c r="Y7" s="25">
        <v>113464765</v>
      </c>
      <c r="Z7" s="25">
        <v>115181</v>
      </c>
      <c r="AA7" s="25">
        <v>82129748</v>
      </c>
      <c r="AB7" s="25">
        <v>65845</v>
      </c>
      <c r="AC7" s="25">
        <v>78636772</v>
      </c>
      <c r="AD7" s="25">
        <v>71134</v>
      </c>
      <c r="AE7" s="25">
        <v>3492976</v>
      </c>
      <c r="AF7" s="25">
        <v>16030</v>
      </c>
      <c r="AG7" s="25">
        <v>8998937</v>
      </c>
      <c r="AH7" s="25">
        <v>50921</v>
      </c>
      <c r="AI7" s="25">
        <v>8198110</v>
      </c>
      <c r="AJ7" s="25">
        <v>47896</v>
      </c>
      <c r="AK7" s="25">
        <v>5256928</v>
      </c>
      <c r="AL7" s="25">
        <v>35811</v>
      </c>
      <c r="AM7" s="25">
        <v>3586031</v>
      </c>
      <c r="AN7" s="25">
        <v>20964</v>
      </c>
      <c r="AO7" s="25">
        <v>5174130</v>
      </c>
      <c r="AP7" s="25">
        <v>17051</v>
      </c>
      <c r="AQ7" s="25">
        <v>120881</v>
      </c>
      <c r="AR7" s="25">
        <v>2666</v>
      </c>
      <c r="AS7" s="25">
        <v>13588952</v>
      </c>
      <c r="AT7" s="25">
        <v>69714</v>
      </c>
      <c r="AU7" s="25">
        <v>9878335</v>
      </c>
      <c r="AV7" s="25">
        <v>35675</v>
      </c>
      <c r="AW7" s="25">
        <v>9431777</v>
      </c>
      <c r="AX7" s="25">
        <v>34245</v>
      </c>
      <c r="AY7" s="25">
        <v>446558</v>
      </c>
      <c r="AZ7" s="25">
        <v>5216</v>
      </c>
      <c r="BA7" s="25">
        <v>1032573</v>
      </c>
      <c r="BB7" s="25">
        <v>13133</v>
      </c>
      <c r="BC7" s="25">
        <v>816585</v>
      </c>
      <c r="BD7" s="25">
        <v>13766</v>
      </c>
      <c r="BE7" s="25">
        <v>628900</v>
      </c>
      <c r="BF7" s="25">
        <v>10776</v>
      </c>
      <c r="BG7" s="25">
        <v>398691</v>
      </c>
      <c r="BH7" s="25">
        <v>6588</v>
      </c>
      <c r="BI7" s="25">
        <v>799781</v>
      </c>
      <c r="BJ7" s="25">
        <v>7064</v>
      </c>
      <c r="BK7" s="25">
        <v>34087</v>
      </c>
      <c r="BL7" s="25">
        <v>1182</v>
      </c>
      <c r="BM7" s="25">
        <v>7607907</v>
      </c>
      <c r="BN7" s="25">
        <v>19717</v>
      </c>
      <c r="BO7" s="25">
        <v>5562950</v>
      </c>
      <c r="BP7" s="25">
        <v>18092</v>
      </c>
      <c r="BQ7" s="25">
        <v>5461985</v>
      </c>
      <c r="BR7" s="25">
        <v>18203</v>
      </c>
      <c r="BS7" s="25">
        <v>100965</v>
      </c>
      <c r="BT7" s="25">
        <v>2465</v>
      </c>
      <c r="BU7" s="25">
        <v>780541</v>
      </c>
      <c r="BV7" s="25">
        <v>7290</v>
      </c>
      <c r="BW7" s="25">
        <v>421521</v>
      </c>
      <c r="BX7" s="25">
        <v>5322</v>
      </c>
      <c r="BY7" s="25">
        <v>289233</v>
      </c>
      <c r="BZ7" s="25">
        <v>4430</v>
      </c>
      <c r="CA7" s="25">
        <v>289428</v>
      </c>
      <c r="CB7" s="25">
        <v>3739</v>
      </c>
      <c r="CC7" s="25">
        <v>258112</v>
      </c>
      <c r="CD7" s="25">
        <v>3917</v>
      </c>
      <c r="CE7" s="25">
        <v>6122</v>
      </c>
      <c r="CF7" s="25">
        <v>476</v>
      </c>
      <c r="CG7" s="25">
        <v>4049337</v>
      </c>
      <c r="CH7" s="25">
        <v>20057</v>
      </c>
      <c r="CI7" s="25">
        <v>2644822</v>
      </c>
      <c r="CJ7" s="25">
        <v>16944</v>
      </c>
      <c r="CK7" s="25">
        <v>2505521</v>
      </c>
      <c r="CL7" s="25">
        <v>16135</v>
      </c>
      <c r="CM7" s="25">
        <v>139301</v>
      </c>
      <c r="CN7" s="25">
        <v>2997</v>
      </c>
      <c r="CO7" s="25">
        <v>500140</v>
      </c>
      <c r="CP7" s="25">
        <v>5366</v>
      </c>
      <c r="CQ7" s="25">
        <v>185573</v>
      </c>
      <c r="CR7" s="25">
        <v>2912</v>
      </c>
      <c r="CS7" s="25">
        <v>234022</v>
      </c>
      <c r="CT7" s="25">
        <v>3709</v>
      </c>
      <c r="CU7" s="25">
        <v>200788</v>
      </c>
      <c r="CV7" s="25">
        <v>3700</v>
      </c>
      <c r="CW7" s="25">
        <v>270613</v>
      </c>
      <c r="CX7" s="25">
        <v>3720</v>
      </c>
      <c r="CY7" s="25">
        <v>13379</v>
      </c>
      <c r="CZ7" s="25">
        <v>735</v>
      </c>
      <c r="DA7" s="25">
        <v>2693671</v>
      </c>
      <c r="DB7" s="25">
        <v>11857</v>
      </c>
      <c r="DC7" s="25">
        <v>1961154</v>
      </c>
      <c r="DD7" s="25">
        <v>11365</v>
      </c>
      <c r="DE7" s="25">
        <v>1877127</v>
      </c>
      <c r="DF7" s="25">
        <v>11410</v>
      </c>
      <c r="DG7" s="25">
        <v>84027</v>
      </c>
      <c r="DH7" s="25">
        <v>2159</v>
      </c>
      <c r="DI7" s="25">
        <v>210056</v>
      </c>
      <c r="DJ7" s="25">
        <v>3508</v>
      </c>
      <c r="DK7" s="25">
        <v>120662</v>
      </c>
      <c r="DL7" s="25">
        <v>2507</v>
      </c>
      <c r="DM7" s="25">
        <v>122245</v>
      </c>
      <c r="DN7" s="25">
        <v>2259</v>
      </c>
      <c r="DO7" s="25">
        <v>84978</v>
      </c>
      <c r="DP7" s="25">
        <v>2392</v>
      </c>
      <c r="DQ7" s="25">
        <v>188019</v>
      </c>
      <c r="DR7" s="25">
        <v>3436</v>
      </c>
      <c r="DS7" s="25">
        <v>6557</v>
      </c>
      <c r="DT7" s="25">
        <v>561</v>
      </c>
      <c r="DU7" s="25">
        <v>7027410</v>
      </c>
      <c r="DV7" s="25">
        <v>20203</v>
      </c>
      <c r="DW7" s="25">
        <v>4118648</v>
      </c>
      <c r="DX7" s="25">
        <v>13897</v>
      </c>
      <c r="DY7" s="25">
        <v>3178677</v>
      </c>
      <c r="DZ7" s="25">
        <v>13118</v>
      </c>
      <c r="EA7" s="25">
        <v>939971</v>
      </c>
      <c r="EB7" s="25">
        <v>9309</v>
      </c>
      <c r="EC7" s="25">
        <v>373522</v>
      </c>
      <c r="ED7" s="25">
        <v>3375</v>
      </c>
      <c r="EE7" s="25">
        <v>142779</v>
      </c>
      <c r="EF7" s="25">
        <v>2333</v>
      </c>
      <c r="EG7" s="25">
        <v>175937</v>
      </c>
      <c r="EH7" s="25">
        <v>2967</v>
      </c>
      <c r="EI7" s="25">
        <v>153449</v>
      </c>
      <c r="EJ7" s="25">
        <v>3537</v>
      </c>
      <c r="EK7" s="25">
        <v>2014413</v>
      </c>
      <c r="EL7" s="25">
        <v>14677</v>
      </c>
      <c r="EM7" s="25">
        <v>48662</v>
      </c>
      <c r="EN7" s="25">
        <v>1640</v>
      </c>
    </row>
    <row r="8" spans="1:144" x14ac:dyDescent="0.25">
      <c r="A8" s="19">
        <f t="shared" si="8"/>
        <v>1049</v>
      </c>
      <c r="B8" s="20" t="str">
        <f t="shared" si="9"/>
        <v>State of Utah</v>
      </c>
      <c r="C8" s="24" t="s">
        <v>286</v>
      </c>
      <c r="D8" s="24" t="s">
        <v>287</v>
      </c>
      <c r="E8" s="25">
        <v>1393296</v>
      </c>
      <c r="F8" s="25">
        <v>5063</v>
      </c>
      <c r="G8" s="25">
        <v>1021244</v>
      </c>
      <c r="H8" s="25">
        <v>5056</v>
      </c>
      <c r="I8" s="25">
        <v>962525</v>
      </c>
      <c r="J8" s="25">
        <v>4898</v>
      </c>
      <c r="K8" s="25">
        <v>58719</v>
      </c>
      <c r="L8" s="25">
        <v>1714</v>
      </c>
      <c r="M8" s="25">
        <v>100659</v>
      </c>
      <c r="N8" s="25">
        <v>2114</v>
      </c>
      <c r="O8" s="25">
        <v>81231</v>
      </c>
      <c r="P8" s="25">
        <v>2125</v>
      </c>
      <c r="Q8" s="25">
        <v>77831</v>
      </c>
      <c r="R8" s="25">
        <v>1866</v>
      </c>
      <c r="S8" s="25">
        <v>45755</v>
      </c>
      <c r="T8" s="25">
        <v>1641</v>
      </c>
      <c r="U8" s="25">
        <v>64424</v>
      </c>
      <c r="V8" s="25">
        <v>1712</v>
      </c>
      <c r="W8" s="25">
        <v>2152</v>
      </c>
      <c r="X8" s="25">
        <v>358</v>
      </c>
      <c r="Y8" s="25">
        <v>1059348</v>
      </c>
      <c r="Z8" s="25">
        <v>4506</v>
      </c>
      <c r="AA8" s="25">
        <v>787651</v>
      </c>
      <c r="AB8" s="25">
        <v>4367</v>
      </c>
      <c r="AC8" s="25">
        <v>750471</v>
      </c>
      <c r="AD8" s="25">
        <v>4359</v>
      </c>
      <c r="AE8" s="25">
        <v>37180</v>
      </c>
      <c r="AF8" s="25">
        <v>1127</v>
      </c>
      <c r="AG8" s="25">
        <v>74724</v>
      </c>
      <c r="AH8" s="25">
        <v>1657</v>
      </c>
      <c r="AI8" s="25">
        <v>66607</v>
      </c>
      <c r="AJ8" s="25">
        <v>1947</v>
      </c>
      <c r="AK8" s="25">
        <v>59060</v>
      </c>
      <c r="AL8" s="25">
        <v>1581</v>
      </c>
      <c r="AM8" s="25">
        <v>37205</v>
      </c>
      <c r="AN8" s="25">
        <v>1571</v>
      </c>
      <c r="AO8" s="25">
        <v>33102</v>
      </c>
      <c r="AP8" s="25">
        <v>1076</v>
      </c>
      <c r="AQ8" s="25">
        <v>999</v>
      </c>
      <c r="AR8" s="25">
        <v>211</v>
      </c>
      <c r="AS8" s="25">
        <v>157824</v>
      </c>
      <c r="AT8" s="25">
        <v>3181</v>
      </c>
      <c r="AU8" s="25">
        <v>120304</v>
      </c>
      <c r="AV8" s="25">
        <v>2796</v>
      </c>
      <c r="AW8" s="25">
        <v>115003</v>
      </c>
      <c r="AX8" s="25">
        <v>2724</v>
      </c>
      <c r="AY8" s="25">
        <v>5301</v>
      </c>
      <c r="AZ8" s="25">
        <v>533</v>
      </c>
      <c r="BA8" s="25">
        <v>10874</v>
      </c>
      <c r="BB8" s="25">
        <v>720</v>
      </c>
      <c r="BC8" s="25">
        <v>8382</v>
      </c>
      <c r="BD8" s="25">
        <v>575</v>
      </c>
      <c r="BE8" s="25">
        <v>7940</v>
      </c>
      <c r="BF8" s="25">
        <v>597</v>
      </c>
      <c r="BG8" s="25">
        <v>4996</v>
      </c>
      <c r="BH8" s="25">
        <v>543</v>
      </c>
      <c r="BI8" s="25">
        <v>5001</v>
      </c>
      <c r="BJ8" s="25">
        <v>490</v>
      </c>
      <c r="BK8" s="25">
        <v>327</v>
      </c>
      <c r="BL8" s="25">
        <v>143</v>
      </c>
      <c r="BM8" s="25">
        <v>34885</v>
      </c>
      <c r="BN8" s="25">
        <v>1420</v>
      </c>
      <c r="BO8" s="25">
        <v>21981</v>
      </c>
      <c r="BP8" s="25">
        <v>1133</v>
      </c>
      <c r="BQ8" s="25">
        <v>21648</v>
      </c>
      <c r="BR8" s="25">
        <v>1138</v>
      </c>
      <c r="BS8" s="25">
        <v>333</v>
      </c>
      <c r="BT8" s="25">
        <v>110</v>
      </c>
      <c r="BU8" s="25">
        <v>4884</v>
      </c>
      <c r="BV8" s="25">
        <v>492</v>
      </c>
      <c r="BW8" s="25">
        <v>1861</v>
      </c>
      <c r="BX8" s="25">
        <v>282</v>
      </c>
      <c r="BY8" s="25">
        <v>4495</v>
      </c>
      <c r="BZ8" s="25">
        <v>491</v>
      </c>
      <c r="CA8" s="25">
        <v>1141</v>
      </c>
      <c r="CB8" s="25">
        <v>292</v>
      </c>
      <c r="CC8" s="25">
        <v>505</v>
      </c>
      <c r="CD8" s="25">
        <v>146</v>
      </c>
      <c r="CE8" s="25">
        <v>18</v>
      </c>
      <c r="CF8" s="25">
        <v>29</v>
      </c>
      <c r="CG8" s="25">
        <v>35391</v>
      </c>
      <c r="CH8" s="25">
        <v>1513</v>
      </c>
      <c r="CI8" s="25">
        <v>23092</v>
      </c>
      <c r="CJ8" s="25">
        <v>1176</v>
      </c>
      <c r="CK8" s="25">
        <v>22016</v>
      </c>
      <c r="CL8" s="25">
        <v>1170</v>
      </c>
      <c r="CM8" s="25">
        <v>1076</v>
      </c>
      <c r="CN8" s="25">
        <v>190</v>
      </c>
      <c r="CO8" s="25">
        <v>4686</v>
      </c>
      <c r="CP8" s="25">
        <v>647</v>
      </c>
      <c r="CQ8" s="25">
        <v>2093</v>
      </c>
      <c r="CR8" s="25">
        <v>325</v>
      </c>
      <c r="CS8" s="25">
        <v>2930</v>
      </c>
      <c r="CT8" s="25">
        <v>370</v>
      </c>
      <c r="CU8" s="25">
        <v>546</v>
      </c>
      <c r="CV8" s="25">
        <v>157</v>
      </c>
      <c r="CW8" s="25">
        <v>1986</v>
      </c>
      <c r="CX8" s="25">
        <v>319</v>
      </c>
      <c r="CY8" s="25">
        <v>58</v>
      </c>
      <c r="CZ8" s="25">
        <v>40</v>
      </c>
      <c r="DA8" s="25">
        <v>25438</v>
      </c>
      <c r="DB8" s="25">
        <v>1094</v>
      </c>
      <c r="DC8" s="25">
        <v>18401</v>
      </c>
      <c r="DD8" s="25">
        <v>943</v>
      </c>
      <c r="DE8" s="25">
        <v>17540</v>
      </c>
      <c r="DF8" s="25">
        <v>938</v>
      </c>
      <c r="DG8" s="25">
        <v>861</v>
      </c>
      <c r="DH8" s="25">
        <v>203</v>
      </c>
      <c r="DI8" s="25">
        <v>2258</v>
      </c>
      <c r="DJ8" s="25">
        <v>245</v>
      </c>
      <c r="DK8" s="25">
        <v>1143</v>
      </c>
      <c r="DL8" s="25">
        <v>249</v>
      </c>
      <c r="DM8" s="25">
        <v>1653</v>
      </c>
      <c r="DN8" s="25">
        <v>256</v>
      </c>
      <c r="DO8" s="25">
        <v>659</v>
      </c>
      <c r="DP8" s="25">
        <v>182</v>
      </c>
      <c r="DQ8" s="25">
        <v>1251</v>
      </c>
      <c r="DR8" s="25">
        <v>261</v>
      </c>
      <c r="DS8" s="25">
        <v>73</v>
      </c>
      <c r="DT8" s="25">
        <v>53</v>
      </c>
      <c r="DU8" s="25">
        <v>80410</v>
      </c>
      <c r="DV8" s="25">
        <v>1939</v>
      </c>
      <c r="DW8" s="25">
        <v>49815</v>
      </c>
      <c r="DX8" s="25">
        <v>1418</v>
      </c>
      <c r="DY8" s="25">
        <v>35847</v>
      </c>
      <c r="DZ8" s="25">
        <v>1192</v>
      </c>
      <c r="EA8" s="25">
        <v>13968</v>
      </c>
      <c r="EB8" s="25">
        <v>884</v>
      </c>
      <c r="EC8" s="25">
        <v>3233</v>
      </c>
      <c r="ED8" s="25">
        <v>384</v>
      </c>
      <c r="EE8" s="25">
        <v>1145</v>
      </c>
      <c r="EF8" s="25">
        <v>179</v>
      </c>
      <c r="EG8" s="25">
        <v>1753</v>
      </c>
      <c r="EH8" s="25">
        <v>251</v>
      </c>
      <c r="EI8" s="25">
        <v>1208</v>
      </c>
      <c r="EJ8" s="25">
        <v>288</v>
      </c>
      <c r="EK8" s="25">
        <v>22579</v>
      </c>
      <c r="EL8" s="25">
        <v>1022</v>
      </c>
      <c r="EM8" s="25">
        <v>677</v>
      </c>
      <c r="EN8" s="25">
        <v>161</v>
      </c>
    </row>
    <row r="9" spans="1:144" x14ac:dyDescent="0.25">
      <c r="A9" s="19">
        <f t="shared" si="8"/>
        <v>1</v>
      </c>
      <c r="B9" s="20" t="str">
        <f t="shared" si="9"/>
        <v>Beaver</v>
      </c>
      <c r="C9" s="24" t="s">
        <v>288</v>
      </c>
      <c r="D9" s="24" t="s">
        <v>289</v>
      </c>
      <c r="E9" s="25">
        <v>2615</v>
      </c>
      <c r="F9" s="25">
        <v>166</v>
      </c>
      <c r="G9" s="25">
        <v>2002</v>
      </c>
      <c r="H9" s="25">
        <v>184</v>
      </c>
      <c r="I9" s="25">
        <v>1867</v>
      </c>
      <c r="J9" s="25">
        <v>191</v>
      </c>
      <c r="K9" s="25">
        <v>135</v>
      </c>
      <c r="L9" s="25">
        <v>69</v>
      </c>
      <c r="M9" s="25">
        <v>44</v>
      </c>
      <c r="N9" s="25">
        <v>28</v>
      </c>
      <c r="O9" s="25">
        <v>249</v>
      </c>
      <c r="P9" s="25">
        <v>85</v>
      </c>
      <c r="Q9" s="25">
        <v>169</v>
      </c>
      <c r="R9" s="25">
        <v>82</v>
      </c>
      <c r="S9" s="25">
        <v>0</v>
      </c>
      <c r="T9" s="25">
        <v>16</v>
      </c>
      <c r="U9" s="25">
        <v>137</v>
      </c>
      <c r="V9" s="25">
        <v>52</v>
      </c>
      <c r="W9" s="25">
        <v>14</v>
      </c>
      <c r="X9" s="25">
        <v>19</v>
      </c>
      <c r="Y9" s="25">
        <v>2097</v>
      </c>
      <c r="Z9" s="25">
        <v>181</v>
      </c>
      <c r="AA9" s="25">
        <v>1605</v>
      </c>
      <c r="AB9" s="25">
        <v>178</v>
      </c>
      <c r="AC9" s="25">
        <v>1508</v>
      </c>
      <c r="AD9" s="25">
        <v>179</v>
      </c>
      <c r="AE9" s="25">
        <v>97</v>
      </c>
      <c r="AF9" s="25">
        <v>53</v>
      </c>
      <c r="AG9" s="25">
        <v>44</v>
      </c>
      <c r="AH9" s="25">
        <v>28</v>
      </c>
      <c r="AI9" s="25">
        <v>202</v>
      </c>
      <c r="AJ9" s="25">
        <v>75</v>
      </c>
      <c r="AK9" s="25">
        <v>155</v>
      </c>
      <c r="AL9" s="25">
        <v>81</v>
      </c>
      <c r="AM9" s="25">
        <v>0</v>
      </c>
      <c r="AN9" s="25">
        <v>16</v>
      </c>
      <c r="AO9" s="25">
        <v>77</v>
      </c>
      <c r="AP9" s="25">
        <v>39</v>
      </c>
      <c r="AQ9" s="25">
        <v>14</v>
      </c>
      <c r="AR9" s="25">
        <v>19</v>
      </c>
      <c r="AS9" s="25">
        <v>327</v>
      </c>
      <c r="AT9" s="25">
        <v>100</v>
      </c>
      <c r="AU9" s="25">
        <v>283</v>
      </c>
      <c r="AV9" s="25">
        <v>90</v>
      </c>
      <c r="AW9" s="25">
        <v>264</v>
      </c>
      <c r="AX9" s="25">
        <v>96</v>
      </c>
      <c r="AY9" s="25">
        <v>19</v>
      </c>
      <c r="AZ9" s="25">
        <v>25</v>
      </c>
      <c r="BA9" s="25">
        <v>0</v>
      </c>
      <c r="BB9" s="25">
        <v>16</v>
      </c>
      <c r="BC9" s="25">
        <v>14</v>
      </c>
      <c r="BD9" s="25">
        <v>19</v>
      </c>
      <c r="BE9" s="25">
        <v>14</v>
      </c>
      <c r="BF9" s="25">
        <v>12</v>
      </c>
      <c r="BG9" s="25">
        <v>0</v>
      </c>
      <c r="BH9" s="25">
        <v>16</v>
      </c>
      <c r="BI9" s="25">
        <v>16</v>
      </c>
      <c r="BJ9" s="25">
        <v>18</v>
      </c>
      <c r="BK9" s="25">
        <v>0</v>
      </c>
      <c r="BL9" s="25">
        <v>16</v>
      </c>
      <c r="BM9" s="25">
        <v>6</v>
      </c>
      <c r="BN9" s="25">
        <v>10</v>
      </c>
      <c r="BO9" s="25">
        <v>6</v>
      </c>
      <c r="BP9" s="25">
        <v>10</v>
      </c>
      <c r="BQ9" s="25">
        <v>6</v>
      </c>
      <c r="BR9" s="25">
        <v>10</v>
      </c>
      <c r="BS9" s="25">
        <v>0</v>
      </c>
      <c r="BT9" s="25">
        <v>16</v>
      </c>
      <c r="BU9" s="25">
        <v>0</v>
      </c>
      <c r="BV9" s="25">
        <v>16</v>
      </c>
      <c r="BW9" s="25">
        <v>0</v>
      </c>
      <c r="BX9" s="25">
        <v>16</v>
      </c>
      <c r="BY9" s="25">
        <v>0</v>
      </c>
      <c r="BZ9" s="25">
        <v>16</v>
      </c>
      <c r="CA9" s="25">
        <v>0</v>
      </c>
      <c r="CB9" s="25">
        <v>16</v>
      </c>
      <c r="CC9" s="25">
        <v>0</v>
      </c>
      <c r="CD9" s="25">
        <v>16</v>
      </c>
      <c r="CE9" s="25">
        <v>0</v>
      </c>
      <c r="CF9" s="25">
        <v>16</v>
      </c>
      <c r="CG9" s="25">
        <v>69</v>
      </c>
      <c r="CH9" s="25">
        <v>40</v>
      </c>
      <c r="CI9" s="25">
        <v>29</v>
      </c>
      <c r="CJ9" s="25">
        <v>29</v>
      </c>
      <c r="CK9" s="25">
        <v>25</v>
      </c>
      <c r="CL9" s="25">
        <v>26</v>
      </c>
      <c r="CM9" s="25">
        <v>4</v>
      </c>
      <c r="CN9" s="25">
        <v>7</v>
      </c>
      <c r="CO9" s="25">
        <v>0</v>
      </c>
      <c r="CP9" s="25">
        <v>16</v>
      </c>
      <c r="CQ9" s="25">
        <v>33</v>
      </c>
      <c r="CR9" s="25">
        <v>33</v>
      </c>
      <c r="CS9" s="25">
        <v>0</v>
      </c>
      <c r="CT9" s="25">
        <v>16</v>
      </c>
      <c r="CU9" s="25">
        <v>0</v>
      </c>
      <c r="CV9" s="25">
        <v>16</v>
      </c>
      <c r="CW9" s="25">
        <v>7</v>
      </c>
      <c r="CX9" s="25">
        <v>10</v>
      </c>
      <c r="CY9" s="25">
        <v>0</v>
      </c>
      <c r="CZ9" s="25">
        <v>16</v>
      </c>
      <c r="DA9" s="25">
        <v>27</v>
      </c>
      <c r="DB9" s="25">
        <v>31</v>
      </c>
      <c r="DC9" s="25">
        <v>25</v>
      </c>
      <c r="DD9" s="25">
        <v>30</v>
      </c>
      <c r="DE9" s="25">
        <v>25</v>
      </c>
      <c r="DF9" s="25">
        <v>30</v>
      </c>
      <c r="DG9" s="25">
        <v>0</v>
      </c>
      <c r="DH9" s="25">
        <v>16</v>
      </c>
      <c r="DI9" s="25">
        <v>0</v>
      </c>
      <c r="DJ9" s="25">
        <v>16</v>
      </c>
      <c r="DK9" s="25">
        <v>0</v>
      </c>
      <c r="DL9" s="25">
        <v>16</v>
      </c>
      <c r="DM9" s="25">
        <v>0</v>
      </c>
      <c r="DN9" s="25">
        <v>16</v>
      </c>
      <c r="DO9" s="25">
        <v>0</v>
      </c>
      <c r="DP9" s="25">
        <v>16</v>
      </c>
      <c r="DQ9" s="25">
        <v>2</v>
      </c>
      <c r="DR9" s="25">
        <v>3</v>
      </c>
      <c r="DS9" s="25">
        <v>0</v>
      </c>
      <c r="DT9" s="25">
        <v>16</v>
      </c>
      <c r="DU9" s="25">
        <v>89</v>
      </c>
      <c r="DV9" s="25">
        <v>64</v>
      </c>
      <c r="DW9" s="25">
        <v>54</v>
      </c>
      <c r="DX9" s="25">
        <v>52</v>
      </c>
      <c r="DY9" s="25">
        <v>39</v>
      </c>
      <c r="DZ9" s="25">
        <v>48</v>
      </c>
      <c r="EA9" s="25">
        <v>15</v>
      </c>
      <c r="EB9" s="25">
        <v>13</v>
      </c>
      <c r="EC9" s="25">
        <v>0</v>
      </c>
      <c r="ED9" s="25">
        <v>16</v>
      </c>
      <c r="EE9" s="25">
        <v>0</v>
      </c>
      <c r="EF9" s="25">
        <v>16</v>
      </c>
      <c r="EG9" s="25">
        <v>0</v>
      </c>
      <c r="EH9" s="25">
        <v>16</v>
      </c>
      <c r="EI9" s="25">
        <v>0</v>
      </c>
      <c r="EJ9" s="25">
        <v>16</v>
      </c>
      <c r="EK9" s="25">
        <v>35</v>
      </c>
      <c r="EL9" s="25">
        <v>34</v>
      </c>
      <c r="EM9" s="25">
        <v>0</v>
      </c>
      <c r="EN9" s="25">
        <v>16</v>
      </c>
    </row>
    <row r="10" spans="1:144" x14ac:dyDescent="0.25">
      <c r="A10" s="19">
        <f t="shared" si="8"/>
        <v>3</v>
      </c>
      <c r="B10" s="20" t="str">
        <f t="shared" si="9"/>
        <v>Box Elder</v>
      </c>
      <c r="C10" s="24" t="s">
        <v>290</v>
      </c>
      <c r="D10" s="24" t="s">
        <v>291</v>
      </c>
      <c r="E10" s="25">
        <v>22071</v>
      </c>
      <c r="F10" s="25">
        <v>434</v>
      </c>
      <c r="G10" s="25">
        <v>16612</v>
      </c>
      <c r="H10" s="25">
        <v>539</v>
      </c>
      <c r="I10" s="25">
        <v>15898</v>
      </c>
      <c r="J10" s="25">
        <v>552</v>
      </c>
      <c r="K10" s="25">
        <v>714</v>
      </c>
      <c r="L10" s="25">
        <v>131</v>
      </c>
      <c r="M10" s="25">
        <v>948</v>
      </c>
      <c r="N10" s="25">
        <v>165</v>
      </c>
      <c r="O10" s="25">
        <v>1358</v>
      </c>
      <c r="P10" s="25">
        <v>164</v>
      </c>
      <c r="Q10" s="25">
        <v>987</v>
      </c>
      <c r="R10" s="25">
        <v>150</v>
      </c>
      <c r="S10" s="25">
        <v>1020</v>
      </c>
      <c r="T10" s="25">
        <v>190</v>
      </c>
      <c r="U10" s="25">
        <v>1109</v>
      </c>
      <c r="V10" s="25">
        <v>199</v>
      </c>
      <c r="W10" s="25">
        <v>37</v>
      </c>
      <c r="X10" s="25">
        <v>24</v>
      </c>
      <c r="Y10" s="25">
        <v>17154</v>
      </c>
      <c r="Z10" s="25">
        <v>467</v>
      </c>
      <c r="AA10" s="25">
        <v>13206</v>
      </c>
      <c r="AB10" s="25">
        <v>510</v>
      </c>
      <c r="AC10" s="25">
        <v>12746</v>
      </c>
      <c r="AD10" s="25">
        <v>526</v>
      </c>
      <c r="AE10" s="25">
        <v>460</v>
      </c>
      <c r="AF10" s="25">
        <v>98</v>
      </c>
      <c r="AG10" s="25">
        <v>710</v>
      </c>
      <c r="AH10" s="25">
        <v>139</v>
      </c>
      <c r="AI10" s="25">
        <v>1125</v>
      </c>
      <c r="AJ10" s="25">
        <v>161</v>
      </c>
      <c r="AK10" s="25">
        <v>811</v>
      </c>
      <c r="AL10" s="25">
        <v>148</v>
      </c>
      <c r="AM10" s="25">
        <v>720</v>
      </c>
      <c r="AN10" s="25">
        <v>164</v>
      </c>
      <c r="AO10" s="25">
        <v>561</v>
      </c>
      <c r="AP10" s="25">
        <v>145</v>
      </c>
      <c r="AQ10" s="25">
        <v>21</v>
      </c>
      <c r="AR10" s="25">
        <v>20</v>
      </c>
      <c r="AS10" s="25">
        <v>3257</v>
      </c>
      <c r="AT10" s="25">
        <v>295</v>
      </c>
      <c r="AU10" s="25">
        <v>2424</v>
      </c>
      <c r="AV10" s="25">
        <v>268</v>
      </c>
      <c r="AW10" s="25">
        <v>2337</v>
      </c>
      <c r="AX10" s="25">
        <v>269</v>
      </c>
      <c r="AY10" s="25">
        <v>87</v>
      </c>
      <c r="AZ10" s="25">
        <v>41</v>
      </c>
      <c r="BA10" s="25">
        <v>206</v>
      </c>
      <c r="BB10" s="25">
        <v>81</v>
      </c>
      <c r="BC10" s="25">
        <v>163</v>
      </c>
      <c r="BD10" s="25">
        <v>68</v>
      </c>
      <c r="BE10" s="25">
        <v>111</v>
      </c>
      <c r="BF10" s="25">
        <v>43</v>
      </c>
      <c r="BG10" s="25">
        <v>231</v>
      </c>
      <c r="BH10" s="25">
        <v>88</v>
      </c>
      <c r="BI10" s="25">
        <v>122</v>
      </c>
      <c r="BJ10" s="25">
        <v>61</v>
      </c>
      <c r="BK10" s="25">
        <v>0</v>
      </c>
      <c r="BL10" s="25">
        <v>27</v>
      </c>
      <c r="BM10" s="25">
        <v>158</v>
      </c>
      <c r="BN10" s="25">
        <v>72</v>
      </c>
      <c r="BO10" s="25">
        <v>96</v>
      </c>
      <c r="BP10" s="25">
        <v>67</v>
      </c>
      <c r="BQ10" s="25">
        <v>96</v>
      </c>
      <c r="BR10" s="25">
        <v>67</v>
      </c>
      <c r="BS10" s="25">
        <v>0</v>
      </c>
      <c r="BT10" s="25">
        <v>27</v>
      </c>
      <c r="BU10" s="25">
        <v>9</v>
      </c>
      <c r="BV10" s="25">
        <v>9</v>
      </c>
      <c r="BW10" s="25">
        <v>19</v>
      </c>
      <c r="BX10" s="25">
        <v>18</v>
      </c>
      <c r="BY10" s="25">
        <v>19</v>
      </c>
      <c r="BZ10" s="25">
        <v>19</v>
      </c>
      <c r="CA10" s="25">
        <v>15</v>
      </c>
      <c r="CB10" s="25">
        <v>12</v>
      </c>
      <c r="CC10" s="25">
        <v>0</v>
      </c>
      <c r="CD10" s="25">
        <v>27</v>
      </c>
      <c r="CE10" s="25">
        <v>0</v>
      </c>
      <c r="CF10" s="25">
        <v>27</v>
      </c>
      <c r="CG10" s="25">
        <v>337</v>
      </c>
      <c r="CH10" s="25">
        <v>104</v>
      </c>
      <c r="CI10" s="25">
        <v>253</v>
      </c>
      <c r="CJ10" s="25">
        <v>97</v>
      </c>
      <c r="CK10" s="25">
        <v>220</v>
      </c>
      <c r="CL10" s="25">
        <v>97</v>
      </c>
      <c r="CM10" s="25">
        <v>33</v>
      </c>
      <c r="CN10" s="25">
        <v>27</v>
      </c>
      <c r="CO10" s="25">
        <v>0</v>
      </c>
      <c r="CP10" s="25">
        <v>27</v>
      </c>
      <c r="CQ10" s="25">
        <v>33</v>
      </c>
      <c r="CR10" s="25">
        <v>25</v>
      </c>
      <c r="CS10" s="25">
        <v>2</v>
      </c>
      <c r="CT10" s="25">
        <v>4</v>
      </c>
      <c r="CU10" s="25">
        <v>0</v>
      </c>
      <c r="CV10" s="25">
        <v>27</v>
      </c>
      <c r="CW10" s="25">
        <v>49</v>
      </c>
      <c r="CX10" s="25">
        <v>31</v>
      </c>
      <c r="CY10" s="25">
        <v>0</v>
      </c>
      <c r="CZ10" s="25">
        <v>27</v>
      </c>
      <c r="DA10" s="25">
        <v>282</v>
      </c>
      <c r="DB10" s="25">
        <v>88</v>
      </c>
      <c r="DC10" s="25">
        <v>186</v>
      </c>
      <c r="DD10" s="25">
        <v>73</v>
      </c>
      <c r="DE10" s="25">
        <v>183</v>
      </c>
      <c r="DF10" s="25">
        <v>73</v>
      </c>
      <c r="DG10" s="25">
        <v>3</v>
      </c>
      <c r="DH10" s="25">
        <v>5</v>
      </c>
      <c r="DI10" s="25">
        <v>2</v>
      </c>
      <c r="DJ10" s="25">
        <v>5</v>
      </c>
      <c r="DK10" s="25">
        <v>18</v>
      </c>
      <c r="DL10" s="25">
        <v>15</v>
      </c>
      <c r="DM10" s="25">
        <v>32</v>
      </c>
      <c r="DN10" s="25">
        <v>24</v>
      </c>
      <c r="DO10" s="25">
        <v>14</v>
      </c>
      <c r="DP10" s="25">
        <v>16</v>
      </c>
      <c r="DQ10" s="25">
        <v>23</v>
      </c>
      <c r="DR10" s="25">
        <v>26</v>
      </c>
      <c r="DS10" s="25">
        <v>7</v>
      </c>
      <c r="DT10" s="25">
        <v>10</v>
      </c>
      <c r="DU10" s="25">
        <v>883</v>
      </c>
      <c r="DV10" s="25">
        <v>156</v>
      </c>
      <c r="DW10" s="25">
        <v>447</v>
      </c>
      <c r="DX10" s="25">
        <v>124</v>
      </c>
      <c r="DY10" s="25">
        <v>316</v>
      </c>
      <c r="DZ10" s="25">
        <v>112</v>
      </c>
      <c r="EA10" s="25">
        <v>131</v>
      </c>
      <c r="EB10" s="25">
        <v>51</v>
      </c>
      <c r="EC10" s="25">
        <v>21</v>
      </c>
      <c r="ED10" s="25">
        <v>14</v>
      </c>
      <c r="EE10" s="25">
        <v>0</v>
      </c>
      <c r="EF10" s="25">
        <v>27</v>
      </c>
      <c r="EG10" s="25">
        <v>12</v>
      </c>
      <c r="EH10" s="25">
        <v>13</v>
      </c>
      <c r="EI10" s="25">
        <v>40</v>
      </c>
      <c r="EJ10" s="25">
        <v>30</v>
      </c>
      <c r="EK10" s="25">
        <v>354</v>
      </c>
      <c r="EL10" s="25">
        <v>97</v>
      </c>
      <c r="EM10" s="25">
        <v>9</v>
      </c>
      <c r="EN10" s="25">
        <v>9</v>
      </c>
    </row>
    <row r="11" spans="1:144" x14ac:dyDescent="0.25">
      <c r="A11" s="19">
        <f t="shared" si="8"/>
        <v>5</v>
      </c>
      <c r="B11" s="20" t="str">
        <f t="shared" si="9"/>
        <v>Cache</v>
      </c>
      <c r="C11" s="24" t="s">
        <v>292</v>
      </c>
      <c r="D11" s="24" t="s">
        <v>293</v>
      </c>
      <c r="E11" s="25">
        <v>56199</v>
      </c>
      <c r="F11" s="25">
        <v>931</v>
      </c>
      <c r="G11" s="25">
        <v>39828</v>
      </c>
      <c r="H11" s="25">
        <v>944</v>
      </c>
      <c r="I11" s="25">
        <v>37101</v>
      </c>
      <c r="J11" s="25">
        <v>954</v>
      </c>
      <c r="K11" s="25">
        <v>2727</v>
      </c>
      <c r="L11" s="25">
        <v>285</v>
      </c>
      <c r="M11" s="25">
        <v>3690</v>
      </c>
      <c r="N11" s="25">
        <v>290</v>
      </c>
      <c r="O11" s="25">
        <v>3602</v>
      </c>
      <c r="P11" s="25">
        <v>360</v>
      </c>
      <c r="Q11" s="25">
        <v>5643</v>
      </c>
      <c r="R11" s="25">
        <v>454</v>
      </c>
      <c r="S11" s="25">
        <v>880</v>
      </c>
      <c r="T11" s="25">
        <v>158</v>
      </c>
      <c r="U11" s="25">
        <v>2478</v>
      </c>
      <c r="V11" s="25">
        <v>301</v>
      </c>
      <c r="W11" s="25">
        <v>78</v>
      </c>
      <c r="X11" s="25">
        <v>55</v>
      </c>
      <c r="Y11" s="25">
        <v>41858</v>
      </c>
      <c r="Z11" s="25">
        <v>1008</v>
      </c>
      <c r="AA11" s="25">
        <v>30395</v>
      </c>
      <c r="AB11" s="25">
        <v>973</v>
      </c>
      <c r="AC11" s="25">
        <v>28778</v>
      </c>
      <c r="AD11" s="25">
        <v>969</v>
      </c>
      <c r="AE11" s="25">
        <v>1617</v>
      </c>
      <c r="AF11" s="25">
        <v>215</v>
      </c>
      <c r="AG11" s="25">
        <v>2777</v>
      </c>
      <c r="AH11" s="25">
        <v>267</v>
      </c>
      <c r="AI11" s="25">
        <v>2933</v>
      </c>
      <c r="AJ11" s="25">
        <v>326</v>
      </c>
      <c r="AK11" s="25">
        <v>3704</v>
      </c>
      <c r="AL11" s="25">
        <v>343</v>
      </c>
      <c r="AM11" s="25">
        <v>649</v>
      </c>
      <c r="AN11" s="25">
        <v>141</v>
      </c>
      <c r="AO11" s="25">
        <v>1354</v>
      </c>
      <c r="AP11" s="25">
        <v>222</v>
      </c>
      <c r="AQ11" s="25">
        <v>46</v>
      </c>
      <c r="AR11" s="25">
        <v>42</v>
      </c>
      <c r="AS11" s="25">
        <v>6481</v>
      </c>
      <c r="AT11" s="25">
        <v>501</v>
      </c>
      <c r="AU11" s="25">
        <v>4989</v>
      </c>
      <c r="AV11" s="25">
        <v>445</v>
      </c>
      <c r="AW11" s="25">
        <v>4739</v>
      </c>
      <c r="AX11" s="25">
        <v>426</v>
      </c>
      <c r="AY11" s="25">
        <v>250</v>
      </c>
      <c r="AZ11" s="25">
        <v>78</v>
      </c>
      <c r="BA11" s="25">
        <v>234</v>
      </c>
      <c r="BB11" s="25">
        <v>77</v>
      </c>
      <c r="BC11" s="25">
        <v>368</v>
      </c>
      <c r="BD11" s="25">
        <v>109</v>
      </c>
      <c r="BE11" s="25">
        <v>556</v>
      </c>
      <c r="BF11" s="25">
        <v>155</v>
      </c>
      <c r="BG11" s="25">
        <v>125</v>
      </c>
      <c r="BH11" s="25">
        <v>71</v>
      </c>
      <c r="BI11" s="25">
        <v>196</v>
      </c>
      <c r="BJ11" s="25">
        <v>87</v>
      </c>
      <c r="BK11" s="25">
        <v>13</v>
      </c>
      <c r="BL11" s="25">
        <v>20</v>
      </c>
      <c r="BM11" s="25">
        <v>1189</v>
      </c>
      <c r="BN11" s="25">
        <v>270</v>
      </c>
      <c r="BO11" s="25">
        <v>733</v>
      </c>
      <c r="BP11" s="25">
        <v>215</v>
      </c>
      <c r="BQ11" s="25">
        <v>721</v>
      </c>
      <c r="BR11" s="25">
        <v>212</v>
      </c>
      <c r="BS11" s="25">
        <v>12</v>
      </c>
      <c r="BT11" s="25">
        <v>19</v>
      </c>
      <c r="BU11" s="25">
        <v>109</v>
      </c>
      <c r="BV11" s="25">
        <v>45</v>
      </c>
      <c r="BW11" s="25">
        <v>47</v>
      </c>
      <c r="BX11" s="25">
        <v>35</v>
      </c>
      <c r="BY11" s="25">
        <v>275</v>
      </c>
      <c r="BZ11" s="25">
        <v>136</v>
      </c>
      <c r="CA11" s="25">
        <v>0</v>
      </c>
      <c r="CB11" s="25">
        <v>27</v>
      </c>
      <c r="CC11" s="25">
        <v>25</v>
      </c>
      <c r="CD11" s="25">
        <v>22</v>
      </c>
      <c r="CE11" s="25">
        <v>0</v>
      </c>
      <c r="CF11" s="25">
        <v>27</v>
      </c>
      <c r="CG11" s="25">
        <v>2250</v>
      </c>
      <c r="CH11" s="25">
        <v>290</v>
      </c>
      <c r="CI11" s="25">
        <v>995</v>
      </c>
      <c r="CJ11" s="25">
        <v>169</v>
      </c>
      <c r="CK11" s="25">
        <v>848</v>
      </c>
      <c r="CL11" s="25">
        <v>167</v>
      </c>
      <c r="CM11" s="25">
        <v>147</v>
      </c>
      <c r="CN11" s="25">
        <v>70</v>
      </c>
      <c r="CO11" s="25">
        <v>268</v>
      </c>
      <c r="CP11" s="25">
        <v>100</v>
      </c>
      <c r="CQ11" s="25">
        <v>164</v>
      </c>
      <c r="CR11" s="25">
        <v>74</v>
      </c>
      <c r="CS11" s="25">
        <v>652</v>
      </c>
      <c r="CT11" s="25">
        <v>193</v>
      </c>
      <c r="CU11" s="25">
        <v>62</v>
      </c>
      <c r="CV11" s="25">
        <v>43</v>
      </c>
      <c r="CW11" s="25">
        <v>109</v>
      </c>
      <c r="CX11" s="25">
        <v>53</v>
      </c>
      <c r="CY11" s="25">
        <v>0</v>
      </c>
      <c r="CZ11" s="25">
        <v>27</v>
      </c>
      <c r="DA11" s="25">
        <v>1514</v>
      </c>
      <c r="DB11" s="25">
        <v>249</v>
      </c>
      <c r="DC11" s="25">
        <v>964</v>
      </c>
      <c r="DD11" s="25">
        <v>207</v>
      </c>
      <c r="DE11" s="25">
        <v>925</v>
      </c>
      <c r="DF11" s="25">
        <v>207</v>
      </c>
      <c r="DG11" s="25">
        <v>39</v>
      </c>
      <c r="DH11" s="25">
        <v>26</v>
      </c>
      <c r="DI11" s="25">
        <v>157</v>
      </c>
      <c r="DJ11" s="25">
        <v>77</v>
      </c>
      <c r="DK11" s="25">
        <v>41</v>
      </c>
      <c r="DL11" s="25">
        <v>26</v>
      </c>
      <c r="DM11" s="25">
        <v>318</v>
      </c>
      <c r="DN11" s="25">
        <v>105</v>
      </c>
      <c r="DO11" s="25">
        <v>15</v>
      </c>
      <c r="DP11" s="25">
        <v>18</v>
      </c>
      <c r="DQ11" s="25">
        <v>19</v>
      </c>
      <c r="DR11" s="25">
        <v>14</v>
      </c>
      <c r="DS11" s="25">
        <v>0</v>
      </c>
      <c r="DT11" s="25">
        <v>27</v>
      </c>
      <c r="DU11" s="25">
        <v>2907</v>
      </c>
      <c r="DV11" s="25">
        <v>315</v>
      </c>
      <c r="DW11" s="25">
        <v>1752</v>
      </c>
      <c r="DX11" s="25">
        <v>276</v>
      </c>
      <c r="DY11" s="25">
        <v>1090</v>
      </c>
      <c r="DZ11" s="25">
        <v>191</v>
      </c>
      <c r="EA11" s="25">
        <v>662</v>
      </c>
      <c r="EB11" s="25">
        <v>153</v>
      </c>
      <c r="EC11" s="25">
        <v>145</v>
      </c>
      <c r="ED11" s="25">
        <v>63</v>
      </c>
      <c r="EE11" s="25">
        <v>49</v>
      </c>
      <c r="EF11" s="25">
        <v>37</v>
      </c>
      <c r="EG11" s="25">
        <v>138</v>
      </c>
      <c r="EH11" s="25">
        <v>97</v>
      </c>
      <c r="EI11" s="25">
        <v>29</v>
      </c>
      <c r="EJ11" s="25">
        <v>24</v>
      </c>
      <c r="EK11" s="25">
        <v>775</v>
      </c>
      <c r="EL11" s="25">
        <v>123</v>
      </c>
      <c r="EM11" s="25">
        <v>19</v>
      </c>
      <c r="EN11" s="25">
        <v>21</v>
      </c>
    </row>
    <row r="12" spans="1:144" x14ac:dyDescent="0.25">
      <c r="A12" s="19">
        <f t="shared" si="8"/>
        <v>7</v>
      </c>
      <c r="B12" s="20" t="str">
        <f t="shared" si="9"/>
        <v>Carbon</v>
      </c>
      <c r="C12" s="24" t="s">
        <v>294</v>
      </c>
      <c r="D12" s="24" t="s">
        <v>295</v>
      </c>
      <c r="E12" s="25">
        <v>8660</v>
      </c>
      <c r="F12" s="25">
        <v>424</v>
      </c>
      <c r="G12" s="25">
        <v>5990</v>
      </c>
      <c r="H12" s="25">
        <v>359</v>
      </c>
      <c r="I12" s="25">
        <v>5764</v>
      </c>
      <c r="J12" s="25">
        <v>364</v>
      </c>
      <c r="K12" s="25">
        <v>226</v>
      </c>
      <c r="L12" s="25">
        <v>89</v>
      </c>
      <c r="M12" s="25">
        <v>356</v>
      </c>
      <c r="N12" s="25">
        <v>105</v>
      </c>
      <c r="O12" s="25">
        <v>963</v>
      </c>
      <c r="P12" s="25">
        <v>170</v>
      </c>
      <c r="Q12" s="25">
        <v>759</v>
      </c>
      <c r="R12" s="25">
        <v>134</v>
      </c>
      <c r="S12" s="25">
        <v>182</v>
      </c>
      <c r="T12" s="25">
        <v>74</v>
      </c>
      <c r="U12" s="25">
        <v>377</v>
      </c>
      <c r="V12" s="25">
        <v>87</v>
      </c>
      <c r="W12" s="25">
        <v>33</v>
      </c>
      <c r="X12" s="25">
        <v>25</v>
      </c>
      <c r="Y12" s="25">
        <v>7002</v>
      </c>
      <c r="Z12" s="25">
        <v>438</v>
      </c>
      <c r="AA12" s="25">
        <v>4865</v>
      </c>
      <c r="AB12" s="25">
        <v>366</v>
      </c>
      <c r="AC12" s="25">
        <v>4704</v>
      </c>
      <c r="AD12" s="25">
        <v>364</v>
      </c>
      <c r="AE12" s="25">
        <v>161</v>
      </c>
      <c r="AF12" s="25">
        <v>77</v>
      </c>
      <c r="AG12" s="25">
        <v>279</v>
      </c>
      <c r="AH12" s="25">
        <v>97</v>
      </c>
      <c r="AI12" s="25">
        <v>877</v>
      </c>
      <c r="AJ12" s="25">
        <v>163</v>
      </c>
      <c r="AK12" s="25">
        <v>618</v>
      </c>
      <c r="AL12" s="25">
        <v>118</v>
      </c>
      <c r="AM12" s="25">
        <v>124</v>
      </c>
      <c r="AN12" s="25">
        <v>66</v>
      </c>
      <c r="AO12" s="25">
        <v>228</v>
      </c>
      <c r="AP12" s="25">
        <v>78</v>
      </c>
      <c r="AQ12" s="25">
        <v>11</v>
      </c>
      <c r="AR12" s="25">
        <v>18</v>
      </c>
      <c r="AS12" s="25">
        <v>964</v>
      </c>
      <c r="AT12" s="25">
        <v>184</v>
      </c>
      <c r="AU12" s="25">
        <v>712</v>
      </c>
      <c r="AV12" s="25">
        <v>155</v>
      </c>
      <c r="AW12" s="25">
        <v>703</v>
      </c>
      <c r="AX12" s="25">
        <v>153</v>
      </c>
      <c r="AY12" s="25">
        <v>9</v>
      </c>
      <c r="AZ12" s="25">
        <v>12</v>
      </c>
      <c r="BA12" s="25">
        <v>66</v>
      </c>
      <c r="BB12" s="25">
        <v>64</v>
      </c>
      <c r="BC12" s="25">
        <v>24</v>
      </c>
      <c r="BD12" s="25">
        <v>23</v>
      </c>
      <c r="BE12" s="25">
        <v>86</v>
      </c>
      <c r="BF12" s="25">
        <v>44</v>
      </c>
      <c r="BG12" s="25">
        <v>34</v>
      </c>
      <c r="BH12" s="25">
        <v>24</v>
      </c>
      <c r="BI12" s="25">
        <v>42</v>
      </c>
      <c r="BJ12" s="25">
        <v>29</v>
      </c>
      <c r="BK12" s="25">
        <v>0</v>
      </c>
      <c r="BL12" s="25">
        <v>21</v>
      </c>
      <c r="BM12" s="25">
        <v>46</v>
      </c>
      <c r="BN12" s="25">
        <v>40</v>
      </c>
      <c r="BO12" s="25">
        <v>24</v>
      </c>
      <c r="BP12" s="25">
        <v>30</v>
      </c>
      <c r="BQ12" s="25">
        <v>24</v>
      </c>
      <c r="BR12" s="25">
        <v>30</v>
      </c>
      <c r="BS12" s="25">
        <v>0</v>
      </c>
      <c r="BT12" s="25">
        <v>21</v>
      </c>
      <c r="BU12" s="25">
        <v>0</v>
      </c>
      <c r="BV12" s="25">
        <v>21</v>
      </c>
      <c r="BW12" s="25">
        <v>22</v>
      </c>
      <c r="BX12" s="25">
        <v>28</v>
      </c>
      <c r="BY12" s="25">
        <v>0</v>
      </c>
      <c r="BZ12" s="25">
        <v>21</v>
      </c>
      <c r="CA12" s="25">
        <v>0</v>
      </c>
      <c r="CB12" s="25">
        <v>21</v>
      </c>
      <c r="CC12" s="25">
        <v>0</v>
      </c>
      <c r="CD12" s="25">
        <v>21</v>
      </c>
      <c r="CE12" s="25">
        <v>0</v>
      </c>
      <c r="CF12" s="25">
        <v>21</v>
      </c>
      <c r="CG12" s="25">
        <v>295</v>
      </c>
      <c r="CH12" s="25">
        <v>96</v>
      </c>
      <c r="CI12" s="25">
        <v>193</v>
      </c>
      <c r="CJ12" s="25">
        <v>86</v>
      </c>
      <c r="CK12" s="25">
        <v>178</v>
      </c>
      <c r="CL12" s="25">
        <v>78</v>
      </c>
      <c r="CM12" s="25">
        <v>15</v>
      </c>
      <c r="CN12" s="25">
        <v>24</v>
      </c>
      <c r="CO12" s="25">
        <v>0</v>
      </c>
      <c r="CP12" s="25">
        <v>21</v>
      </c>
      <c r="CQ12" s="25">
        <v>7</v>
      </c>
      <c r="CR12" s="25">
        <v>8</v>
      </c>
      <c r="CS12" s="25">
        <v>48</v>
      </c>
      <c r="CT12" s="25">
        <v>36</v>
      </c>
      <c r="CU12" s="25">
        <v>15</v>
      </c>
      <c r="CV12" s="25">
        <v>18</v>
      </c>
      <c r="CW12" s="25">
        <v>23</v>
      </c>
      <c r="CX12" s="25">
        <v>23</v>
      </c>
      <c r="CY12" s="25">
        <v>9</v>
      </c>
      <c r="CZ12" s="25">
        <v>14</v>
      </c>
      <c r="DA12" s="25">
        <v>67</v>
      </c>
      <c r="DB12" s="25">
        <v>45</v>
      </c>
      <c r="DC12" s="25">
        <v>50</v>
      </c>
      <c r="DD12" s="25">
        <v>42</v>
      </c>
      <c r="DE12" s="25">
        <v>50</v>
      </c>
      <c r="DF12" s="25">
        <v>42</v>
      </c>
      <c r="DG12" s="25">
        <v>0</v>
      </c>
      <c r="DH12" s="25">
        <v>21</v>
      </c>
      <c r="DI12" s="25">
        <v>2</v>
      </c>
      <c r="DJ12" s="25">
        <v>4</v>
      </c>
      <c r="DK12" s="25">
        <v>1</v>
      </c>
      <c r="DL12" s="25">
        <v>4</v>
      </c>
      <c r="DM12" s="25">
        <v>7</v>
      </c>
      <c r="DN12" s="25">
        <v>9</v>
      </c>
      <c r="DO12" s="25">
        <v>0</v>
      </c>
      <c r="DP12" s="25">
        <v>21</v>
      </c>
      <c r="DQ12" s="25">
        <v>7</v>
      </c>
      <c r="DR12" s="25">
        <v>10</v>
      </c>
      <c r="DS12" s="25">
        <v>0</v>
      </c>
      <c r="DT12" s="25">
        <v>21</v>
      </c>
      <c r="DU12" s="25">
        <v>286</v>
      </c>
      <c r="DV12" s="25">
        <v>91</v>
      </c>
      <c r="DW12" s="25">
        <v>146</v>
      </c>
      <c r="DX12" s="25">
        <v>82</v>
      </c>
      <c r="DY12" s="25">
        <v>105</v>
      </c>
      <c r="DZ12" s="25">
        <v>70</v>
      </c>
      <c r="EA12" s="25">
        <v>41</v>
      </c>
      <c r="EB12" s="25">
        <v>37</v>
      </c>
      <c r="EC12" s="25">
        <v>9</v>
      </c>
      <c r="ED12" s="25">
        <v>15</v>
      </c>
      <c r="EE12" s="25">
        <v>32</v>
      </c>
      <c r="EF12" s="25">
        <v>28</v>
      </c>
      <c r="EG12" s="25">
        <v>0</v>
      </c>
      <c r="EH12" s="25">
        <v>21</v>
      </c>
      <c r="EI12" s="25">
        <v>9</v>
      </c>
      <c r="EJ12" s="25">
        <v>14</v>
      </c>
      <c r="EK12" s="25">
        <v>77</v>
      </c>
      <c r="EL12" s="25">
        <v>47</v>
      </c>
      <c r="EM12" s="25">
        <v>13</v>
      </c>
      <c r="EN12" s="25">
        <v>15</v>
      </c>
    </row>
    <row r="13" spans="1:144" x14ac:dyDescent="0.25">
      <c r="A13" s="19">
        <f t="shared" si="8"/>
        <v>9</v>
      </c>
      <c r="B13" s="20" t="str">
        <f t="shared" si="9"/>
        <v>Daggett</v>
      </c>
      <c r="C13" s="24" t="s">
        <v>296</v>
      </c>
      <c r="D13" s="24" t="s">
        <v>297</v>
      </c>
      <c r="E13" s="25">
        <v>283</v>
      </c>
      <c r="F13" s="25">
        <v>122</v>
      </c>
      <c r="G13" s="25">
        <v>212</v>
      </c>
      <c r="H13" s="25">
        <v>111</v>
      </c>
      <c r="I13" s="25">
        <v>198</v>
      </c>
      <c r="J13" s="25">
        <v>112</v>
      </c>
      <c r="K13" s="25">
        <v>14</v>
      </c>
      <c r="L13" s="25">
        <v>19</v>
      </c>
      <c r="M13" s="25">
        <v>0</v>
      </c>
      <c r="N13" s="25">
        <v>11</v>
      </c>
      <c r="O13" s="25">
        <v>36</v>
      </c>
      <c r="P13" s="25">
        <v>25</v>
      </c>
      <c r="Q13" s="25">
        <v>5</v>
      </c>
      <c r="R13" s="25">
        <v>7</v>
      </c>
      <c r="S13" s="25">
        <v>17</v>
      </c>
      <c r="T13" s="25">
        <v>12</v>
      </c>
      <c r="U13" s="25">
        <v>13</v>
      </c>
      <c r="V13" s="25">
        <v>10</v>
      </c>
      <c r="W13" s="25">
        <v>0</v>
      </c>
      <c r="X13" s="25">
        <v>11</v>
      </c>
      <c r="Y13" s="25">
        <v>132</v>
      </c>
      <c r="Z13" s="25">
        <v>54</v>
      </c>
      <c r="AA13" s="25">
        <v>72</v>
      </c>
      <c r="AB13" s="25">
        <v>33</v>
      </c>
      <c r="AC13" s="25">
        <v>69</v>
      </c>
      <c r="AD13" s="25">
        <v>32</v>
      </c>
      <c r="AE13" s="25">
        <v>3</v>
      </c>
      <c r="AF13" s="25">
        <v>6</v>
      </c>
      <c r="AG13" s="25">
        <v>0</v>
      </c>
      <c r="AH13" s="25">
        <v>11</v>
      </c>
      <c r="AI13" s="25">
        <v>36</v>
      </c>
      <c r="AJ13" s="25">
        <v>25</v>
      </c>
      <c r="AK13" s="25">
        <v>5</v>
      </c>
      <c r="AL13" s="25">
        <v>7</v>
      </c>
      <c r="AM13" s="25">
        <v>15</v>
      </c>
      <c r="AN13" s="25">
        <v>11</v>
      </c>
      <c r="AO13" s="25">
        <v>4</v>
      </c>
      <c r="AP13" s="25">
        <v>6</v>
      </c>
      <c r="AQ13" s="25">
        <v>0</v>
      </c>
      <c r="AR13" s="25">
        <v>11</v>
      </c>
      <c r="AS13" s="25">
        <v>8</v>
      </c>
      <c r="AT13" s="25">
        <v>10</v>
      </c>
      <c r="AU13" s="25">
        <v>6</v>
      </c>
      <c r="AV13" s="25">
        <v>8</v>
      </c>
      <c r="AW13" s="25">
        <v>6</v>
      </c>
      <c r="AX13" s="25">
        <v>8</v>
      </c>
      <c r="AY13" s="25">
        <v>0</v>
      </c>
      <c r="AZ13" s="25">
        <v>11</v>
      </c>
      <c r="BA13" s="25">
        <v>0</v>
      </c>
      <c r="BB13" s="25">
        <v>11</v>
      </c>
      <c r="BC13" s="25">
        <v>0</v>
      </c>
      <c r="BD13" s="25">
        <v>11</v>
      </c>
      <c r="BE13" s="25">
        <v>0</v>
      </c>
      <c r="BF13" s="25">
        <v>11</v>
      </c>
      <c r="BG13" s="25">
        <v>2</v>
      </c>
      <c r="BH13" s="25">
        <v>5</v>
      </c>
      <c r="BI13" s="25">
        <v>0</v>
      </c>
      <c r="BJ13" s="25">
        <v>11</v>
      </c>
      <c r="BK13" s="25">
        <v>0</v>
      </c>
      <c r="BL13" s="25">
        <v>11</v>
      </c>
      <c r="BM13" s="25">
        <v>0</v>
      </c>
      <c r="BN13" s="25">
        <v>11</v>
      </c>
      <c r="BO13" s="25">
        <v>0</v>
      </c>
      <c r="BP13" s="25">
        <v>11</v>
      </c>
      <c r="BQ13" s="25">
        <v>0</v>
      </c>
      <c r="BR13" s="25">
        <v>11</v>
      </c>
      <c r="BS13" s="25">
        <v>0</v>
      </c>
      <c r="BT13" s="25">
        <v>11</v>
      </c>
      <c r="BU13" s="25">
        <v>0</v>
      </c>
      <c r="BV13" s="25">
        <v>11</v>
      </c>
      <c r="BW13" s="25">
        <v>0</v>
      </c>
      <c r="BX13" s="25">
        <v>11</v>
      </c>
      <c r="BY13" s="25">
        <v>0</v>
      </c>
      <c r="BZ13" s="25">
        <v>11</v>
      </c>
      <c r="CA13" s="25">
        <v>0</v>
      </c>
      <c r="CB13" s="25">
        <v>11</v>
      </c>
      <c r="CC13" s="25">
        <v>0</v>
      </c>
      <c r="CD13" s="25">
        <v>11</v>
      </c>
      <c r="CE13" s="25">
        <v>0</v>
      </c>
      <c r="CF13" s="25">
        <v>11</v>
      </c>
      <c r="CG13" s="25">
        <v>120</v>
      </c>
      <c r="CH13" s="25">
        <v>114</v>
      </c>
      <c r="CI13" s="25">
        <v>120</v>
      </c>
      <c r="CJ13" s="25">
        <v>114</v>
      </c>
      <c r="CK13" s="25">
        <v>120</v>
      </c>
      <c r="CL13" s="25">
        <v>114</v>
      </c>
      <c r="CM13" s="25">
        <v>0</v>
      </c>
      <c r="CN13" s="25">
        <v>11</v>
      </c>
      <c r="CO13" s="25">
        <v>0</v>
      </c>
      <c r="CP13" s="25">
        <v>11</v>
      </c>
      <c r="CQ13" s="25">
        <v>0</v>
      </c>
      <c r="CR13" s="25">
        <v>11</v>
      </c>
      <c r="CS13" s="25">
        <v>0</v>
      </c>
      <c r="CT13" s="25">
        <v>11</v>
      </c>
      <c r="CU13" s="25">
        <v>0</v>
      </c>
      <c r="CV13" s="25">
        <v>11</v>
      </c>
      <c r="CW13" s="25">
        <v>0</v>
      </c>
      <c r="CX13" s="25">
        <v>11</v>
      </c>
      <c r="CY13" s="25">
        <v>0</v>
      </c>
      <c r="CZ13" s="25">
        <v>11</v>
      </c>
      <c r="DA13" s="25">
        <v>0</v>
      </c>
      <c r="DB13" s="25">
        <v>11</v>
      </c>
      <c r="DC13" s="25">
        <v>0</v>
      </c>
      <c r="DD13" s="25">
        <v>11</v>
      </c>
      <c r="DE13" s="25">
        <v>0</v>
      </c>
      <c r="DF13" s="25">
        <v>11</v>
      </c>
      <c r="DG13" s="25">
        <v>0</v>
      </c>
      <c r="DH13" s="25">
        <v>11</v>
      </c>
      <c r="DI13" s="25">
        <v>0</v>
      </c>
      <c r="DJ13" s="25">
        <v>11</v>
      </c>
      <c r="DK13" s="25">
        <v>0</v>
      </c>
      <c r="DL13" s="25">
        <v>11</v>
      </c>
      <c r="DM13" s="25">
        <v>0</v>
      </c>
      <c r="DN13" s="25">
        <v>11</v>
      </c>
      <c r="DO13" s="25">
        <v>0</v>
      </c>
      <c r="DP13" s="25">
        <v>11</v>
      </c>
      <c r="DQ13" s="25">
        <v>0</v>
      </c>
      <c r="DR13" s="25">
        <v>11</v>
      </c>
      <c r="DS13" s="25">
        <v>0</v>
      </c>
      <c r="DT13" s="25">
        <v>11</v>
      </c>
      <c r="DU13" s="25">
        <v>23</v>
      </c>
      <c r="DV13" s="25">
        <v>21</v>
      </c>
      <c r="DW13" s="25">
        <v>14</v>
      </c>
      <c r="DX13" s="25">
        <v>19</v>
      </c>
      <c r="DY13" s="25">
        <v>3</v>
      </c>
      <c r="DZ13" s="25">
        <v>6</v>
      </c>
      <c r="EA13" s="25">
        <v>11</v>
      </c>
      <c r="EB13" s="25">
        <v>18</v>
      </c>
      <c r="EC13" s="25">
        <v>0</v>
      </c>
      <c r="ED13" s="25">
        <v>11</v>
      </c>
      <c r="EE13" s="25">
        <v>0</v>
      </c>
      <c r="EF13" s="25">
        <v>11</v>
      </c>
      <c r="EG13" s="25">
        <v>0</v>
      </c>
      <c r="EH13" s="25">
        <v>11</v>
      </c>
      <c r="EI13" s="25">
        <v>0</v>
      </c>
      <c r="EJ13" s="25">
        <v>11</v>
      </c>
      <c r="EK13" s="25">
        <v>9</v>
      </c>
      <c r="EL13" s="25">
        <v>8</v>
      </c>
      <c r="EM13" s="25">
        <v>0</v>
      </c>
      <c r="EN13" s="25">
        <v>11</v>
      </c>
    </row>
    <row r="14" spans="1:144" x14ac:dyDescent="0.25">
      <c r="A14" s="19">
        <f t="shared" si="8"/>
        <v>11</v>
      </c>
      <c r="B14" s="20" t="str">
        <f t="shared" si="9"/>
        <v>Davis</v>
      </c>
      <c r="C14" s="24" t="s">
        <v>298</v>
      </c>
      <c r="D14" s="24" t="s">
        <v>299</v>
      </c>
      <c r="E14" s="25">
        <v>155740</v>
      </c>
      <c r="F14" s="25">
        <v>1595</v>
      </c>
      <c r="G14" s="25">
        <v>108638</v>
      </c>
      <c r="H14" s="25">
        <v>1652</v>
      </c>
      <c r="I14" s="25">
        <v>102870</v>
      </c>
      <c r="J14" s="25">
        <v>1652</v>
      </c>
      <c r="K14" s="25">
        <v>5768</v>
      </c>
      <c r="L14" s="25">
        <v>506</v>
      </c>
      <c r="M14" s="25">
        <v>11252</v>
      </c>
      <c r="N14" s="25">
        <v>647</v>
      </c>
      <c r="O14" s="25">
        <v>9323</v>
      </c>
      <c r="P14" s="25">
        <v>622</v>
      </c>
      <c r="Q14" s="25">
        <v>7569</v>
      </c>
      <c r="R14" s="25">
        <v>628</v>
      </c>
      <c r="S14" s="25">
        <v>12796</v>
      </c>
      <c r="T14" s="25">
        <v>792</v>
      </c>
      <c r="U14" s="25">
        <v>5991</v>
      </c>
      <c r="V14" s="25">
        <v>463</v>
      </c>
      <c r="W14" s="25">
        <v>171</v>
      </c>
      <c r="X14" s="25">
        <v>88</v>
      </c>
      <c r="Y14" s="25">
        <v>124007</v>
      </c>
      <c r="Z14" s="25">
        <v>1894</v>
      </c>
      <c r="AA14" s="25">
        <v>87353</v>
      </c>
      <c r="AB14" s="25">
        <v>1919</v>
      </c>
      <c r="AC14" s="25">
        <v>83554</v>
      </c>
      <c r="AD14" s="25">
        <v>1943</v>
      </c>
      <c r="AE14" s="25">
        <v>3799</v>
      </c>
      <c r="AF14" s="25">
        <v>417</v>
      </c>
      <c r="AG14" s="25">
        <v>8671</v>
      </c>
      <c r="AH14" s="25">
        <v>562</v>
      </c>
      <c r="AI14" s="25">
        <v>7738</v>
      </c>
      <c r="AJ14" s="25">
        <v>572</v>
      </c>
      <c r="AK14" s="25">
        <v>5899</v>
      </c>
      <c r="AL14" s="25">
        <v>536</v>
      </c>
      <c r="AM14" s="25">
        <v>11117</v>
      </c>
      <c r="AN14" s="25">
        <v>760</v>
      </c>
      <c r="AO14" s="25">
        <v>3174</v>
      </c>
      <c r="AP14" s="25">
        <v>326</v>
      </c>
      <c r="AQ14" s="25">
        <v>55</v>
      </c>
      <c r="AR14" s="25">
        <v>37</v>
      </c>
      <c r="AS14" s="25">
        <v>14799</v>
      </c>
      <c r="AT14" s="25">
        <v>844</v>
      </c>
      <c r="AU14" s="25">
        <v>10473</v>
      </c>
      <c r="AV14" s="25">
        <v>735</v>
      </c>
      <c r="AW14" s="25">
        <v>9935</v>
      </c>
      <c r="AX14" s="25">
        <v>711</v>
      </c>
      <c r="AY14" s="25">
        <v>538</v>
      </c>
      <c r="AZ14" s="25">
        <v>158</v>
      </c>
      <c r="BA14" s="25">
        <v>1254</v>
      </c>
      <c r="BB14" s="25">
        <v>247</v>
      </c>
      <c r="BC14" s="25">
        <v>819</v>
      </c>
      <c r="BD14" s="25">
        <v>182</v>
      </c>
      <c r="BE14" s="25">
        <v>788</v>
      </c>
      <c r="BF14" s="25">
        <v>198</v>
      </c>
      <c r="BG14" s="25">
        <v>927</v>
      </c>
      <c r="BH14" s="25">
        <v>175</v>
      </c>
      <c r="BI14" s="25">
        <v>520</v>
      </c>
      <c r="BJ14" s="25">
        <v>164</v>
      </c>
      <c r="BK14" s="25">
        <v>18</v>
      </c>
      <c r="BL14" s="25">
        <v>22</v>
      </c>
      <c r="BM14" s="25">
        <v>3895</v>
      </c>
      <c r="BN14" s="25">
        <v>489</v>
      </c>
      <c r="BO14" s="25">
        <v>2024</v>
      </c>
      <c r="BP14" s="25">
        <v>375</v>
      </c>
      <c r="BQ14" s="25">
        <v>1943</v>
      </c>
      <c r="BR14" s="25">
        <v>371</v>
      </c>
      <c r="BS14" s="25">
        <v>81</v>
      </c>
      <c r="BT14" s="25">
        <v>61</v>
      </c>
      <c r="BU14" s="25">
        <v>813</v>
      </c>
      <c r="BV14" s="25">
        <v>205</v>
      </c>
      <c r="BW14" s="25">
        <v>252</v>
      </c>
      <c r="BX14" s="25">
        <v>120</v>
      </c>
      <c r="BY14" s="25">
        <v>493</v>
      </c>
      <c r="BZ14" s="25">
        <v>177</v>
      </c>
      <c r="CA14" s="25">
        <v>206</v>
      </c>
      <c r="CB14" s="25">
        <v>92</v>
      </c>
      <c r="CC14" s="25">
        <v>107</v>
      </c>
      <c r="CD14" s="25">
        <v>92</v>
      </c>
      <c r="CE14" s="25">
        <v>0</v>
      </c>
      <c r="CF14" s="25">
        <v>27</v>
      </c>
      <c r="CG14" s="25">
        <v>2223</v>
      </c>
      <c r="CH14" s="25">
        <v>353</v>
      </c>
      <c r="CI14" s="25">
        <v>1580</v>
      </c>
      <c r="CJ14" s="25">
        <v>304</v>
      </c>
      <c r="CK14" s="25">
        <v>1513</v>
      </c>
      <c r="CL14" s="25">
        <v>307</v>
      </c>
      <c r="CM14" s="25">
        <v>67</v>
      </c>
      <c r="CN14" s="25">
        <v>49</v>
      </c>
      <c r="CO14" s="25">
        <v>105</v>
      </c>
      <c r="CP14" s="25">
        <v>58</v>
      </c>
      <c r="CQ14" s="25">
        <v>187</v>
      </c>
      <c r="CR14" s="25">
        <v>91</v>
      </c>
      <c r="CS14" s="25">
        <v>110</v>
      </c>
      <c r="CT14" s="25">
        <v>71</v>
      </c>
      <c r="CU14" s="25">
        <v>141</v>
      </c>
      <c r="CV14" s="25">
        <v>95</v>
      </c>
      <c r="CW14" s="25">
        <v>85</v>
      </c>
      <c r="CX14" s="25">
        <v>55</v>
      </c>
      <c r="CY14" s="25">
        <v>15</v>
      </c>
      <c r="CZ14" s="25">
        <v>25</v>
      </c>
      <c r="DA14" s="25">
        <v>2175</v>
      </c>
      <c r="DB14" s="25">
        <v>297</v>
      </c>
      <c r="DC14" s="25">
        <v>1661</v>
      </c>
      <c r="DD14" s="25">
        <v>266</v>
      </c>
      <c r="DE14" s="25">
        <v>1596</v>
      </c>
      <c r="DF14" s="25">
        <v>269</v>
      </c>
      <c r="DG14" s="25">
        <v>65</v>
      </c>
      <c r="DH14" s="25">
        <v>40</v>
      </c>
      <c r="DI14" s="25">
        <v>90</v>
      </c>
      <c r="DJ14" s="25">
        <v>58</v>
      </c>
      <c r="DK14" s="25">
        <v>133</v>
      </c>
      <c r="DL14" s="25">
        <v>80</v>
      </c>
      <c r="DM14" s="25">
        <v>113</v>
      </c>
      <c r="DN14" s="25">
        <v>55</v>
      </c>
      <c r="DO14" s="25">
        <v>85</v>
      </c>
      <c r="DP14" s="25">
        <v>42</v>
      </c>
      <c r="DQ14" s="25">
        <v>93</v>
      </c>
      <c r="DR14" s="25">
        <v>63</v>
      </c>
      <c r="DS14" s="25">
        <v>0</v>
      </c>
      <c r="DT14" s="25">
        <v>27</v>
      </c>
      <c r="DU14" s="25">
        <v>8641</v>
      </c>
      <c r="DV14" s="25">
        <v>663</v>
      </c>
      <c r="DW14" s="25">
        <v>5547</v>
      </c>
      <c r="DX14" s="25">
        <v>507</v>
      </c>
      <c r="DY14" s="25">
        <v>4329</v>
      </c>
      <c r="DZ14" s="25">
        <v>451</v>
      </c>
      <c r="EA14" s="25">
        <v>1218</v>
      </c>
      <c r="EB14" s="25">
        <v>218</v>
      </c>
      <c r="EC14" s="25">
        <v>319</v>
      </c>
      <c r="ED14" s="25">
        <v>120</v>
      </c>
      <c r="EE14" s="25">
        <v>194</v>
      </c>
      <c r="EF14" s="25">
        <v>96</v>
      </c>
      <c r="EG14" s="25">
        <v>166</v>
      </c>
      <c r="EH14" s="25">
        <v>74</v>
      </c>
      <c r="EI14" s="25">
        <v>320</v>
      </c>
      <c r="EJ14" s="25">
        <v>162</v>
      </c>
      <c r="EK14" s="25">
        <v>2012</v>
      </c>
      <c r="EL14" s="25">
        <v>252</v>
      </c>
      <c r="EM14" s="25">
        <v>83</v>
      </c>
      <c r="EN14" s="25">
        <v>74</v>
      </c>
    </row>
    <row r="15" spans="1:144" x14ac:dyDescent="0.25">
      <c r="A15" s="19">
        <f t="shared" si="8"/>
        <v>13</v>
      </c>
      <c r="B15" s="20" t="str">
        <f t="shared" si="9"/>
        <v>Duchesne</v>
      </c>
      <c r="C15" s="24" t="s">
        <v>300</v>
      </c>
      <c r="D15" s="24" t="s">
        <v>301</v>
      </c>
      <c r="E15" s="25">
        <v>7813</v>
      </c>
      <c r="F15" s="25">
        <v>199</v>
      </c>
      <c r="G15" s="25">
        <v>5558</v>
      </c>
      <c r="H15" s="25">
        <v>206</v>
      </c>
      <c r="I15" s="25">
        <v>4955</v>
      </c>
      <c r="J15" s="25">
        <v>199</v>
      </c>
      <c r="K15" s="25">
        <v>603</v>
      </c>
      <c r="L15" s="25">
        <v>102</v>
      </c>
      <c r="M15" s="25">
        <v>392</v>
      </c>
      <c r="N15" s="25">
        <v>72</v>
      </c>
      <c r="O15" s="25">
        <v>1007</v>
      </c>
      <c r="P15" s="25">
        <v>119</v>
      </c>
      <c r="Q15" s="25">
        <v>234</v>
      </c>
      <c r="R15" s="25">
        <v>53</v>
      </c>
      <c r="S15" s="25">
        <v>208</v>
      </c>
      <c r="T15" s="25">
        <v>54</v>
      </c>
      <c r="U15" s="25">
        <v>383</v>
      </c>
      <c r="V15" s="25">
        <v>65</v>
      </c>
      <c r="W15" s="25">
        <v>31</v>
      </c>
      <c r="X15" s="25">
        <v>20</v>
      </c>
      <c r="Y15" s="25">
        <v>6353</v>
      </c>
      <c r="Z15" s="25">
        <v>198</v>
      </c>
      <c r="AA15" s="25">
        <v>4552</v>
      </c>
      <c r="AB15" s="25">
        <v>183</v>
      </c>
      <c r="AC15" s="25">
        <v>4149</v>
      </c>
      <c r="AD15" s="25">
        <v>187</v>
      </c>
      <c r="AE15" s="25">
        <v>403</v>
      </c>
      <c r="AF15" s="25">
        <v>73</v>
      </c>
      <c r="AG15" s="25">
        <v>345</v>
      </c>
      <c r="AH15" s="25">
        <v>63</v>
      </c>
      <c r="AI15" s="25">
        <v>880</v>
      </c>
      <c r="AJ15" s="25">
        <v>114</v>
      </c>
      <c r="AK15" s="25">
        <v>227</v>
      </c>
      <c r="AL15" s="25">
        <v>52</v>
      </c>
      <c r="AM15" s="25">
        <v>194</v>
      </c>
      <c r="AN15" s="25">
        <v>53</v>
      </c>
      <c r="AO15" s="25">
        <v>143</v>
      </c>
      <c r="AP15" s="25">
        <v>37</v>
      </c>
      <c r="AQ15" s="25">
        <v>12</v>
      </c>
      <c r="AR15" s="25">
        <v>11</v>
      </c>
      <c r="AS15" s="25">
        <v>605</v>
      </c>
      <c r="AT15" s="25">
        <v>100</v>
      </c>
      <c r="AU15" s="25">
        <v>460</v>
      </c>
      <c r="AV15" s="25">
        <v>81</v>
      </c>
      <c r="AW15" s="25">
        <v>410</v>
      </c>
      <c r="AX15" s="25">
        <v>73</v>
      </c>
      <c r="AY15" s="25">
        <v>50</v>
      </c>
      <c r="AZ15" s="25">
        <v>30</v>
      </c>
      <c r="BA15" s="25">
        <v>22</v>
      </c>
      <c r="BB15" s="25">
        <v>21</v>
      </c>
      <c r="BC15" s="25">
        <v>77</v>
      </c>
      <c r="BD15" s="25">
        <v>35</v>
      </c>
      <c r="BE15" s="25">
        <v>4</v>
      </c>
      <c r="BF15" s="25">
        <v>6</v>
      </c>
      <c r="BG15" s="25">
        <v>4</v>
      </c>
      <c r="BH15" s="25">
        <v>6</v>
      </c>
      <c r="BI15" s="25">
        <v>38</v>
      </c>
      <c r="BJ15" s="25">
        <v>32</v>
      </c>
      <c r="BK15" s="25">
        <v>0</v>
      </c>
      <c r="BL15" s="25">
        <v>21</v>
      </c>
      <c r="BM15" s="25">
        <v>48</v>
      </c>
      <c r="BN15" s="25">
        <v>24</v>
      </c>
      <c r="BO15" s="25">
        <v>0</v>
      </c>
      <c r="BP15" s="25">
        <v>21</v>
      </c>
      <c r="BQ15" s="25">
        <v>0</v>
      </c>
      <c r="BR15" s="25">
        <v>21</v>
      </c>
      <c r="BS15" s="25">
        <v>0</v>
      </c>
      <c r="BT15" s="25">
        <v>21</v>
      </c>
      <c r="BU15" s="25">
        <v>6</v>
      </c>
      <c r="BV15" s="25">
        <v>9</v>
      </c>
      <c r="BW15" s="25">
        <v>36</v>
      </c>
      <c r="BX15" s="25">
        <v>20</v>
      </c>
      <c r="BY15" s="25">
        <v>0</v>
      </c>
      <c r="BZ15" s="25">
        <v>21</v>
      </c>
      <c r="CA15" s="25">
        <v>0</v>
      </c>
      <c r="CB15" s="25">
        <v>21</v>
      </c>
      <c r="CC15" s="25">
        <v>6</v>
      </c>
      <c r="CD15" s="25">
        <v>9</v>
      </c>
      <c r="CE15" s="25">
        <v>0</v>
      </c>
      <c r="CF15" s="25">
        <v>21</v>
      </c>
      <c r="CG15" s="25">
        <v>190</v>
      </c>
      <c r="CH15" s="25">
        <v>67</v>
      </c>
      <c r="CI15" s="25">
        <v>156</v>
      </c>
      <c r="CJ15" s="25">
        <v>64</v>
      </c>
      <c r="CK15" s="25">
        <v>139</v>
      </c>
      <c r="CL15" s="25">
        <v>60</v>
      </c>
      <c r="CM15" s="25">
        <v>17</v>
      </c>
      <c r="CN15" s="25">
        <v>18</v>
      </c>
      <c r="CO15" s="25">
        <v>0</v>
      </c>
      <c r="CP15" s="25">
        <v>21</v>
      </c>
      <c r="CQ15" s="25">
        <v>4</v>
      </c>
      <c r="CR15" s="25">
        <v>5</v>
      </c>
      <c r="CS15" s="25">
        <v>3</v>
      </c>
      <c r="CT15" s="25">
        <v>6</v>
      </c>
      <c r="CU15" s="25">
        <v>4</v>
      </c>
      <c r="CV15" s="25">
        <v>4</v>
      </c>
      <c r="CW15" s="25">
        <v>18</v>
      </c>
      <c r="CX15" s="25">
        <v>15</v>
      </c>
      <c r="CY15" s="25">
        <v>5</v>
      </c>
      <c r="CZ15" s="25">
        <v>9</v>
      </c>
      <c r="DA15" s="25">
        <v>96</v>
      </c>
      <c r="DB15" s="25">
        <v>34</v>
      </c>
      <c r="DC15" s="25">
        <v>75</v>
      </c>
      <c r="DD15" s="25">
        <v>33</v>
      </c>
      <c r="DE15" s="25">
        <v>75</v>
      </c>
      <c r="DF15" s="25">
        <v>33</v>
      </c>
      <c r="DG15" s="25">
        <v>0</v>
      </c>
      <c r="DH15" s="25">
        <v>21</v>
      </c>
      <c r="DI15" s="25">
        <v>8</v>
      </c>
      <c r="DJ15" s="25">
        <v>9</v>
      </c>
      <c r="DK15" s="25">
        <v>5</v>
      </c>
      <c r="DL15" s="25">
        <v>8</v>
      </c>
      <c r="DM15" s="25">
        <v>0</v>
      </c>
      <c r="DN15" s="25">
        <v>21</v>
      </c>
      <c r="DO15" s="25">
        <v>0</v>
      </c>
      <c r="DP15" s="25">
        <v>21</v>
      </c>
      <c r="DQ15" s="25">
        <v>8</v>
      </c>
      <c r="DR15" s="25">
        <v>11</v>
      </c>
      <c r="DS15" s="25">
        <v>0</v>
      </c>
      <c r="DT15" s="25">
        <v>21</v>
      </c>
      <c r="DU15" s="25">
        <v>521</v>
      </c>
      <c r="DV15" s="25">
        <v>80</v>
      </c>
      <c r="DW15" s="25">
        <v>315</v>
      </c>
      <c r="DX15" s="25">
        <v>62</v>
      </c>
      <c r="DY15" s="25">
        <v>182</v>
      </c>
      <c r="DZ15" s="25">
        <v>48</v>
      </c>
      <c r="EA15" s="25">
        <v>133</v>
      </c>
      <c r="EB15" s="25">
        <v>42</v>
      </c>
      <c r="EC15" s="25">
        <v>11</v>
      </c>
      <c r="ED15" s="25">
        <v>11</v>
      </c>
      <c r="EE15" s="25">
        <v>5</v>
      </c>
      <c r="EF15" s="25">
        <v>7</v>
      </c>
      <c r="EG15" s="25">
        <v>0</v>
      </c>
      <c r="EH15" s="25">
        <v>21</v>
      </c>
      <c r="EI15" s="25">
        <v>6</v>
      </c>
      <c r="EJ15" s="25">
        <v>8</v>
      </c>
      <c r="EK15" s="25">
        <v>170</v>
      </c>
      <c r="EL15" s="25">
        <v>50</v>
      </c>
      <c r="EM15" s="25">
        <v>14</v>
      </c>
      <c r="EN15" s="25">
        <v>14</v>
      </c>
    </row>
    <row r="16" spans="1:144" x14ac:dyDescent="0.25">
      <c r="A16" s="19">
        <f t="shared" si="8"/>
        <v>15</v>
      </c>
      <c r="B16" s="20" t="str">
        <f t="shared" si="9"/>
        <v>Emery</v>
      </c>
      <c r="C16" s="24" t="s">
        <v>302</v>
      </c>
      <c r="D16" s="24" t="s">
        <v>303</v>
      </c>
      <c r="E16" s="25">
        <v>3878</v>
      </c>
      <c r="F16" s="25">
        <v>169</v>
      </c>
      <c r="G16" s="25">
        <v>2521</v>
      </c>
      <c r="H16" s="25">
        <v>163</v>
      </c>
      <c r="I16" s="25">
        <v>2455</v>
      </c>
      <c r="J16" s="25">
        <v>168</v>
      </c>
      <c r="K16" s="25">
        <v>66</v>
      </c>
      <c r="L16" s="25">
        <v>39</v>
      </c>
      <c r="M16" s="25">
        <v>143</v>
      </c>
      <c r="N16" s="25">
        <v>57</v>
      </c>
      <c r="O16" s="25">
        <v>541</v>
      </c>
      <c r="P16" s="25">
        <v>101</v>
      </c>
      <c r="Q16" s="25">
        <v>281</v>
      </c>
      <c r="R16" s="25">
        <v>71</v>
      </c>
      <c r="S16" s="25">
        <v>97</v>
      </c>
      <c r="T16" s="25">
        <v>48</v>
      </c>
      <c r="U16" s="25">
        <v>290</v>
      </c>
      <c r="V16" s="25">
        <v>73</v>
      </c>
      <c r="W16" s="25">
        <v>5</v>
      </c>
      <c r="X16" s="25">
        <v>5</v>
      </c>
      <c r="Y16" s="25">
        <v>3177</v>
      </c>
      <c r="Z16" s="25">
        <v>159</v>
      </c>
      <c r="AA16" s="25">
        <v>2166</v>
      </c>
      <c r="AB16" s="25">
        <v>142</v>
      </c>
      <c r="AC16" s="25">
        <v>2121</v>
      </c>
      <c r="AD16" s="25">
        <v>143</v>
      </c>
      <c r="AE16" s="25">
        <v>45</v>
      </c>
      <c r="AF16" s="25">
        <v>35</v>
      </c>
      <c r="AG16" s="25">
        <v>127</v>
      </c>
      <c r="AH16" s="25">
        <v>52</v>
      </c>
      <c r="AI16" s="25">
        <v>454</v>
      </c>
      <c r="AJ16" s="25">
        <v>89</v>
      </c>
      <c r="AK16" s="25">
        <v>255</v>
      </c>
      <c r="AL16" s="25">
        <v>67</v>
      </c>
      <c r="AM16" s="25">
        <v>82</v>
      </c>
      <c r="AN16" s="25">
        <v>44</v>
      </c>
      <c r="AO16" s="25">
        <v>92</v>
      </c>
      <c r="AP16" s="25">
        <v>40</v>
      </c>
      <c r="AQ16" s="25">
        <v>1</v>
      </c>
      <c r="AR16" s="25">
        <v>3</v>
      </c>
      <c r="AS16" s="25">
        <v>291</v>
      </c>
      <c r="AT16" s="25">
        <v>76</v>
      </c>
      <c r="AU16" s="25">
        <v>232</v>
      </c>
      <c r="AV16" s="25">
        <v>66</v>
      </c>
      <c r="AW16" s="25">
        <v>224</v>
      </c>
      <c r="AX16" s="25">
        <v>66</v>
      </c>
      <c r="AY16" s="25">
        <v>8</v>
      </c>
      <c r="AZ16" s="25">
        <v>9</v>
      </c>
      <c r="BA16" s="25">
        <v>14</v>
      </c>
      <c r="BB16" s="25">
        <v>12</v>
      </c>
      <c r="BC16" s="25">
        <v>30</v>
      </c>
      <c r="BD16" s="25">
        <v>26</v>
      </c>
      <c r="BE16" s="25">
        <v>13</v>
      </c>
      <c r="BF16" s="25">
        <v>15</v>
      </c>
      <c r="BG16" s="25">
        <v>0</v>
      </c>
      <c r="BH16" s="25">
        <v>18</v>
      </c>
      <c r="BI16" s="25">
        <v>2</v>
      </c>
      <c r="BJ16" s="25">
        <v>2</v>
      </c>
      <c r="BK16" s="25">
        <v>0</v>
      </c>
      <c r="BL16" s="25">
        <v>18</v>
      </c>
      <c r="BM16" s="25">
        <v>52</v>
      </c>
      <c r="BN16" s="25">
        <v>31</v>
      </c>
      <c r="BO16" s="25">
        <v>19</v>
      </c>
      <c r="BP16" s="25">
        <v>21</v>
      </c>
      <c r="BQ16" s="25">
        <v>19</v>
      </c>
      <c r="BR16" s="25">
        <v>21</v>
      </c>
      <c r="BS16" s="25">
        <v>0</v>
      </c>
      <c r="BT16" s="25">
        <v>18</v>
      </c>
      <c r="BU16" s="25">
        <v>0</v>
      </c>
      <c r="BV16" s="25">
        <v>18</v>
      </c>
      <c r="BW16" s="25">
        <v>33</v>
      </c>
      <c r="BX16" s="25">
        <v>31</v>
      </c>
      <c r="BY16" s="25">
        <v>0</v>
      </c>
      <c r="BZ16" s="25">
        <v>18</v>
      </c>
      <c r="CA16" s="25">
        <v>0</v>
      </c>
      <c r="CB16" s="25">
        <v>18</v>
      </c>
      <c r="CC16" s="25">
        <v>0</v>
      </c>
      <c r="CD16" s="25">
        <v>18</v>
      </c>
      <c r="CE16" s="25">
        <v>0</v>
      </c>
      <c r="CF16" s="25">
        <v>18</v>
      </c>
      <c r="CG16" s="25">
        <v>65</v>
      </c>
      <c r="CH16" s="25">
        <v>27</v>
      </c>
      <c r="CI16" s="25">
        <v>24</v>
      </c>
      <c r="CJ16" s="25">
        <v>19</v>
      </c>
      <c r="CK16" s="25">
        <v>24</v>
      </c>
      <c r="CL16" s="25">
        <v>19</v>
      </c>
      <c r="CM16" s="25">
        <v>0</v>
      </c>
      <c r="CN16" s="25">
        <v>18</v>
      </c>
      <c r="CO16" s="25">
        <v>2</v>
      </c>
      <c r="CP16" s="25">
        <v>6</v>
      </c>
      <c r="CQ16" s="25">
        <v>15</v>
      </c>
      <c r="CR16" s="25">
        <v>11</v>
      </c>
      <c r="CS16" s="25">
        <v>11</v>
      </c>
      <c r="CT16" s="25">
        <v>11</v>
      </c>
      <c r="CU16" s="25">
        <v>4</v>
      </c>
      <c r="CV16" s="25">
        <v>5</v>
      </c>
      <c r="CW16" s="25">
        <v>9</v>
      </c>
      <c r="CX16" s="25">
        <v>11</v>
      </c>
      <c r="CY16" s="25">
        <v>0</v>
      </c>
      <c r="CZ16" s="25">
        <v>18</v>
      </c>
      <c r="DA16" s="25">
        <v>29</v>
      </c>
      <c r="DB16" s="25">
        <v>26</v>
      </c>
      <c r="DC16" s="25">
        <v>14</v>
      </c>
      <c r="DD16" s="25">
        <v>17</v>
      </c>
      <c r="DE16" s="25">
        <v>14</v>
      </c>
      <c r="DF16" s="25">
        <v>17</v>
      </c>
      <c r="DG16" s="25">
        <v>0</v>
      </c>
      <c r="DH16" s="25">
        <v>18</v>
      </c>
      <c r="DI16" s="25">
        <v>0</v>
      </c>
      <c r="DJ16" s="25">
        <v>18</v>
      </c>
      <c r="DK16" s="25">
        <v>4</v>
      </c>
      <c r="DL16" s="25">
        <v>7</v>
      </c>
      <c r="DM16" s="25">
        <v>0</v>
      </c>
      <c r="DN16" s="25">
        <v>18</v>
      </c>
      <c r="DO16" s="25">
        <v>11</v>
      </c>
      <c r="DP16" s="25">
        <v>17</v>
      </c>
      <c r="DQ16" s="25">
        <v>0</v>
      </c>
      <c r="DR16" s="25">
        <v>18</v>
      </c>
      <c r="DS16" s="25">
        <v>0</v>
      </c>
      <c r="DT16" s="25">
        <v>18</v>
      </c>
      <c r="DU16" s="25">
        <v>264</v>
      </c>
      <c r="DV16" s="25">
        <v>78</v>
      </c>
      <c r="DW16" s="25">
        <v>66</v>
      </c>
      <c r="DX16" s="25">
        <v>48</v>
      </c>
      <c r="DY16" s="25">
        <v>53</v>
      </c>
      <c r="DZ16" s="25">
        <v>45</v>
      </c>
      <c r="EA16" s="25">
        <v>13</v>
      </c>
      <c r="EB16" s="25">
        <v>19</v>
      </c>
      <c r="EC16" s="25">
        <v>0</v>
      </c>
      <c r="ED16" s="25">
        <v>18</v>
      </c>
      <c r="EE16" s="25">
        <v>5</v>
      </c>
      <c r="EF16" s="25">
        <v>5</v>
      </c>
      <c r="EG16" s="25">
        <v>2</v>
      </c>
      <c r="EH16" s="25">
        <v>3</v>
      </c>
      <c r="EI16" s="25">
        <v>0</v>
      </c>
      <c r="EJ16" s="25">
        <v>18</v>
      </c>
      <c r="EK16" s="25">
        <v>187</v>
      </c>
      <c r="EL16" s="25">
        <v>61</v>
      </c>
      <c r="EM16" s="25">
        <v>4</v>
      </c>
      <c r="EN16" s="25">
        <v>5</v>
      </c>
    </row>
    <row r="17" spans="1:144" x14ac:dyDescent="0.25">
      <c r="A17" s="19">
        <f t="shared" si="8"/>
        <v>17</v>
      </c>
      <c r="B17" s="20" t="str">
        <f t="shared" si="9"/>
        <v>Garfield</v>
      </c>
      <c r="C17" s="24" t="s">
        <v>304</v>
      </c>
      <c r="D17" s="24" t="s">
        <v>305</v>
      </c>
      <c r="E17" s="25">
        <v>2176</v>
      </c>
      <c r="F17" s="25">
        <v>159</v>
      </c>
      <c r="G17" s="25">
        <v>1356</v>
      </c>
      <c r="H17" s="25">
        <v>156</v>
      </c>
      <c r="I17" s="25">
        <v>1244</v>
      </c>
      <c r="J17" s="25">
        <v>164</v>
      </c>
      <c r="K17" s="25">
        <v>112</v>
      </c>
      <c r="L17" s="25">
        <v>50</v>
      </c>
      <c r="M17" s="25">
        <v>149</v>
      </c>
      <c r="N17" s="25">
        <v>57</v>
      </c>
      <c r="O17" s="25">
        <v>209</v>
      </c>
      <c r="P17" s="25">
        <v>53</v>
      </c>
      <c r="Q17" s="25">
        <v>110</v>
      </c>
      <c r="R17" s="25">
        <v>41</v>
      </c>
      <c r="S17" s="25">
        <v>195</v>
      </c>
      <c r="T17" s="25">
        <v>80</v>
      </c>
      <c r="U17" s="25">
        <v>157</v>
      </c>
      <c r="V17" s="25">
        <v>83</v>
      </c>
      <c r="W17" s="25">
        <v>0</v>
      </c>
      <c r="X17" s="25">
        <v>16</v>
      </c>
      <c r="Y17" s="25">
        <v>1597</v>
      </c>
      <c r="Z17" s="25">
        <v>138</v>
      </c>
      <c r="AA17" s="25">
        <v>960</v>
      </c>
      <c r="AB17" s="25">
        <v>132</v>
      </c>
      <c r="AC17" s="25">
        <v>897</v>
      </c>
      <c r="AD17" s="25">
        <v>132</v>
      </c>
      <c r="AE17" s="25">
        <v>63</v>
      </c>
      <c r="AF17" s="25">
        <v>40</v>
      </c>
      <c r="AG17" s="25">
        <v>89</v>
      </c>
      <c r="AH17" s="25">
        <v>45</v>
      </c>
      <c r="AI17" s="25">
        <v>183</v>
      </c>
      <c r="AJ17" s="25">
        <v>47</v>
      </c>
      <c r="AK17" s="25">
        <v>76</v>
      </c>
      <c r="AL17" s="25">
        <v>37</v>
      </c>
      <c r="AM17" s="25">
        <v>184</v>
      </c>
      <c r="AN17" s="25">
        <v>78</v>
      </c>
      <c r="AO17" s="25">
        <v>105</v>
      </c>
      <c r="AP17" s="25">
        <v>77</v>
      </c>
      <c r="AQ17" s="25">
        <v>0</v>
      </c>
      <c r="AR17" s="25">
        <v>16</v>
      </c>
      <c r="AS17" s="25">
        <v>239</v>
      </c>
      <c r="AT17" s="25">
        <v>69</v>
      </c>
      <c r="AU17" s="25">
        <v>170</v>
      </c>
      <c r="AV17" s="25">
        <v>61</v>
      </c>
      <c r="AW17" s="25">
        <v>167</v>
      </c>
      <c r="AX17" s="25">
        <v>61</v>
      </c>
      <c r="AY17" s="25">
        <v>3</v>
      </c>
      <c r="AZ17" s="25">
        <v>3</v>
      </c>
      <c r="BA17" s="25">
        <v>24</v>
      </c>
      <c r="BB17" s="25">
        <v>18</v>
      </c>
      <c r="BC17" s="25">
        <v>6</v>
      </c>
      <c r="BD17" s="25">
        <v>6</v>
      </c>
      <c r="BE17" s="25">
        <v>23</v>
      </c>
      <c r="BF17" s="25">
        <v>20</v>
      </c>
      <c r="BG17" s="25">
        <v>9</v>
      </c>
      <c r="BH17" s="25">
        <v>7</v>
      </c>
      <c r="BI17" s="25">
        <v>7</v>
      </c>
      <c r="BJ17" s="25">
        <v>7</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123</v>
      </c>
      <c r="CH17" s="25">
        <v>60</v>
      </c>
      <c r="CI17" s="25">
        <v>92</v>
      </c>
      <c r="CJ17" s="25">
        <v>53</v>
      </c>
      <c r="CK17" s="25">
        <v>82</v>
      </c>
      <c r="CL17" s="25">
        <v>52</v>
      </c>
      <c r="CM17" s="25">
        <v>10</v>
      </c>
      <c r="CN17" s="25">
        <v>10</v>
      </c>
      <c r="CO17" s="25">
        <v>3</v>
      </c>
      <c r="CP17" s="25">
        <v>3</v>
      </c>
      <c r="CQ17" s="25">
        <v>12</v>
      </c>
      <c r="CR17" s="25">
        <v>14</v>
      </c>
      <c r="CS17" s="25">
        <v>11</v>
      </c>
      <c r="CT17" s="25">
        <v>12</v>
      </c>
      <c r="CU17" s="25">
        <v>2</v>
      </c>
      <c r="CV17" s="25">
        <v>4</v>
      </c>
      <c r="CW17" s="25">
        <v>3</v>
      </c>
      <c r="CX17" s="25">
        <v>5</v>
      </c>
      <c r="CY17" s="25">
        <v>0</v>
      </c>
      <c r="CZ17" s="25">
        <v>16</v>
      </c>
      <c r="DA17" s="25">
        <v>59</v>
      </c>
      <c r="DB17" s="25">
        <v>33</v>
      </c>
      <c r="DC17" s="25">
        <v>38</v>
      </c>
      <c r="DD17" s="25">
        <v>24</v>
      </c>
      <c r="DE17" s="25">
        <v>26</v>
      </c>
      <c r="DF17" s="25">
        <v>18</v>
      </c>
      <c r="DG17" s="25">
        <v>12</v>
      </c>
      <c r="DH17" s="25">
        <v>18</v>
      </c>
      <c r="DI17" s="25">
        <v>9</v>
      </c>
      <c r="DJ17" s="25">
        <v>10</v>
      </c>
      <c r="DK17" s="25">
        <v>8</v>
      </c>
      <c r="DL17" s="25">
        <v>9</v>
      </c>
      <c r="DM17" s="25">
        <v>0</v>
      </c>
      <c r="DN17" s="25">
        <v>16</v>
      </c>
      <c r="DO17" s="25">
        <v>0</v>
      </c>
      <c r="DP17" s="25">
        <v>16</v>
      </c>
      <c r="DQ17" s="25">
        <v>4</v>
      </c>
      <c r="DR17" s="25">
        <v>4</v>
      </c>
      <c r="DS17" s="25">
        <v>0</v>
      </c>
      <c r="DT17" s="25">
        <v>16</v>
      </c>
      <c r="DU17" s="25">
        <v>158</v>
      </c>
      <c r="DV17" s="25">
        <v>52</v>
      </c>
      <c r="DW17" s="25">
        <v>96</v>
      </c>
      <c r="DX17" s="25">
        <v>43</v>
      </c>
      <c r="DY17" s="25">
        <v>72</v>
      </c>
      <c r="DZ17" s="25">
        <v>40</v>
      </c>
      <c r="EA17" s="25">
        <v>24</v>
      </c>
      <c r="EB17" s="25">
        <v>16</v>
      </c>
      <c r="EC17" s="25">
        <v>24</v>
      </c>
      <c r="ED17" s="25">
        <v>21</v>
      </c>
      <c r="EE17" s="25">
        <v>0</v>
      </c>
      <c r="EF17" s="25">
        <v>16</v>
      </c>
      <c r="EG17" s="25">
        <v>0</v>
      </c>
      <c r="EH17" s="25">
        <v>16</v>
      </c>
      <c r="EI17" s="25">
        <v>0</v>
      </c>
      <c r="EJ17" s="25">
        <v>16</v>
      </c>
      <c r="EK17" s="25">
        <v>38</v>
      </c>
      <c r="EL17" s="25">
        <v>24</v>
      </c>
      <c r="EM17" s="25">
        <v>0</v>
      </c>
      <c r="EN17" s="25">
        <v>16</v>
      </c>
    </row>
    <row r="18" spans="1:144" x14ac:dyDescent="0.25">
      <c r="A18" s="19">
        <f t="shared" si="8"/>
        <v>19</v>
      </c>
      <c r="B18" s="20" t="str">
        <f t="shared" si="9"/>
        <v>Grand</v>
      </c>
      <c r="C18" s="24" t="s">
        <v>306</v>
      </c>
      <c r="D18" s="24" t="s">
        <v>307</v>
      </c>
      <c r="E18" s="25">
        <v>4592</v>
      </c>
      <c r="F18" s="25">
        <v>324</v>
      </c>
      <c r="G18" s="25">
        <v>3013</v>
      </c>
      <c r="H18" s="25">
        <v>359</v>
      </c>
      <c r="I18" s="25">
        <v>2900</v>
      </c>
      <c r="J18" s="25">
        <v>350</v>
      </c>
      <c r="K18" s="25">
        <v>113</v>
      </c>
      <c r="L18" s="25">
        <v>69</v>
      </c>
      <c r="M18" s="25">
        <v>402</v>
      </c>
      <c r="N18" s="25">
        <v>180</v>
      </c>
      <c r="O18" s="25">
        <v>303</v>
      </c>
      <c r="P18" s="25">
        <v>137</v>
      </c>
      <c r="Q18" s="25">
        <v>143</v>
      </c>
      <c r="R18" s="25">
        <v>85</v>
      </c>
      <c r="S18" s="25">
        <v>230</v>
      </c>
      <c r="T18" s="25">
        <v>122</v>
      </c>
      <c r="U18" s="25">
        <v>501</v>
      </c>
      <c r="V18" s="25">
        <v>176</v>
      </c>
      <c r="W18" s="25">
        <v>0</v>
      </c>
      <c r="X18" s="25">
        <v>16</v>
      </c>
      <c r="Y18" s="25">
        <v>3119</v>
      </c>
      <c r="Z18" s="25">
        <v>306</v>
      </c>
      <c r="AA18" s="25">
        <v>2232</v>
      </c>
      <c r="AB18" s="25">
        <v>299</v>
      </c>
      <c r="AC18" s="25">
        <v>2186</v>
      </c>
      <c r="AD18" s="25">
        <v>297</v>
      </c>
      <c r="AE18" s="25">
        <v>46</v>
      </c>
      <c r="AF18" s="25">
        <v>42</v>
      </c>
      <c r="AG18" s="25">
        <v>313</v>
      </c>
      <c r="AH18" s="25">
        <v>168</v>
      </c>
      <c r="AI18" s="25">
        <v>267</v>
      </c>
      <c r="AJ18" s="25">
        <v>129</v>
      </c>
      <c r="AK18" s="25">
        <v>104</v>
      </c>
      <c r="AL18" s="25">
        <v>85</v>
      </c>
      <c r="AM18" s="25">
        <v>84</v>
      </c>
      <c r="AN18" s="25">
        <v>58</v>
      </c>
      <c r="AO18" s="25">
        <v>119</v>
      </c>
      <c r="AP18" s="25">
        <v>82</v>
      </c>
      <c r="AQ18" s="25">
        <v>0</v>
      </c>
      <c r="AR18" s="25">
        <v>16</v>
      </c>
      <c r="AS18" s="25">
        <v>534</v>
      </c>
      <c r="AT18" s="25">
        <v>198</v>
      </c>
      <c r="AU18" s="25">
        <v>326</v>
      </c>
      <c r="AV18" s="25">
        <v>143</v>
      </c>
      <c r="AW18" s="25">
        <v>290</v>
      </c>
      <c r="AX18" s="25">
        <v>137</v>
      </c>
      <c r="AY18" s="25">
        <v>36</v>
      </c>
      <c r="AZ18" s="25">
        <v>45</v>
      </c>
      <c r="BA18" s="25">
        <v>68</v>
      </c>
      <c r="BB18" s="25">
        <v>72</v>
      </c>
      <c r="BC18" s="25">
        <v>11</v>
      </c>
      <c r="BD18" s="25">
        <v>15</v>
      </c>
      <c r="BE18" s="25">
        <v>21</v>
      </c>
      <c r="BF18" s="25">
        <v>25</v>
      </c>
      <c r="BG18" s="25">
        <v>72</v>
      </c>
      <c r="BH18" s="25">
        <v>81</v>
      </c>
      <c r="BI18" s="25">
        <v>36</v>
      </c>
      <c r="BJ18" s="25">
        <v>37</v>
      </c>
      <c r="BK18" s="25">
        <v>0</v>
      </c>
      <c r="BL18" s="25">
        <v>16</v>
      </c>
      <c r="BM18" s="25">
        <v>4</v>
      </c>
      <c r="BN18" s="25">
        <v>7</v>
      </c>
      <c r="BO18" s="25">
        <v>0</v>
      </c>
      <c r="BP18" s="25">
        <v>16</v>
      </c>
      <c r="BQ18" s="25">
        <v>0</v>
      </c>
      <c r="BR18" s="25">
        <v>16</v>
      </c>
      <c r="BS18" s="25">
        <v>0</v>
      </c>
      <c r="BT18" s="25">
        <v>16</v>
      </c>
      <c r="BU18" s="25">
        <v>0</v>
      </c>
      <c r="BV18" s="25">
        <v>16</v>
      </c>
      <c r="BW18" s="25">
        <v>0</v>
      </c>
      <c r="BX18" s="25">
        <v>16</v>
      </c>
      <c r="BY18" s="25">
        <v>0</v>
      </c>
      <c r="BZ18" s="25">
        <v>16</v>
      </c>
      <c r="CA18" s="25">
        <v>0</v>
      </c>
      <c r="CB18" s="25">
        <v>16</v>
      </c>
      <c r="CC18" s="25">
        <v>4</v>
      </c>
      <c r="CD18" s="25">
        <v>7</v>
      </c>
      <c r="CE18" s="25">
        <v>0</v>
      </c>
      <c r="CF18" s="25">
        <v>16</v>
      </c>
      <c r="CG18" s="25">
        <v>217</v>
      </c>
      <c r="CH18" s="25">
        <v>138</v>
      </c>
      <c r="CI18" s="25">
        <v>189</v>
      </c>
      <c r="CJ18" s="25">
        <v>132</v>
      </c>
      <c r="CK18" s="25">
        <v>189</v>
      </c>
      <c r="CL18" s="25">
        <v>132</v>
      </c>
      <c r="CM18" s="25">
        <v>0</v>
      </c>
      <c r="CN18" s="25">
        <v>16</v>
      </c>
      <c r="CO18" s="25">
        <v>0</v>
      </c>
      <c r="CP18" s="25">
        <v>16</v>
      </c>
      <c r="CQ18" s="25">
        <v>0</v>
      </c>
      <c r="CR18" s="25">
        <v>16</v>
      </c>
      <c r="CS18" s="25">
        <v>0</v>
      </c>
      <c r="CT18" s="25">
        <v>16</v>
      </c>
      <c r="CU18" s="25">
        <v>21</v>
      </c>
      <c r="CV18" s="25">
        <v>45</v>
      </c>
      <c r="CW18" s="25">
        <v>7</v>
      </c>
      <c r="CX18" s="25">
        <v>15</v>
      </c>
      <c r="CY18" s="25">
        <v>0</v>
      </c>
      <c r="CZ18" s="25">
        <v>16</v>
      </c>
      <c r="DA18" s="25">
        <v>241</v>
      </c>
      <c r="DB18" s="25">
        <v>114</v>
      </c>
      <c r="DC18" s="25">
        <v>131</v>
      </c>
      <c r="DD18" s="25">
        <v>97</v>
      </c>
      <c r="DE18" s="25">
        <v>131</v>
      </c>
      <c r="DF18" s="25">
        <v>97</v>
      </c>
      <c r="DG18" s="25">
        <v>0</v>
      </c>
      <c r="DH18" s="25">
        <v>16</v>
      </c>
      <c r="DI18" s="25">
        <v>0</v>
      </c>
      <c r="DJ18" s="25">
        <v>16</v>
      </c>
      <c r="DK18" s="25">
        <v>25</v>
      </c>
      <c r="DL18" s="25">
        <v>35</v>
      </c>
      <c r="DM18" s="25">
        <v>0</v>
      </c>
      <c r="DN18" s="25">
        <v>16</v>
      </c>
      <c r="DO18" s="25">
        <v>42</v>
      </c>
      <c r="DP18" s="25">
        <v>39</v>
      </c>
      <c r="DQ18" s="25">
        <v>43</v>
      </c>
      <c r="DR18" s="25">
        <v>67</v>
      </c>
      <c r="DS18" s="25">
        <v>0</v>
      </c>
      <c r="DT18" s="25">
        <v>16</v>
      </c>
      <c r="DU18" s="25">
        <v>477</v>
      </c>
      <c r="DV18" s="25">
        <v>179</v>
      </c>
      <c r="DW18" s="25">
        <v>135</v>
      </c>
      <c r="DX18" s="25">
        <v>86</v>
      </c>
      <c r="DY18" s="25">
        <v>104</v>
      </c>
      <c r="DZ18" s="25">
        <v>77</v>
      </c>
      <c r="EA18" s="25">
        <v>31</v>
      </c>
      <c r="EB18" s="25">
        <v>32</v>
      </c>
      <c r="EC18" s="25">
        <v>21</v>
      </c>
      <c r="ED18" s="25">
        <v>18</v>
      </c>
      <c r="EE18" s="25">
        <v>0</v>
      </c>
      <c r="EF18" s="25">
        <v>16</v>
      </c>
      <c r="EG18" s="25">
        <v>18</v>
      </c>
      <c r="EH18" s="25">
        <v>20</v>
      </c>
      <c r="EI18" s="25">
        <v>11</v>
      </c>
      <c r="EJ18" s="25">
        <v>18</v>
      </c>
      <c r="EK18" s="25">
        <v>292</v>
      </c>
      <c r="EL18" s="25">
        <v>151</v>
      </c>
      <c r="EM18" s="25">
        <v>0</v>
      </c>
      <c r="EN18" s="25">
        <v>16</v>
      </c>
    </row>
    <row r="19" spans="1:144" x14ac:dyDescent="0.25">
      <c r="A19" s="19">
        <f t="shared" si="8"/>
        <v>21</v>
      </c>
      <c r="B19" s="20" t="str">
        <f t="shared" si="9"/>
        <v>Iron</v>
      </c>
      <c r="C19" s="24" t="s">
        <v>308</v>
      </c>
      <c r="D19" s="24" t="s">
        <v>309</v>
      </c>
      <c r="E19" s="25">
        <v>20690</v>
      </c>
      <c r="F19" s="25">
        <v>724</v>
      </c>
      <c r="G19" s="25">
        <v>14495</v>
      </c>
      <c r="H19" s="25">
        <v>703</v>
      </c>
      <c r="I19" s="25">
        <v>13603</v>
      </c>
      <c r="J19" s="25">
        <v>680</v>
      </c>
      <c r="K19" s="25">
        <v>892</v>
      </c>
      <c r="L19" s="25">
        <v>249</v>
      </c>
      <c r="M19" s="25">
        <v>1064</v>
      </c>
      <c r="N19" s="25">
        <v>243</v>
      </c>
      <c r="O19" s="25">
        <v>1607</v>
      </c>
      <c r="P19" s="25">
        <v>295</v>
      </c>
      <c r="Q19" s="25">
        <v>1913</v>
      </c>
      <c r="R19" s="25">
        <v>349</v>
      </c>
      <c r="S19" s="25">
        <v>683</v>
      </c>
      <c r="T19" s="25">
        <v>295</v>
      </c>
      <c r="U19" s="25">
        <v>921</v>
      </c>
      <c r="V19" s="25">
        <v>261</v>
      </c>
      <c r="W19" s="25">
        <v>7</v>
      </c>
      <c r="X19" s="25">
        <v>10</v>
      </c>
      <c r="Y19" s="25">
        <v>15822</v>
      </c>
      <c r="Z19" s="25">
        <v>766</v>
      </c>
      <c r="AA19" s="25">
        <v>11123</v>
      </c>
      <c r="AB19" s="25">
        <v>717</v>
      </c>
      <c r="AC19" s="25">
        <v>10564</v>
      </c>
      <c r="AD19" s="25">
        <v>711</v>
      </c>
      <c r="AE19" s="25">
        <v>559</v>
      </c>
      <c r="AF19" s="25">
        <v>153</v>
      </c>
      <c r="AG19" s="25">
        <v>776</v>
      </c>
      <c r="AH19" s="25">
        <v>206</v>
      </c>
      <c r="AI19" s="25">
        <v>1387</v>
      </c>
      <c r="AJ19" s="25">
        <v>265</v>
      </c>
      <c r="AK19" s="25">
        <v>1472</v>
      </c>
      <c r="AL19" s="25">
        <v>257</v>
      </c>
      <c r="AM19" s="25">
        <v>573</v>
      </c>
      <c r="AN19" s="25">
        <v>288</v>
      </c>
      <c r="AO19" s="25">
        <v>484</v>
      </c>
      <c r="AP19" s="25">
        <v>159</v>
      </c>
      <c r="AQ19" s="25">
        <v>7</v>
      </c>
      <c r="AR19" s="25">
        <v>10</v>
      </c>
      <c r="AS19" s="25">
        <v>2760</v>
      </c>
      <c r="AT19" s="25">
        <v>489</v>
      </c>
      <c r="AU19" s="25">
        <v>2148</v>
      </c>
      <c r="AV19" s="25">
        <v>382</v>
      </c>
      <c r="AW19" s="25">
        <v>1970</v>
      </c>
      <c r="AX19" s="25">
        <v>342</v>
      </c>
      <c r="AY19" s="25">
        <v>178</v>
      </c>
      <c r="AZ19" s="25">
        <v>167</v>
      </c>
      <c r="BA19" s="25">
        <v>130</v>
      </c>
      <c r="BB19" s="25">
        <v>83</v>
      </c>
      <c r="BC19" s="25">
        <v>165</v>
      </c>
      <c r="BD19" s="25">
        <v>87</v>
      </c>
      <c r="BE19" s="25">
        <v>206</v>
      </c>
      <c r="BF19" s="25">
        <v>120</v>
      </c>
      <c r="BG19" s="25">
        <v>64</v>
      </c>
      <c r="BH19" s="25">
        <v>67</v>
      </c>
      <c r="BI19" s="25">
        <v>47</v>
      </c>
      <c r="BJ19" s="25">
        <v>39</v>
      </c>
      <c r="BK19" s="25">
        <v>0</v>
      </c>
      <c r="BL19" s="25">
        <v>24</v>
      </c>
      <c r="BM19" s="25">
        <v>47</v>
      </c>
      <c r="BN19" s="25">
        <v>43</v>
      </c>
      <c r="BO19" s="25">
        <v>29</v>
      </c>
      <c r="BP19" s="25">
        <v>40</v>
      </c>
      <c r="BQ19" s="25">
        <v>29</v>
      </c>
      <c r="BR19" s="25">
        <v>40</v>
      </c>
      <c r="BS19" s="25">
        <v>0</v>
      </c>
      <c r="BT19" s="25">
        <v>24</v>
      </c>
      <c r="BU19" s="25">
        <v>0</v>
      </c>
      <c r="BV19" s="25">
        <v>24</v>
      </c>
      <c r="BW19" s="25">
        <v>0</v>
      </c>
      <c r="BX19" s="25">
        <v>24</v>
      </c>
      <c r="BY19" s="25">
        <v>0</v>
      </c>
      <c r="BZ19" s="25">
        <v>24</v>
      </c>
      <c r="CA19" s="25">
        <v>15</v>
      </c>
      <c r="CB19" s="25">
        <v>23</v>
      </c>
      <c r="CC19" s="25">
        <v>3</v>
      </c>
      <c r="CD19" s="25">
        <v>9</v>
      </c>
      <c r="CE19" s="25">
        <v>0</v>
      </c>
      <c r="CF19" s="25">
        <v>24</v>
      </c>
      <c r="CG19" s="25">
        <v>945</v>
      </c>
      <c r="CH19" s="25">
        <v>324</v>
      </c>
      <c r="CI19" s="25">
        <v>629</v>
      </c>
      <c r="CJ19" s="25">
        <v>246</v>
      </c>
      <c r="CK19" s="25">
        <v>591</v>
      </c>
      <c r="CL19" s="25">
        <v>245</v>
      </c>
      <c r="CM19" s="25">
        <v>38</v>
      </c>
      <c r="CN19" s="25">
        <v>20</v>
      </c>
      <c r="CO19" s="25">
        <v>144</v>
      </c>
      <c r="CP19" s="25">
        <v>97</v>
      </c>
      <c r="CQ19" s="25">
        <v>30</v>
      </c>
      <c r="CR19" s="25">
        <v>29</v>
      </c>
      <c r="CS19" s="25">
        <v>57</v>
      </c>
      <c r="CT19" s="25">
        <v>61</v>
      </c>
      <c r="CU19" s="25">
        <v>0</v>
      </c>
      <c r="CV19" s="25">
        <v>24</v>
      </c>
      <c r="CW19" s="25">
        <v>85</v>
      </c>
      <c r="CX19" s="25">
        <v>68</v>
      </c>
      <c r="CY19" s="25">
        <v>0</v>
      </c>
      <c r="CZ19" s="25">
        <v>24</v>
      </c>
      <c r="DA19" s="25">
        <v>390</v>
      </c>
      <c r="DB19" s="25">
        <v>175</v>
      </c>
      <c r="DC19" s="25">
        <v>145</v>
      </c>
      <c r="DD19" s="25">
        <v>90</v>
      </c>
      <c r="DE19" s="25">
        <v>136</v>
      </c>
      <c r="DF19" s="25">
        <v>88</v>
      </c>
      <c r="DG19" s="25">
        <v>9</v>
      </c>
      <c r="DH19" s="25">
        <v>13</v>
      </c>
      <c r="DI19" s="25">
        <v>0</v>
      </c>
      <c r="DJ19" s="25">
        <v>24</v>
      </c>
      <c r="DK19" s="25">
        <v>0</v>
      </c>
      <c r="DL19" s="25">
        <v>24</v>
      </c>
      <c r="DM19" s="25">
        <v>143</v>
      </c>
      <c r="DN19" s="25">
        <v>118</v>
      </c>
      <c r="DO19" s="25">
        <v>31</v>
      </c>
      <c r="DP19" s="25">
        <v>47</v>
      </c>
      <c r="DQ19" s="25">
        <v>71</v>
      </c>
      <c r="DR19" s="25">
        <v>84</v>
      </c>
      <c r="DS19" s="25">
        <v>0</v>
      </c>
      <c r="DT19" s="25">
        <v>24</v>
      </c>
      <c r="DU19" s="25">
        <v>726</v>
      </c>
      <c r="DV19" s="25">
        <v>187</v>
      </c>
      <c r="DW19" s="25">
        <v>421</v>
      </c>
      <c r="DX19" s="25">
        <v>156</v>
      </c>
      <c r="DY19" s="25">
        <v>313</v>
      </c>
      <c r="DZ19" s="25">
        <v>152</v>
      </c>
      <c r="EA19" s="25">
        <v>108</v>
      </c>
      <c r="EB19" s="25">
        <v>72</v>
      </c>
      <c r="EC19" s="25">
        <v>14</v>
      </c>
      <c r="ED19" s="25">
        <v>23</v>
      </c>
      <c r="EE19" s="25">
        <v>25</v>
      </c>
      <c r="EF19" s="25">
        <v>32</v>
      </c>
      <c r="EG19" s="25">
        <v>35</v>
      </c>
      <c r="EH19" s="25">
        <v>34</v>
      </c>
      <c r="EI19" s="25">
        <v>0</v>
      </c>
      <c r="EJ19" s="25">
        <v>24</v>
      </c>
      <c r="EK19" s="25">
        <v>231</v>
      </c>
      <c r="EL19" s="25">
        <v>120</v>
      </c>
      <c r="EM19" s="25">
        <v>0</v>
      </c>
      <c r="EN19" s="25">
        <v>24</v>
      </c>
    </row>
    <row r="20" spans="1:144" x14ac:dyDescent="0.25">
      <c r="A20" s="19">
        <f t="shared" si="8"/>
        <v>23</v>
      </c>
      <c r="B20" s="20" t="str">
        <f t="shared" si="9"/>
        <v>Juab</v>
      </c>
      <c r="C20" s="24" t="s">
        <v>310</v>
      </c>
      <c r="D20" s="24" t="s">
        <v>311</v>
      </c>
      <c r="E20" s="25">
        <v>4451</v>
      </c>
      <c r="F20" s="25">
        <v>197</v>
      </c>
      <c r="G20" s="25">
        <v>3156</v>
      </c>
      <c r="H20" s="25">
        <v>220</v>
      </c>
      <c r="I20" s="25">
        <v>3043</v>
      </c>
      <c r="J20" s="25">
        <v>227</v>
      </c>
      <c r="K20" s="25">
        <v>113</v>
      </c>
      <c r="L20" s="25">
        <v>58</v>
      </c>
      <c r="M20" s="25">
        <v>227</v>
      </c>
      <c r="N20" s="25">
        <v>60</v>
      </c>
      <c r="O20" s="25">
        <v>431</v>
      </c>
      <c r="P20" s="25">
        <v>107</v>
      </c>
      <c r="Q20" s="25">
        <v>340</v>
      </c>
      <c r="R20" s="25">
        <v>91</v>
      </c>
      <c r="S20" s="25">
        <v>32</v>
      </c>
      <c r="T20" s="25">
        <v>20</v>
      </c>
      <c r="U20" s="25">
        <v>265</v>
      </c>
      <c r="V20" s="25">
        <v>69</v>
      </c>
      <c r="W20" s="25">
        <v>0</v>
      </c>
      <c r="X20" s="25">
        <v>18</v>
      </c>
      <c r="Y20" s="25">
        <v>3319</v>
      </c>
      <c r="Z20" s="25">
        <v>200</v>
      </c>
      <c r="AA20" s="25">
        <v>2357</v>
      </c>
      <c r="AB20" s="25">
        <v>194</v>
      </c>
      <c r="AC20" s="25">
        <v>2259</v>
      </c>
      <c r="AD20" s="25">
        <v>208</v>
      </c>
      <c r="AE20" s="25">
        <v>98</v>
      </c>
      <c r="AF20" s="25">
        <v>61</v>
      </c>
      <c r="AG20" s="25">
        <v>127</v>
      </c>
      <c r="AH20" s="25">
        <v>49</v>
      </c>
      <c r="AI20" s="25">
        <v>386</v>
      </c>
      <c r="AJ20" s="25">
        <v>101</v>
      </c>
      <c r="AK20" s="25">
        <v>297</v>
      </c>
      <c r="AL20" s="25">
        <v>87</v>
      </c>
      <c r="AM20" s="25">
        <v>17</v>
      </c>
      <c r="AN20" s="25">
        <v>16</v>
      </c>
      <c r="AO20" s="25">
        <v>135</v>
      </c>
      <c r="AP20" s="25">
        <v>50</v>
      </c>
      <c r="AQ20" s="25">
        <v>0</v>
      </c>
      <c r="AR20" s="25">
        <v>18</v>
      </c>
      <c r="AS20" s="25">
        <v>622</v>
      </c>
      <c r="AT20" s="25">
        <v>135</v>
      </c>
      <c r="AU20" s="25">
        <v>478</v>
      </c>
      <c r="AV20" s="25">
        <v>121</v>
      </c>
      <c r="AW20" s="25">
        <v>478</v>
      </c>
      <c r="AX20" s="25">
        <v>121</v>
      </c>
      <c r="AY20" s="25">
        <v>0</v>
      </c>
      <c r="AZ20" s="25">
        <v>18</v>
      </c>
      <c r="BA20" s="25">
        <v>65</v>
      </c>
      <c r="BB20" s="25">
        <v>42</v>
      </c>
      <c r="BC20" s="25">
        <v>28</v>
      </c>
      <c r="BD20" s="25">
        <v>29</v>
      </c>
      <c r="BE20" s="25">
        <v>19</v>
      </c>
      <c r="BF20" s="25">
        <v>15</v>
      </c>
      <c r="BG20" s="25">
        <v>7</v>
      </c>
      <c r="BH20" s="25">
        <v>8</v>
      </c>
      <c r="BI20" s="25">
        <v>25</v>
      </c>
      <c r="BJ20" s="25">
        <v>26</v>
      </c>
      <c r="BK20" s="25">
        <v>0</v>
      </c>
      <c r="BL20" s="25">
        <v>18</v>
      </c>
      <c r="BM20" s="25">
        <v>9</v>
      </c>
      <c r="BN20" s="25">
        <v>12</v>
      </c>
      <c r="BO20" s="25">
        <v>1</v>
      </c>
      <c r="BP20" s="25">
        <v>2</v>
      </c>
      <c r="BQ20" s="25">
        <v>1</v>
      </c>
      <c r="BR20" s="25">
        <v>2</v>
      </c>
      <c r="BS20" s="25">
        <v>0</v>
      </c>
      <c r="BT20" s="25">
        <v>18</v>
      </c>
      <c r="BU20" s="25">
        <v>0</v>
      </c>
      <c r="BV20" s="25">
        <v>18</v>
      </c>
      <c r="BW20" s="25">
        <v>0</v>
      </c>
      <c r="BX20" s="25">
        <v>18</v>
      </c>
      <c r="BY20" s="25">
        <v>8</v>
      </c>
      <c r="BZ20" s="25">
        <v>12</v>
      </c>
      <c r="CA20" s="25">
        <v>0</v>
      </c>
      <c r="CB20" s="25">
        <v>18</v>
      </c>
      <c r="CC20" s="25">
        <v>0</v>
      </c>
      <c r="CD20" s="25">
        <v>18</v>
      </c>
      <c r="CE20" s="25">
        <v>0</v>
      </c>
      <c r="CF20" s="25">
        <v>18</v>
      </c>
      <c r="CG20" s="25">
        <v>182</v>
      </c>
      <c r="CH20" s="25">
        <v>60</v>
      </c>
      <c r="CI20" s="25">
        <v>117</v>
      </c>
      <c r="CJ20" s="25">
        <v>52</v>
      </c>
      <c r="CK20" s="25">
        <v>117</v>
      </c>
      <c r="CL20" s="25">
        <v>52</v>
      </c>
      <c r="CM20" s="25">
        <v>0</v>
      </c>
      <c r="CN20" s="25">
        <v>18</v>
      </c>
      <c r="CO20" s="25">
        <v>20</v>
      </c>
      <c r="CP20" s="25">
        <v>13</v>
      </c>
      <c r="CQ20" s="25">
        <v>14</v>
      </c>
      <c r="CR20" s="25">
        <v>11</v>
      </c>
      <c r="CS20" s="25">
        <v>12</v>
      </c>
      <c r="CT20" s="25">
        <v>18</v>
      </c>
      <c r="CU20" s="25">
        <v>8</v>
      </c>
      <c r="CV20" s="25">
        <v>11</v>
      </c>
      <c r="CW20" s="25">
        <v>11</v>
      </c>
      <c r="CX20" s="25">
        <v>16</v>
      </c>
      <c r="CY20" s="25">
        <v>0</v>
      </c>
      <c r="CZ20" s="25">
        <v>18</v>
      </c>
      <c r="DA20" s="25">
        <v>13</v>
      </c>
      <c r="DB20" s="25">
        <v>11</v>
      </c>
      <c r="DC20" s="25">
        <v>10</v>
      </c>
      <c r="DD20" s="25">
        <v>10</v>
      </c>
      <c r="DE20" s="25">
        <v>10</v>
      </c>
      <c r="DF20" s="25">
        <v>10</v>
      </c>
      <c r="DG20" s="25">
        <v>0</v>
      </c>
      <c r="DH20" s="25">
        <v>18</v>
      </c>
      <c r="DI20" s="25">
        <v>3</v>
      </c>
      <c r="DJ20" s="25">
        <v>4</v>
      </c>
      <c r="DK20" s="25">
        <v>0</v>
      </c>
      <c r="DL20" s="25">
        <v>18</v>
      </c>
      <c r="DM20" s="25">
        <v>0</v>
      </c>
      <c r="DN20" s="25">
        <v>18</v>
      </c>
      <c r="DO20" s="25">
        <v>0</v>
      </c>
      <c r="DP20" s="25">
        <v>18</v>
      </c>
      <c r="DQ20" s="25">
        <v>0</v>
      </c>
      <c r="DR20" s="25">
        <v>18</v>
      </c>
      <c r="DS20" s="25">
        <v>0</v>
      </c>
      <c r="DT20" s="25">
        <v>18</v>
      </c>
      <c r="DU20" s="25">
        <v>306</v>
      </c>
      <c r="DV20" s="25">
        <v>92</v>
      </c>
      <c r="DW20" s="25">
        <v>193</v>
      </c>
      <c r="DX20" s="25">
        <v>85</v>
      </c>
      <c r="DY20" s="25">
        <v>178</v>
      </c>
      <c r="DZ20" s="25">
        <v>87</v>
      </c>
      <c r="EA20" s="25">
        <v>15</v>
      </c>
      <c r="EB20" s="25">
        <v>14</v>
      </c>
      <c r="EC20" s="25">
        <v>12</v>
      </c>
      <c r="ED20" s="25">
        <v>16</v>
      </c>
      <c r="EE20" s="25">
        <v>3</v>
      </c>
      <c r="EF20" s="25">
        <v>5</v>
      </c>
      <c r="EG20" s="25">
        <v>4</v>
      </c>
      <c r="EH20" s="25">
        <v>5</v>
      </c>
      <c r="EI20" s="25">
        <v>0</v>
      </c>
      <c r="EJ20" s="25">
        <v>18</v>
      </c>
      <c r="EK20" s="25">
        <v>94</v>
      </c>
      <c r="EL20" s="25">
        <v>34</v>
      </c>
      <c r="EM20" s="25">
        <v>0</v>
      </c>
      <c r="EN20" s="25">
        <v>18</v>
      </c>
    </row>
    <row r="21" spans="1:144" x14ac:dyDescent="0.25">
      <c r="A21" s="19">
        <f t="shared" si="8"/>
        <v>25</v>
      </c>
      <c r="B21" s="20" t="str">
        <f t="shared" si="9"/>
        <v>Kane</v>
      </c>
      <c r="C21" s="24" t="s">
        <v>312</v>
      </c>
      <c r="D21" s="24" t="s">
        <v>313</v>
      </c>
      <c r="E21" s="25">
        <v>3142</v>
      </c>
      <c r="F21" s="25">
        <v>193</v>
      </c>
      <c r="G21" s="25">
        <v>1826</v>
      </c>
      <c r="H21" s="25">
        <v>212</v>
      </c>
      <c r="I21" s="25">
        <v>1723</v>
      </c>
      <c r="J21" s="25">
        <v>212</v>
      </c>
      <c r="K21" s="25">
        <v>103</v>
      </c>
      <c r="L21" s="25">
        <v>45</v>
      </c>
      <c r="M21" s="25">
        <v>425</v>
      </c>
      <c r="N21" s="25">
        <v>129</v>
      </c>
      <c r="O21" s="25">
        <v>322</v>
      </c>
      <c r="P21" s="25">
        <v>117</v>
      </c>
      <c r="Q21" s="25">
        <v>203</v>
      </c>
      <c r="R21" s="25">
        <v>101</v>
      </c>
      <c r="S21" s="25">
        <v>139</v>
      </c>
      <c r="T21" s="25">
        <v>70</v>
      </c>
      <c r="U21" s="25">
        <v>191</v>
      </c>
      <c r="V21" s="25">
        <v>75</v>
      </c>
      <c r="W21" s="25">
        <v>36</v>
      </c>
      <c r="X21" s="25">
        <v>30</v>
      </c>
      <c r="Y21" s="25">
        <v>2407</v>
      </c>
      <c r="Z21" s="25">
        <v>285</v>
      </c>
      <c r="AA21" s="25">
        <v>1308</v>
      </c>
      <c r="AB21" s="25">
        <v>239</v>
      </c>
      <c r="AC21" s="25">
        <v>1237</v>
      </c>
      <c r="AD21" s="25">
        <v>239</v>
      </c>
      <c r="AE21" s="25">
        <v>71</v>
      </c>
      <c r="AF21" s="25">
        <v>39</v>
      </c>
      <c r="AG21" s="25">
        <v>381</v>
      </c>
      <c r="AH21" s="25">
        <v>138</v>
      </c>
      <c r="AI21" s="25">
        <v>274</v>
      </c>
      <c r="AJ21" s="25">
        <v>118</v>
      </c>
      <c r="AK21" s="25">
        <v>188</v>
      </c>
      <c r="AL21" s="25">
        <v>100</v>
      </c>
      <c r="AM21" s="25">
        <v>123</v>
      </c>
      <c r="AN21" s="25">
        <v>62</v>
      </c>
      <c r="AO21" s="25">
        <v>126</v>
      </c>
      <c r="AP21" s="25">
        <v>67</v>
      </c>
      <c r="AQ21" s="25">
        <v>7</v>
      </c>
      <c r="AR21" s="25">
        <v>11</v>
      </c>
      <c r="AS21" s="25">
        <v>262</v>
      </c>
      <c r="AT21" s="25">
        <v>112</v>
      </c>
      <c r="AU21" s="25">
        <v>197</v>
      </c>
      <c r="AV21" s="25">
        <v>100</v>
      </c>
      <c r="AW21" s="25">
        <v>196</v>
      </c>
      <c r="AX21" s="25">
        <v>101</v>
      </c>
      <c r="AY21" s="25">
        <v>1</v>
      </c>
      <c r="AZ21" s="25">
        <v>2</v>
      </c>
      <c r="BA21" s="25">
        <v>21</v>
      </c>
      <c r="BB21" s="25">
        <v>30</v>
      </c>
      <c r="BC21" s="25">
        <v>9</v>
      </c>
      <c r="BD21" s="25">
        <v>8</v>
      </c>
      <c r="BE21" s="25">
        <v>0</v>
      </c>
      <c r="BF21" s="25">
        <v>16</v>
      </c>
      <c r="BG21" s="25">
        <v>0</v>
      </c>
      <c r="BH21" s="25">
        <v>16</v>
      </c>
      <c r="BI21" s="25">
        <v>35</v>
      </c>
      <c r="BJ21" s="25">
        <v>31</v>
      </c>
      <c r="BK21" s="25">
        <v>0</v>
      </c>
      <c r="BL21" s="25">
        <v>16</v>
      </c>
      <c r="BM21" s="25">
        <v>1</v>
      </c>
      <c r="BN21" s="25">
        <v>3</v>
      </c>
      <c r="BO21" s="25">
        <v>0</v>
      </c>
      <c r="BP21" s="25">
        <v>16</v>
      </c>
      <c r="BQ21" s="25">
        <v>0</v>
      </c>
      <c r="BR21" s="25">
        <v>16</v>
      </c>
      <c r="BS21" s="25">
        <v>0</v>
      </c>
      <c r="BT21" s="25">
        <v>16</v>
      </c>
      <c r="BU21" s="25">
        <v>0</v>
      </c>
      <c r="BV21" s="25">
        <v>16</v>
      </c>
      <c r="BW21" s="25">
        <v>0</v>
      </c>
      <c r="BX21" s="25">
        <v>16</v>
      </c>
      <c r="BY21" s="25">
        <v>0</v>
      </c>
      <c r="BZ21" s="25">
        <v>16</v>
      </c>
      <c r="CA21" s="25">
        <v>0</v>
      </c>
      <c r="CB21" s="25">
        <v>16</v>
      </c>
      <c r="CC21" s="25">
        <v>1</v>
      </c>
      <c r="CD21" s="25">
        <v>3</v>
      </c>
      <c r="CE21" s="25">
        <v>0</v>
      </c>
      <c r="CF21" s="25">
        <v>16</v>
      </c>
      <c r="CG21" s="25">
        <v>183</v>
      </c>
      <c r="CH21" s="25">
        <v>131</v>
      </c>
      <c r="CI21" s="25">
        <v>125</v>
      </c>
      <c r="CJ21" s="25">
        <v>121</v>
      </c>
      <c r="CK21" s="25">
        <v>119</v>
      </c>
      <c r="CL21" s="25">
        <v>120</v>
      </c>
      <c r="CM21" s="25">
        <v>6</v>
      </c>
      <c r="CN21" s="25">
        <v>9</v>
      </c>
      <c r="CO21" s="25">
        <v>0</v>
      </c>
      <c r="CP21" s="25">
        <v>16</v>
      </c>
      <c r="CQ21" s="25">
        <v>25</v>
      </c>
      <c r="CR21" s="25">
        <v>36</v>
      </c>
      <c r="CS21" s="25">
        <v>15</v>
      </c>
      <c r="CT21" s="25">
        <v>24</v>
      </c>
      <c r="CU21" s="25">
        <v>16</v>
      </c>
      <c r="CV21" s="25">
        <v>25</v>
      </c>
      <c r="CW21" s="25">
        <v>2</v>
      </c>
      <c r="CX21" s="25">
        <v>3</v>
      </c>
      <c r="CY21" s="25">
        <v>0</v>
      </c>
      <c r="CZ21" s="25">
        <v>16</v>
      </c>
      <c r="DA21" s="25">
        <v>120</v>
      </c>
      <c r="DB21" s="25">
        <v>102</v>
      </c>
      <c r="DC21" s="25">
        <v>107</v>
      </c>
      <c r="DD21" s="25">
        <v>99</v>
      </c>
      <c r="DE21" s="25">
        <v>98</v>
      </c>
      <c r="DF21" s="25">
        <v>100</v>
      </c>
      <c r="DG21" s="25">
        <v>9</v>
      </c>
      <c r="DH21" s="25">
        <v>15</v>
      </c>
      <c r="DI21" s="25">
        <v>0</v>
      </c>
      <c r="DJ21" s="25">
        <v>16</v>
      </c>
      <c r="DK21" s="25">
        <v>13</v>
      </c>
      <c r="DL21" s="25">
        <v>21</v>
      </c>
      <c r="DM21" s="25">
        <v>0</v>
      </c>
      <c r="DN21" s="25">
        <v>16</v>
      </c>
      <c r="DO21" s="25">
        <v>0</v>
      </c>
      <c r="DP21" s="25">
        <v>16</v>
      </c>
      <c r="DQ21" s="25">
        <v>0</v>
      </c>
      <c r="DR21" s="25">
        <v>16</v>
      </c>
      <c r="DS21" s="25">
        <v>0</v>
      </c>
      <c r="DT21" s="25">
        <v>16</v>
      </c>
      <c r="DU21" s="25">
        <v>169</v>
      </c>
      <c r="DV21" s="25">
        <v>63</v>
      </c>
      <c r="DW21" s="25">
        <v>89</v>
      </c>
      <c r="DX21" s="25">
        <v>45</v>
      </c>
      <c r="DY21" s="25">
        <v>73</v>
      </c>
      <c r="DZ21" s="25">
        <v>42</v>
      </c>
      <c r="EA21" s="25">
        <v>16</v>
      </c>
      <c r="EB21" s="25">
        <v>15</v>
      </c>
      <c r="EC21" s="25">
        <v>23</v>
      </c>
      <c r="ED21" s="25">
        <v>35</v>
      </c>
      <c r="EE21" s="25">
        <v>1</v>
      </c>
      <c r="EF21" s="25">
        <v>3</v>
      </c>
      <c r="EG21" s="25">
        <v>0</v>
      </c>
      <c r="EH21" s="25">
        <v>16</v>
      </c>
      <c r="EI21" s="25">
        <v>0</v>
      </c>
      <c r="EJ21" s="25">
        <v>16</v>
      </c>
      <c r="EK21" s="25">
        <v>27</v>
      </c>
      <c r="EL21" s="25">
        <v>25</v>
      </c>
      <c r="EM21" s="25">
        <v>29</v>
      </c>
      <c r="EN21" s="25">
        <v>29</v>
      </c>
    </row>
    <row r="22" spans="1:144" x14ac:dyDescent="0.25">
      <c r="A22" s="19">
        <f t="shared" si="8"/>
        <v>27</v>
      </c>
      <c r="B22" s="20" t="str">
        <f t="shared" si="9"/>
        <v>Millard</v>
      </c>
      <c r="C22" s="24" t="s">
        <v>314</v>
      </c>
      <c r="D22" s="24" t="s">
        <v>315</v>
      </c>
      <c r="E22" s="25">
        <v>5354</v>
      </c>
      <c r="F22" s="25">
        <v>175</v>
      </c>
      <c r="G22" s="25">
        <v>3730</v>
      </c>
      <c r="H22" s="25">
        <v>244</v>
      </c>
      <c r="I22" s="25">
        <v>3519</v>
      </c>
      <c r="J22" s="25">
        <v>254</v>
      </c>
      <c r="K22" s="25">
        <v>211</v>
      </c>
      <c r="L22" s="25">
        <v>110</v>
      </c>
      <c r="M22" s="25">
        <v>299</v>
      </c>
      <c r="N22" s="25">
        <v>80</v>
      </c>
      <c r="O22" s="25">
        <v>461</v>
      </c>
      <c r="P22" s="25">
        <v>109</v>
      </c>
      <c r="Q22" s="25">
        <v>339</v>
      </c>
      <c r="R22" s="25">
        <v>81</v>
      </c>
      <c r="S22" s="25">
        <v>71</v>
      </c>
      <c r="T22" s="25">
        <v>29</v>
      </c>
      <c r="U22" s="25">
        <v>446</v>
      </c>
      <c r="V22" s="25">
        <v>112</v>
      </c>
      <c r="W22" s="25">
        <v>8</v>
      </c>
      <c r="X22" s="25">
        <v>7</v>
      </c>
      <c r="Y22" s="25">
        <v>4019</v>
      </c>
      <c r="Z22" s="25">
        <v>256</v>
      </c>
      <c r="AA22" s="25">
        <v>2926</v>
      </c>
      <c r="AB22" s="25">
        <v>252</v>
      </c>
      <c r="AC22" s="25">
        <v>2821</v>
      </c>
      <c r="AD22" s="25">
        <v>249</v>
      </c>
      <c r="AE22" s="25">
        <v>105</v>
      </c>
      <c r="AF22" s="25">
        <v>48</v>
      </c>
      <c r="AG22" s="25">
        <v>212</v>
      </c>
      <c r="AH22" s="25">
        <v>64</v>
      </c>
      <c r="AI22" s="25">
        <v>329</v>
      </c>
      <c r="AJ22" s="25">
        <v>87</v>
      </c>
      <c r="AK22" s="25">
        <v>239</v>
      </c>
      <c r="AL22" s="25">
        <v>67</v>
      </c>
      <c r="AM22" s="25">
        <v>59</v>
      </c>
      <c r="AN22" s="25">
        <v>25</v>
      </c>
      <c r="AO22" s="25">
        <v>248</v>
      </c>
      <c r="AP22" s="25">
        <v>76</v>
      </c>
      <c r="AQ22" s="25">
        <v>6</v>
      </c>
      <c r="AR22" s="25">
        <v>7</v>
      </c>
      <c r="AS22" s="25">
        <v>890</v>
      </c>
      <c r="AT22" s="25">
        <v>163</v>
      </c>
      <c r="AU22" s="25">
        <v>635</v>
      </c>
      <c r="AV22" s="25">
        <v>131</v>
      </c>
      <c r="AW22" s="25">
        <v>621</v>
      </c>
      <c r="AX22" s="25">
        <v>128</v>
      </c>
      <c r="AY22" s="25">
        <v>14</v>
      </c>
      <c r="AZ22" s="25">
        <v>15</v>
      </c>
      <c r="BA22" s="25">
        <v>75</v>
      </c>
      <c r="BB22" s="25">
        <v>46</v>
      </c>
      <c r="BC22" s="25">
        <v>85</v>
      </c>
      <c r="BD22" s="25">
        <v>41</v>
      </c>
      <c r="BE22" s="25">
        <v>70</v>
      </c>
      <c r="BF22" s="25">
        <v>41</v>
      </c>
      <c r="BG22" s="25">
        <v>5</v>
      </c>
      <c r="BH22" s="25">
        <v>8</v>
      </c>
      <c r="BI22" s="25">
        <v>20</v>
      </c>
      <c r="BJ22" s="25">
        <v>19</v>
      </c>
      <c r="BK22" s="25">
        <v>0</v>
      </c>
      <c r="BL22" s="25">
        <v>18</v>
      </c>
      <c r="BM22" s="25">
        <v>10</v>
      </c>
      <c r="BN22" s="25">
        <v>15</v>
      </c>
      <c r="BO22" s="25">
        <v>10</v>
      </c>
      <c r="BP22" s="25">
        <v>15</v>
      </c>
      <c r="BQ22" s="25">
        <v>10</v>
      </c>
      <c r="BR22" s="25">
        <v>15</v>
      </c>
      <c r="BS22" s="25">
        <v>0</v>
      </c>
      <c r="BT22" s="25">
        <v>18</v>
      </c>
      <c r="BU22" s="25">
        <v>0</v>
      </c>
      <c r="BV22" s="25">
        <v>18</v>
      </c>
      <c r="BW22" s="25">
        <v>0</v>
      </c>
      <c r="BX22" s="25">
        <v>18</v>
      </c>
      <c r="BY22" s="25">
        <v>0</v>
      </c>
      <c r="BZ22" s="25">
        <v>18</v>
      </c>
      <c r="CA22" s="25">
        <v>0</v>
      </c>
      <c r="CB22" s="25">
        <v>18</v>
      </c>
      <c r="CC22" s="25">
        <v>0</v>
      </c>
      <c r="CD22" s="25">
        <v>18</v>
      </c>
      <c r="CE22" s="25">
        <v>0</v>
      </c>
      <c r="CF22" s="25">
        <v>18</v>
      </c>
      <c r="CG22" s="25">
        <v>101</v>
      </c>
      <c r="CH22" s="25">
        <v>39</v>
      </c>
      <c r="CI22" s="25">
        <v>24</v>
      </c>
      <c r="CJ22" s="25">
        <v>20</v>
      </c>
      <c r="CK22" s="25">
        <v>20</v>
      </c>
      <c r="CL22" s="25">
        <v>21</v>
      </c>
      <c r="CM22" s="25">
        <v>4</v>
      </c>
      <c r="CN22" s="25">
        <v>6</v>
      </c>
      <c r="CO22" s="25">
        <v>11</v>
      </c>
      <c r="CP22" s="25">
        <v>16</v>
      </c>
      <c r="CQ22" s="25">
        <v>36</v>
      </c>
      <c r="CR22" s="25">
        <v>27</v>
      </c>
      <c r="CS22" s="25">
        <v>17</v>
      </c>
      <c r="CT22" s="25">
        <v>18</v>
      </c>
      <c r="CU22" s="25">
        <v>7</v>
      </c>
      <c r="CV22" s="25">
        <v>8</v>
      </c>
      <c r="CW22" s="25">
        <v>6</v>
      </c>
      <c r="CX22" s="25">
        <v>6</v>
      </c>
      <c r="CY22" s="25">
        <v>0</v>
      </c>
      <c r="CZ22" s="25">
        <v>18</v>
      </c>
      <c r="DA22" s="25">
        <v>39</v>
      </c>
      <c r="DB22" s="25">
        <v>21</v>
      </c>
      <c r="DC22" s="25">
        <v>17</v>
      </c>
      <c r="DD22" s="25">
        <v>12</v>
      </c>
      <c r="DE22" s="25">
        <v>10</v>
      </c>
      <c r="DF22" s="25">
        <v>8</v>
      </c>
      <c r="DG22" s="25">
        <v>7</v>
      </c>
      <c r="DH22" s="25">
        <v>10</v>
      </c>
      <c r="DI22" s="25">
        <v>1</v>
      </c>
      <c r="DJ22" s="25">
        <v>3</v>
      </c>
      <c r="DK22" s="25">
        <v>7</v>
      </c>
      <c r="DL22" s="25">
        <v>12</v>
      </c>
      <c r="DM22" s="25">
        <v>8</v>
      </c>
      <c r="DN22" s="25">
        <v>12</v>
      </c>
      <c r="DO22" s="25">
        <v>0</v>
      </c>
      <c r="DP22" s="25">
        <v>18</v>
      </c>
      <c r="DQ22" s="25">
        <v>6</v>
      </c>
      <c r="DR22" s="25">
        <v>7</v>
      </c>
      <c r="DS22" s="25">
        <v>0</v>
      </c>
      <c r="DT22" s="25">
        <v>18</v>
      </c>
      <c r="DU22" s="25">
        <v>295</v>
      </c>
      <c r="DV22" s="25">
        <v>134</v>
      </c>
      <c r="DW22" s="25">
        <v>118</v>
      </c>
      <c r="DX22" s="25">
        <v>101</v>
      </c>
      <c r="DY22" s="25">
        <v>37</v>
      </c>
      <c r="DZ22" s="25">
        <v>30</v>
      </c>
      <c r="EA22" s="25">
        <v>81</v>
      </c>
      <c r="EB22" s="25">
        <v>99</v>
      </c>
      <c r="EC22" s="25">
        <v>0</v>
      </c>
      <c r="ED22" s="25">
        <v>18</v>
      </c>
      <c r="EE22" s="25">
        <v>4</v>
      </c>
      <c r="EF22" s="25">
        <v>6</v>
      </c>
      <c r="EG22" s="25">
        <v>5</v>
      </c>
      <c r="EH22" s="25">
        <v>7</v>
      </c>
      <c r="EI22" s="25">
        <v>0</v>
      </c>
      <c r="EJ22" s="25">
        <v>18</v>
      </c>
      <c r="EK22" s="25">
        <v>166</v>
      </c>
      <c r="EL22" s="25">
        <v>92</v>
      </c>
      <c r="EM22" s="25">
        <v>2</v>
      </c>
      <c r="EN22" s="25">
        <v>3</v>
      </c>
    </row>
    <row r="23" spans="1:144" x14ac:dyDescent="0.25">
      <c r="A23" s="19">
        <f t="shared" si="8"/>
        <v>29</v>
      </c>
      <c r="B23" s="20" t="str">
        <f t="shared" si="9"/>
        <v>Morgan</v>
      </c>
      <c r="C23" s="24" t="s">
        <v>316</v>
      </c>
      <c r="D23" s="24" t="s">
        <v>317</v>
      </c>
      <c r="E23" s="25">
        <v>4644</v>
      </c>
      <c r="F23" s="25">
        <v>191</v>
      </c>
      <c r="G23" s="25">
        <v>3382</v>
      </c>
      <c r="H23" s="25">
        <v>199</v>
      </c>
      <c r="I23" s="25">
        <v>3077</v>
      </c>
      <c r="J23" s="25">
        <v>203</v>
      </c>
      <c r="K23" s="25">
        <v>305</v>
      </c>
      <c r="L23" s="25">
        <v>83</v>
      </c>
      <c r="M23" s="25">
        <v>271</v>
      </c>
      <c r="N23" s="25">
        <v>96</v>
      </c>
      <c r="O23" s="25">
        <v>321</v>
      </c>
      <c r="P23" s="25">
        <v>124</v>
      </c>
      <c r="Q23" s="25">
        <v>181</v>
      </c>
      <c r="R23" s="25">
        <v>75</v>
      </c>
      <c r="S23" s="25">
        <v>254</v>
      </c>
      <c r="T23" s="25">
        <v>77</v>
      </c>
      <c r="U23" s="25">
        <v>220</v>
      </c>
      <c r="V23" s="25">
        <v>87</v>
      </c>
      <c r="W23" s="25">
        <v>15</v>
      </c>
      <c r="X23" s="25">
        <v>25</v>
      </c>
      <c r="Y23" s="25">
        <v>3950</v>
      </c>
      <c r="Z23" s="25">
        <v>217</v>
      </c>
      <c r="AA23" s="25">
        <v>2937</v>
      </c>
      <c r="AB23" s="25">
        <v>210</v>
      </c>
      <c r="AC23" s="25">
        <v>2703</v>
      </c>
      <c r="AD23" s="25">
        <v>213</v>
      </c>
      <c r="AE23" s="25">
        <v>234</v>
      </c>
      <c r="AF23" s="25">
        <v>76</v>
      </c>
      <c r="AG23" s="25">
        <v>221</v>
      </c>
      <c r="AH23" s="25">
        <v>87</v>
      </c>
      <c r="AI23" s="25">
        <v>278</v>
      </c>
      <c r="AJ23" s="25">
        <v>125</v>
      </c>
      <c r="AK23" s="25">
        <v>154</v>
      </c>
      <c r="AL23" s="25">
        <v>64</v>
      </c>
      <c r="AM23" s="25">
        <v>234</v>
      </c>
      <c r="AN23" s="25">
        <v>76</v>
      </c>
      <c r="AO23" s="25">
        <v>111</v>
      </c>
      <c r="AP23" s="25">
        <v>56</v>
      </c>
      <c r="AQ23" s="25">
        <v>15</v>
      </c>
      <c r="AR23" s="25">
        <v>25</v>
      </c>
      <c r="AS23" s="25">
        <v>384</v>
      </c>
      <c r="AT23" s="25">
        <v>108</v>
      </c>
      <c r="AU23" s="25">
        <v>254</v>
      </c>
      <c r="AV23" s="25">
        <v>86</v>
      </c>
      <c r="AW23" s="25">
        <v>219</v>
      </c>
      <c r="AX23" s="25">
        <v>84</v>
      </c>
      <c r="AY23" s="25">
        <v>35</v>
      </c>
      <c r="AZ23" s="25">
        <v>32</v>
      </c>
      <c r="BA23" s="25">
        <v>26</v>
      </c>
      <c r="BB23" s="25">
        <v>26</v>
      </c>
      <c r="BC23" s="25">
        <v>32</v>
      </c>
      <c r="BD23" s="25">
        <v>22</v>
      </c>
      <c r="BE23" s="25">
        <v>23</v>
      </c>
      <c r="BF23" s="25">
        <v>29</v>
      </c>
      <c r="BG23" s="25">
        <v>20</v>
      </c>
      <c r="BH23" s="25">
        <v>20</v>
      </c>
      <c r="BI23" s="25">
        <v>29</v>
      </c>
      <c r="BJ23" s="25">
        <v>32</v>
      </c>
      <c r="BK23" s="25">
        <v>0</v>
      </c>
      <c r="BL23" s="25">
        <v>18</v>
      </c>
      <c r="BM23" s="25">
        <v>16</v>
      </c>
      <c r="BN23" s="25">
        <v>21</v>
      </c>
      <c r="BO23" s="25">
        <v>0</v>
      </c>
      <c r="BP23" s="25">
        <v>18</v>
      </c>
      <c r="BQ23" s="25">
        <v>0</v>
      </c>
      <c r="BR23" s="25">
        <v>18</v>
      </c>
      <c r="BS23" s="25">
        <v>0</v>
      </c>
      <c r="BT23" s="25">
        <v>18</v>
      </c>
      <c r="BU23" s="25">
        <v>12</v>
      </c>
      <c r="BV23" s="25">
        <v>19</v>
      </c>
      <c r="BW23" s="25">
        <v>0</v>
      </c>
      <c r="BX23" s="25">
        <v>18</v>
      </c>
      <c r="BY23" s="25">
        <v>4</v>
      </c>
      <c r="BZ23" s="25">
        <v>7</v>
      </c>
      <c r="CA23" s="25">
        <v>0</v>
      </c>
      <c r="CB23" s="25">
        <v>18</v>
      </c>
      <c r="CC23" s="25">
        <v>0</v>
      </c>
      <c r="CD23" s="25">
        <v>18</v>
      </c>
      <c r="CE23" s="25">
        <v>0</v>
      </c>
      <c r="CF23" s="25">
        <v>18</v>
      </c>
      <c r="CG23" s="25">
        <v>54</v>
      </c>
      <c r="CH23" s="25">
        <v>44</v>
      </c>
      <c r="CI23" s="25">
        <v>23</v>
      </c>
      <c r="CJ23" s="25">
        <v>22</v>
      </c>
      <c r="CK23" s="25">
        <v>23</v>
      </c>
      <c r="CL23" s="25">
        <v>22</v>
      </c>
      <c r="CM23" s="25">
        <v>0</v>
      </c>
      <c r="CN23" s="25">
        <v>18</v>
      </c>
      <c r="CO23" s="25">
        <v>7</v>
      </c>
      <c r="CP23" s="25">
        <v>10</v>
      </c>
      <c r="CQ23" s="25">
        <v>11</v>
      </c>
      <c r="CR23" s="25">
        <v>12</v>
      </c>
      <c r="CS23" s="25">
        <v>0</v>
      </c>
      <c r="CT23" s="25">
        <v>18</v>
      </c>
      <c r="CU23" s="25">
        <v>0</v>
      </c>
      <c r="CV23" s="25">
        <v>18</v>
      </c>
      <c r="CW23" s="25">
        <v>13</v>
      </c>
      <c r="CX23" s="25">
        <v>20</v>
      </c>
      <c r="CY23" s="25">
        <v>0</v>
      </c>
      <c r="CZ23" s="25">
        <v>18</v>
      </c>
      <c r="DA23" s="25">
        <v>61</v>
      </c>
      <c r="DB23" s="25">
        <v>45</v>
      </c>
      <c r="DC23" s="25">
        <v>61</v>
      </c>
      <c r="DD23" s="25">
        <v>45</v>
      </c>
      <c r="DE23" s="25">
        <v>61</v>
      </c>
      <c r="DF23" s="25">
        <v>45</v>
      </c>
      <c r="DG23" s="25">
        <v>0</v>
      </c>
      <c r="DH23" s="25">
        <v>18</v>
      </c>
      <c r="DI23" s="25">
        <v>0</v>
      </c>
      <c r="DJ23" s="25">
        <v>18</v>
      </c>
      <c r="DK23" s="25">
        <v>0</v>
      </c>
      <c r="DL23" s="25">
        <v>18</v>
      </c>
      <c r="DM23" s="25">
        <v>0</v>
      </c>
      <c r="DN23" s="25">
        <v>18</v>
      </c>
      <c r="DO23" s="25">
        <v>0</v>
      </c>
      <c r="DP23" s="25">
        <v>18</v>
      </c>
      <c r="DQ23" s="25">
        <v>0</v>
      </c>
      <c r="DR23" s="25">
        <v>18</v>
      </c>
      <c r="DS23" s="25">
        <v>0</v>
      </c>
      <c r="DT23" s="25">
        <v>18</v>
      </c>
      <c r="DU23" s="25">
        <v>179</v>
      </c>
      <c r="DV23" s="25">
        <v>62</v>
      </c>
      <c r="DW23" s="25">
        <v>107</v>
      </c>
      <c r="DX23" s="25">
        <v>42</v>
      </c>
      <c r="DY23" s="25">
        <v>71</v>
      </c>
      <c r="DZ23" s="25">
        <v>37</v>
      </c>
      <c r="EA23" s="25">
        <v>36</v>
      </c>
      <c r="EB23" s="25">
        <v>25</v>
      </c>
      <c r="EC23" s="25">
        <v>5</v>
      </c>
      <c r="ED23" s="25">
        <v>7</v>
      </c>
      <c r="EE23" s="25">
        <v>0</v>
      </c>
      <c r="EF23" s="25">
        <v>18</v>
      </c>
      <c r="EG23" s="25">
        <v>0</v>
      </c>
      <c r="EH23" s="25">
        <v>18</v>
      </c>
      <c r="EI23" s="25">
        <v>0</v>
      </c>
      <c r="EJ23" s="25">
        <v>18</v>
      </c>
      <c r="EK23" s="25">
        <v>67</v>
      </c>
      <c r="EL23" s="25">
        <v>44</v>
      </c>
      <c r="EM23" s="25">
        <v>0</v>
      </c>
      <c r="EN23" s="25">
        <v>18</v>
      </c>
    </row>
    <row r="24" spans="1:144" x14ac:dyDescent="0.25">
      <c r="A24" s="19">
        <f t="shared" si="8"/>
        <v>31</v>
      </c>
      <c r="B24" s="20" t="str">
        <f t="shared" si="9"/>
        <v>Piute</v>
      </c>
      <c r="C24" s="24" t="s">
        <v>318</v>
      </c>
      <c r="D24" s="24" t="s">
        <v>319</v>
      </c>
      <c r="E24" s="25">
        <v>625</v>
      </c>
      <c r="F24" s="25">
        <v>78</v>
      </c>
      <c r="G24" s="25">
        <v>412</v>
      </c>
      <c r="H24" s="25">
        <v>79</v>
      </c>
      <c r="I24" s="25">
        <v>386</v>
      </c>
      <c r="J24" s="25">
        <v>79</v>
      </c>
      <c r="K24" s="25">
        <v>26</v>
      </c>
      <c r="L24" s="25">
        <v>18</v>
      </c>
      <c r="M24" s="25">
        <v>50</v>
      </c>
      <c r="N24" s="25">
        <v>17</v>
      </c>
      <c r="O24" s="25">
        <v>50</v>
      </c>
      <c r="P24" s="25">
        <v>20</v>
      </c>
      <c r="Q24" s="25">
        <v>64</v>
      </c>
      <c r="R24" s="25">
        <v>25</v>
      </c>
      <c r="S24" s="25">
        <v>9</v>
      </c>
      <c r="T24" s="25">
        <v>10</v>
      </c>
      <c r="U24" s="25">
        <v>36</v>
      </c>
      <c r="V24" s="25">
        <v>16</v>
      </c>
      <c r="W24" s="25">
        <v>4</v>
      </c>
      <c r="X24" s="25">
        <v>7</v>
      </c>
      <c r="Y24" s="25">
        <v>507</v>
      </c>
      <c r="Z24" s="25">
        <v>67</v>
      </c>
      <c r="AA24" s="25">
        <v>328</v>
      </c>
      <c r="AB24" s="25">
        <v>62</v>
      </c>
      <c r="AC24" s="25">
        <v>312</v>
      </c>
      <c r="AD24" s="25">
        <v>62</v>
      </c>
      <c r="AE24" s="25">
        <v>16</v>
      </c>
      <c r="AF24" s="25">
        <v>11</v>
      </c>
      <c r="AG24" s="25">
        <v>41</v>
      </c>
      <c r="AH24" s="25">
        <v>15</v>
      </c>
      <c r="AI24" s="25">
        <v>47</v>
      </c>
      <c r="AJ24" s="25">
        <v>19</v>
      </c>
      <c r="AK24" s="25">
        <v>56</v>
      </c>
      <c r="AL24" s="25">
        <v>24</v>
      </c>
      <c r="AM24" s="25">
        <v>9</v>
      </c>
      <c r="AN24" s="25">
        <v>10</v>
      </c>
      <c r="AO24" s="25">
        <v>26</v>
      </c>
      <c r="AP24" s="25">
        <v>15</v>
      </c>
      <c r="AQ24" s="25">
        <v>0</v>
      </c>
      <c r="AR24" s="25">
        <v>11</v>
      </c>
      <c r="AS24" s="25">
        <v>66</v>
      </c>
      <c r="AT24" s="25">
        <v>54</v>
      </c>
      <c r="AU24" s="25">
        <v>60</v>
      </c>
      <c r="AV24" s="25">
        <v>54</v>
      </c>
      <c r="AW24" s="25">
        <v>60</v>
      </c>
      <c r="AX24" s="25">
        <v>54</v>
      </c>
      <c r="AY24" s="25">
        <v>0</v>
      </c>
      <c r="AZ24" s="25">
        <v>11</v>
      </c>
      <c r="BA24" s="25">
        <v>0</v>
      </c>
      <c r="BB24" s="25">
        <v>11</v>
      </c>
      <c r="BC24" s="25">
        <v>3</v>
      </c>
      <c r="BD24" s="25">
        <v>5</v>
      </c>
      <c r="BE24" s="25">
        <v>0</v>
      </c>
      <c r="BF24" s="25">
        <v>11</v>
      </c>
      <c r="BG24" s="25">
        <v>0</v>
      </c>
      <c r="BH24" s="25">
        <v>11</v>
      </c>
      <c r="BI24" s="25">
        <v>3</v>
      </c>
      <c r="BJ24" s="25">
        <v>4</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38</v>
      </c>
      <c r="CH24" s="25">
        <v>19</v>
      </c>
      <c r="CI24" s="25">
        <v>19</v>
      </c>
      <c r="CJ24" s="25">
        <v>17</v>
      </c>
      <c r="CK24" s="25">
        <v>9</v>
      </c>
      <c r="CL24" s="25">
        <v>10</v>
      </c>
      <c r="CM24" s="25">
        <v>10</v>
      </c>
      <c r="CN24" s="25">
        <v>13</v>
      </c>
      <c r="CO24" s="25">
        <v>9</v>
      </c>
      <c r="CP24" s="25">
        <v>9</v>
      </c>
      <c r="CQ24" s="25">
        <v>0</v>
      </c>
      <c r="CR24" s="25">
        <v>11</v>
      </c>
      <c r="CS24" s="25">
        <v>6</v>
      </c>
      <c r="CT24" s="25">
        <v>8</v>
      </c>
      <c r="CU24" s="25">
        <v>0</v>
      </c>
      <c r="CV24" s="25">
        <v>11</v>
      </c>
      <c r="CW24" s="25">
        <v>0</v>
      </c>
      <c r="CX24" s="25">
        <v>11</v>
      </c>
      <c r="CY24" s="25">
        <v>4</v>
      </c>
      <c r="CZ24" s="25">
        <v>7</v>
      </c>
      <c r="DA24" s="25">
        <v>3</v>
      </c>
      <c r="DB24" s="25">
        <v>4</v>
      </c>
      <c r="DC24" s="25">
        <v>0</v>
      </c>
      <c r="DD24" s="25">
        <v>11</v>
      </c>
      <c r="DE24" s="25">
        <v>0</v>
      </c>
      <c r="DF24" s="25">
        <v>11</v>
      </c>
      <c r="DG24" s="25">
        <v>0</v>
      </c>
      <c r="DH24" s="25">
        <v>11</v>
      </c>
      <c r="DI24" s="25">
        <v>0</v>
      </c>
      <c r="DJ24" s="25">
        <v>11</v>
      </c>
      <c r="DK24" s="25">
        <v>0</v>
      </c>
      <c r="DL24" s="25">
        <v>11</v>
      </c>
      <c r="DM24" s="25">
        <v>0</v>
      </c>
      <c r="DN24" s="25">
        <v>11</v>
      </c>
      <c r="DO24" s="25">
        <v>0</v>
      </c>
      <c r="DP24" s="25">
        <v>11</v>
      </c>
      <c r="DQ24" s="25">
        <v>3</v>
      </c>
      <c r="DR24" s="25">
        <v>4</v>
      </c>
      <c r="DS24" s="25">
        <v>0</v>
      </c>
      <c r="DT24" s="25">
        <v>11</v>
      </c>
      <c r="DU24" s="25">
        <v>11</v>
      </c>
      <c r="DV24" s="25">
        <v>8</v>
      </c>
      <c r="DW24" s="25">
        <v>5</v>
      </c>
      <c r="DX24" s="25">
        <v>7</v>
      </c>
      <c r="DY24" s="25">
        <v>5</v>
      </c>
      <c r="DZ24" s="25">
        <v>7</v>
      </c>
      <c r="EA24" s="25">
        <v>0</v>
      </c>
      <c r="EB24" s="25">
        <v>11</v>
      </c>
      <c r="EC24" s="25">
        <v>0</v>
      </c>
      <c r="ED24" s="25">
        <v>11</v>
      </c>
      <c r="EE24" s="25">
        <v>0</v>
      </c>
      <c r="EF24" s="25">
        <v>11</v>
      </c>
      <c r="EG24" s="25">
        <v>2</v>
      </c>
      <c r="EH24" s="25">
        <v>2</v>
      </c>
      <c r="EI24" s="25">
        <v>0</v>
      </c>
      <c r="EJ24" s="25">
        <v>11</v>
      </c>
      <c r="EK24" s="25">
        <v>4</v>
      </c>
      <c r="EL24" s="25">
        <v>4</v>
      </c>
      <c r="EM24" s="25">
        <v>0</v>
      </c>
      <c r="EN24" s="25">
        <v>11</v>
      </c>
    </row>
    <row r="25" spans="1:144" x14ac:dyDescent="0.25">
      <c r="A25" s="19">
        <f t="shared" si="8"/>
        <v>33</v>
      </c>
      <c r="B25" s="20" t="str">
        <f t="shared" si="9"/>
        <v>Rich</v>
      </c>
      <c r="C25" s="24" t="s">
        <v>320</v>
      </c>
      <c r="D25" s="24" t="s">
        <v>321</v>
      </c>
      <c r="E25" s="25">
        <v>669</v>
      </c>
      <c r="F25" s="25">
        <v>78</v>
      </c>
      <c r="G25" s="25">
        <v>511</v>
      </c>
      <c r="H25" s="25">
        <v>83</v>
      </c>
      <c r="I25" s="25">
        <v>432</v>
      </c>
      <c r="J25" s="25">
        <v>78</v>
      </c>
      <c r="K25" s="25">
        <v>79</v>
      </c>
      <c r="L25" s="25">
        <v>41</v>
      </c>
      <c r="M25" s="25">
        <v>23</v>
      </c>
      <c r="N25" s="25">
        <v>15</v>
      </c>
      <c r="O25" s="25">
        <v>73</v>
      </c>
      <c r="P25" s="25">
        <v>25</v>
      </c>
      <c r="Q25" s="25">
        <v>23</v>
      </c>
      <c r="R25" s="25">
        <v>11</v>
      </c>
      <c r="S25" s="25">
        <v>1</v>
      </c>
      <c r="T25" s="25">
        <v>2</v>
      </c>
      <c r="U25" s="25">
        <v>38</v>
      </c>
      <c r="V25" s="25">
        <v>22</v>
      </c>
      <c r="W25" s="25">
        <v>0</v>
      </c>
      <c r="X25" s="25">
        <v>11</v>
      </c>
      <c r="Y25" s="25">
        <v>470</v>
      </c>
      <c r="Z25" s="25">
        <v>75</v>
      </c>
      <c r="AA25" s="25">
        <v>362</v>
      </c>
      <c r="AB25" s="25">
        <v>73</v>
      </c>
      <c r="AC25" s="25">
        <v>321</v>
      </c>
      <c r="AD25" s="25">
        <v>64</v>
      </c>
      <c r="AE25" s="25">
        <v>41</v>
      </c>
      <c r="AF25" s="25">
        <v>28</v>
      </c>
      <c r="AG25" s="25">
        <v>14</v>
      </c>
      <c r="AH25" s="25">
        <v>10</v>
      </c>
      <c r="AI25" s="25">
        <v>62</v>
      </c>
      <c r="AJ25" s="25">
        <v>23</v>
      </c>
      <c r="AK25" s="25">
        <v>17</v>
      </c>
      <c r="AL25" s="25">
        <v>10</v>
      </c>
      <c r="AM25" s="25">
        <v>1</v>
      </c>
      <c r="AN25" s="25">
        <v>2</v>
      </c>
      <c r="AO25" s="25">
        <v>14</v>
      </c>
      <c r="AP25" s="25">
        <v>11</v>
      </c>
      <c r="AQ25" s="25">
        <v>0</v>
      </c>
      <c r="AR25" s="25">
        <v>11</v>
      </c>
      <c r="AS25" s="25">
        <v>70</v>
      </c>
      <c r="AT25" s="25">
        <v>28</v>
      </c>
      <c r="AU25" s="25">
        <v>57</v>
      </c>
      <c r="AV25" s="25">
        <v>26</v>
      </c>
      <c r="AW25" s="25">
        <v>52</v>
      </c>
      <c r="AX25" s="25">
        <v>24</v>
      </c>
      <c r="AY25" s="25">
        <v>5</v>
      </c>
      <c r="AZ25" s="25">
        <v>7</v>
      </c>
      <c r="BA25" s="25">
        <v>9</v>
      </c>
      <c r="BB25" s="25">
        <v>9</v>
      </c>
      <c r="BC25" s="25">
        <v>4</v>
      </c>
      <c r="BD25" s="25">
        <v>5</v>
      </c>
      <c r="BE25" s="25">
        <v>0</v>
      </c>
      <c r="BF25" s="25">
        <v>11</v>
      </c>
      <c r="BG25" s="25">
        <v>0</v>
      </c>
      <c r="BH25" s="25">
        <v>11</v>
      </c>
      <c r="BI25" s="25">
        <v>0</v>
      </c>
      <c r="BJ25" s="25">
        <v>11</v>
      </c>
      <c r="BK25" s="25">
        <v>0</v>
      </c>
      <c r="BL25" s="25">
        <v>11</v>
      </c>
      <c r="BM25" s="25">
        <v>0</v>
      </c>
      <c r="BN25" s="25">
        <v>11</v>
      </c>
      <c r="BO25" s="25">
        <v>0</v>
      </c>
      <c r="BP25" s="25">
        <v>11</v>
      </c>
      <c r="BQ25" s="25">
        <v>0</v>
      </c>
      <c r="BR25" s="25">
        <v>11</v>
      </c>
      <c r="BS25" s="25">
        <v>0</v>
      </c>
      <c r="BT25" s="25">
        <v>11</v>
      </c>
      <c r="BU25" s="25">
        <v>0</v>
      </c>
      <c r="BV25" s="25">
        <v>11</v>
      </c>
      <c r="BW25" s="25">
        <v>0</v>
      </c>
      <c r="BX25" s="25">
        <v>11</v>
      </c>
      <c r="BY25" s="25">
        <v>0</v>
      </c>
      <c r="BZ25" s="25">
        <v>11</v>
      </c>
      <c r="CA25" s="25">
        <v>0</v>
      </c>
      <c r="CB25" s="25">
        <v>11</v>
      </c>
      <c r="CC25" s="25">
        <v>0</v>
      </c>
      <c r="CD25" s="25">
        <v>11</v>
      </c>
      <c r="CE25" s="25">
        <v>0</v>
      </c>
      <c r="CF25" s="25">
        <v>11</v>
      </c>
      <c r="CG25" s="25">
        <v>42</v>
      </c>
      <c r="CH25" s="25">
        <v>18</v>
      </c>
      <c r="CI25" s="25">
        <v>26</v>
      </c>
      <c r="CJ25" s="25">
        <v>15</v>
      </c>
      <c r="CK25" s="25">
        <v>20</v>
      </c>
      <c r="CL25" s="25">
        <v>13</v>
      </c>
      <c r="CM25" s="25">
        <v>6</v>
      </c>
      <c r="CN25" s="25">
        <v>8</v>
      </c>
      <c r="CO25" s="25">
        <v>0</v>
      </c>
      <c r="CP25" s="25">
        <v>11</v>
      </c>
      <c r="CQ25" s="25">
        <v>5</v>
      </c>
      <c r="CR25" s="25">
        <v>6</v>
      </c>
      <c r="CS25" s="25">
        <v>3</v>
      </c>
      <c r="CT25" s="25">
        <v>5</v>
      </c>
      <c r="CU25" s="25">
        <v>0</v>
      </c>
      <c r="CV25" s="25">
        <v>11</v>
      </c>
      <c r="CW25" s="25">
        <v>8</v>
      </c>
      <c r="CX25" s="25">
        <v>9</v>
      </c>
      <c r="CY25" s="25">
        <v>0</v>
      </c>
      <c r="CZ25" s="25">
        <v>11</v>
      </c>
      <c r="DA25" s="25">
        <v>24</v>
      </c>
      <c r="DB25" s="25">
        <v>26</v>
      </c>
      <c r="DC25" s="25">
        <v>21</v>
      </c>
      <c r="DD25" s="25">
        <v>26</v>
      </c>
      <c r="DE25" s="25">
        <v>21</v>
      </c>
      <c r="DF25" s="25">
        <v>26</v>
      </c>
      <c r="DG25" s="25">
        <v>0</v>
      </c>
      <c r="DH25" s="25">
        <v>11</v>
      </c>
      <c r="DI25" s="25">
        <v>0</v>
      </c>
      <c r="DJ25" s="25">
        <v>11</v>
      </c>
      <c r="DK25" s="25">
        <v>2</v>
      </c>
      <c r="DL25" s="25">
        <v>3</v>
      </c>
      <c r="DM25" s="25">
        <v>1</v>
      </c>
      <c r="DN25" s="25">
        <v>2</v>
      </c>
      <c r="DO25" s="25">
        <v>0</v>
      </c>
      <c r="DP25" s="25">
        <v>11</v>
      </c>
      <c r="DQ25" s="25">
        <v>0</v>
      </c>
      <c r="DR25" s="25">
        <v>11</v>
      </c>
      <c r="DS25" s="25">
        <v>0</v>
      </c>
      <c r="DT25" s="25">
        <v>11</v>
      </c>
      <c r="DU25" s="25">
        <v>63</v>
      </c>
      <c r="DV25" s="25">
        <v>41</v>
      </c>
      <c r="DW25" s="25">
        <v>45</v>
      </c>
      <c r="DX25" s="25">
        <v>40</v>
      </c>
      <c r="DY25" s="25">
        <v>18</v>
      </c>
      <c r="DZ25" s="25">
        <v>32</v>
      </c>
      <c r="EA25" s="25">
        <v>27</v>
      </c>
      <c r="EB25" s="25">
        <v>23</v>
      </c>
      <c r="EC25" s="25">
        <v>0</v>
      </c>
      <c r="ED25" s="25">
        <v>11</v>
      </c>
      <c r="EE25" s="25">
        <v>0</v>
      </c>
      <c r="EF25" s="25">
        <v>11</v>
      </c>
      <c r="EG25" s="25">
        <v>2</v>
      </c>
      <c r="EH25" s="25">
        <v>3</v>
      </c>
      <c r="EI25" s="25">
        <v>0</v>
      </c>
      <c r="EJ25" s="25">
        <v>11</v>
      </c>
      <c r="EK25" s="25">
        <v>16</v>
      </c>
      <c r="EL25" s="25">
        <v>13</v>
      </c>
      <c r="EM25" s="25">
        <v>0</v>
      </c>
      <c r="EN25" s="25">
        <v>11</v>
      </c>
    </row>
    <row r="26" spans="1:144" x14ac:dyDescent="0.25">
      <c r="A26" s="19">
        <f t="shared" si="8"/>
        <v>35</v>
      </c>
      <c r="B26" s="20" t="str">
        <f t="shared" si="9"/>
        <v>Salt Lake</v>
      </c>
      <c r="C26" s="24" t="s">
        <v>322</v>
      </c>
      <c r="D26" s="24" t="s">
        <v>323</v>
      </c>
      <c r="E26" s="25">
        <v>556953</v>
      </c>
      <c r="F26" s="25">
        <v>2987</v>
      </c>
      <c r="G26" s="25">
        <v>419371</v>
      </c>
      <c r="H26" s="25">
        <v>3420</v>
      </c>
      <c r="I26" s="25">
        <v>397362</v>
      </c>
      <c r="J26" s="25">
        <v>3493</v>
      </c>
      <c r="K26" s="25">
        <v>22009</v>
      </c>
      <c r="L26" s="25">
        <v>1140</v>
      </c>
      <c r="M26" s="25">
        <v>40028</v>
      </c>
      <c r="N26" s="25">
        <v>1225</v>
      </c>
      <c r="O26" s="25">
        <v>26186</v>
      </c>
      <c r="P26" s="25">
        <v>1198</v>
      </c>
      <c r="Q26" s="25">
        <v>33933</v>
      </c>
      <c r="R26" s="25">
        <v>1148</v>
      </c>
      <c r="S26" s="25">
        <v>11181</v>
      </c>
      <c r="T26" s="25">
        <v>745</v>
      </c>
      <c r="U26" s="25">
        <v>25545</v>
      </c>
      <c r="V26" s="25">
        <v>1106</v>
      </c>
      <c r="W26" s="25">
        <v>709</v>
      </c>
      <c r="X26" s="25">
        <v>174</v>
      </c>
      <c r="Y26" s="25">
        <v>418591</v>
      </c>
      <c r="Z26" s="25">
        <v>3296</v>
      </c>
      <c r="AA26" s="25">
        <v>320491</v>
      </c>
      <c r="AB26" s="25">
        <v>3185</v>
      </c>
      <c r="AC26" s="25">
        <v>306487</v>
      </c>
      <c r="AD26" s="25">
        <v>3262</v>
      </c>
      <c r="AE26" s="25">
        <v>14004</v>
      </c>
      <c r="AF26" s="25">
        <v>813</v>
      </c>
      <c r="AG26" s="25">
        <v>30070</v>
      </c>
      <c r="AH26" s="25">
        <v>1032</v>
      </c>
      <c r="AI26" s="25">
        <v>21132</v>
      </c>
      <c r="AJ26" s="25">
        <v>1076</v>
      </c>
      <c r="AK26" s="25">
        <v>24569</v>
      </c>
      <c r="AL26" s="25">
        <v>903</v>
      </c>
      <c r="AM26" s="25">
        <v>8675</v>
      </c>
      <c r="AN26" s="25">
        <v>704</v>
      </c>
      <c r="AO26" s="25">
        <v>13258</v>
      </c>
      <c r="AP26" s="25">
        <v>683</v>
      </c>
      <c r="AQ26" s="25">
        <v>396</v>
      </c>
      <c r="AR26" s="25">
        <v>124</v>
      </c>
      <c r="AS26" s="25">
        <v>63787</v>
      </c>
      <c r="AT26" s="25">
        <v>2094</v>
      </c>
      <c r="AU26" s="25">
        <v>50387</v>
      </c>
      <c r="AV26" s="25">
        <v>1944</v>
      </c>
      <c r="AW26" s="25">
        <v>48289</v>
      </c>
      <c r="AX26" s="25">
        <v>1913</v>
      </c>
      <c r="AY26" s="25">
        <v>2098</v>
      </c>
      <c r="AZ26" s="25">
        <v>299</v>
      </c>
      <c r="BA26" s="25">
        <v>4028</v>
      </c>
      <c r="BB26" s="25">
        <v>445</v>
      </c>
      <c r="BC26" s="25">
        <v>2720</v>
      </c>
      <c r="BD26" s="25">
        <v>348</v>
      </c>
      <c r="BE26" s="25">
        <v>3422</v>
      </c>
      <c r="BF26" s="25">
        <v>494</v>
      </c>
      <c r="BG26" s="25">
        <v>1203</v>
      </c>
      <c r="BH26" s="25">
        <v>286</v>
      </c>
      <c r="BI26" s="25">
        <v>1960</v>
      </c>
      <c r="BJ26" s="25">
        <v>351</v>
      </c>
      <c r="BK26" s="25">
        <v>67</v>
      </c>
      <c r="BL26" s="25">
        <v>64</v>
      </c>
      <c r="BM26" s="25">
        <v>21047</v>
      </c>
      <c r="BN26" s="25">
        <v>1099</v>
      </c>
      <c r="BO26" s="25">
        <v>13496</v>
      </c>
      <c r="BP26" s="25">
        <v>934</v>
      </c>
      <c r="BQ26" s="25">
        <v>13392</v>
      </c>
      <c r="BR26" s="25">
        <v>921</v>
      </c>
      <c r="BS26" s="25">
        <v>104</v>
      </c>
      <c r="BT26" s="25">
        <v>56</v>
      </c>
      <c r="BU26" s="25">
        <v>2666</v>
      </c>
      <c r="BV26" s="25">
        <v>387</v>
      </c>
      <c r="BW26" s="25">
        <v>949</v>
      </c>
      <c r="BX26" s="25">
        <v>242</v>
      </c>
      <c r="BY26" s="25">
        <v>3109</v>
      </c>
      <c r="BZ26" s="25">
        <v>423</v>
      </c>
      <c r="CA26" s="25">
        <v>620</v>
      </c>
      <c r="CB26" s="25">
        <v>221</v>
      </c>
      <c r="CC26" s="25">
        <v>207</v>
      </c>
      <c r="CD26" s="25">
        <v>82</v>
      </c>
      <c r="CE26" s="25">
        <v>0</v>
      </c>
      <c r="CF26" s="25">
        <v>27</v>
      </c>
      <c r="CG26" s="25">
        <v>12421</v>
      </c>
      <c r="CH26" s="25">
        <v>937</v>
      </c>
      <c r="CI26" s="25">
        <v>8464</v>
      </c>
      <c r="CJ26" s="25">
        <v>778</v>
      </c>
      <c r="CK26" s="25">
        <v>8161</v>
      </c>
      <c r="CL26" s="25">
        <v>751</v>
      </c>
      <c r="CM26" s="25">
        <v>303</v>
      </c>
      <c r="CN26" s="25">
        <v>114</v>
      </c>
      <c r="CO26" s="25">
        <v>1023</v>
      </c>
      <c r="CP26" s="25">
        <v>206</v>
      </c>
      <c r="CQ26" s="25">
        <v>604</v>
      </c>
      <c r="CR26" s="25">
        <v>181</v>
      </c>
      <c r="CS26" s="25">
        <v>1326</v>
      </c>
      <c r="CT26" s="25">
        <v>275</v>
      </c>
      <c r="CU26" s="25">
        <v>134</v>
      </c>
      <c r="CV26" s="25">
        <v>85</v>
      </c>
      <c r="CW26" s="25">
        <v>856</v>
      </c>
      <c r="CX26" s="25">
        <v>266</v>
      </c>
      <c r="CY26" s="25">
        <v>14</v>
      </c>
      <c r="CZ26" s="25">
        <v>24</v>
      </c>
      <c r="DA26" s="25">
        <v>10110</v>
      </c>
      <c r="DB26" s="25">
        <v>768</v>
      </c>
      <c r="DC26" s="25">
        <v>7195</v>
      </c>
      <c r="DD26" s="25">
        <v>599</v>
      </c>
      <c r="DE26" s="25">
        <v>6822</v>
      </c>
      <c r="DF26" s="25">
        <v>592</v>
      </c>
      <c r="DG26" s="25">
        <v>373</v>
      </c>
      <c r="DH26" s="25">
        <v>144</v>
      </c>
      <c r="DI26" s="25">
        <v>862</v>
      </c>
      <c r="DJ26" s="25">
        <v>181</v>
      </c>
      <c r="DK26" s="25">
        <v>523</v>
      </c>
      <c r="DL26" s="25">
        <v>170</v>
      </c>
      <c r="DM26" s="25">
        <v>752</v>
      </c>
      <c r="DN26" s="25">
        <v>157</v>
      </c>
      <c r="DO26" s="25">
        <v>305</v>
      </c>
      <c r="DP26" s="25">
        <v>140</v>
      </c>
      <c r="DQ26" s="25">
        <v>473</v>
      </c>
      <c r="DR26" s="25">
        <v>191</v>
      </c>
      <c r="DS26" s="25">
        <v>0</v>
      </c>
      <c r="DT26" s="25">
        <v>27</v>
      </c>
      <c r="DU26" s="25">
        <v>30997</v>
      </c>
      <c r="DV26" s="25">
        <v>1317</v>
      </c>
      <c r="DW26" s="25">
        <v>19338</v>
      </c>
      <c r="DX26" s="25">
        <v>918</v>
      </c>
      <c r="DY26" s="25">
        <v>14211</v>
      </c>
      <c r="DZ26" s="25">
        <v>776</v>
      </c>
      <c r="EA26" s="25">
        <v>5127</v>
      </c>
      <c r="EB26" s="25">
        <v>575</v>
      </c>
      <c r="EC26" s="25">
        <v>1379</v>
      </c>
      <c r="ED26" s="25">
        <v>238</v>
      </c>
      <c r="EE26" s="25">
        <v>258</v>
      </c>
      <c r="EF26" s="25">
        <v>94</v>
      </c>
      <c r="EG26" s="25">
        <v>755</v>
      </c>
      <c r="EH26" s="25">
        <v>189</v>
      </c>
      <c r="EI26" s="25">
        <v>244</v>
      </c>
      <c r="EJ26" s="25">
        <v>100</v>
      </c>
      <c r="EK26" s="25">
        <v>8791</v>
      </c>
      <c r="EL26" s="25">
        <v>681</v>
      </c>
      <c r="EM26" s="25">
        <v>232</v>
      </c>
      <c r="EN26" s="25">
        <v>112</v>
      </c>
    </row>
    <row r="27" spans="1:144" x14ac:dyDescent="0.25">
      <c r="A27" s="19">
        <f t="shared" si="8"/>
        <v>37</v>
      </c>
      <c r="B27" s="20" t="str">
        <f t="shared" si="9"/>
        <v>San Juan</v>
      </c>
      <c r="C27" s="24" t="s">
        <v>324</v>
      </c>
      <c r="D27" s="24" t="s">
        <v>325</v>
      </c>
      <c r="E27" s="25">
        <v>5135</v>
      </c>
      <c r="F27" s="25">
        <v>248</v>
      </c>
      <c r="G27" s="25">
        <v>2841</v>
      </c>
      <c r="H27" s="25">
        <v>233</v>
      </c>
      <c r="I27" s="25">
        <v>2641</v>
      </c>
      <c r="J27" s="25">
        <v>238</v>
      </c>
      <c r="K27" s="25">
        <v>200</v>
      </c>
      <c r="L27" s="25">
        <v>76</v>
      </c>
      <c r="M27" s="25">
        <v>301</v>
      </c>
      <c r="N27" s="25">
        <v>94</v>
      </c>
      <c r="O27" s="25">
        <v>787</v>
      </c>
      <c r="P27" s="25">
        <v>117</v>
      </c>
      <c r="Q27" s="25">
        <v>585</v>
      </c>
      <c r="R27" s="25">
        <v>131</v>
      </c>
      <c r="S27" s="25">
        <v>240</v>
      </c>
      <c r="T27" s="25">
        <v>65</v>
      </c>
      <c r="U27" s="25">
        <v>370</v>
      </c>
      <c r="V27" s="25">
        <v>139</v>
      </c>
      <c r="W27" s="25">
        <v>11</v>
      </c>
      <c r="X27" s="25">
        <v>16</v>
      </c>
      <c r="Y27" s="25">
        <v>3937</v>
      </c>
      <c r="Z27" s="25">
        <v>243</v>
      </c>
      <c r="AA27" s="25">
        <v>2212</v>
      </c>
      <c r="AB27" s="25">
        <v>223</v>
      </c>
      <c r="AC27" s="25">
        <v>2091</v>
      </c>
      <c r="AD27" s="25">
        <v>218</v>
      </c>
      <c r="AE27" s="25">
        <v>121</v>
      </c>
      <c r="AF27" s="25">
        <v>51</v>
      </c>
      <c r="AG27" s="25">
        <v>269</v>
      </c>
      <c r="AH27" s="25">
        <v>90</v>
      </c>
      <c r="AI27" s="25">
        <v>660</v>
      </c>
      <c r="AJ27" s="25">
        <v>116</v>
      </c>
      <c r="AK27" s="25">
        <v>478</v>
      </c>
      <c r="AL27" s="25">
        <v>124</v>
      </c>
      <c r="AM27" s="25">
        <v>194</v>
      </c>
      <c r="AN27" s="25">
        <v>59</v>
      </c>
      <c r="AO27" s="25">
        <v>113</v>
      </c>
      <c r="AP27" s="25">
        <v>55</v>
      </c>
      <c r="AQ27" s="25">
        <v>11</v>
      </c>
      <c r="AR27" s="25">
        <v>16</v>
      </c>
      <c r="AS27" s="25">
        <v>405</v>
      </c>
      <c r="AT27" s="25">
        <v>92</v>
      </c>
      <c r="AU27" s="25">
        <v>275</v>
      </c>
      <c r="AV27" s="25">
        <v>79</v>
      </c>
      <c r="AW27" s="25">
        <v>263</v>
      </c>
      <c r="AX27" s="25">
        <v>79</v>
      </c>
      <c r="AY27" s="25">
        <v>12</v>
      </c>
      <c r="AZ27" s="25">
        <v>18</v>
      </c>
      <c r="BA27" s="25">
        <v>29</v>
      </c>
      <c r="BB27" s="25">
        <v>24</v>
      </c>
      <c r="BC27" s="25">
        <v>30</v>
      </c>
      <c r="BD27" s="25">
        <v>19</v>
      </c>
      <c r="BE27" s="25">
        <v>50</v>
      </c>
      <c r="BF27" s="25">
        <v>27</v>
      </c>
      <c r="BG27" s="25">
        <v>14</v>
      </c>
      <c r="BH27" s="25">
        <v>14</v>
      </c>
      <c r="BI27" s="25">
        <v>7</v>
      </c>
      <c r="BJ27" s="25">
        <v>12</v>
      </c>
      <c r="BK27" s="25">
        <v>0</v>
      </c>
      <c r="BL27" s="25">
        <v>18</v>
      </c>
      <c r="BM27" s="25">
        <v>26</v>
      </c>
      <c r="BN27" s="25">
        <v>17</v>
      </c>
      <c r="BO27" s="25">
        <v>9</v>
      </c>
      <c r="BP27" s="25">
        <v>9</v>
      </c>
      <c r="BQ27" s="25">
        <v>9</v>
      </c>
      <c r="BR27" s="25">
        <v>9</v>
      </c>
      <c r="BS27" s="25">
        <v>0</v>
      </c>
      <c r="BT27" s="25">
        <v>18</v>
      </c>
      <c r="BU27" s="25">
        <v>0</v>
      </c>
      <c r="BV27" s="25">
        <v>18</v>
      </c>
      <c r="BW27" s="25">
        <v>9</v>
      </c>
      <c r="BX27" s="25">
        <v>12</v>
      </c>
      <c r="BY27" s="25">
        <v>0</v>
      </c>
      <c r="BZ27" s="25">
        <v>18</v>
      </c>
      <c r="CA27" s="25">
        <v>8</v>
      </c>
      <c r="CB27" s="25">
        <v>7</v>
      </c>
      <c r="CC27" s="25">
        <v>0</v>
      </c>
      <c r="CD27" s="25">
        <v>18</v>
      </c>
      <c r="CE27" s="25">
        <v>0</v>
      </c>
      <c r="CF27" s="25">
        <v>18</v>
      </c>
      <c r="CG27" s="25">
        <v>207</v>
      </c>
      <c r="CH27" s="25">
        <v>71</v>
      </c>
      <c r="CI27" s="25">
        <v>84</v>
      </c>
      <c r="CJ27" s="25">
        <v>42</v>
      </c>
      <c r="CK27" s="25">
        <v>84</v>
      </c>
      <c r="CL27" s="25">
        <v>42</v>
      </c>
      <c r="CM27" s="25">
        <v>0</v>
      </c>
      <c r="CN27" s="25">
        <v>18</v>
      </c>
      <c r="CO27" s="25">
        <v>3</v>
      </c>
      <c r="CP27" s="25">
        <v>6</v>
      </c>
      <c r="CQ27" s="25">
        <v>58</v>
      </c>
      <c r="CR27" s="25">
        <v>40</v>
      </c>
      <c r="CS27" s="25">
        <v>47</v>
      </c>
      <c r="CT27" s="25">
        <v>31</v>
      </c>
      <c r="CU27" s="25">
        <v>8</v>
      </c>
      <c r="CV27" s="25">
        <v>10</v>
      </c>
      <c r="CW27" s="25">
        <v>7</v>
      </c>
      <c r="CX27" s="25">
        <v>8</v>
      </c>
      <c r="CY27" s="25">
        <v>0</v>
      </c>
      <c r="CZ27" s="25">
        <v>18</v>
      </c>
      <c r="DA27" s="25">
        <v>87</v>
      </c>
      <c r="DB27" s="25">
        <v>46</v>
      </c>
      <c r="DC27" s="25">
        <v>60</v>
      </c>
      <c r="DD27" s="25">
        <v>41</v>
      </c>
      <c r="DE27" s="25">
        <v>60</v>
      </c>
      <c r="DF27" s="25">
        <v>41</v>
      </c>
      <c r="DG27" s="25">
        <v>0</v>
      </c>
      <c r="DH27" s="25">
        <v>18</v>
      </c>
      <c r="DI27" s="25">
        <v>0</v>
      </c>
      <c r="DJ27" s="25">
        <v>18</v>
      </c>
      <c r="DK27" s="25">
        <v>15</v>
      </c>
      <c r="DL27" s="25">
        <v>12</v>
      </c>
      <c r="DM27" s="25">
        <v>9</v>
      </c>
      <c r="DN27" s="25">
        <v>10</v>
      </c>
      <c r="DO27" s="25">
        <v>3</v>
      </c>
      <c r="DP27" s="25">
        <v>4</v>
      </c>
      <c r="DQ27" s="25">
        <v>0</v>
      </c>
      <c r="DR27" s="25">
        <v>18</v>
      </c>
      <c r="DS27" s="25">
        <v>0</v>
      </c>
      <c r="DT27" s="25">
        <v>18</v>
      </c>
      <c r="DU27" s="25">
        <v>473</v>
      </c>
      <c r="DV27" s="25">
        <v>139</v>
      </c>
      <c r="DW27" s="25">
        <v>201</v>
      </c>
      <c r="DX27" s="25">
        <v>80</v>
      </c>
      <c r="DY27" s="25">
        <v>134</v>
      </c>
      <c r="DZ27" s="25">
        <v>72</v>
      </c>
      <c r="EA27" s="25">
        <v>67</v>
      </c>
      <c r="EB27" s="25">
        <v>46</v>
      </c>
      <c r="EC27" s="25">
        <v>0</v>
      </c>
      <c r="ED27" s="25">
        <v>18</v>
      </c>
      <c r="EE27" s="25">
        <v>15</v>
      </c>
      <c r="EF27" s="25">
        <v>11</v>
      </c>
      <c r="EG27" s="25">
        <v>1</v>
      </c>
      <c r="EH27" s="25">
        <v>3</v>
      </c>
      <c r="EI27" s="25">
        <v>13</v>
      </c>
      <c r="EJ27" s="25">
        <v>20</v>
      </c>
      <c r="EK27" s="25">
        <v>243</v>
      </c>
      <c r="EL27" s="25">
        <v>129</v>
      </c>
      <c r="EM27" s="25">
        <v>0</v>
      </c>
      <c r="EN27" s="25">
        <v>18</v>
      </c>
    </row>
    <row r="28" spans="1:144" x14ac:dyDescent="0.25">
      <c r="A28" s="19">
        <f t="shared" si="8"/>
        <v>39</v>
      </c>
      <c r="B28" s="20" t="str">
        <f t="shared" si="9"/>
        <v>Sanpete</v>
      </c>
      <c r="C28" s="24" t="s">
        <v>326</v>
      </c>
      <c r="D28" s="24" t="s">
        <v>327</v>
      </c>
      <c r="E28" s="25">
        <v>10607</v>
      </c>
      <c r="F28" s="25">
        <v>530</v>
      </c>
      <c r="G28" s="25">
        <v>7164</v>
      </c>
      <c r="H28" s="25">
        <v>480</v>
      </c>
      <c r="I28" s="25">
        <v>6640</v>
      </c>
      <c r="J28" s="25">
        <v>479</v>
      </c>
      <c r="K28" s="25">
        <v>524</v>
      </c>
      <c r="L28" s="25">
        <v>121</v>
      </c>
      <c r="M28" s="25">
        <v>769</v>
      </c>
      <c r="N28" s="25">
        <v>185</v>
      </c>
      <c r="O28" s="25">
        <v>453</v>
      </c>
      <c r="P28" s="25">
        <v>94</v>
      </c>
      <c r="Q28" s="25">
        <v>1203</v>
      </c>
      <c r="R28" s="25">
        <v>191</v>
      </c>
      <c r="S28" s="25">
        <v>165</v>
      </c>
      <c r="T28" s="25">
        <v>77</v>
      </c>
      <c r="U28" s="25">
        <v>848</v>
      </c>
      <c r="V28" s="25">
        <v>217</v>
      </c>
      <c r="W28" s="25">
        <v>5</v>
      </c>
      <c r="X28" s="25">
        <v>6</v>
      </c>
      <c r="Y28" s="25">
        <v>7699</v>
      </c>
      <c r="Z28" s="25">
        <v>476</v>
      </c>
      <c r="AA28" s="25">
        <v>5214</v>
      </c>
      <c r="AB28" s="25">
        <v>397</v>
      </c>
      <c r="AC28" s="25">
        <v>4932</v>
      </c>
      <c r="AD28" s="25">
        <v>399</v>
      </c>
      <c r="AE28" s="25">
        <v>282</v>
      </c>
      <c r="AF28" s="25">
        <v>90</v>
      </c>
      <c r="AG28" s="25">
        <v>522</v>
      </c>
      <c r="AH28" s="25">
        <v>174</v>
      </c>
      <c r="AI28" s="25">
        <v>365</v>
      </c>
      <c r="AJ28" s="25">
        <v>86</v>
      </c>
      <c r="AK28" s="25">
        <v>971</v>
      </c>
      <c r="AL28" s="25">
        <v>186</v>
      </c>
      <c r="AM28" s="25">
        <v>165</v>
      </c>
      <c r="AN28" s="25">
        <v>77</v>
      </c>
      <c r="AO28" s="25">
        <v>459</v>
      </c>
      <c r="AP28" s="25">
        <v>174</v>
      </c>
      <c r="AQ28" s="25">
        <v>3</v>
      </c>
      <c r="AR28" s="25">
        <v>4</v>
      </c>
      <c r="AS28" s="25">
        <v>1444</v>
      </c>
      <c r="AT28" s="25">
        <v>246</v>
      </c>
      <c r="AU28" s="25">
        <v>1121</v>
      </c>
      <c r="AV28" s="25">
        <v>214</v>
      </c>
      <c r="AW28" s="25">
        <v>1080</v>
      </c>
      <c r="AX28" s="25">
        <v>211</v>
      </c>
      <c r="AY28" s="25">
        <v>41</v>
      </c>
      <c r="AZ28" s="25">
        <v>27</v>
      </c>
      <c r="BA28" s="25">
        <v>118</v>
      </c>
      <c r="BB28" s="25">
        <v>64</v>
      </c>
      <c r="BC28" s="25">
        <v>29</v>
      </c>
      <c r="BD28" s="25">
        <v>22</v>
      </c>
      <c r="BE28" s="25">
        <v>140</v>
      </c>
      <c r="BF28" s="25">
        <v>57</v>
      </c>
      <c r="BG28" s="25">
        <v>0</v>
      </c>
      <c r="BH28" s="25">
        <v>21</v>
      </c>
      <c r="BI28" s="25">
        <v>36</v>
      </c>
      <c r="BJ28" s="25">
        <v>34</v>
      </c>
      <c r="BK28" s="25">
        <v>0</v>
      </c>
      <c r="BL28" s="25">
        <v>21</v>
      </c>
      <c r="BM28" s="25">
        <v>44</v>
      </c>
      <c r="BN28" s="25">
        <v>62</v>
      </c>
      <c r="BO28" s="25">
        <v>44</v>
      </c>
      <c r="BP28" s="25">
        <v>62</v>
      </c>
      <c r="BQ28" s="25">
        <v>44</v>
      </c>
      <c r="BR28" s="25">
        <v>62</v>
      </c>
      <c r="BS28" s="25">
        <v>0</v>
      </c>
      <c r="BT28" s="25">
        <v>21</v>
      </c>
      <c r="BU28" s="25">
        <v>0</v>
      </c>
      <c r="BV28" s="25">
        <v>21</v>
      </c>
      <c r="BW28" s="25">
        <v>0</v>
      </c>
      <c r="BX28" s="25">
        <v>21</v>
      </c>
      <c r="BY28" s="25">
        <v>0</v>
      </c>
      <c r="BZ28" s="25">
        <v>21</v>
      </c>
      <c r="CA28" s="25">
        <v>0</v>
      </c>
      <c r="CB28" s="25">
        <v>21</v>
      </c>
      <c r="CC28" s="25">
        <v>0</v>
      </c>
      <c r="CD28" s="25">
        <v>21</v>
      </c>
      <c r="CE28" s="25">
        <v>0</v>
      </c>
      <c r="CF28" s="25">
        <v>21</v>
      </c>
      <c r="CG28" s="25">
        <v>599</v>
      </c>
      <c r="CH28" s="25">
        <v>149</v>
      </c>
      <c r="CI28" s="25">
        <v>408</v>
      </c>
      <c r="CJ28" s="25">
        <v>129</v>
      </c>
      <c r="CK28" s="25">
        <v>375</v>
      </c>
      <c r="CL28" s="25">
        <v>124</v>
      </c>
      <c r="CM28" s="25">
        <v>33</v>
      </c>
      <c r="CN28" s="25">
        <v>31</v>
      </c>
      <c r="CO28" s="25">
        <v>50</v>
      </c>
      <c r="CP28" s="25">
        <v>44</v>
      </c>
      <c r="CQ28" s="25">
        <v>37</v>
      </c>
      <c r="CR28" s="25">
        <v>40</v>
      </c>
      <c r="CS28" s="25">
        <v>77</v>
      </c>
      <c r="CT28" s="25">
        <v>55</v>
      </c>
      <c r="CU28" s="25">
        <v>0</v>
      </c>
      <c r="CV28" s="25">
        <v>21</v>
      </c>
      <c r="CW28" s="25">
        <v>25</v>
      </c>
      <c r="CX28" s="25">
        <v>21</v>
      </c>
      <c r="CY28" s="25">
        <v>2</v>
      </c>
      <c r="CZ28" s="25">
        <v>3</v>
      </c>
      <c r="DA28" s="25">
        <v>59</v>
      </c>
      <c r="DB28" s="25">
        <v>29</v>
      </c>
      <c r="DC28" s="25">
        <v>29</v>
      </c>
      <c r="DD28" s="25">
        <v>20</v>
      </c>
      <c r="DE28" s="25">
        <v>21</v>
      </c>
      <c r="DF28" s="25">
        <v>16</v>
      </c>
      <c r="DG28" s="25">
        <v>8</v>
      </c>
      <c r="DH28" s="25">
        <v>12</v>
      </c>
      <c r="DI28" s="25">
        <v>6</v>
      </c>
      <c r="DJ28" s="25">
        <v>9</v>
      </c>
      <c r="DK28" s="25">
        <v>0</v>
      </c>
      <c r="DL28" s="25">
        <v>21</v>
      </c>
      <c r="DM28" s="25">
        <v>9</v>
      </c>
      <c r="DN28" s="25">
        <v>13</v>
      </c>
      <c r="DO28" s="25">
        <v>0</v>
      </c>
      <c r="DP28" s="25">
        <v>21</v>
      </c>
      <c r="DQ28" s="25">
        <v>15</v>
      </c>
      <c r="DR28" s="25">
        <v>14</v>
      </c>
      <c r="DS28" s="25">
        <v>0</v>
      </c>
      <c r="DT28" s="25">
        <v>21</v>
      </c>
      <c r="DU28" s="25">
        <v>762</v>
      </c>
      <c r="DV28" s="25">
        <v>189</v>
      </c>
      <c r="DW28" s="25">
        <v>348</v>
      </c>
      <c r="DX28" s="25">
        <v>103</v>
      </c>
      <c r="DY28" s="25">
        <v>188</v>
      </c>
      <c r="DZ28" s="25">
        <v>69</v>
      </c>
      <c r="EA28" s="25">
        <v>160</v>
      </c>
      <c r="EB28" s="25">
        <v>90</v>
      </c>
      <c r="EC28" s="25">
        <v>73</v>
      </c>
      <c r="ED28" s="25">
        <v>66</v>
      </c>
      <c r="EE28" s="25">
        <v>22</v>
      </c>
      <c r="EF28" s="25">
        <v>28</v>
      </c>
      <c r="EG28" s="25">
        <v>6</v>
      </c>
      <c r="EH28" s="25">
        <v>7</v>
      </c>
      <c r="EI28" s="25">
        <v>0</v>
      </c>
      <c r="EJ28" s="25">
        <v>21</v>
      </c>
      <c r="EK28" s="25">
        <v>313</v>
      </c>
      <c r="EL28" s="25">
        <v>141</v>
      </c>
      <c r="EM28" s="25">
        <v>0</v>
      </c>
      <c r="EN28" s="25">
        <v>21</v>
      </c>
    </row>
    <row r="29" spans="1:144" x14ac:dyDescent="0.25">
      <c r="A29" s="19">
        <f t="shared" si="8"/>
        <v>41</v>
      </c>
      <c r="B29" s="20" t="str">
        <f t="shared" si="9"/>
        <v>Sevier</v>
      </c>
      <c r="C29" s="24" t="s">
        <v>328</v>
      </c>
      <c r="D29" s="24" t="s">
        <v>329</v>
      </c>
      <c r="E29" s="25">
        <v>8505</v>
      </c>
      <c r="F29" s="25">
        <v>282</v>
      </c>
      <c r="G29" s="25">
        <v>5651</v>
      </c>
      <c r="H29" s="25">
        <v>293</v>
      </c>
      <c r="I29" s="25">
        <v>5211</v>
      </c>
      <c r="J29" s="25">
        <v>295</v>
      </c>
      <c r="K29" s="25">
        <v>440</v>
      </c>
      <c r="L29" s="25">
        <v>85</v>
      </c>
      <c r="M29" s="25">
        <v>412</v>
      </c>
      <c r="N29" s="25">
        <v>94</v>
      </c>
      <c r="O29" s="25">
        <v>556</v>
      </c>
      <c r="P29" s="25">
        <v>102</v>
      </c>
      <c r="Q29" s="25">
        <v>998</v>
      </c>
      <c r="R29" s="25">
        <v>138</v>
      </c>
      <c r="S29" s="25">
        <v>189</v>
      </c>
      <c r="T29" s="25">
        <v>72</v>
      </c>
      <c r="U29" s="25">
        <v>578</v>
      </c>
      <c r="V29" s="25">
        <v>139</v>
      </c>
      <c r="W29" s="25">
        <v>121</v>
      </c>
      <c r="X29" s="25">
        <v>116</v>
      </c>
      <c r="Y29" s="25">
        <v>6719</v>
      </c>
      <c r="Z29" s="25">
        <v>294</v>
      </c>
      <c r="AA29" s="25">
        <v>4639</v>
      </c>
      <c r="AB29" s="25">
        <v>306</v>
      </c>
      <c r="AC29" s="25">
        <v>4357</v>
      </c>
      <c r="AD29" s="25">
        <v>312</v>
      </c>
      <c r="AE29" s="25">
        <v>282</v>
      </c>
      <c r="AF29" s="25">
        <v>59</v>
      </c>
      <c r="AG29" s="25">
        <v>327</v>
      </c>
      <c r="AH29" s="25">
        <v>89</v>
      </c>
      <c r="AI29" s="25">
        <v>446</v>
      </c>
      <c r="AJ29" s="25">
        <v>85</v>
      </c>
      <c r="AK29" s="25">
        <v>825</v>
      </c>
      <c r="AL29" s="25">
        <v>135</v>
      </c>
      <c r="AM29" s="25">
        <v>161</v>
      </c>
      <c r="AN29" s="25">
        <v>64</v>
      </c>
      <c r="AO29" s="25">
        <v>266</v>
      </c>
      <c r="AP29" s="25">
        <v>95</v>
      </c>
      <c r="AQ29" s="25">
        <v>55</v>
      </c>
      <c r="AR29" s="25">
        <v>44</v>
      </c>
      <c r="AS29" s="25">
        <v>956</v>
      </c>
      <c r="AT29" s="25">
        <v>182</v>
      </c>
      <c r="AU29" s="25">
        <v>581</v>
      </c>
      <c r="AV29" s="25">
        <v>148</v>
      </c>
      <c r="AW29" s="25">
        <v>562</v>
      </c>
      <c r="AX29" s="25">
        <v>146</v>
      </c>
      <c r="AY29" s="25">
        <v>19</v>
      </c>
      <c r="AZ29" s="25">
        <v>20</v>
      </c>
      <c r="BA29" s="25">
        <v>73</v>
      </c>
      <c r="BB29" s="25">
        <v>41</v>
      </c>
      <c r="BC29" s="25">
        <v>75</v>
      </c>
      <c r="BD29" s="25">
        <v>36</v>
      </c>
      <c r="BE29" s="25">
        <v>116</v>
      </c>
      <c r="BF29" s="25">
        <v>48</v>
      </c>
      <c r="BG29" s="25">
        <v>23</v>
      </c>
      <c r="BH29" s="25">
        <v>18</v>
      </c>
      <c r="BI29" s="25">
        <v>66</v>
      </c>
      <c r="BJ29" s="25">
        <v>29</v>
      </c>
      <c r="BK29" s="25">
        <v>22</v>
      </c>
      <c r="BL29" s="25">
        <v>29</v>
      </c>
      <c r="BM29" s="25">
        <v>45</v>
      </c>
      <c r="BN29" s="25">
        <v>31</v>
      </c>
      <c r="BO29" s="25">
        <v>21</v>
      </c>
      <c r="BP29" s="25">
        <v>17</v>
      </c>
      <c r="BQ29" s="25">
        <v>21</v>
      </c>
      <c r="BR29" s="25">
        <v>17</v>
      </c>
      <c r="BS29" s="25">
        <v>0</v>
      </c>
      <c r="BT29" s="25">
        <v>21</v>
      </c>
      <c r="BU29" s="25">
        <v>2</v>
      </c>
      <c r="BV29" s="25">
        <v>3</v>
      </c>
      <c r="BW29" s="25">
        <v>18</v>
      </c>
      <c r="BX29" s="25">
        <v>26</v>
      </c>
      <c r="BY29" s="25">
        <v>0</v>
      </c>
      <c r="BZ29" s="25">
        <v>21</v>
      </c>
      <c r="CA29" s="25">
        <v>2</v>
      </c>
      <c r="CB29" s="25">
        <v>5</v>
      </c>
      <c r="CC29" s="25">
        <v>2</v>
      </c>
      <c r="CD29" s="25">
        <v>3</v>
      </c>
      <c r="CE29" s="25">
        <v>0</v>
      </c>
      <c r="CF29" s="25">
        <v>21</v>
      </c>
      <c r="CG29" s="25">
        <v>157</v>
      </c>
      <c r="CH29" s="25">
        <v>63</v>
      </c>
      <c r="CI29" s="25">
        <v>74</v>
      </c>
      <c r="CJ29" s="25">
        <v>39</v>
      </c>
      <c r="CK29" s="25">
        <v>23</v>
      </c>
      <c r="CL29" s="25">
        <v>20</v>
      </c>
      <c r="CM29" s="25">
        <v>51</v>
      </c>
      <c r="CN29" s="25">
        <v>36</v>
      </c>
      <c r="CO29" s="25">
        <v>0</v>
      </c>
      <c r="CP29" s="25">
        <v>21</v>
      </c>
      <c r="CQ29" s="25">
        <v>1</v>
      </c>
      <c r="CR29" s="25">
        <v>4</v>
      </c>
      <c r="CS29" s="25">
        <v>48</v>
      </c>
      <c r="CT29" s="25">
        <v>46</v>
      </c>
      <c r="CU29" s="25">
        <v>0</v>
      </c>
      <c r="CV29" s="25">
        <v>21</v>
      </c>
      <c r="CW29" s="25">
        <v>25</v>
      </c>
      <c r="CX29" s="25">
        <v>20</v>
      </c>
      <c r="CY29" s="25">
        <v>9</v>
      </c>
      <c r="CZ29" s="25">
        <v>12</v>
      </c>
      <c r="DA29" s="25">
        <v>138</v>
      </c>
      <c r="DB29" s="25">
        <v>72</v>
      </c>
      <c r="DC29" s="25">
        <v>93</v>
      </c>
      <c r="DD29" s="25">
        <v>57</v>
      </c>
      <c r="DE29" s="25">
        <v>93</v>
      </c>
      <c r="DF29" s="25">
        <v>57</v>
      </c>
      <c r="DG29" s="25">
        <v>0</v>
      </c>
      <c r="DH29" s="25">
        <v>21</v>
      </c>
      <c r="DI29" s="25">
        <v>8</v>
      </c>
      <c r="DJ29" s="25">
        <v>13</v>
      </c>
      <c r="DK29" s="25">
        <v>0</v>
      </c>
      <c r="DL29" s="25">
        <v>21</v>
      </c>
      <c r="DM29" s="25">
        <v>4</v>
      </c>
      <c r="DN29" s="25">
        <v>10</v>
      </c>
      <c r="DO29" s="25">
        <v>0</v>
      </c>
      <c r="DP29" s="25">
        <v>21</v>
      </c>
      <c r="DQ29" s="25">
        <v>5</v>
      </c>
      <c r="DR29" s="25">
        <v>5</v>
      </c>
      <c r="DS29" s="25">
        <v>28</v>
      </c>
      <c r="DT29" s="25">
        <v>40</v>
      </c>
      <c r="DU29" s="25">
        <v>490</v>
      </c>
      <c r="DV29" s="25">
        <v>116</v>
      </c>
      <c r="DW29" s="25">
        <v>243</v>
      </c>
      <c r="DX29" s="25">
        <v>82</v>
      </c>
      <c r="DY29" s="25">
        <v>155</v>
      </c>
      <c r="DZ29" s="25">
        <v>67</v>
      </c>
      <c r="EA29" s="25">
        <v>88</v>
      </c>
      <c r="EB29" s="25">
        <v>47</v>
      </c>
      <c r="EC29" s="25">
        <v>2</v>
      </c>
      <c r="ED29" s="25">
        <v>3</v>
      </c>
      <c r="EE29" s="25">
        <v>16</v>
      </c>
      <c r="EF29" s="25">
        <v>20</v>
      </c>
      <c r="EG29" s="25">
        <v>5</v>
      </c>
      <c r="EH29" s="25">
        <v>6</v>
      </c>
      <c r="EI29" s="25">
        <v>3</v>
      </c>
      <c r="EJ29" s="25">
        <v>6</v>
      </c>
      <c r="EK29" s="25">
        <v>214</v>
      </c>
      <c r="EL29" s="25">
        <v>91</v>
      </c>
      <c r="EM29" s="25">
        <v>7</v>
      </c>
      <c r="EN29" s="25">
        <v>8</v>
      </c>
    </row>
    <row r="30" spans="1:144" x14ac:dyDescent="0.25">
      <c r="A30" s="19">
        <f t="shared" si="8"/>
        <v>43</v>
      </c>
      <c r="B30" s="20" t="str">
        <f t="shared" si="9"/>
        <v>Summit</v>
      </c>
      <c r="C30" s="24" t="s">
        <v>330</v>
      </c>
      <c r="D30" s="24" t="s">
        <v>331</v>
      </c>
      <c r="E30" s="25">
        <v>21359</v>
      </c>
      <c r="F30" s="25">
        <v>515</v>
      </c>
      <c r="G30" s="25">
        <v>15908</v>
      </c>
      <c r="H30" s="25">
        <v>487</v>
      </c>
      <c r="I30" s="25">
        <v>13754</v>
      </c>
      <c r="J30" s="25">
        <v>466</v>
      </c>
      <c r="K30" s="25">
        <v>2154</v>
      </c>
      <c r="L30" s="25">
        <v>227</v>
      </c>
      <c r="M30" s="25">
        <v>1236</v>
      </c>
      <c r="N30" s="25">
        <v>197</v>
      </c>
      <c r="O30" s="25">
        <v>1415</v>
      </c>
      <c r="P30" s="25">
        <v>211</v>
      </c>
      <c r="Q30" s="25">
        <v>963</v>
      </c>
      <c r="R30" s="25">
        <v>161</v>
      </c>
      <c r="S30" s="25">
        <v>285</v>
      </c>
      <c r="T30" s="25">
        <v>86</v>
      </c>
      <c r="U30" s="25">
        <v>1517</v>
      </c>
      <c r="V30" s="25">
        <v>228</v>
      </c>
      <c r="W30" s="25">
        <v>35</v>
      </c>
      <c r="X30" s="25">
        <v>22</v>
      </c>
      <c r="Y30" s="25">
        <v>15612</v>
      </c>
      <c r="Z30" s="25">
        <v>489</v>
      </c>
      <c r="AA30" s="25">
        <v>11682</v>
      </c>
      <c r="AB30" s="25">
        <v>442</v>
      </c>
      <c r="AC30" s="25">
        <v>10435</v>
      </c>
      <c r="AD30" s="25">
        <v>418</v>
      </c>
      <c r="AE30" s="25">
        <v>1247</v>
      </c>
      <c r="AF30" s="25">
        <v>172</v>
      </c>
      <c r="AG30" s="25">
        <v>1003</v>
      </c>
      <c r="AH30" s="25">
        <v>179</v>
      </c>
      <c r="AI30" s="25">
        <v>1210</v>
      </c>
      <c r="AJ30" s="25">
        <v>197</v>
      </c>
      <c r="AK30" s="25">
        <v>733</v>
      </c>
      <c r="AL30" s="25">
        <v>142</v>
      </c>
      <c r="AM30" s="25">
        <v>243</v>
      </c>
      <c r="AN30" s="25">
        <v>83</v>
      </c>
      <c r="AO30" s="25">
        <v>726</v>
      </c>
      <c r="AP30" s="25">
        <v>163</v>
      </c>
      <c r="AQ30" s="25">
        <v>15</v>
      </c>
      <c r="AR30" s="25">
        <v>11</v>
      </c>
      <c r="AS30" s="25">
        <v>1384</v>
      </c>
      <c r="AT30" s="25">
        <v>249</v>
      </c>
      <c r="AU30" s="25">
        <v>1055</v>
      </c>
      <c r="AV30" s="25">
        <v>233</v>
      </c>
      <c r="AW30" s="25">
        <v>1017</v>
      </c>
      <c r="AX30" s="25">
        <v>230</v>
      </c>
      <c r="AY30" s="25">
        <v>38</v>
      </c>
      <c r="AZ30" s="25">
        <v>32</v>
      </c>
      <c r="BA30" s="25">
        <v>71</v>
      </c>
      <c r="BB30" s="25">
        <v>39</v>
      </c>
      <c r="BC30" s="25">
        <v>73</v>
      </c>
      <c r="BD30" s="25">
        <v>34</v>
      </c>
      <c r="BE30" s="25">
        <v>106</v>
      </c>
      <c r="BF30" s="25">
        <v>61</v>
      </c>
      <c r="BG30" s="25">
        <v>15</v>
      </c>
      <c r="BH30" s="25">
        <v>21</v>
      </c>
      <c r="BI30" s="25">
        <v>64</v>
      </c>
      <c r="BJ30" s="25">
        <v>46</v>
      </c>
      <c r="BK30" s="25">
        <v>0</v>
      </c>
      <c r="BL30" s="25">
        <v>24</v>
      </c>
      <c r="BM30" s="25">
        <v>349</v>
      </c>
      <c r="BN30" s="25">
        <v>131</v>
      </c>
      <c r="BO30" s="25">
        <v>337</v>
      </c>
      <c r="BP30" s="25">
        <v>130</v>
      </c>
      <c r="BQ30" s="25">
        <v>330</v>
      </c>
      <c r="BR30" s="25">
        <v>132</v>
      </c>
      <c r="BS30" s="25">
        <v>7</v>
      </c>
      <c r="BT30" s="25">
        <v>11</v>
      </c>
      <c r="BU30" s="25">
        <v>5</v>
      </c>
      <c r="BV30" s="25">
        <v>9</v>
      </c>
      <c r="BW30" s="25">
        <v>0</v>
      </c>
      <c r="BX30" s="25">
        <v>24</v>
      </c>
      <c r="BY30" s="25">
        <v>7</v>
      </c>
      <c r="BZ30" s="25">
        <v>10</v>
      </c>
      <c r="CA30" s="25">
        <v>0</v>
      </c>
      <c r="CB30" s="25">
        <v>24</v>
      </c>
      <c r="CC30" s="25">
        <v>0</v>
      </c>
      <c r="CD30" s="25">
        <v>24</v>
      </c>
      <c r="CE30" s="25">
        <v>0</v>
      </c>
      <c r="CF30" s="25">
        <v>24</v>
      </c>
      <c r="CG30" s="25">
        <v>469</v>
      </c>
      <c r="CH30" s="25">
        <v>155</v>
      </c>
      <c r="CI30" s="25">
        <v>349</v>
      </c>
      <c r="CJ30" s="25">
        <v>151</v>
      </c>
      <c r="CK30" s="25">
        <v>324</v>
      </c>
      <c r="CL30" s="25">
        <v>145</v>
      </c>
      <c r="CM30" s="25">
        <v>25</v>
      </c>
      <c r="CN30" s="25">
        <v>26</v>
      </c>
      <c r="CO30" s="25">
        <v>32</v>
      </c>
      <c r="CP30" s="25">
        <v>30</v>
      </c>
      <c r="CQ30" s="25">
        <v>16</v>
      </c>
      <c r="CR30" s="25">
        <v>18</v>
      </c>
      <c r="CS30" s="25">
        <v>12</v>
      </c>
      <c r="CT30" s="25">
        <v>14</v>
      </c>
      <c r="CU30" s="25">
        <v>2</v>
      </c>
      <c r="CV30" s="25">
        <v>4</v>
      </c>
      <c r="CW30" s="25">
        <v>58</v>
      </c>
      <c r="CX30" s="25">
        <v>40</v>
      </c>
      <c r="CY30" s="25">
        <v>0</v>
      </c>
      <c r="CZ30" s="25">
        <v>24</v>
      </c>
      <c r="DA30" s="25">
        <v>579</v>
      </c>
      <c r="DB30" s="25">
        <v>145</v>
      </c>
      <c r="DC30" s="25">
        <v>423</v>
      </c>
      <c r="DD30" s="25">
        <v>121</v>
      </c>
      <c r="DE30" s="25">
        <v>396</v>
      </c>
      <c r="DF30" s="25">
        <v>118</v>
      </c>
      <c r="DG30" s="25">
        <v>27</v>
      </c>
      <c r="DH30" s="25">
        <v>25</v>
      </c>
      <c r="DI30" s="25">
        <v>53</v>
      </c>
      <c r="DJ30" s="25">
        <v>37</v>
      </c>
      <c r="DK30" s="25">
        <v>32</v>
      </c>
      <c r="DL30" s="25">
        <v>26</v>
      </c>
      <c r="DM30" s="25">
        <v>25</v>
      </c>
      <c r="DN30" s="25">
        <v>24</v>
      </c>
      <c r="DO30" s="25">
        <v>0</v>
      </c>
      <c r="DP30" s="25">
        <v>24</v>
      </c>
      <c r="DQ30" s="25">
        <v>46</v>
      </c>
      <c r="DR30" s="25">
        <v>33</v>
      </c>
      <c r="DS30" s="25">
        <v>0</v>
      </c>
      <c r="DT30" s="25">
        <v>24</v>
      </c>
      <c r="DU30" s="25">
        <v>2966</v>
      </c>
      <c r="DV30" s="25">
        <v>331</v>
      </c>
      <c r="DW30" s="25">
        <v>2062</v>
      </c>
      <c r="DX30" s="25">
        <v>271</v>
      </c>
      <c r="DY30" s="25">
        <v>1252</v>
      </c>
      <c r="DZ30" s="25">
        <v>212</v>
      </c>
      <c r="EA30" s="25">
        <v>810</v>
      </c>
      <c r="EB30" s="25">
        <v>156</v>
      </c>
      <c r="EC30" s="25">
        <v>72</v>
      </c>
      <c r="ED30" s="25">
        <v>46</v>
      </c>
      <c r="EE30" s="25">
        <v>84</v>
      </c>
      <c r="EF30" s="25">
        <v>57</v>
      </c>
      <c r="EG30" s="25">
        <v>80</v>
      </c>
      <c r="EH30" s="25">
        <v>51</v>
      </c>
      <c r="EI30" s="25">
        <v>25</v>
      </c>
      <c r="EJ30" s="25">
        <v>24</v>
      </c>
      <c r="EK30" s="25">
        <v>623</v>
      </c>
      <c r="EL30" s="25">
        <v>149</v>
      </c>
      <c r="EM30" s="25">
        <v>20</v>
      </c>
      <c r="EN30" s="25">
        <v>18</v>
      </c>
    </row>
    <row r="31" spans="1:144" x14ac:dyDescent="0.25">
      <c r="A31" s="19">
        <f t="shared" si="8"/>
        <v>45</v>
      </c>
      <c r="B31" s="20" t="str">
        <f t="shared" si="9"/>
        <v>Tooele</v>
      </c>
      <c r="C31" s="24" t="s">
        <v>332</v>
      </c>
      <c r="D31" s="24" t="s">
        <v>333</v>
      </c>
      <c r="E31" s="25">
        <v>27764</v>
      </c>
      <c r="F31" s="25">
        <v>654</v>
      </c>
      <c r="G31" s="25">
        <v>20318</v>
      </c>
      <c r="H31" s="25">
        <v>729</v>
      </c>
      <c r="I31" s="25">
        <v>19826</v>
      </c>
      <c r="J31" s="25">
        <v>786</v>
      </c>
      <c r="K31" s="25">
        <v>492</v>
      </c>
      <c r="L31" s="25">
        <v>199</v>
      </c>
      <c r="M31" s="25">
        <v>1196</v>
      </c>
      <c r="N31" s="25">
        <v>234</v>
      </c>
      <c r="O31" s="25">
        <v>2519</v>
      </c>
      <c r="P31" s="25">
        <v>416</v>
      </c>
      <c r="Q31" s="25">
        <v>795</v>
      </c>
      <c r="R31" s="25">
        <v>199</v>
      </c>
      <c r="S31" s="25">
        <v>1897</v>
      </c>
      <c r="T31" s="25">
        <v>321</v>
      </c>
      <c r="U31" s="25">
        <v>1018</v>
      </c>
      <c r="V31" s="25">
        <v>224</v>
      </c>
      <c r="W31" s="25">
        <v>21</v>
      </c>
      <c r="X31" s="25">
        <v>21</v>
      </c>
      <c r="Y31" s="25">
        <v>20501</v>
      </c>
      <c r="Z31" s="25">
        <v>741</v>
      </c>
      <c r="AA31" s="25">
        <v>15264</v>
      </c>
      <c r="AB31" s="25">
        <v>729</v>
      </c>
      <c r="AC31" s="25">
        <v>14873</v>
      </c>
      <c r="AD31" s="25">
        <v>759</v>
      </c>
      <c r="AE31" s="25">
        <v>391</v>
      </c>
      <c r="AF31" s="25">
        <v>181</v>
      </c>
      <c r="AG31" s="25">
        <v>925</v>
      </c>
      <c r="AH31" s="25">
        <v>204</v>
      </c>
      <c r="AI31" s="25">
        <v>2142</v>
      </c>
      <c r="AJ31" s="25">
        <v>405</v>
      </c>
      <c r="AK31" s="25">
        <v>649</v>
      </c>
      <c r="AL31" s="25">
        <v>193</v>
      </c>
      <c r="AM31" s="25">
        <v>1034</v>
      </c>
      <c r="AN31" s="25">
        <v>243</v>
      </c>
      <c r="AO31" s="25">
        <v>487</v>
      </c>
      <c r="AP31" s="25">
        <v>127</v>
      </c>
      <c r="AQ31" s="25">
        <v>0</v>
      </c>
      <c r="AR31" s="25">
        <v>27</v>
      </c>
      <c r="AS31" s="25">
        <v>4964</v>
      </c>
      <c r="AT31" s="25">
        <v>534</v>
      </c>
      <c r="AU31" s="25">
        <v>3603</v>
      </c>
      <c r="AV31" s="25">
        <v>503</v>
      </c>
      <c r="AW31" s="25">
        <v>3567</v>
      </c>
      <c r="AX31" s="25">
        <v>500</v>
      </c>
      <c r="AY31" s="25">
        <v>36</v>
      </c>
      <c r="AZ31" s="25">
        <v>35</v>
      </c>
      <c r="BA31" s="25">
        <v>190</v>
      </c>
      <c r="BB31" s="25">
        <v>101</v>
      </c>
      <c r="BC31" s="25">
        <v>235</v>
      </c>
      <c r="BD31" s="25">
        <v>89</v>
      </c>
      <c r="BE31" s="25">
        <v>107</v>
      </c>
      <c r="BF31" s="25">
        <v>68</v>
      </c>
      <c r="BG31" s="25">
        <v>795</v>
      </c>
      <c r="BH31" s="25">
        <v>223</v>
      </c>
      <c r="BI31" s="25">
        <v>29</v>
      </c>
      <c r="BJ31" s="25">
        <v>22</v>
      </c>
      <c r="BK31" s="25">
        <v>5</v>
      </c>
      <c r="BL31" s="25">
        <v>8</v>
      </c>
      <c r="BM31" s="25">
        <v>348</v>
      </c>
      <c r="BN31" s="25">
        <v>125</v>
      </c>
      <c r="BO31" s="25">
        <v>241</v>
      </c>
      <c r="BP31" s="25">
        <v>110</v>
      </c>
      <c r="BQ31" s="25">
        <v>229</v>
      </c>
      <c r="BR31" s="25">
        <v>108</v>
      </c>
      <c r="BS31" s="25">
        <v>12</v>
      </c>
      <c r="BT31" s="25">
        <v>18</v>
      </c>
      <c r="BU31" s="25">
        <v>24</v>
      </c>
      <c r="BV31" s="25">
        <v>21</v>
      </c>
      <c r="BW31" s="25">
        <v>56</v>
      </c>
      <c r="BX31" s="25">
        <v>48</v>
      </c>
      <c r="BY31" s="25">
        <v>21</v>
      </c>
      <c r="BZ31" s="25">
        <v>27</v>
      </c>
      <c r="CA31" s="25">
        <v>6</v>
      </c>
      <c r="CB31" s="25">
        <v>11</v>
      </c>
      <c r="CC31" s="25">
        <v>0</v>
      </c>
      <c r="CD31" s="25">
        <v>27</v>
      </c>
      <c r="CE31" s="25">
        <v>0</v>
      </c>
      <c r="CF31" s="25">
        <v>27</v>
      </c>
      <c r="CG31" s="25">
        <v>450</v>
      </c>
      <c r="CH31" s="25">
        <v>156</v>
      </c>
      <c r="CI31" s="25">
        <v>335</v>
      </c>
      <c r="CJ31" s="25">
        <v>137</v>
      </c>
      <c r="CK31" s="25">
        <v>335</v>
      </c>
      <c r="CL31" s="25">
        <v>137</v>
      </c>
      <c r="CM31" s="25">
        <v>0</v>
      </c>
      <c r="CN31" s="25">
        <v>27</v>
      </c>
      <c r="CO31" s="25">
        <v>21</v>
      </c>
      <c r="CP31" s="25">
        <v>31</v>
      </c>
      <c r="CQ31" s="25">
        <v>49</v>
      </c>
      <c r="CR31" s="25">
        <v>51</v>
      </c>
      <c r="CS31" s="25">
        <v>10</v>
      </c>
      <c r="CT31" s="25">
        <v>13</v>
      </c>
      <c r="CU31" s="25">
        <v>28</v>
      </c>
      <c r="CV31" s="25">
        <v>33</v>
      </c>
      <c r="CW31" s="25">
        <v>7</v>
      </c>
      <c r="CX31" s="25">
        <v>12</v>
      </c>
      <c r="CY31" s="25">
        <v>0</v>
      </c>
      <c r="CZ31" s="25">
        <v>27</v>
      </c>
      <c r="DA31" s="25">
        <v>232</v>
      </c>
      <c r="DB31" s="25">
        <v>99</v>
      </c>
      <c r="DC31" s="25">
        <v>193</v>
      </c>
      <c r="DD31" s="25">
        <v>90</v>
      </c>
      <c r="DE31" s="25">
        <v>190</v>
      </c>
      <c r="DF31" s="25">
        <v>91</v>
      </c>
      <c r="DG31" s="25">
        <v>3</v>
      </c>
      <c r="DH31" s="25">
        <v>6</v>
      </c>
      <c r="DI31" s="25">
        <v>2</v>
      </c>
      <c r="DJ31" s="25">
        <v>3</v>
      </c>
      <c r="DK31" s="25">
        <v>7</v>
      </c>
      <c r="DL31" s="25">
        <v>11</v>
      </c>
      <c r="DM31" s="25">
        <v>4</v>
      </c>
      <c r="DN31" s="25">
        <v>9</v>
      </c>
      <c r="DO31" s="25">
        <v>15</v>
      </c>
      <c r="DP31" s="25">
        <v>24</v>
      </c>
      <c r="DQ31" s="25">
        <v>11</v>
      </c>
      <c r="DR31" s="25">
        <v>19</v>
      </c>
      <c r="DS31" s="25">
        <v>0</v>
      </c>
      <c r="DT31" s="25">
        <v>27</v>
      </c>
      <c r="DU31" s="25">
        <v>1269</v>
      </c>
      <c r="DV31" s="25">
        <v>230</v>
      </c>
      <c r="DW31" s="25">
        <v>682</v>
      </c>
      <c r="DX31" s="25">
        <v>151</v>
      </c>
      <c r="DY31" s="25">
        <v>632</v>
      </c>
      <c r="DZ31" s="25">
        <v>154</v>
      </c>
      <c r="EA31" s="25">
        <v>50</v>
      </c>
      <c r="EB31" s="25">
        <v>43</v>
      </c>
      <c r="EC31" s="25">
        <v>34</v>
      </c>
      <c r="ED31" s="25">
        <v>29</v>
      </c>
      <c r="EE31" s="25">
        <v>30</v>
      </c>
      <c r="EF31" s="25">
        <v>35</v>
      </c>
      <c r="EG31" s="25">
        <v>4</v>
      </c>
      <c r="EH31" s="25">
        <v>8</v>
      </c>
      <c r="EI31" s="25">
        <v>19</v>
      </c>
      <c r="EJ31" s="25">
        <v>25</v>
      </c>
      <c r="EK31" s="25">
        <v>484</v>
      </c>
      <c r="EL31" s="25">
        <v>147</v>
      </c>
      <c r="EM31" s="25">
        <v>16</v>
      </c>
      <c r="EN31" s="25">
        <v>19</v>
      </c>
    </row>
    <row r="32" spans="1:144" x14ac:dyDescent="0.25">
      <c r="A32" s="19">
        <f t="shared" si="8"/>
        <v>47</v>
      </c>
      <c r="B32" s="20" t="str">
        <f t="shared" si="9"/>
        <v>Uintah</v>
      </c>
      <c r="C32" s="24" t="s">
        <v>334</v>
      </c>
      <c r="D32" s="24" t="s">
        <v>335</v>
      </c>
      <c r="E32" s="25">
        <v>14879</v>
      </c>
      <c r="F32" s="25">
        <v>564</v>
      </c>
      <c r="G32" s="25">
        <v>10920</v>
      </c>
      <c r="H32" s="25">
        <v>642</v>
      </c>
      <c r="I32" s="25">
        <v>10151</v>
      </c>
      <c r="J32" s="25">
        <v>679</v>
      </c>
      <c r="K32" s="25">
        <v>769</v>
      </c>
      <c r="L32" s="25">
        <v>173</v>
      </c>
      <c r="M32" s="25">
        <v>498</v>
      </c>
      <c r="N32" s="25">
        <v>160</v>
      </c>
      <c r="O32" s="25">
        <v>1298</v>
      </c>
      <c r="P32" s="25">
        <v>253</v>
      </c>
      <c r="Q32" s="25">
        <v>729</v>
      </c>
      <c r="R32" s="25">
        <v>166</v>
      </c>
      <c r="S32" s="25">
        <v>670</v>
      </c>
      <c r="T32" s="25">
        <v>142</v>
      </c>
      <c r="U32" s="25">
        <v>714</v>
      </c>
      <c r="V32" s="25">
        <v>187</v>
      </c>
      <c r="W32" s="25">
        <v>50</v>
      </c>
      <c r="X32" s="25">
        <v>35</v>
      </c>
      <c r="Y32" s="25">
        <v>11886</v>
      </c>
      <c r="Z32" s="25">
        <v>589</v>
      </c>
      <c r="AA32" s="25">
        <v>8875</v>
      </c>
      <c r="AB32" s="25">
        <v>614</v>
      </c>
      <c r="AC32" s="25">
        <v>8324</v>
      </c>
      <c r="AD32" s="25">
        <v>640</v>
      </c>
      <c r="AE32" s="25">
        <v>551</v>
      </c>
      <c r="AF32" s="25">
        <v>140</v>
      </c>
      <c r="AG32" s="25">
        <v>403</v>
      </c>
      <c r="AH32" s="25">
        <v>116</v>
      </c>
      <c r="AI32" s="25">
        <v>1023</v>
      </c>
      <c r="AJ32" s="25">
        <v>232</v>
      </c>
      <c r="AK32" s="25">
        <v>621</v>
      </c>
      <c r="AL32" s="25">
        <v>152</v>
      </c>
      <c r="AM32" s="25">
        <v>616</v>
      </c>
      <c r="AN32" s="25">
        <v>134</v>
      </c>
      <c r="AO32" s="25">
        <v>328</v>
      </c>
      <c r="AP32" s="25">
        <v>117</v>
      </c>
      <c r="AQ32" s="25">
        <v>20</v>
      </c>
      <c r="AR32" s="25">
        <v>33</v>
      </c>
      <c r="AS32" s="25">
        <v>1797</v>
      </c>
      <c r="AT32" s="25">
        <v>341</v>
      </c>
      <c r="AU32" s="25">
        <v>1340</v>
      </c>
      <c r="AV32" s="25">
        <v>259</v>
      </c>
      <c r="AW32" s="25">
        <v>1268</v>
      </c>
      <c r="AX32" s="25">
        <v>260</v>
      </c>
      <c r="AY32" s="25">
        <v>72</v>
      </c>
      <c r="AZ32" s="25">
        <v>51</v>
      </c>
      <c r="BA32" s="25">
        <v>88</v>
      </c>
      <c r="BB32" s="25">
        <v>105</v>
      </c>
      <c r="BC32" s="25">
        <v>227</v>
      </c>
      <c r="BD32" s="25">
        <v>115</v>
      </c>
      <c r="BE32" s="25">
        <v>65</v>
      </c>
      <c r="BF32" s="25">
        <v>42</v>
      </c>
      <c r="BG32" s="25">
        <v>0</v>
      </c>
      <c r="BH32" s="25">
        <v>24</v>
      </c>
      <c r="BI32" s="25">
        <v>77</v>
      </c>
      <c r="BJ32" s="25">
        <v>54</v>
      </c>
      <c r="BK32" s="25">
        <v>0</v>
      </c>
      <c r="BL32" s="25">
        <v>24</v>
      </c>
      <c r="BM32" s="25">
        <v>122</v>
      </c>
      <c r="BN32" s="25">
        <v>66</v>
      </c>
      <c r="BO32" s="25">
        <v>58</v>
      </c>
      <c r="BP32" s="25">
        <v>48</v>
      </c>
      <c r="BQ32" s="25">
        <v>58</v>
      </c>
      <c r="BR32" s="25">
        <v>48</v>
      </c>
      <c r="BS32" s="25">
        <v>0</v>
      </c>
      <c r="BT32" s="25">
        <v>24</v>
      </c>
      <c r="BU32" s="25">
        <v>0</v>
      </c>
      <c r="BV32" s="25">
        <v>24</v>
      </c>
      <c r="BW32" s="25">
        <v>0</v>
      </c>
      <c r="BX32" s="25">
        <v>24</v>
      </c>
      <c r="BY32" s="25">
        <v>27</v>
      </c>
      <c r="BZ32" s="25">
        <v>32</v>
      </c>
      <c r="CA32" s="25">
        <v>0</v>
      </c>
      <c r="CB32" s="25">
        <v>24</v>
      </c>
      <c r="CC32" s="25">
        <v>19</v>
      </c>
      <c r="CD32" s="25">
        <v>28</v>
      </c>
      <c r="CE32" s="25">
        <v>18</v>
      </c>
      <c r="CF32" s="25">
        <v>29</v>
      </c>
      <c r="CG32" s="25">
        <v>331</v>
      </c>
      <c r="CH32" s="25">
        <v>134</v>
      </c>
      <c r="CI32" s="25">
        <v>235</v>
      </c>
      <c r="CJ32" s="25">
        <v>112</v>
      </c>
      <c r="CK32" s="25">
        <v>220</v>
      </c>
      <c r="CL32" s="25">
        <v>111</v>
      </c>
      <c r="CM32" s="25">
        <v>15</v>
      </c>
      <c r="CN32" s="25">
        <v>13</v>
      </c>
      <c r="CO32" s="25">
        <v>7</v>
      </c>
      <c r="CP32" s="25">
        <v>10</v>
      </c>
      <c r="CQ32" s="25">
        <v>19</v>
      </c>
      <c r="CR32" s="25">
        <v>29</v>
      </c>
      <c r="CS32" s="25">
        <v>4</v>
      </c>
      <c r="CT32" s="25">
        <v>7</v>
      </c>
      <c r="CU32" s="25">
        <v>28</v>
      </c>
      <c r="CV32" s="25">
        <v>32</v>
      </c>
      <c r="CW32" s="25">
        <v>38</v>
      </c>
      <c r="CX32" s="25">
        <v>37</v>
      </c>
      <c r="CY32" s="25">
        <v>0</v>
      </c>
      <c r="CZ32" s="25">
        <v>24</v>
      </c>
      <c r="DA32" s="25">
        <v>180</v>
      </c>
      <c r="DB32" s="25">
        <v>80</v>
      </c>
      <c r="DC32" s="25">
        <v>134</v>
      </c>
      <c r="DD32" s="25">
        <v>70</v>
      </c>
      <c r="DE32" s="25">
        <v>134</v>
      </c>
      <c r="DF32" s="25">
        <v>70</v>
      </c>
      <c r="DG32" s="25">
        <v>0</v>
      </c>
      <c r="DH32" s="25">
        <v>24</v>
      </c>
      <c r="DI32" s="25">
        <v>0</v>
      </c>
      <c r="DJ32" s="25">
        <v>24</v>
      </c>
      <c r="DK32" s="25">
        <v>29</v>
      </c>
      <c r="DL32" s="25">
        <v>33</v>
      </c>
      <c r="DM32" s="25">
        <v>12</v>
      </c>
      <c r="DN32" s="25">
        <v>19</v>
      </c>
      <c r="DO32" s="25">
        <v>5</v>
      </c>
      <c r="DP32" s="25">
        <v>8</v>
      </c>
      <c r="DQ32" s="25">
        <v>0</v>
      </c>
      <c r="DR32" s="25">
        <v>24</v>
      </c>
      <c r="DS32" s="25">
        <v>0</v>
      </c>
      <c r="DT32" s="25">
        <v>24</v>
      </c>
      <c r="DU32" s="25">
        <v>563</v>
      </c>
      <c r="DV32" s="25">
        <v>163</v>
      </c>
      <c r="DW32" s="25">
        <v>278</v>
      </c>
      <c r="DX32" s="25">
        <v>112</v>
      </c>
      <c r="DY32" s="25">
        <v>147</v>
      </c>
      <c r="DZ32" s="25">
        <v>91</v>
      </c>
      <c r="EA32" s="25">
        <v>131</v>
      </c>
      <c r="EB32" s="25">
        <v>78</v>
      </c>
      <c r="EC32" s="25">
        <v>0</v>
      </c>
      <c r="ED32" s="25">
        <v>24</v>
      </c>
      <c r="EE32" s="25">
        <v>0</v>
      </c>
      <c r="EF32" s="25">
        <v>24</v>
      </c>
      <c r="EG32" s="25">
        <v>0</v>
      </c>
      <c r="EH32" s="25">
        <v>24</v>
      </c>
      <c r="EI32" s="25">
        <v>21</v>
      </c>
      <c r="EJ32" s="25">
        <v>31</v>
      </c>
      <c r="EK32" s="25">
        <v>252</v>
      </c>
      <c r="EL32" s="25">
        <v>101</v>
      </c>
      <c r="EM32" s="25">
        <v>12</v>
      </c>
      <c r="EN32" s="25">
        <v>14</v>
      </c>
    </row>
    <row r="33" spans="1:144" x14ac:dyDescent="0.25">
      <c r="A33" s="19">
        <f t="shared" si="8"/>
        <v>49</v>
      </c>
      <c r="B33" s="20" t="str">
        <f t="shared" si="9"/>
        <v>Utah</v>
      </c>
      <c r="C33" s="24" t="s">
        <v>336</v>
      </c>
      <c r="D33" s="24" t="s">
        <v>337</v>
      </c>
      <c r="E33" s="25">
        <v>253216</v>
      </c>
      <c r="F33" s="25">
        <v>1782</v>
      </c>
      <c r="G33" s="25">
        <v>187874</v>
      </c>
      <c r="H33" s="25">
        <v>1943</v>
      </c>
      <c r="I33" s="25">
        <v>177022</v>
      </c>
      <c r="J33" s="25">
        <v>1880</v>
      </c>
      <c r="K33" s="25">
        <v>10852</v>
      </c>
      <c r="L33" s="25">
        <v>662</v>
      </c>
      <c r="M33" s="25">
        <v>24320</v>
      </c>
      <c r="N33" s="25">
        <v>1084</v>
      </c>
      <c r="O33" s="25">
        <v>14786</v>
      </c>
      <c r="P33" s="25">
        <v>673</v>
      </c>
      <c r="Q33" s="25">
        <v>11203</v>
      </c>
      <c r="R33" s="25">
        <v>485</v>
      </c>
      <c r="S33" s="25">
        <v>2952</v>
      </c>
      <c r="T33" s="25">
        <v>340</v>
      </c>
      <c r="U33" s="25">
        <v>11607</v>
      </c>
      <c r="V33" s="25">
        <v>692</v>
      </c>
      <c r="W33" s="25">
        <v>474</v>
      </c>
      <c r="X33" s="25">
        <v>158</v>
      </c>
      <c r="Y33" s="25">
        <v>185390</v>
      </c>
      <c r="Z33" s="25">
        <v>1813</v>
      </c>
      <c r="AA33" s="25">
        <v>140416</v>
      </c>
      <c r="AB33" s="25">
        <v>1851</v>
      </c>
      <c r="AC33" s="25">
        <v>133839</v>
      </c>
      <c r="AD33" s="25">
        <v>1820</v>
      </c>
      <c r="AE33" s="25">
        <v>6577</v>
      </c>
      <c r="AF33" s="25">
        <v>519</v>
      </c>
      <c r="AG33" s="25">
        <v>16217</v>
      </c>
      <c r="AH33" s="25">
        <v>754</v>
      </c>
      <c r="AI33" s="25">
        <v>11920</v>
      </c>
      <c r="AJ33" s="25">
        <v>611</v>
      </c>
      <c r="AK33" s="25">
        <v>9005</v>
      </c>
      <c r="AL33" s="25">
        <v>403</v>
      </c>
      <c r="AM33" s="25">
        <v>2357</v>
      </c>
      <c r="AN33" s="25">
        <v>291</v>
      </c>
      <c r="AO33" s="25">
        <v>5351</v>
      </c>
      <c r="AP33" s="25">
        <v>442</v>
      </c>
      <c r="AQ33" s="25">
        <v>124</v>
      </c>
      <c r="AR33" s="25">
        <v>56</v>
      </c>
      <c r="AS33" s="25">
        <v>29757</v>
      </c>
      <c r="AT33" s="25">
        <v>1097</v>
      </c>
      <c r="AU33" s="25">
        <v>22545</v>
      </c>
      <c r="AV33" s="25">
        <v>888</v>
      </c>
      <c r="AW33" s="25">
        <v>21607</v>
      </c>
      <c r="AX33" s="25">
        <v>839</v>
      </c>
      <c r="AY33" s="25">
        <v>938</v>
      </c>
      <c r="AZ33" s="25">
        <v>224</v>
      </c>
      <c r="BA33" s="25">
        <v>2760</v>
      </c>
      <c r="BB33" s="25">
        <v>305</v>
      </c>
      <c r="BC33" s="25">
        <v>1688</v>
      </c>
      <c r="BD33" s="25">
        <v>248</v>
      </c>
      <c r="BE33" s="25">
        <v>1154</v>
      </c>
      <c r="BF33" s="25">
        <v>227</v>
      </c>
      <c r="BG33" s="25">
        <v>285</v>
      </c>
      <c r="BH33" s="25">
        <v>120</v>
      </c>
      <c r="BI33" s="25">
        <v>1163</v>
      </c>
      <c r="BJ33" s="25">
        <v>256</v>
      </c>
      <c r="BK33" s="25">
        <v>162</v>
      </c>
      <c r="BL33" s="25">
        <v>107</v>
      </c>
      <c r="BM33" s="25">
        <v>4993</v>
      </c>
      <c r="BN33" s="25">
        <v>438</v>
      </c>
      <c r="BO33" s="25">
        <v>3279</v>
      </c>
      <c r="BP33" s="25">
        <v>395</v>
      </c>
      <c r="BQ33" s="25">
        <v>3217</v>
      </c>
      <c r="BR33" s="25">
        <v>391</v>
      </c>
      <c r="BS33" s="25">
        <v>62</v>
      </c>
      <c r="BT33" s="25">
        <v>49</v>
      </c>
      <c r="BU33" s="25">
        <v>894</v>
      </c>
      <c r="BV33" s="25">
        <v>145</v>
      </c>
      <c r="BW33" s="25">
        <v>269</v>
      </c>
      <c r="BX33" s="25">
        <v>91</v>
      </c>
      <c r="BY33" s="25">
        <v>377</v>
      </c>
      <c r="BZ33" s="25">
        <v>100</v>
      </c>
      <c r="CA33" s="25">
        <v>89</v>
      </c>
      <c r="CB33" s="25">
        <v>48</v>
      </c>
      <c r="CC33" s="25">
        <v>85</v>
      </c>
      <c r="CD33" s="25">
        <v>54</v>
      </c>
      <c r="CE33" s="25">
        <v>0</v>
      </c>
      <c r="CF33" s="25">
        <v>27</v>
      </c>
      <c r="CG33" s="25">
        <v>10349</v>
      </c>
      <c r="CH33" s="25">
        <v>708</v>
      </c>
      <c r="CI33" s="25">
        <v>6500</v>
      </c>
      <c r="CJ33" s="25">
        <v>598</v>
      </c>
      <c r="CK33" s="25">
        <v>6366</v>
      </c>
      <c r="CL33" s="25">
        <v>587</v>
      </c>
      <c r="CM33" s="25">
        <v>134</v>
      </c>
      <c r="CN33" s="25">
        <v>62</v>
      </c>
      <c r="CO33" s="25">
        <v>2758</v>
      </c>
      <c r="CP33" s="25">
        <v>534</v>
      </c>
      <c r="CQ33" s="25">
        <v>529</v>
      </c>
      <c r="CR33" s="25">
        <v>151</v>
      </c>
      <c r="CS33" s="25">
        <v>272</v>
      </c>
      <c r="CT33" s="25">
        <v>94</v>
      </c>
      <c r="CU33" s="25">
        <v>56</v>
      </c>
      <c r="CV33" s="25">
        <v>41</v>
      </c>
      <c r="CW33" s="25">
        <v>234</v>
      </c>
      <c r="CX33" s="25">
        <v>79</v>
      </c>
      <c r="CY33" s="25">
        <v>0</v>
      </c>
      <c r="CZ33" s="25">
        <v>27</v>
      </c>
      <c r="DA33" s="25">
        <v>5871</v>
      </c>
      <c r="DB33" s="25">
        <v>508</v>
      </c>
      <c r="DC33" s="25">
        <v>4415</v>
      </c>
      <c r="DD33" s="25">
        <v>491</v>
      </c>
      <c r="DE33" s="25">
        <v>4202</v>
      </c>
      <c r="DF33" s="25">
        <v>483</v>
      </c>
      <c r="DG33" s="25">
        <v>213</v>
      </c>
      <c r="DH33" s="25">
        <v>77</v>
      </c>
      <c r="DI33" s="25">
        <v>920</v>
      </c>
      <c r="DJ33" s="25">
        <v>146</v>
      </c>
      <c r="DK33" s="25">
        <v>125</v>
      </c>
      <c r="DL33" s="25">
        <v>54</v>
      </c>
      <c r="DM33" s="25">
        <v>143</v>
      </c>
      <c r="DN33" s="25">
        <v>65</v>
      </c>
      <c r="DO33" s="25">
        <v>32</v>
      </c>
      <c r="DP33" s="25">
        <v>24</v>
      </c>
      <c r="DQ33" s="25">
        <v>212</v>
      </c>
      <c r="DR33" s="25">
        <v>71</v>
      </c>
      <c r="DS33" s="25">
        <v>24</v>
      </c>
      <c r="DT33" s="25">
        <v>25</v>
      </c>
      <c r="DU33" s="25">
        <v>16856</v>
      </c>
      <c r="DV33" s="25">
        <v>726</v>
      </c>
      <c r="DW33" s="25">
        <v>10719</v>
      </c>
      <c r="DX33" s="25">
        <v>597</v>
      </c>
      <c r="DY33" s="25">
        <v>7791</v>
      </c>
      <c r="DZ33" s="25">
        <v>486</v>
      </c>
      <c r="EA33" s="25">
        <v>2928</v>
      </c>
      <c r="EB33" s="25">
        <v>359</v>
      </c>
      <c r="EC33" s="25">
        <v>771</v>
      </c>
      <c r="ED33" s="25">
        <v>154</v>
      </c>
      <c r="EE33" s="25">
        <v>255</v>
      </c>
      <c r="EF33" s="25">
        <v>79</v>
      </c>
      <c r="EG33" s="25">
        <v>252</v>
      </c>
      <c r="EH33" s="25">
        <v>78</v>
      </c>
      <c r="EI33" s="25">
        <v>133</v>
      </c>
      <c r="EJ33" s="25">
        <v>76</v>
      </c>
      <c r="EK33" s="25">
        <v>4562</v>
      </c>
      <c r="EL33" s="25">
        <v>410</v>
      </c>
      <c r="EM33" s="25">
        <v>164</v>
      </c>
      <c r="EN33" s="25">
        <v>101</v>
      </c>
    </row>
    <row r="34" spans="1:144" x14ac:dyDescent="0.25">
      <c r="A34" s="19">
        <f t="shared" si="8"/>
        <v>51</v>
      </c>
      <c r="B34" s="20" t="str">
        <f t="shared" si="9"/>
        <v>Wasatch</v>
      </c>
      <c r="C34" s="24" t="s">
        <v>338</v>
      </c>
      <c r="D34" s="24" t="s">
        <v>339</v>
      </c>
      <c r="E34" s="25">
        <v>14118</v>
      </c>
      <c r="F34" s="25">
        <v>483</v>
      </c>
      <c r="G34" s="25">
        <v>10139</v>
      </c>
      <c r="H34" s="25">
        <v>522</v>
      </c>
      <c r="I34" s="25">
        <v>9040</v>
      </c>
      <c r="J34" s="25">
        <v>477</v>
      </c>
      <c r="K34" s="25">
        <v>1099</v>
      </c>
      <c r="L34" s="25">
        <v>234</v>
      </c>
      <c r="M34" s="25">
        <v>887</v>
      </c>
      <c r="N34" s="25">
        <v>244</v>
      </c>
      <c r="O34" s="25">
        <v>1302</v>
      </c>
      <c r="P34" s="25">
        <v>257</v>
      </c>
      <c r="Q34" s="25">
        <v>631</v>
      </c>
      <c r="R34" s="25">
        <v>159</v>
      </c>
      <c r="S34" s="25">
        <v>247</v>
      </c>
      <c r="T34" s="25">
        <v>130</v>
      </c>
      <c r="U34" s="25">
        <v>888</v>
      </c>
      <c r="V34" s="25">
        <v>202</v>
      </c>
      <c r="W34" s="25">
        <v>24</v>
      </c>
      <c r="X34" s="25">
        <v>21</v>
      </c>
      <c r="Y34" s="25">
        <v>11099</v>
      </c>
      <c r="Z34" s="25">
        <v>557</v>
      </c>
      <c r="AA34" s="25">
        <v>7932</v>
      </c>
      <c r="AB34" s="25">
        <v>550</v>
      </c>
      <c r="AC34" s="25">
        <v>7072</v>
      </c>
      <c r="AD34" s="25">
        <v>509</v>
      </c>
      <c r="AE34" s="25">
        <v>860</v>
      </c>
      <c r="AF34" s="25">
        <v>217</v>
      </c>
      <c r="AG34" s="25">
        <v>758</v>
      </c>
      <c r="AH34" s="25">
        <v>223</v>
      </c>
      <c r="AI34" s="25">
        <v>1205</v>
      </c>
      <c r="AJ34" s="25">
        <v>265</v>
      </c>
      <c r="AK34" s="25">
        <v>528</v>
      </c>
      <c r="AL34" s="25">
        <v>158</v>
      </c>
      <c r="AM34" s="25">
        <v>171</v>
      </c>
      <c r="AN34" s="25">
        <v>101</v>
      </c>
      <c r="AO34" s="25">
        <v>495</v>
      </c>
      <c r="AP34" s="25">
        <v>148</v>
      </c>
      <c r="AQ34" s="25">
        <v>10</v>
      </c>
      <c r="AR34" s="25">
        <v>15</v>
      </c>
      <c r="AS34" s="25">
        <v>1728</v>
      </c>
      <c r="AT34" s="25">
        <v>336</v>
      </c>
      <c r="AU34" s="25">
        <v>1442</v>
      </c>
      <c r="AV34" s="25">
        <v>328</v>
      </c>
      <c r="AW34" s="25">
        <v>1387</v>
      </c>
      <c r="AX34" s="25">
        <v>333</v>
      </c>
      <c r="AY34" s="25">
        <v>55</v>
      </c>
      <c r="AZ34" s="25">
        <v>52</v>
      </c>
      <c r="BA34" s="25">
        <v>83</v>
      </c>
      <c r="BB34" s="25">
        <v>51</v>
      </c>
      <c r="BC34" s="25">
        <v>67</v>
      </c>
      <c r="BD34" s="25">
        <v>51</v>
      </c>
      <c r="BE34" s="25">
        <v>66</v>
      </c>
      <c r="BF34" s="25">
        <v>59</v>
      </c>
      <c r="BG34" s="25">
        <v>15</v>
      </c>
      <c r="BH34" s="25">
        <v>24</v>
      </c>
      <c r="BI34" s="25">
        <v>55</v>
      </c>
      <c r="BJ34" s="25">
        <v>58</v>
      </c>
      <c r="BK34" s="25">
        <v>0</v>
      </c>
      <c r="BL34" s="25">
        <v>21</v>
      </c>
      <c r="BM34" s="25">
        <v>5</v>
      </c>
      <c r="BN34" s="25">
        <v>9</v>
      </c>
      <c r="BO34" s="25">
        <v>0</v>
      </c>
      <c r="BP34" s="25">
        <v>21</v>
      </c>
      <c r="BQ34" s="25">
        <v>0</v>
      </c>
      <c r="BR34" s="25">
        <v>21</v>
      </c>
      <c r="BS34" s="25">
        <v>0</v>
      </c>
      <c r="BT34" s="25">
        <v>21</v>
      </c>
      <c r="BU34" s="25">
        <v>0</v>
      </c>
      <c r="BV34" s="25">
        <v>21</v>
      </c>
      <c r="BW34" s="25">
        <v>0</v>
      </c>
      <c r="BX34" s="25">
        <v>21</v>
      </c>
      <c r="BY34" s="25">
        <v>0</v>
      </c>
      <c r="BZ34" s="25">
        <v>21</v>
      </c>
      <c r="CA34" s="25">
        <v>0</v>
      </c>
      <c r="CB34" s="25">
        <v>21</v>
      </c>
      <c r="CC34" s="25">
        <v>5</v>
      </c>
      <c r="CD34" s="25">
        <v>9</v>
      </c>
      <c r="CE34" s="25">
        <v>0</v>
      </c>
      <c r="CF34" s="25">
        <v>21</v>
      </c>
      <c r="CG34" s="25">
        <v>214</v>
      </c>
      <c r="CH34" s="25">
        <v>86</v>
      </c>
      <c r="CI34" s="25">
        <v>150</v>
      </c>
      <c r="CJ34" s="25">
        <v>72</v>
      </c>
      <c r="CK34" s="25">
        <v>133</v>
      </c>
      <c r="CL34" s="25">
        <v>67</v>
      </c>
      <c r="CM34" s="25">
        <v>17</v>
      </c>
      <c r="CN34" s="25">
        <v>25</v>
      </c>
      <c r="CO34" s="25">
        <v>25</v>
      </c>
      <c r="CP34" s="25">
        <v>37</v>
      </c>
      <c r="CQ34" s="25">
        <v>20</v>
      </c>
      <c r="CR34" s="25">
        <v>30</v>
      </c>
      <c r="CS34" s="25">
        <v>0</v>
      </c>
      <c r="CT34" s="25">
        <v>21</v>
      </c>
      <c r="CU34" s="25">
        <v>0</v>
      </c>
      <c r="CV34" s="25">
        <v>21</v>
      </c>
      <c r="CW34" s="25">
        <v>19</v>
      </c>
      <c r="CX34" s="25">
        <v>22</v>
      </c>
      <c r="CY34" s="25">
        <v>0</v>
      </c>
      <c r="CZ34" s="25">
        <v>21</v>
      </c>
      <c r="DA34" s="25">
        <v>127</v>
      </c>
      <c r="DB34" s="25">
        <v>80</v>
      </c>
      <c r="DC34" s="25">
        <v>93</v>
      </c>
      <c r="DD34" s="25">
        <v>69</v>
      </c>
      <c r="DE34" s="25">
        <v>91</v>
      </c>
      <c r="DF34" s="25">
        <v>68</v>
      </c>
      <c r="DG34" s="25">
        <v>2</v>
      </c>
      <c r="DH34" s="25">
        <v>4</v>
      </c>
      <c r="DI34" s="25">
        <v>0</v>
      </c>
      <c r="DJ34" s="25">
        <v>21</v>
      </c>
      <c r="DK34" s="25">
        <v>0</v>
      </c>
      <c r="DL34" s="25">
        <v>21</v>
      </c>
      <c r="DM34" s="25">
        <v>11</v>
      </c>
      <c r="DN34" s="25">
        <v>18</v>
      </c>
      <c r="DO34" s="25">
        <v>0</v>
      </c>
      <c r="DP34" s="25">
        <v>21</v>
      </c>
      <c r="DQ34" s="25">
        <v>13</v>
      </c>
      <c r="DR34" s="25">
        <v>21</v>
      </c>
      <c r="DS34" s="25">
        <v>10</v>
      </c>
      <c r="DT34" s="25">
        <v>15</v>
      </c>
      <c r="DU34" s="25">
        <v>945</v>
      </c>
      <c r="DV34" s="25">
        <v>243</v>
      </c>
      <c r="DW34" s="25">
        <v>522</v>
      </c>
      <c r="DX34" s="25">
        <v>155</v>
      </c>
      <c r="DY34" s="25">
        <v>357</v>
      </c>
      <c r="DZ34" s="25">
        <v>141</v>
      </c>
      <c r="EA34" s="25">
        <v>165</v>
      </c>
      <c r="EB34" s="25">
        <v>81</v>
      </c>
      <c r="EC34" s="25">
        <v>21</v>
      </c>
      <c r="ED34" s="25">
        <v>23</v>
      </c>
      <c r="EE34" s="25">
        <v>10</v>
      </c>
      <c r="EF34" s="25">
        <v>14</v>
      </c>
      <c r="EG34" s="25">
        <v>26</v>
      </c>
      <c r="EH34" s="25">
        <v>30</v>
      </c>
      <c r="EI34" s="25">
        <v>61</v>
      </c>
      <c r="EJ34" s="25">
        <v>83</v>
      </c>
      <c r="EK34" s="25">
        <v>301</v>
      </c>
      <c r="EL34" s="25">
        <v>129</v>
      </c>
      <c r="EM34" s="25">
        <v>4</v>
      </c>
      <c r="EN34" s="25">
        <v>4</v>
      </c>
    </row>
    <row r="35" spans="1:144" x14ac:dyDescent="0.25">
      <c r="A35" s="19">
        <f t="shared" si="8"/>
        <v>53</v>
      </c>
      <c r="B35" s="20" t="str">
        <f t="shared" si="9"/>
        <v>Washington</v>
      </c>
      <c r="C35" s="24" t="s">
        <v>340</v>
      </c>
      <c r="D35" s="24" t="s">
        <v>341</v>
      </c>
      <c r="E35" s="25">
        <v>61760</v>
      </c>
      <c r="F35" s="25">
        <v>1106</v>
      </c>
      <c r="G35" s="25">
        <v>46333</v>
      </c>
      <c r="H35" s="25">
        <v>1347</v>
      </c>
      <c r="I35" s="25">
        <v>42670</v>
      </c>
      <c r="J35" s="25">
        <v>1299</v>
      </c>
      <c r="K35" s="25">
        <v>3663</v>
      </c>
      <c r="L35" s="25">
        <v>513</v>
      </c>
      <c r="M35" s="25">
        <v>4032</v>
      </c>
      <c r="N35" s="25">
        <v>548</v>
      </c>
      <c r="O35" s="25">
        <v>4637</v>
      </c>
      <c r="P35" s="25">
        <v>567</v>
      </c>
      <c r="Q35" s="25">
        <v>2484</v>
      </c>
      <c r="R35" s="25">
        <v>387</v>
      </c>
      <c r="S35" s="25">
        <v>899</v>
      </c>
      <c r="T35" s="25">
        <v>266</v>
      </c>
      <c r="U35" s="25">
        <v>3260</v>
      </c>
      <c r="V35" s="25">
        <v>406</v>
      </c>
      <c r="W35" s="25">
        <v>115</v>
      </c>
      <c r="X35" s="25">
        <v>61</v>
      </c>
      <c r="Y35" s="25">
        <v>48161</v>
      </c>
      <c r="Z35" s="25">
        <v>1218</v>
      </c>
      <c r="AA35" s="25">
        <v>36561</v>
      </c>
      <c r="AB35" s="25">
        <v>1326</v>
      </c>
      <c r="AC35" s="25">
        <v>34236</v>
      </c>
      <c r="AD35" s="25">
        <v>1293</v>
      </c>
      <c r="AE35" s="25">
        <v>2325</v>
      </c>
      <c r="AF35" s="25">
        <v>365</v>
      </c>
      <c r="AG35" s="25">
        <v>3227</v>
      </c>
      <c r="AH35" s="25">
        <v>460</v>
      </c>
      <c r="AI35" s="25">
        <v>3751</v>
      </c>
      <c r="AJ35" s="25">
        <v>493</v>
      </c>
      <c r="AK35" s="25">
        <v>2106</v>
      </c>
      <c r="AL35" s="25">
        <v>347</v>
      </c>
      <c r="AM35" s="25">
        <v>578</v>
      </c>
      <c r="AN35" s="25">
        <v>223</v>
      </c>
      <c r="AO35" s="25">
        <v>1892</v>
      </c>
      <c r="AP35" s="25">
        <v>321</v>
      </c>
      <c r="AQ35" s="25">
        <v>46</v>
      </c>
      <c r="AR35" s="25">
        <v>33</v>
      </c>
      <c r="AS35" s="25">
        <v>7040</v>
      </c>
      <c r="AT35" s="25">
        <v>729</v>
      </c>
      <c r="AU35" s="25">
        <v>5223</v>
      </c>
      <c r="AV35" s="25">
        <v>587</v>
      </c>
      <c r="AW35" s="25">
        <v>4815</v>
      </c>
      <c r="AX35" s="25">
        <v>556</v>
      </c>
      <c r="AY35" s="25">
        <v>408</v>
      </c>
      <c r="AZ35" s="25">
        <v>197</v>
      </c>
      <c r="BA35" s="25">
        <v>431</v>
      </c>
      <c r="BB35" s="25">
        <v>188</v>
      </c>
      <c r="BC35" s="25">
        <v>612</v>
      </c>
      <c r="BD35" s="25">
        <v>207</v>
      </c>
      <c r="BE35" s="25">
        <v>288</v>
      </c>
      <c r="BF35" s="25">
        <v>143</v>
      </c>
      <c r="BG35" s="25">
        <v>248</v>
      </c>
      <c r="BH35" s="25">
        <v>187</v>
      </c>
      <c r="BI35" s="25">
        <v>207</v>
      </c>
      <c r="BJ35" s="25">
        <v>96</v>
      </c>
      <c r="BK35" s="25">
        <v>31</v>
      </c>
      <c r="BL35" s="25">
        <v>41</v>
      </c>
      <c r="BM35" s="25">
        <v>338</v>
      </c>
      <c r="BN35" s="25">
        <v>152</v>
      </c>
      <c r="BO35" s="25">
        <v>174</v>
      </c>
      <c r="BP35" s="25">
        <v>120</v>
      </c>
      <c r="BQ35" s="25">
        <v>154</v>
      </c>
      <c r="BR35" s="25">
        <v>119</v>
      </c>
      <c r="BS35" s="25">
        <v>20</v>
      </c>
      <c r="BT35" s="25">
        <v>32</v>
      </c>
      <c r="BU35" s="25">
        <v>76</v>
      </c>
      <c r="BV35" s="25">
        <v>84</v>
      </c>
      <c r="BW35" s="25">
        <v>63</v>
      </c>
      <c r="BX35" s="25">
        <v>67</v>
      </c>
      <c r="BY35" s="25">
        <v>0</v>
      </c>
      <c r="BZ35" s="25">
        <v>27</v>
      </c>
      <c r="CA35" s="25">
        <v>0</v>
      </c>
      <c r="CB35" s="25">
        <v>27</v>
      </c>
      <c r="CC35" s="25">
        <v>25</v>
      </c>
      <c r="CD35" s="25">
        <v>30</v>
      </c>
      <c r="CE35" s="25">
        <v>0</v>
      </c>
      <c r="CF35" s="25">
        <v>27</v>
      </c>
      <c r="CG35" s="25">
        <v>1243</v>
      </c>
      <c r="CH35" s="25">
        <v>357</v>
      </c>
      <c r="CI35" s="25">
        <v>893</v>
      </c>
      <c r="CJ35" s="25">
        <v>301</v>
      </c>
      <c r="CK35" s="25">
        <v>792</v>
      </c>
      <c r="CL35" s="25">
        <v>270</v>
      </c>
      <c r="CM35" s="25">
        <v>101</v>
      </c>
      <c r="CN35" s="25">
        <v>87</v>
      </c>
      <c r="CO35" s="25">
        <v>123</v>
      </c>
      <c r="CP35" s="25">
        <v>89</v>
      </c>
      <c r="CQ35" s="25">
        <v>23</v>
      </c>
      <c r="CR35" s="25">
        <v>36</v>
      </c>
      <c r="CS35" s="25">
        <v>31</v>
      </c>
      <c r="CT35" s="25">
        <v>29</v>
      </c>
      <c r="CU35" s="25">
        <v>0</v>
      </c>
      <c r="CV35" s="25">
        <v>27</v>
      </c>
      <c r="CW35" s="25">
        <v>173</v>
      </c>
      <c r="CX35" s="25">
        <v>131</v>
      </c>
      <c r="CY35" s="25">
        <v>0</v>
      </c>
      <c r="CZ35" s="25">
        <v>27</v>
      </c>
      <c r="DA35" s="25">
        <v>1237</v>
      </c>
      <c r="DB35" s="25">
        <v>263</v>
      </c>
      <c r="DC35" s="25">
        <v>920</v>
      </c>
      <c r="DD35" s="25">
        <v>222</v>
      </c>
      <c r="DE35" s="25">
        <v>873</v>
      </c>
      <c r="DF35" s="25">
        <v>210</v>
      </c>
      <c r="DG35" s="25">
        <v>47</v>
      </c>
      <c r="DH35" s="25">
        <v>58</v>
      </c>
      <c r="DI35" s="25">
        <v>91</v>
      </c>
      <c r="DJ35" s="25">
        <v>82</v>
      </c>
      <c r="DK35" s="25">
        <v>76</v>
      </c>
      <c r="DL35" s="25">
        <v>52</v>
      </c>
      <c r="DM35" s="25">
        <v>8</v>
      </c>
      <c r="DN35" s="25">
        <v>13</v>
      </c>
      <c r="DO35" s="25">
        <v>14</v>
      </c>
      <c r="DP35" s="25">
        <v>21</v>
      </c>
      <c r="DQ35" s="25">
        <v>128</v>
      </c>
      <c r="DR35" s="25">
        <v>104</v>
      </c>
      <c r="DS35" s="25">
        <v>0</v>
      </c>
      <c r="DT35" s="25">
        <v>27</v>
      </c>
      <c r="DU35" s="25">
        <v>3741</v>
      </c>
      <c r="DV35" s="25">
        <v>438</v>
      </c>
      <c r="DW35" s="25">
        <v>2562</v>
      </c>
      <c r="DX35" s="25">
        <v>361</v>
      </c>
      <c r="DY35" s="25">
        <v>1800</v>
      </c>
      <c r="DZ35" s="25">
        <v>306</v>
      </c>
      <c r="EA35" s="25">
        <v>762</v>
      </c>
      <c r="EB35" s="25">
        <v>250</v>
      </c>
      <c r="EC35" s="25">
        <v>84</v>
      </c>
      <c r="ED35" s="25">
        <v>66</v>
      </c>
      <c r="EE35" s="25">
        <v>112</v>
      </c>
      <c r="EF35" s="25">
        <v>77</v>
      </c>
      <c r="EG35" s="25">
        <v>51</v>
      </c>
      <c r="EH35" s="25">
        <v>39</v>
      </c>
      <c r="EI35" s="25">
        <v>59</v>
      </c>
      <c r="EJ35" s="25">
        <v>54</v>
      </c>
      <c r="EK35" s="25">
        <v>835</v>
      </c>
      <c r="EL35" s="25">
        <v>222</v>
      </c>
      <c r="EM35" s="25">
        <v>38</v>
      </c>
      <c r="EN35" s="25">
        <v>35</v>
      </c>
    </row>
    <row r="36" spans="1:144" x14ac:dyDescent="0.25">
      <c r="A36" s="19">
        <f t="shared" si="8"/>
        <v>55</v>
      </c>
      <c r="B36" s="20" t="str">
        <f t="shared" si="9"/>
        <v>Wayne</v>
      </c>
      <c r="C36" s="24" t="s">
        <v>342</v>
      </c>
      <c r="D36" s="24" t="s">
        <v>343</v>
      </c>
      <c r="E36" s="25">
        <v>1198</v>
      </c>
      <c r="F36" s="25">
        <v>78</v>
      </c>
      <c r="G36" s="25">
        <v>803</v>
      </c>
      <c r="H36" s="25">
        <v>97</v>
      </c>
      <c r="I36" s="25">
        <v>674</v>
      </c>
      <c r="J36" s="25">
        <v>101</v>
      </c>
      <c r="K36" s="25">
        <v>129</v>
      </c>
      <c r="L36" s="25">
        <v>55</v>
      </c>
      <c r="M36" s="25">
        <v>36</v>
      </c>
      <c r="N36" s="25">
        <v>17</v>
      </c>
      <c r="O36" s="25">
        <v>87</v>
      </c>
      <c r="P36" s="25">
        <v>36</v>
      </c>
      <c r="Q36" s="25">
        <v>94</v>
      </c>
      <c r="R36" s="25">
        <v>35</v>
      </c>
      <c r="S36" s="25">
        <v>49</v>
      </c>
      <c r="T36" s="25">
        <v>22</v>
      </c>
      <c r="U36" s="25">
        <v>124</v>
      </c>
      <c r="V36" s="25">
        <v>51</v>
      </c>
      <c r="W36" s="25">
        <v>5</v>
      </c>
      <c r="X36" s="25">
        <v>8</v>
      </c>
      <c r="Y36" s="25">
        <v>909</v>
      </c>
      <c r="Z36" s="25">
        <v>88</v>
      </c>
      <c r="AA36" s="25">
        <v>611</v>
      </c>
      <c r="AB36" s="25">
        <v>93</v>
      </c>
      <c r="AC36" s="25">
        <v>551</v>
      </c>
      <c r="AD36" s="25">
        <v>93</v>
      </c>
      <c r="AE36" s="25">
        <v>60</v>
      </c>
      <c r="AF36" s="25">
        <v>30</v>
      </c>
      <c r="AG36" s="25">
        <v>25</v>
      </c>
      <c r="AH36" s="25">
        <v>16</v>
      </c>
      <c r="AI36" s="25">
        <v>83</v>
      </c>
      <c r="AJ36" s="25">
        <v>35</v>
      </c>
      <c r="AK36" s="25">
        <v>80</v>
      </c>
      <c r="AL36" s="25">
        <v>34</v>
      </c>
      <c r="AM36" s="25">
        <v>17</v>
      </c>
      <c r="AN36" s="25">
        <v>13</v>
      </c>
      <c r="AO36" s="25">
        <v>88</v>
      </c>
      <c r="AP36" s="25">
        <v>47</v>
      </c>
      <c r="AQ36" s="25">
        <v>5</v>
      </c>
      <c r="AR36" s="25">
        <v>8</v>
      </c>
      <c r="AS36" s="25">
        <v>147</v>
      </c>
      <c r="AT36" s="25">
        <v>57</v>
      </c>
      <c r="AU36" s="25">
        <v>114</v>
      </c>
      <c r="AV36" s="25">
        <v>55</v>
      </c>
      <c r="AW36" s="25">
        <v>66</v>
      </c>
      <c r="AX36" s="25">
        <v>38</v>
      </c>
      <c r="AY36" s="25">
        <v>48</v>
      </c>
      <c r="AZ36" s="25">
        <v>43</v>
      </c>
      <c r="BA36" s="25">
        <v>8</v>
      </c>
      <c r="BB36" s="25">
        <v>10</v>
      </c>
      <c r="BC36" s="25">
        <v>3</v>
      </c>
      <c r="BD36" s="25">
        <v>4</v>
      </c>
      <c r="BE36" s="25">
        <v>0</v>
      </c>
      <c r="BF36" s="25">
        <v>11</v>
      </c>
      <c r="BG36" s="25">
        <v>18</v>
      </c>
      <c r="BH36" s="25">
        <v>17</v>
      </c>
      <c r="BI36" s="25">
        <v>4</v>
      </c>
      <c r="BJ36" s="25">
        <v>6</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67</v>
      </c>
      <c r="CH36" s="25">
        <v>32</v>
      </c>
      <c r="CI36" s="25">
        <v>46</v>
      </c>
      <c r="CJ36" s="25">
        <v>28</v>
      </c>
      <c r="CK36" s="25">
        <v>40</v>
      </c>
      <c r="CL36" s="25">
        <v>27</v>
      </c>
      <c r="CM36" s="25">
        <v>6</v>
      </c>
      <c r="CN36" s="25">
        <v>7</v>
      </c>
      <c r="CO36" s="25">
        <v>1</v>
      </c>
      <c r="CP36" s="25">
        <v>2</v>
      </c>
      <c r="CQ36" s="25">
        <v>0</v>
      </c>
      <c r="CR36" s="25">
        <v>11</v>
      </c>
      <c r="CS36" s="25">
        <v>6</v>
      </c>
      <c r="CT36" s="25">
        <v>9</v>
      </c>
      <c r="CU36" s="25">
        <v>5</v>
      </c>
      <c r="CV36" s="25">
        <v>7</v>
      </c>
      <c r="CW36" s="25">
        <v>9</v>
      </c>
      <c r="CX36" s="25">
        <v>12</v>
      </c>
      <c r="CY36" s="25">
        <v>0</v>
      </c>
      <c r="CZ36" s="25">
        <v>11</v>
      </c>
      <c r="DA36" s="25">
        <v>7</v>
      </c>
      <c r="DB36" s="25">
        <v>11</v>
      </c>
      <c r="DC36" s="25">
        <v>7</v>
      </c>
      <c r="DD36" s="25">
        <v>11</v>
      </c>
      <c r="DE36" s="25">
        <v>7</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68</v>
      </c>
      <c r="DV36" s="25">
        <v>28</v>
      </c>
      <c r="DW36" s="25">
        <v>25</v>
      </c>
      <c r="DX36" s="25">
        <v>19</v>
      </c>
      <c r="DY36" s="25">
        <v>10</v>
      </c>
      <c r="DZ36" s="25">
        <v>10</v>
      </c>
      <c r="EA36" s="25">
        <v>15</v>
      </c>
      <c r="EB36" s="25">
        <v>16</v>
      </c>
      <c r="EC36" s="25">
        <v>2</v>
      </c>
      <c r="ED36" s="25">
        <v>6</v>
      </c>
      <c r="EE36" s="25">
        <v>1</v>
      </c>
      <c r="EF36" s="25">
        <v>3</v>
      </c>
      <c r="EG36" s="25">
        <v>8</v>
      </c>
      <c r="EH36" s="25">
        <v>12</v>
      </c>
      <c r="EI36" s="25">
        <v>9</v>
      </c>
      <c r="EJ36" s="25">
        <v>10</v>
      </c>
      <c r="EK36" s="25">
        <v>23</v>
      </c>
      <c r="EL36" s="25">
        <v>12</v>
      </c>
      <c r="EM36" s="25">
        <v>0</v>
      </c>
      <c r="EN36" s="25">
        <v>11</v>
      </c>
    </row>
    <row r="37" spans="1:144" x14ac:dyDescent="0.25">
      <c r="A37" s="19">
        <f t="shared" si="8"/>
        <v>57</v>
      </c>
      <c r="B37" s="20" t="str">
        <f t="shared" si="9"/>
        <v>Weber</v>
      </c>
      <c r="C37" s="24" t="s">
        <v>344</v>
      </c>
      <c r="D37" s="24" t="s">
        <v>345</v>
      </c>
      <c r="E37" s="25">
        <v>114200</v>
      </c>
      <c r="F37" s="25">
        <v>1317</v>
      </c>
      <c r="G37" s="25">
        <v>80680</v>
      </c>
      <c r="H37" s="25">
        <v>1267</v>
      </c>
      <c r="I37" s="25">
        <v>76499</v>
      </c>
      <c r="J37" s="25">
        <v>1300</v>
      </c>
      <c r="K37" s="25">
        <v>4181</v>
      </c>
      <c r="L37" s="25">
        <v>445</v>
      </c>
      <c r="M37" s="25">
        <v>7209</v>
      </c>
      <c r="N37" s="25">
        <v>566</v>
      </c>
      <c r="O37" s="25">
        <v>6349</v>
      </c>
      <c r="P37" s="25">
        <v>587</v>
      </c>
      <c r="Q37" s="25">
        <v>5250</v>
      </c>
      <c r="R37" s="25">
        <v>445</v>
      </c>
      <c r="S37" s="25">
        <v>10167</v>
      </c>
      <c r="T37" s="25">
        <v>761</v>
      </c>
      <c r="U37" s="25">
        <v>4402</v>
      </c>
      <c r="V37" s="25">
        <v>455</v>
      </c>
      <c r="W37" s="25">
        <v>143</v>
      </c>
      <c r="X37" s="25">
        <v>90</v>
      </c>
      <c r="Y37" s="25">
        <v>91854</v>
      </c>
      <c r="Z37" s="25">
        <v>1516</v>
      </c>
      <c r="AA37" s="25">
        <v>65007</v>
      </c>
      <c r="AB37" s="25">
        <v>1357</v>
      </c>
      <c r="AC37" s="25">
        <v>62345</v>
      </c>
      <c r="AD37" s="25">
        <v>1348</v>
      </c>
      <c r="AE37" s="25">
        <v>2662</v>
      </c>
      <c r="AF37" s="25">
        <v>327</v>
      </c>
      <c r="AG37" s="25">
        <v>5851</v>
      </c>
      <c r="AH37" s="25">
        <v>539</v>
      </c>
      <c r="AI37" s="25">
        <v>5212</v>
      </c>
      <c r="AJ37" s="25">
        <v>497</v>
      </c>
      <c r="AK37" s="25">
        <v>4218</v>
      </c>
      <c r="AL37" s="25">
        <v>413</v>
      </c>
      <c r="AM37" s="25">
        <v>8809</v>
      </c>
      <c r="AN37" s="25">
        <v>694</v>
      </c>
      <c r="AO37" s="25">
        <v>2638</v>
      </c>
      <c r="AP37" s="25">
        <v>378</v>
      </c>
      <c r="AQ37" s="25">
        <v>119</v>
      </c>
      <c r="AR37" s="25">
        <v>88</v>
      </c>
      <c r="AS37" s="25">
        <v>11856</v>
      </c>
      <c r="AT37" s="25">
        <v>855</v>
      </c>
      <c r="AU37" s="25">
        <v>8714</v>
      </c>
      <c r="AV37" s="25">
        <v>788</v>
      </c>
      <c r="AW37" s="25">
        <v>8411</v>
      </c>
      <c r="AX37" s="25">
        <v>737</v>
      </c>
      <c r="AY37" s="25">
        <v>303</v>
      </c>
      <c r="AZ37" s="25">
        <v>161</v>
      </c>
      <c r="BA37" s="25">
        <v>781</v>
      </c>
      <c r="BB37" s="25">
        <v>215</v>
      </c>
      <c r="BC37" s="25">
        <v>785</v>
      </c>
      <c r="BD37" s="25">
        <v>227</v>
      </c>
      <c r="BE37" s="25">
        <v>492</v>
      </c>
      <c r="BF37" s="25">
        <v>150</v>
      </c>
      <c r="BG37" s="25">
        <v>880</v>
      </c>
      <c r="BH37" s="25">
        <v>193</v>
      </c>
      <c r="BI37" s="25">
        <v>195</v>
      </c>
      <c r="BJ37" s="25">
        <v>81</v>
      </c>
      <c r="BK37" s="25">
        <v>9</v>
      </c>
      <c r="BL37" s="25">
        <v>14</v>
      </c>
      <c r="BM37" s="25">
        <v>2087</v>
      </c>
      <c r="BN37" s="25">
        <v>330</v>
      </c>
      <c r="BO37" s="25">
        <v>1380</v>
      </c>
      <c r="BP37" s="25">
        <v>288</v>
      </c>
      <c r="BQ37" s="25">
        <v>1345</v>
      </c>
      <c r="BR37" s="25">
        <v>280</v>
      </c>
      <c r="BS37" s="25">
        <v>35</v>
      </c>
      <c r="BT37" s="25">
        <v>42</v>
      </c>
      <c r="BU37" s="25">
        <v>268</v>
      </c>
      <c r="BV37" s="25">
        <v>93</v>
      </c>
      <c r="BW37" s="25">
        <v>88</v>
      </c>
      <c r="BX37" s="25">
        <v>48</v>
      </c>
      <c r="BY37" s="25">
        <v>155</v>
      </c>
      <c r="BZ37" s="25">
        <v>77</v>
      </c>
      <c r="CA37" s="25">
        <v>180</v>
      </c>
      <c r="CB37" s="25">
        <v>119</v>
      </c>
      <c r="CC37" s="25">
        <v>16</v>
      </c>
      <c r="CD37" s="25">
        <v>23</v>
      </c>
      <c r="CE37" s="25">
        <v>0</v>
      </c>
      <c r="CF37" s="25">
        <v>27</v>
      </c>
      <c r="CG37" s="25">
        <v>1450</v>
      </c>
      <c r="CH37" s="25">
        <v>258</v>
      </c>
      <c r="CI37" s="25">
        <v>960</v>
      </c>
      <c r="CJ37" s="25">
        <v>212</v>
      </c>
      <c r="CK37" s="25">
        <v>926</v>
      </c>
      <c r="CL37" s="25">
        <v>206</v>
      </c>
      <c r="CM37" s="25">
        <v>34</v>
      </c>
      <c r="CN37" s="25">
        <v>36</v>
      </c>
      <c r="CO37" s="25">
        <v>74</v>
      </c>
      <c r="CP37" s="25">
        <v>47</v>
      </c>
      <c r="CQ37" s="25">
        <v>161</v>
      </c>
      <c r="CR37" s="25">
        <v>71</v>
      </c>
      <c r="CS37" s="25">
        <v>150</v>
      </c>
      <c r="CT37" s="25">
        <v>98</v>
      </c>
      <c r="CU37" s="25">
        <v>5</v>
      </c>
      <c r="CV37" s="25">
        <v>8</v>
      </c>
      <c r="CW37" s="25">
        <v>100</v>
      </c>
      <c r="CX37" s="25">
        <v>80</v>
      </c>
      <c r="CY37" s="25">
        <v>0</v>
      </c>
      <c r="CZ37" s="25">
        <v>27</v>
      </c>
      <c r="DA37" s="25">
        <v>1671</v>
      </c>
      <c r="DB37" s="25">
        <v>273</v>
      </c>
      <c r="DC37" s="25">
        <v>1334</v>
      </c>
      <c r="DD37" s="25">
        <v>233</v>
      </c>
      <c r="DE37" s="25">
        <v>1290</v>
      </c>
      <c r="DF37" s="25">
        <v>243</v>
      </c>
      <c r="DG37" s="25">
        <v>44</v>
      </c>
      <c r="DH37" s="25">
        <v>39</v>
      </c>
      <c r="DI37" s="25">
        <v>44</v>
      </c>
      <c r="DJ37" s="25">
        <v>31</v>
      </c>
      <c r="DK37" s="25">
        <v>79</v>
      </c>
      <c r="DL37" s="25">
        <v>55</v>
      </c>
      <c r="DM37" s="25">
        <v>54</v>
      </c>
      <c r="DN37" s="25">
        <v>62</v>
      </c>
      <c r="DO37" s="25">
        <v>87</v>
      </c>
      <c r="DP37" s="25">
        <v>60</v>
      </c>
      <c r="DQ37" s="25">
        <v>69</v>
      </c>
      <c r="DR37" s="25">
        <v>47</v>
      </c>
      <c r="DS37" s="25">
        <v>4</v>
      </c>
      <c r="DT37" s="25">
        <v>7</v>
      </c>
      <c r="DU37" s="25">
        <v>5282</v>
      </c>
      <c r="DV37" s="25">
        <v>493</v>
      </c>
      <c r="DW37" s="25">
        <v>3285</v>
      </c>
      <c r="DX37" s="25">
        <v>386</v>
      </c>
      <c r="DY37" s="25">
        <v>2182</v>
      </c>
      <c r="DZ37" s="25">
        <v>323</v>
      </c>
      <c r="EA37" s="25">
        <v>1103</v>
      </c>
      <c r="EB37" s="25">
        <v>235</v>
      </c>
      <c r="EC37" s="25">
        <v>191</v>
      </c>
      <c r="ED37" s="25">
        <v>100</v>
      </c>
      <c r="EE37" s="25">
        <v>24</v>
      </c>
      <c r="EF37" s="25">
        <v>20</v>
      </c>
      <c r="EG37" s="25">
        <v>181</v>
      </c>
      <c r="EH37" s="25">
        <v>91</v>
      </c>
      <c r="EI37" s="25">
        <v>206</v>
      </c>
      <c r="EJ37" s="25">
        <v>106</v>
      </c>
      <c r="EK37" s="25">
        <v>1384</v>
      </c>
      <c r="EL37" s="25">
        <v>259</v>
      </c>
      <c r="EM37" s="25">
        <v>11</v>
      </c>
      <c r="EN37" s="25">
        <v>11</v>
      </c>
    </row>
    <row r="39" spans="1:144" x14ac:dyDescent="0.25">
      <c r="A39" s="19">
        <f>VLOOKUP($C39, lu_GEOID, 2, FALSE)</f>
        <v>101</v>
      </c>
      <c r="B39" s="20" t="str">
        <f>VLOOKUP($C39, lu_GEOID, 3, FALSE)</f>
        <v>Wasatch Front</v>
      </c>
      <c r="C39" s="17" t="s">
        <v>401</v>
      </c>
      <c r="D39" s="21" t="str">
        <f>B39</f>
        <v>Wasatch Front</v>
      </c>
      <c r="E39" s="22">
        <f>E14 + E26 + E33 + E37</f>
        <v>1080109</v>
      </c>
      <c r="F39" s="22">
        <f t="shared" ref="F39:BQ39" si="10">F14 + F26 + F33 + F37</f>
        <v>7681</v>
      </c>
      <c r="G39" s="22">
        <f t="shared" si="10"/>
        <v>796563</v>
      </c>
      <c r="H39" s="22">
        <f t="shared" si="10"/>
        <v>8282</v>
      </c>
      <c r="I39" s="22">
        <f t="shared" si="10"/>
        <v>753753</v>
      </c>
      <c r="J39" s="22">
        <f t="shared" si="10"/>
        <v>8325</v>
      </c>
      <c r="K39" s="22">
        <f t="shared" si="10"/>
        <v>42810</v>
      </c>
      <c r="L39" s="22">
        <f t="shared" si="10"/>
        <v>2753</v>
      </c>
      <c r="M39" s="22">
        <f t="shared" si="10"/>
        <v>82809</v>
      </c>
      <c r="N39" s="22">
        <f t="shared" si="10"/>
        <v>3522</v>
      </c>
      <c r="O39" s="22">
        <f t="shared" si="10"/>
        <v>56644</v>
      </c>
      <c r="P39" s="22">
        <f t="shared" si="10"/>
        <v>3080</v>
      </c>
      <c r="Q39" s="22">
        <f t="shared" si="10"/>
        <v>57955</v>
      </c>
      <c r="R39" s="22">
        <f t="shared" si="10"/>
        <v>2706</v>
      </c>
      <c r="S39" s="22">
        <f t="shared" si="10"/>
        <v>37096</v>
      </c>
      <c r="T39" s="22">
        <f t="shared" si="10"/>
        <v>2638</v>
      </c>
      <c r="U39" s="22">
        <f t="shared" si="10"/>
        <v>47545</v>
      </c>
      <c r="V39" s="22">
        <f t="shared" si="10"/>
        <v>2716</v>
      </c>
      <c r="W39" s="22">
        <f t="shared" si="10"/>
        <v>1497</v>
      </c>
      <c r="X39" s="22">
        <f t="shared" si="10"/>
        <v>510</v>
      </c>
      <c r="Y39" s="22">
        <f t="shared" si="10"/>
        <v>819842</v>
      </c>
      <c r="Z39" s="22">
        <f t="shared" si="10"/>
        <v>8519</v>
      </c>
      <c r="AA39" s="22">
        <f t="shared" si="10"/>
        <v>613267</v>
      </c>
      <c r="AB39" s="22">
        <f t="shared" si="10"/>
        <v>8312</v>
      </c>
      <c r="AC39" s="22">
        <f t="shared" si="10"/>
        <v>586225</v>
      </c>
      <c r="AD39" s="22">
        <f t="shared" si="10"/>
        <v>8373</v>
      </c>
      <c r="AE39" s="22">
        <f t="shared" si="10"/>
        <v>27042</v>
      </c>
      <c r="AF39" s="22">
        <f t="shared" si="10"/>
        <v>2076</v>
      </c>
      <c r="AG39" s="22">
        <f t="shared" si="10"/>
        <v>60809</v>
      </c>
      <c r="AH39" s="22">
        <f t="shared" si="10"/>
        <v>2887</v>
      </c>
      <c r="AI39" s="22">
        <f t="shared" si="10"/>
        <v>46002</v>
      </c>
      <c r="AJ39" s="22">
        <f t="shared" si="10"/>
        <v>2756</v>
      </c>
      <c r="AK39" s="22">
        <f t="shared" si="10"/>
        <v>43691</v>
      </c>
      <c r="AL39" s="22">
        <f t="shared" si="10"/>
        <v>2255</v>
      </c>
      <c r="AM39" s="22">
        <f t="shared" si="10"/>
        <v>30958</v>
      </c>
      <c r="AN39" s="22">
        <f t="shared" si="10"/>
        <v>2449</v>
      </c>
      <c r="AO39" s="22">
        <f t="shared" si="10"/>
        <v>24421</v>
      </c>
      <c r="AP39" s="22">
        <f t="shared" si="10"/>
        <v>1829</v>
      </c>
      <c r="AQ39" s="22">
        <f t="shared" si="10"/>
        <v>694</v>
      </c>
      <c r="AR39" s="22">
        <f t="shared" si="10"/>
        <v>305</v>
      </c>
      <c r="AS39" s="22">
        <f t="shared" si="10"/>
        <v>120199</v>
      </c>
      <c r="AT39" s="22">
        <f t="shared" si="10"/>
        <v>4890</v>
      </c>
      <c r="AU39" s="22">
        <f t="shared" si="10"/>
        <v>92119</v>
      </c>
      <c r="AV39" s="22">
        <f t="shared" si="10"/>
        <v>4355</v>
      </c>
      <c r="AW39" s="22">
        <f t="shared" si="10"/>
        <v>88242</v>
      </c>
      <c r="AX39" s="22">
        <f t="shared" si="10"/>
        <v>4200</v>
      </c>
      <c r="AY39" s="22">
        <f t="shared" si="10"/>
        <v>3877</v>
      </c>
      <c r="AZ39" s="22">
        <f t="shared" si="10"/>
        <v>842</v>
      </c>
      <c r="BA39" s="22">
        <f t="shared" si="10"/>
        <v>8823</v>
      </c>
      <c r="BB39" s="22">
        <f t="shared" si="10"/>
        <v>1212</v>
      </c>
      <c r="BC39" s="22">
        <f t="shared" si="10"/>
        <v>6012</v>
      </c>
      <c r="BD39" s="22">
        <f t="shared" si="10"/>
        <v>1005</v>
      </c>
      <c r="BE39" s="22">
        <f t="shared" si="10"/>
        <v>5856</v>
      </c>
      <c r="BF39" s="22">
        <f t="shared" si="10"/>
        <v>1069</v>
      </c>
      <c r="BG39" s="22">
        <f t="shared" si="10"/>
        <v>3295</v>
      </c>
      <c r="BH39" s="22">
        <f t="shared" si="10"/>
        <v>774</v>
      </c>
      <c r="BI39" s="22">
        <f t="shared" si="10"/>
        <v>3838</v>
      </c>
      <c r="BJ39" s="22">
        <f t="shared" si="10"/>
        <v>852</v>
      </c>
      <c r="BK39" s="22">
        <f t="shared" si="10"/>
        <v>256</v>
      </c>
      <c r="BL39" s="22">
        <f t="shared" si="10"/>
        <v>207</v>
      </c>
      <c r="BM39" s="22">
        <f t="shared" si="10"/>
        <v>32022</v>
      </c>
      <c r="BN39" s="22">
        <f t="shared" si="10"/>
        <v>2356</v>
      </c>
      <c r="BO39" s="22">
        <f t="shared" si="10"/>
        <v>20179</v>
      </c>
      <c r="BP39" s="22">
        <f t="shared" si="10"/>
        <v>1992</v>
      </c>
      <c r="BQ39" s="22">
        <f t="shared" si="10"/>
        <v>19897</v>
      </c>
      <c r="BR39" s="22">
        <f t="shared" ref="BR39:EC39" si="11">BR14 + BR26 + BR33 + BR37</f>
        <v>1963</v>
      </c>
      <c r="BS39" s="22">
        <f t="shared" si="11"/>
        <v>282</v>
      </c>
      <c r="BT39" s="22">
        <f t="shared" si="11"/>
        <v>208</v>
      </c>
      <c r="BU39" s="22">
        <f t="shared" si="11"/>
        <v>4641</v>
      </c>
      <c r="BV39" s="22">
        <f t="shared" si="11"/>
        <v>830</v>
      </c>
      <c r="BW39" s="22">
        <f t="shared" si="11"/>
        <v>1558</v>
      </c>
      <c r="BX39" s="22">
        <f t="shared" si="11"/>
        <v>501</v>
      </c>
      <c r="BY39" s="22">
        <f t="shared" si="11"/>
        <v>4134</v>
      </c>
      <c r="BZ39" s="22">
        <f t="shared" si="11"/>
        <v>777</v>
      </c>
      <c r="CA39" s="22">
        <f t="shared" si="11"/>
        <v>1095</v>
      </c>
      <c r="CB39" s="22">
        <f t="shared" si="11"/>
        <v>480</v>
      </c>
      <c r="CC39" s="22">
        <f t="shared" si="11"/>
        <v>415</v>
      </c>
      <c r="CD39" s="22">
        <f t="shared" si="11"/>
        <v>251</v>
      </c>
      <c r="CE39" s="22">
        <f t="shared" si="11"/>
        <v>0</v>
      </c>
      <c r="CF39" s="22">
        <f t="shared" si="11"/>
        <v>108</v>
      </c>
      <c r="CG39" s="22">
        <f t="shared" si="11"/>
        <v>26443</v>
      </c>
      <c r="CH39" s="22">
        <f t="shared" si="11"/>
        <v>2256</v>
      </c>
      <c r="CI39" s="22">
        <f t="shared" si="11"/>
        <v>17504</v>
      </c>
      <c r="CJ39" s="22">
        <f t="shared" si="11"/>
        <v>1892</v>
      </c>
      <c r="CK39" s="22">
        <f t="shared" si="11"/>
        <v>16966</v>
      </c>
      <c r="CL39" s="22">
        <f t="shared" si="11"/>
        <v>1851</v>
      </c>
      <c r="CM39" s="22">
        <f t="shared" si="11"/>
        <v>538</v>
      </c>
      <c r="CN39" s="22">
        <f t="shared" si="11"/>
        <v>261</v>
      </c>
      <c r="CO39" s="22">
        <f t="shared" si="11"/>
        <v>3960</v>
      </c>
      <c r="CP39" s="22">
        <f t="shared" si="11"/>
        <v>845</v>
      </c>
      <c r="CQ39" s="22">
        <f t="shared" si="11"/>
        <v>1481</v>
      </c>
      <c r="CR39" s="22">
        <f t="shared" si="11"/>
        <v>494</v>
      </c>
      <c r="CS39" s="22">
        <f t="shared" si="11"/>
        <v>1858</v>
      </c>
      <c r="CT39" s="22">
        <f t="shared" si="11"/>
        <v>538</v>
      </c>
      <c r="CU39" s="22">
        <f t="shared" si="11"/>
        <v>336</v>
      </c>
      <c r="CV39" s="22">
        <f t="shared" si="11"/>
        <v>229</v>
      </c>
      <c r="CW39" s="22">
        <f t="shared" si="11"/>
        <v>1275</v>
      </c>
      <c r="CX39" s="22">
        <f t="shared" si="11"/>
        <v>480</v>
      </c>
      <c r="CY39" s="22">
        <f t="shared" si="11"/>
        <v>29</v>
      </c>
      <c r="CZ39" s="22">
        <f t="shared" si="11"/>
        <v>103</v>
      </c>
      <c r="DA39" s="22">
        <f t="shared" si="11"/>
        <v>19827</v>
      </c>
      <c r="DB39" s="22">
        <f t="shared" si="11"/>
        <v>1846</v>
      </c>
      <c r="DC39" s="22">
        <f t="shared" si="11"/>
        <v>14605</v>
      </c>
      <c r="DD39" s="22">
        <f t="shared" si="11"/>
        <v>1589</v>
      </c>
      <c r="DE39" s="22">
        <f t="shared" si="11"/>
        <v>13910</v>
      </c>
      <c r="DF39" s="22">
        <f t="shared" si="11"/>
        <v>1587</v>
      </c>
      <c r="DG39" s="22">
        <f t="shared" si="11"/>
        <v>695</v>
      </c>
      <c r="DH39" s="22">
        <f t="shared" si="11"/>
        <v>300</v>
      </c>
      <c r="DI39" s="22">
        <f t="shared" si="11"/>
        <v>1916</v>
      </c>
      <c r="DJ39" s="22">
        <f t="shared" si="11"/>
        <v>416</v>
      </c>
      <c r="DK39" s="22">
        <f t="shared" si="11"/>
        <v>860</v>
      </c>
      <c r="DL39" s="22">
        <f t="shared" si="11"/>
        <v>359</v>
      </c>
      <c r="DM39" s="22">
        <f t="shared" si="11"/>
        <v>1062</v>
      </c>
      <c r="DN39" s="22">
        <f t="shared" si="11"/>
        <v>339</v>
      </c>
      <c r="DO39" s="22">
        <f t="shared" si="11"/>
        <v>509</v>
      </c>
      <c r="DP39" s="22">
        <f t="shared" si="11"/>
        <v>266</v>
      </c>
      <c r="DQ39" s="22">
        <f t="shared" si="11"/>
        <v>847</v>
      </c>
      <c r="DR39" s="22">
        <f t="shared" si="11"/>
        <v>372</v>
      </c>
      <c r="DS39" s="22">
        <f t="shared" si="11"/>
        <v>28</v>
      </c>
      <c r="DT39" s="22">
        <f t="shared" si="11"/>
        <v>86</v>
      </c>
      <c r="DU39" s="22">
        <f t="shared" si="11"/>
        <v>61776</v>
      </c>
      <c r="DV39" s="22">
        <f t="shared" si="11"/>
        <v>3199</v>
      </c>
      <c r="DW39" s="22">
        <f t="shared" si="11"/>
        <v>38889</v>
      </c>
      <c r="DX39" s="22">
        <f t="shared" si="11"/>
        <v>2408</v>
      </c>
      <c r="DY39" s="22">
        <f t="shared" si="11"/>
        <v>28513</v>
      </c>
      <c r="DZ39" s="22">
        <f t="shared" si="11"/>
        <v>2036</v>
      </c>
      <c r="EA39" s="22">
        <f t="shared" si="11"/>
        <v>10376</v>
      </c>
      <c r="EB39" s="22">
        <f t="shared" si="11"/>
        <v>1387</v>
      </c>
      <c r="EC39" s="22">
        <f t="shared" si="11"/>
        <v>2660</v>
      </c>
      <c r="ED39" s="22">
        <f t="shared" ref="ED39:EN39" si="12">ED14 + ED26 + ED33 + ED37</f>
        <v>612</v>
      </c>
      <c r="EE39" s="22">
        <f t="shared" si="12"/>
        <v>731</v>
      </c>
      <c r="EF39" s="22">
        <f t="shared" si="12"/>
        <v>289</v>
      </c>
      <c r="EG39" s="22">
        <f t="shared" si="12"/>
        <v>1354</v>
      </c>
      <c r="EH39" s="22">
        <f t="shared" si="12"/>
        <v>432</v>
      </c>
      <c r="EI39" s="22">
        <f t="shared" si="12"/>
        <v>903</v>
      </c>
      <c r="EJ39" s="22">
        <f t="shared" si="12"/>
        <v>444</v>
      </c>
      <c r="EK39" s="22">
        <f t="shared" si="12"/>
        <v>16749</v>
      </c>
      <c r="EL39" s="22">
        <f t="shared" si="12"/>
        <v>1602</v>
      </c>
      <c r="EM39" s="22">
        <f t="shared" si="12"/>
        <v>490</v>
      </c>
      <c r="EN39" s="22">
        <f t="shared" si="12"/>
        <v>298</v>
      </c>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150571044</v>
      </c>
      <c r="F7" s="25">
        <v>169078</v>
      </c>
      <c r="G7" s="25">
        <v>108049331</v>
      </c>
      <c r="H7" s="25">
        <v>62567</v>
      </c>
      <c r="I7" s="25">
        <v>102703818</v>
      </c>
      <c r="J7" s="25">
        <v>69270</v>
      </c>
      <c r="K7" s="25">
        <v>5345513</v>
      </c>
      <c r="L7" s="25">
        <v>18514</v>
      </c>
      <c r="M7" s="25">
        <v>12072093</v>
      </c>
      <c r="N7" s="25">
        <v>71346</v>
      </c>
      <c r="O7" s="25">
        <v>9973026</v>
      </c>
      <c r="P7" s="25">
        <v>61374</v>
      </c>
      <c r="Q7" s="25">
        <v>6724568</v>
      </c>
      <c r="R7" s="25">
        <v>47065</v>
      </c>
      <c r="S7" s="25">
        <v>4692030</v>
      </c>
      <c r="T7" s="25">
        <v>29366</v>
      </c>
      <c r="U7" s="25">
        <v>8820441</v>
      </c>
      <c r="V7" s="25">
        <v>24215</v>
      </c>
      <c r="W7" s="25">
        <v>239555</v>
      </c>
      <c r="X7" s="25">
        <v>3563</v>
      </c>
      <c r="Y7" s="25">
        <v>115095765</v>
      </c>
      <c r="Z7" s="25">
        <v>118932</v>
      </c>
      <c r="AA7" s="25">
        <v>83452353</v>
      </c>
      <c r="AB7" s="25">
        <v>59684</v>
      </c>
      <c r="AC7" s="25">
        <v>79876795</v>
      </c>
      <c r="AD7" s="25">
        <v>65898</v>
      </c>
      <c r="AE7" s="25">
        <v>3575558</v>
      </c>
      <c r="AF7" s="25">
        <v>16999</v>
      </c>
      <c r="AG7" s="25">
        <v>9127821</v>
      </c>
      <c r="AH7" s="25">
        <v>53394</v>
      </c>
      <c r="AI7" s="25">
        <v>8273434</v>
      </c>
      <c r="AJ7" s="25">
        <v>45757</v>
      </c>
      <c r="AK7" s="25">
        <v>5281090</v>
      </c>
      <c r="AL7" s="25">
        <v>36356</v>
      </c>
      <c r="AM7" s="25">
        <v>3582577</v>
      </c>
      <c r="AN7" s="25">
        <v>22989</v>
      </c>
      <c r="AO7" s="25">
        <v>5250230</v>
      </c>
      <c r="AP7" s="25">
        <v>16739</v>
      </c>
      <c r="AQ7" s="25">
        <v>128260</v>
      </c>
      <c r="AR7" s="25">
        <v>2407</v>
      </c>
      <c r="AS7" s="25">
        <v>13671979</v>
      </c>
      <c r="AT7" s="25">
        <v>74546</v>
      </c>
      <c r="AU7" s="25">
        <v>9964270</v>
      </c>
      <c r="AV7" s="25">
        <v>39766</v>
      </c>
      <c r="AW7" s="25">
        <v>9511107</v>
      </c>
      <c r="AX7" s="25">
        <v>37423</v>
      </c>
      <c r="AY7" s="25">
        <v>453163</v>
      </c>
      <c r="AZ7" s="25">
        <v>5790</v>
      </c>
      <c r="BA7" s="25">
        <v>1040831</v>
      </c>
      <c r="BB7" s="25">
        <v>14347</v>
      </c>
      <c r="BC7" s="25">
        <v>820543</v>
      </c>
      <c r="BD7" s="25">
        <v>13875</v>
      </c>
      <c r="BE7" s="25">
        <v>621595</v>
      </c>
      <c r="BF7" s="25">
        <v>10709</v>
      </c>
      <c r="BG7" s="25">
        <v>388085</v>
      </c>
      <c r="BH7" s="25">
        <v>6884</v>
      </c>
      <c r="BI7" s="25">
        <v>801564</v>
      </c>
      <c r="BJ7" s="25">
        <v>7373</v>
      </c>
      <c r="BK7" s="25">
        <v>35091</v>
      </c>
      <c r="BL7" s="25">
        <v>1564</v>
      </c>
      <c r="BM7" s="25">
        <v>7602145</v>
      </c>
      <c r="BN7" s="25">
        <v>20673</v>
      </c>
      <c r="BO7" s="25">
        <v>5557382</v>
      </c>
      <c r="BP7" s="25">
        <v>16474</v>
      </c>
      <c r="BQ7" s="25">
        <v>5452433</v>
      </c>
      <c r="BR7" s="25">
        <v>16008</v>
      </c>
      <c r="BS7" s="25">
        <v>104949</v>
      </c>
      <c r="BT7" s="25">
        <v>2445</v>
      </c>
      <c r="BU7" s="25">
        <v>788766</v>
      </c>
      <c r="BV7" s="25">
        <v>7937</v>
      </c>
      <c r="BW7" s="25">
        <v>423783</v>
      </c>
      <c r="BX7" s="25">
        <v>4981</v>
      </c>
      <c r="BY7" s="25">
        <v>287012</v>
      </c>
      <c r="BZ7" s="25">
        <v>4155</v>
      </c>
      <c r="CA7" s="25">
        <v>283321</v>
      </c>
      <c r="CB7" s="25">
        <v>4619</v>
      </c>
      <c r="CC7" s="25">
        <v>255937</v>
      </c>
      <c r="CD7" s="25">
        <v>4102</v>
      </c>
      <c r="CE7" s="25">
        <v>5944</v>
      </c>
      <c r="CF7" s="25">
        <v>694</v>
      </c>
      <c r="CG7" s="25">
        <v>4049677</v>
      </c>
      <c r="CH7" s="25">
        <v>16651</v>
      </c>
      <c r="CI7" s="25">
        <v>2654437</v>
      </c>
      <c r="CJ7" s="25">
        <v>16282</v>
      </c>
      <c r="CK7" s="25">
        <v>2515177</v>
      </c>
      <c r="CL7" s="25">
        <v>16477</v>
      </c>
      <c r="CM7" s="25">
        <v>139260</v>
      </c>
      <c r="CN7" s="25">
        <v>3049</v>
      </c>
      <c r="CO7" s="25">
        <v>500408</v>
      </c>
      <c r="CP7" s="25">
        <v>5299</v>
      </c>
      <c r="CQ7" s="25">
        <v>184163</v>
      </c>
      <c r="CR7" s="25">
        <v>3381</v>
      </c>
      <c r="CS7" s="25">
        <v>231390</v>
      </c>
      <c r="CT7" s="25">
        <v>2938</v>
      </c>
      <c r="CU7" s="25">
        <v>202437</v>
      </c>
      <c r="CV7" s="25">
        <v>3812</v>
      </c>
      <c r="CW7" s="25">
        <v>263099</v>
      </c>
      <c r="CX7" s="25">
        <v>3865</v>
      </c>
      <c r="CY7" s="25">
        <v>13743</v>
      </c>
      <c r="CZ7" s="25">
        <v>882</v>
      </c>
      <c r="DA7" s="25">
        <v>2728545</v>
      </c>
      <c r="DB7" s="25">
        <v>13722</v>
      </c>
      <c r="DC7" s="25">
        <v>1995499</v>
      </c>
      <c r="DD7" s="25">
        <v>11905</v>
      </c>
      <c r="DE7" s="25">
        <v>1909768</v>
      </c>
      <c r="DF7" s="25">
        <v>11747</v>
      </c>
      <c r="DG7" s="25">
        <v>85731</v>
      </c>
      <c r="DH7" s="25">
        <v>1855</v>
      </c>
      <c r="DI7" s="25">
        <v>214344</v>
      </c>
      <c r="DJ7" s="25">
        <v>3387</v>
      </c>
      <c r="DK7" s="25">
        <v>121886</v>
      </c>
      <c r="DL7" s="25">
        <v>2594</v>
      </c>
      <c r="DM7" s="25">
        <v>120952</v>
      </c>
      <c r="DN7" s="25">
        <v>2333</v>
      </c>
      <c r="DO7" s="25">
        <v>81212</v>
      </c>
      <c r="DP7" s="25">
        <v>2002</v>
      </c>
      <c r="DQ7" s="25">
        <v>187807</v>
      </c>
      <c r="DR7" s="25">
        <v>3381</v>
      </c>
      <c r="DS7" s="25">
        <v>6845</v>
      </c>
      <c r="DT7" s="25">
        <v>572</v>
      </c>
      <c r="DU7" s="25">
        <v>7422933</v>
      </c>
      <c r="DV7" s="25">
        <v>21167</v>
      </c>
      <c r="DW7" s="25">
        <v>4425390</v>
      </c>
      <c r="DX7" s="25">
        <v>14133</v>
      </c>
      <c r="DY7" s="25">
        <v>3438538</v>
      </c>
      <c r="DZ7" s="25">
        <v>14920</v>
      </c>
      <c r="EA7" s="25">
        <v>986852</v>
      </c>
      <c r="EB7" s="25">
        <v>8929</v>
      </c>
      <c r="EC7" s="25">
        <v>399923</v>
      </c>
      <c r="ED7" s="25">
        <v>5381</v>
      </c>
      <c r="EE7" s="25">
        <v>149217</v>
      </c>
      <c r="EF7" s="25">
        <v>2330</v>
      </c>
      <c r="EG7" s="25">
        <v>182529</v>
      </c>
      <c r="EH7" s="25">
        <v>3007</v>
      </c>
      <c r="EI7" s="25">
        <v>154398</v>
      </c>
      <c r="EJ7" s="25">
        <v>4029</v>
      </c>
      <c r="EK7" s="25">
        <v>2061804</v>
      </c>
      <c r="EL7" s="25">
        <v>15596</v>
      </c>
      <c r="EM7" s="25">
        <v>49672</v>
      </c>
      <c r="EN7" s="25">
        <v>1632</v>
      </c>
    </row>
    <row r="8" spans="1:144" x14ac:dyDescent="0.25">
      <c r="A8" s="19">
        <f t="shared" si="8"/>
        <v>1049</v>
      </c>
      <c r="B8" s="20" t="str">
        <f t="shared" si="9"/>
        <v>State of Utah</v>
      </c>
      <c r="C8" s="24" t="s">
        <v>286</v>
      </c>
      <c r="D8" s="24" t="s">
        <v>287</v>
      </c>
      <c r="E8" s="25">
        <v>1433444</v>
      </c>
      <c r="F8" s="25">
        <v>4345</v>
      </c>
      <c r="G8" s="25">
        <v>1054292</v>
      </c>
      <c r="H8" s="25">
        <v>5180</v>
      </c>
      <c r="I8" s="25">
        <v>991954</v>
      </c>
      <c r="J8" s="25">
        <v>5079</v>
      </c>
      <c r="K8" s="25">
        <v>62338</v>
      </c>
      <c r="L8" s="25">
        <v>1665</v>
      </c>
      <c r="M8" s="25">
        <v>102769</v>
      </c>
      <c r="N8" s="25">
        <v>2384</v>
      </c>
      <c r="O8" s="25">
        <v>82828</v>
      </c>
      <c r="P8" s="25">
        <v>2180</v>
      </c>
      <c r="Q8" s="25">
        <v>79353</v>
      </c>
      <c r="R8" s="25">
        <v>1890</v>
      </c>
      <c r="S8" s="25">
        <v>45795</v>
      </c>
      <c r="T8" s="25">
        <v>1502</v>
      </c>
      <c r="U8" s="25">
        <v>66262</v>
      </c>
      <c r="V8" s="25">
        <v>1777</v>
      </c>
      <c r="W8" s="25">
        <v>2145</v>
      </c>
      <c r="X8" s="25">
        <v>284</v>
      </c>
      <c r="Y8" s="25">
        <v>1088975</v>
      </c>
      <c r="Z8" s="25">
        <v>5079</v>
      </c>
      <c r="AA8" s="25">
        <v>811126</v>
      </c>
      <c r="AB8" s="25">
        <v>5235</v>
      </c>
      <c r="AC8" s="25">
        <v>772509</v>
      </c>
      <c r="AD8" s="25">
        <v>5295</v>
      </c>
      <c r="AE8" s="25">
        <v>38617</v>
      </c>
      <c r="AF8" s="25">
        <v>1337</v>
      </c>
      <c r="AG8" s="25">
        <v>77122</v>
      </c>
      <c r="AH8" s="25">
        <v>2012</v>
      </c>
      <c r="AI8" s="25">
        <v>68246</v>
      </c>
      <c r="AJ8" s="25">
        <v>1860</v>
      </c>
      <c r="AK8" s="25">
        <v>60420</v>
      </c>
      <c r="AL8" s="25">
        <v>1740</v>
      </c>
      <c r="AM8" s="25">
        <v>37286</v>
      </c>
      <c r="AN8" s="25">
        <v>1387</v>
      </c>
      <c r="AO8" s="25">
        <v>33745</v>
      </c>
      <c r="AP8" s="25">
        <v>1313</v>
      </c>
      <c r="AQ8" s="25">
        <v>1030</v>
      </c>
      <c r="AR8" s="25">
        <v>159</v>
      </c>
      <c r="AS8" s="25">
        <v>159902</v>
      </c>
      <c r="AT8" s="25">
        <v>3200</v>
      </c>
      <c r="AU8" s="25">
        <v>122788</v>
      </c>
      <c r="AV8" s="25">
        <v>2981</v>
      </c>
      <c r="AW8" s="25">
        <v>117321</v>
      </c>
      <c r="AX8" s="25">
        <v>2942</v>
      </c>
      <c r="AY8" s="25">
        <v>5467</v>
      </c>
      <c r="AZ8" s="25">
        <v>636</v>
      </c>
      <c r="BA8" s="25">
        <v>10088</v>
      </c>
      <c r="BB8" s="25">
        <v>678</v>
      </c>
      <c r="BC8" s="25">
        <v>8184</v>
      </c>
      <c r="BD8" s="25">
        <v>619</v>
      </c>
      <c r="BE8" s="25">
        <v>8247</v>
      </c>
      <c r="BF8" s="25">
        <v>669</v>
      </c>
      <c r="BG8" s="25">
        <v>5109</v>
      </c>
      <c r="BH8" s="25">
        <v>525</v>
      </c>
      <c r="BI8" s="25">
        <v>5146</v>
      </c>
      <c r="BJ8" s="25">
        <v>499</v>
      </c>
      <c r="BK8" s="25">
        <v>340</v>
      </c>
      <c r="BL8" s="25">
        <v>138</v>
      </c>
      <c r="BM8" s="25">
        <v>35349</v>
      </c>
      <c r="BN8" s="25">
        <v>1445</v>
      </c>
      <c r="BO8" s="25">
        <v>22279</v>
      </c>
      <c r="BP8" s="25">
        <v>1213</v>
      </c>
      <c r="BQ8" s="25">
        <v>21980</v>
      </c>
      <c r="BR8" s="25">
        <v>1224</v>
      </c>
      <c r="BS8" s="25">
        <v>299</v>
      </c>
      <c r="BT8" s="25">
        <v>110</v>
      </c>
      <c r="BU8" s="25">
        <v>5100</v>
      </c>
      <c r="BV8" s="25">
        <v>567</v>
      </c>
      <c r="BW8" s="25">
        <v>1984</v>
      </c>
      <c r="BX8" s="25">
        <v>320</v>
      </c>
      <c r="BY8" s="25">
        <v>4400</v>
      </c>
      <c r="BZ8" s="25">
        <v>379</v>
      </c>
      <c r="CA8" s="25">
        <v>1101</v>
      </c>
      <c r="CB8" s="25">
        <v>263</v>
      </c>
      <c r="CC8" s="25">
        <v>485</v>
      </c>
      <c r="CD8" s="25">
        <v>158</v>
      </c>
      <c r="CE8" s="25">
        <v>0</v>
      </c>
      <c r="CF8" s="25">
        <v>27</v>
      </c>
      <c r="CG8" s="25">
        <v>36297</v>
      </c>
      <c r="CH8" s="25">
        <v>1768</v>
      </c>
      <c r="CI8" s="25">
        <v>24241</v>
      </c>
      <c r="CJ8" s="25">
        <v>1386</v>
      </c>
      <c r="CK8" s="25">
        <v>23184</v>
      </c>
      <c r="CL8" s="25">
        <v>1377</v>
      </c>
      <c r="CM8" s="25">
        <v>1057</v>
      </c>
      <c r="CN8" s="25">
        <v>175</v>
      </c>
      <c r="CO8" s="25">
        <v>4654</v>
      </c>
      <c r="CP8" s="25">
        <v>705</v>
      </c>
      <c r="CQ8" s="25">
        <v>2006</v>
      </c>
      <c r="CR8" s="25">
        <v>300</v>
      </c>
      <c r="CS8" s="25">
        <v>2793</v>
      </c>
      <c r="CT8" s="25">
        <v>422</v>
      </c>
      <c r="CU8" s="25">
        <v>665</v>
      </c>
      <c r="CV8" s="25">
        <v>168</v>
      </c>
      <c r="CW8" s="25">
        <v>1877</v>
      </c>
      <c r="CX8" s="25">
        <v>350</v>
      </c>
      <c r="CY8" s="25">
        <v>61</v>
      </c>
      <c r="CZ8" s="25">
        <v>44</v>
      </c>
      <c r="DA8" s="25">
        <v>24655</v>
      </c>
      <c r="DB8" s="25">
        <v>1068</v>
      </c>
      <c r="DC8" s="25">
        <v>17875</v>
      </c>
      <c r="DD8" s="25">
        <v>967</v>
      </c>
      <c r="DE8" s="25">
        <v>17059</v>
      </c>
      <c r="DF8" s="25">
        <v>973</v>
      </c>
      <c r="DG8" s="25">
        <v>816</v>
      </c>
      <c r="DH8" s="25">
        <v>172</v>
      </c>
      <c r="DI8" s="25">
        <v>2446</v>
      </c>
      <c r="DJ8" s="25">
        <v>345</v>
      </c>
      <c r="DK8" s="25">
        <v>1006</v>
      </c>
      <c r="DL8" s="25">
        <v>191</v>
      </c>
      <c r="DM8" s="25">
        <v>1669</v>
      </c>
      <c r="DN8" s="25">
        <v>273</v>
      </c>
      <c r="DO8" s="25">
        <v>595</v>
      </c>
      <c r="DP8" s="25">
        <v>174</v>
      </c>
      <c r="DQ8" s="25">
        <v>1017</v>
      </c>
      <c r="DR8" s="25">
        <v>216</v>
      </c>
      <c r="DS8" s="25">
        <v>47</v>
      </c>
      <c r="DT8" s="25">
        <v>33</v>
      </c>
      <c r="DU8" s="25">
        <v>88266</v>
      </c>
      <c r="DV8" s="25">
        <v>2205</v>
      </c>
      <c r="DW8" s="25">
        <v>55983</v>
      </c>
      <c r="DX8" s="25">
        <v>1751</v>
      </c>
      <c r="DY8" s="25">
        <v>39901</v>
      </c>
      <c r="DZ8" s="25">
        <v>1339</v>
      </c>
      <c r="EA8" s="25">
        <v>16082</v>
      </c>
      <c r="EB8" s="25">
        <v>938</v>
      </c>
      <c r="EC8" s="25">
        <v>3359</v>
      </c>
      <c r="ED8" s="25">
        <v>321</v>
      </c>
      <c r="EE8" s="25">
        <v>1402</v>
      </c>
      <c r="EF8" s="25">
        <v>240</v>
      </c>
      <c r="EG8" s="25">
        <v>1824</v>
      </c>
      <c r="EH8" s="25">
        <v>252</v>
      </c>
      <c r="EI8" s="25">
        <v>1039</v>
      </c>
      <c r="EJ8" s="25">
        <v>182</v>
      </c>
      <c r="EK8" s="25">
        <v>23992</v>
      </c>
      <c r="EL8" s="25">
        <v>1172</v>
      </c>
      <c r="EM8" s="25">
        <v>667</v>
      </c>
      <c r="EN8" s="25">
        <v>177</v>
      </c>
    </row>
    <row r="9" spans="1:144" x14ac:dyDescent="0.25">
      <c r="A9" s="19">
        <f t="shared" si="8"/>
        <v>1</v>
      </c>
      <c r="B9" s="20" t="str">
        <f t="shared" si="9"/>
        <v>Beaver</v>
      </c>
      <c r="C9" s="24" t="s">
        <v>288</v>
      </c>
      <c r="D9" s="24" t="s">
        <v>289</v>
      </c>
      <c r="E9" s="25">
        <v>2692</v>
      </c>
      <c r="F9" s="25">
        <v>131</v>
      </c>
      <c r="G9" s="25">
        <v>2155</v>
      </c>
      <c r="H9" s="25">
        <v>144</v>
      </c>
      <c r="I9" s="25">
        <v>2020</v>
      </c>
      <c r="J9" s="25">
        <v>148</v>
      </c>
      <c r="K9" s="25">
        <v>135</v>
      </c>
      <c r="L9" s="25">
        <v>56</v>
      </c>
      <c r="M9" s="25">
        <v>22</v>
      </c>
      <c r="N9" s="25">
        <v>22</v>
      </c>
      <c r="O9" s="25">
        <v>254</v>
      </c>
      <c r="P9" s="25">
        <v>70</v>
      </c>
      <c r="Q9" s="25">
        <v>153</v>
      </c>
      <c r="R9" s="25">
        <v>67</v>
      </c>
      <c r="S9" s="25">
        <v>5</v>
      </c>
      <c r="T9" s="25">
        <v>9</v>
      </c>
      <c r="U9" s="25">
        <v>100</v>
      </c>
      <c r="V9" s="25">
        <v>48</v>
      </c>
      <c r="W9" s="25">
        <v>3</v>
      </c>
      <c r="X9" s="25">
        <v>5</v>
      </c>
      <c r="Y9" s="25">
        <v>2081</v>
      </c>
      <c r="Z9" s="25">
        <v>185</v>
      </c>
      <c r="AA9" s="25">
        <v>1643</v>
      </c>
      <c r="AB9" s="25">
        <v>161</v>
      </c>
      <c r="AC9" s="25">
        <v>1563</v>
      </c>
      <c r="AD9" s="25">
        <v>163</v>
      </c>
      <c r="AE9" s="25">
        <v>80</v>
      </c>
      <c r="AF9" s="25">
        <v>40</v>
      </c>
      <c r="AG9" s="25">
        <v>22</v>
      </c>
      <c r="AH9" s="25">
        <v>22</v>
      </c>
      <c r="AI9" s="25">
        <v>210</v>
      </c>
      <c r="AJ9" s="25">
        <v>70</v>
      </c>
      <c r="AK9" s="25">
        <v>141</v>
      </c>
      <c r="AL9" s="25">
        <v>66</v>
      </c>
      <c r="AM9" s="25">
        <v>5</v>
      </c>
      <c r="AN9" s="25">
        <v>9</v>
      </c>
      <c r="AO9" s="25">
        <v>57</v>
      </c>
      <c r="AP9" s="25">
        <v>39</v>
      </c>
      <c r="AQ9" s="25">
        <v>3</v>
      </c>
      <c r="AR9" s="25">
        <v>5</v>
      </c>
      <c r="AS9" s="25">
        <v>429</v>
      </c>
      <c r="AT9" s="25">
        <v>107</v>
      </c>
      <c r="AU9" s="25">
        <v>388</v>
      </c>
      <c r="AV9" s="25">
        <v>106</v>
      </c>
      <c r="AW9" s="25">
        <v>373</v>
      </c>
      <c r="AX9" s="25">
        <v>104</v>
      </c>
      <c r="AY9" s="25">
        <v>15</v>
      </c>
      <c r="AZ9" s="25">
        <v>18</v>
      </c>
      <c r="BA9" s="25">
        <v>0</v>
      </c>
      <c r="BB9" s="25">
        <v>16</v>
      </c>
      <c r="BC9" s="25">
        <v>14</v>
      </c>
      <c r="BD9" s="25">
        <v>15</v>
      </c>
      <c r="BE9" s="25">
        <v>12</v>
      </c>
      <c r="BF9" s="25">
        <v>12</v>
      </c>
      <c r="BG9" s="25">
        <v>0</v>
      </c>
      <c r="BH9" s="25">
        <v>16</v>
      </c>
      <c r="BI9" s="25">
        <v>15</v>
      </c>
      <c r="BJ9" s="25">
        <v>16</v>
      </c>
      <c r="BK9" s="25">
        <v>0</v>
      </c>
      <c r="BL9" s="25">
        <v>16</v>
      </c>
      <c r="BM9" s="25">
        <v>2</v>
      </c>
      <c r="BN9" s="25">
        <v>8</v>
      </c>
      <c r="BO9" s="25">
        <v>2</v>
      </c>
      <c r="BP9" s="25">
        <v>8</v>
      </c>
      <c r="BQ9" s="25">
        <v>2</v>
      </c>
      <c r="BR9" s="25">
        <v>8</v>
      </c>
      <c r="BS9" s="25">
        <v>0</v>
      </c>
      <c r="BT9" s="25">
        <v>16</v>
      </c>
      <c r="BU9" s="25">
        <v>0</v>
      </c>
      <c r="BV9" s="25">
        <v>16</v>
      </c>
      <c r="BW9" s="25">
        <v>0</v>
      </c>
      <c r="BX9" s="25">
        <v>16</v>
      </c>
      <c r="BY9" s="25">
        <v>0</v>
      </c>
      <c r="BZ9" s="25">
        <v>16</v>
      </c>
      <c r="CA9" s="25">
        <v>0</v>
      </c>
      <c r="CB9" s="25">
        <v>16</v>
      </c>
      <c r="CC9" s="25">
        <v>0</v>
      </c>
      <c r="CD9" s="25">
        <v>16</v>
      </c>
      <c r="CE9" s="25">
        <v>0</v>
      </c>
      <c r="CF9" s="25">
        <v>16</v>
      </c>
      <c r="CG9" s="25">
        <v>60</v>
      </c>
      <c r="CH9" s="25">
        <v>36</v>
      </c>
      <c r="CI9" s="25">
        <v>28</v>
      </c>
      <c r="CJ9" s="25">
        <v>24</v>
      </c>
      <c r="CK9" s="25">
        <v>23</v>
      </c>
      <c r="CL9" s="25">
        <v>20</v>
      </c>
      <c r="CM9" s="25">
        <v>5</v>
      </c>
      <c r="CN9" s="25">
        <v>8</v>
      </c>
      <c r="CO9" s="25">
        <v>0</v>
      </c>
      <c r="CP9" s="25">
        <v>16</v>
      </c>
      <c r="CQ9" s="25">
        <v>28</v>
      </c>
      <c r="CR9" s="25">
        <v>31</v>
      </c>
      <c r="CS9" s="25">
        <v>0</v>
      </c>
      <c r="CT9" s="25">
        <v>16</v>
      </c>
      <c r="CU9" s="25">
        <v>0</v>
      </c>
      <c r="CV9" s="25">
        <v>16</v>
      </c>
      <c r="CW9" s="25">
        <v>4</v>
      </c>
      <c r="CX9" s="25">
        <v>7</v>
      </c>
      <c r="CY9" s="25">
        <v>0</v>
      </c>
      <c r="CZ9" s="25">
        <v>16</v>
      </c>
      <c r="DA9" s="25">
        <v>12</v>
      </c>
      <c r="DB9" s="25">
        <v>20</v>
      </c>
      <c r="DC9" s="25">
        <v>8</v>
      </c>
      <c r="DD9" s="25">
        <v>14</v>
      </c>
      <c r="DE9" s="25">
        <v>8</v>
      </c>
      <c r="DF9" s="25">
        <v>14</v>
      </c>
      <c r="DG9" s="25">
        <v>0</v>
      </c>
      <c r="DH9" s="25">
        <v>16</v>
      </c>
      <c r="DI9" s="25">
        <v>0</v>
      </c>
      <c r="DJ9" s="25">
        <v>16</v>
      </c>
      <c r="DK9" s="25">
        <v>0</v>
      </c>
      <c r="DL9" s="25">
        <v>16</v>
      </c>
      <c r="DM9" s="25">
        <v>0</v>
      </c>
      <c r="DN9" s="25">
        <v>16</v>
      </c>
      <c r="DO9" s="25">
        <v>0</v>
      </c>
      <c r="DP9" s="25">
        <v>16</v>
      </c>
      <c r="DQ9" s="25">
        <v>4</v>
      </c>
      <c r="DR9" s="25">
        <v>6</v>
      </c>
      <c r="DS9" s="25">
        <v>0</v>
      </c>
      <c r="DT9" s="25">
        <v>16</v>
      </c>
      <c r="DU9" s="25">
        <v>108</v>
      </c>
      <c r="DV9" s="25">
        <v>58</v>
      </c>
      <c r="DW9" s="25">
        <v>86</v>
      </c>
      <c r="DX9" s="25">
        <v>57</v>
      </c>
      <c r="DY9" s="25">
        <v>51</v>
      </c>
      <c r="DZ9" s="25">
        <v>50</v>
      </c>
      <c r="EA9" s="25">
        <v>35</v>
      </c>
      <c r="EB9" s="25">
        <v>28</v>
      </c>
      <c r="EC9" s="25">
        <v>0</v>
      </c>
      <c r="ED9" s="25">
        <v>16</v>
      </c>
      <c r="EE9" s="25">
        <v>2</v>
      </c>
      <c r="EF9" s="25">
        <v>4</v>
      </c>
      <c r="EG9" s="25">
        <v>0</v>
      </c>
      <c r="EH9" s="25">
        <v>16</v>
      </c>
      <c r="EI9" s="25">
        <v>0</v>
      </c>
      <c r="EJ9" s="25">
        <v>16</v>
      </c>
      <c r="EK9" s="25">
        <v>20</v>
      </c>
      <c r="EL9" s="25">
        <v>20</v>
      </c>
      <c r="EM9" s="25">
        <v>0</v>
      </c>
      <c r="EN9" s="25">
        <v>16</v>
      </c>
    </row>
    <row r="10" spans="1:144" x14ac:dyDescent="0.25">
      <c r="A10" s="19">
        <f t="shared" si="8"/>
        <v>3</v>
      </c>
      <c r="B10" s="20" t="str">
        <f t="shared" si="9"/>
        <v>Box Elder</v>
      </c>
      <c r="C10" s="24" t="s">
        <v>290</v>
      </c>
      <c r="D10" s="24" t="s">
        <v>291</v>
      </c>
      <c r="E10" s="25">
        <v>22814</v>
      </c>
      <c r="F10" s="25">
        <v>462</v>
      </c>
      <c r="G10" s="25">
        <v>17065</v>
      </c>
      <c r="H10" s="25">
        <v>610</v>
      </c>
      <c r="I10" s="25">
        <v>16220</v>
      </c>
      <c r="J10" s="25">
        <v>613</v>
      </c>
      <c r="K10" s="25">
        <v>845</v>
      </c>
      <c r="L10" s="25">
        <v>158</v>
      </c>
      <c r="M10" s="25">
        <v>970</v>
      </c>
      <c r="N10" s="25">
        <v>153</v>
      </c>
      <c r="O10" s="25">
        <v>1437</v>
      </c>
      <c r="P10" s="25">
        <v>175</v>
      </c>
      <c r="Q10" s="25">
        <v>1042</v>
      </c>
      <c r="R10" s="25">
        <v>150</v>
      </c>
      <c r="S10" s="25">
        <v>1023</v>
      </c>
      <c r="T10" s="25">
        <v>175</v>
      </c>
      <c r="U10" s="25">
        <v>1236</v>
      </c>
      <c r="V10" s="25">
        <v>221</v>
      </c>
      <c r="W10" s="25">
        <v>41</v>
      </c>
      <c r="X10" s="25">
        <v>28</v>
      </c>
      <c r="Y10" s="25">
        <v>17770</v>
      </c>
      <c r="Z10" s="25">
        <v>473</v>
      </c>
      <c r="AA10" s="25">
        <v>13595</v>
      </c>
      <c r="AB10" s="25">
        <v>579</v>
      </c>
      <c r="AC10" s="25">
        <v>13039</v>
      </c>
      <c r="AD10" s="25">
        <v>572</v>
      </c>
      <c r="AE10" s="25">
        <v>556</v>
      </c>
      <c r="AF10" s="25">
        <v>126</v>
      </c>
      <c r="AG10" s="25">
        <v>724</v>
      </c>
      <c r="AH10" s="25">
        <v>142</v>
      </c>
      <c r="AI10" s="25">
        <v>1202</v>
      </c>
      <c r="AJ10" s="25">
        <v>177</v>
      </c>
      <c r="AK10" s="25">
        <v>844</v>
      </c>
      <c r="AL10" s="25">
        <v>136</v>
      </c>
      <c r="AM10" s="25">
        <v>749</v>
      </c>
      <c r="AN10" s="25">
        <v>155</v>
      </c>
      <c r="AO10" s="25">
        <v>634</v>
      </c>
      <c r="AP10" s="25">
        <v>147</v>
      </c>
      <c r="AQ10" s="25">
        <v>22</v>
      </c>
      <c r="AR10" s="25">
        <v>21</v>
      </c>
      <c r="AS10" s="25">
        <v>3130</v>
      </c>
      <c r="AT10" s="25">
        <v>354</v>
      </c>
      <c r="AU10" s="25">
        <v>2358</v>
      </c>
      <c r="AV10" s="25">
        <v>293</v>
      </c>
      <c r="AW10" s="25">
        <v>2267</v>
      </c>
      <c r="AX10" s="25">
        <v>279</v>
      </c>
      <c r="AY10" s="25">
        <v>91</v>
      </c>
      <c r="AZ10" s="25">
        <v>50</v>
      </c>
      <c r="BA10" s="25">
        <v>193</v>
      </c>
      <c r="BB10" s="25">
        <v>73</v>
      </c>
      <c r="BC10" s="25">
        <v>141</v>
      </c>
      <c r="BD10" s="25">
        <v>57</v>
      </c>
      <c r="BE10" s="25">
        <v>130</v>
      </c>
      <c r="BF10" s="25">
        <v>58</v>
      </c>
      <c r="BG10" s="25">
        <v>198</v>
      </c>
      <c r="BH10" s="25">
        <v>72</v>
      </c>
      <c r="BI10" s="25">
        <v>110</v>
      </c>
      <c r="BJ10" s="25">
        <v>72</v>
      </c>
      <c r="BK10" s="25">
        <v>0</v>
      </c>
      <c r="BL10" s="25">
        <v>27</v>
      </c>
      <c r="BM10" s="25">
        <v>146</v>
      </c>
      <c r="BN10" s="25">
        <v>62</v>
      </c>
      <c r="BO10" s="25">
        <v>92</v>
      </c>
      <c r="BP10" s="25">
        <v>54</v>
      </c>
      <c r="BQ10" s="25">
        <v>92</v>
      </c>
      <c r="BR10" s="25">
        <v>54</v>
      </c>
      <c r="BS10" s="25">
        <v>0</v>
      </c>
      <c r="BT10" s="25">
        <v>27</v>
      </c>
      <c r="BU10" s="25">
        <v>9</v>
      </c>
      <c r="BV10" s="25">
        <v>10</v>
      </c>
      <c r="BW10" s="25">
        <v>5</v>
      </c>
      <c r="BX10" s="25">
        <v>7</v>
      </c>
      <c r="BY10" s="25">
        <v>24</v>
      </c>
      <c r="BZ10" s="25">
        <v>22</v>
      </c>
      <c r="CA10" s="25">
        <v>16</v>
      </c>
      <c r="CB10" s="25">
        <v>12</v>
      </c>
      <c r="CC10" s="25">
        <v>0</v>
      </c>
      <c r="CD10" s="25">
        <v>27</v>
      </c>
      <c r="CE10" s="25">
        <v>0</v>
      </c>
      <c r="CF10" s="25">
        <v>27</v>
      </c>
      <c r="CG10" s="25">
        <v>331</v>
      </c>
      <c r="CH10" s="25">
        <v>98</v>
      </c>
      <c r="CI10" s="25">
        <v>220</v>
      </c>
      <c r="CJ10" s="25">
        <v>79</v>
      </c>
      <c r="CK10" s="25">
        <v>191</v>
      </c>
      <c r="CL10" s="25">
        <v>76</v>
      </c>
      <c r="CM10" s="25">
        <v>29</v>
      </c>
      <c r="CN10" s="25">
        <v>24</v>
      </c>
      <c r="CO10" s="25">
        <v>0</v>
      </c>
      <c r="CP10" s="25">
        <v>27</v>
      </c>
      <c r="CQ10" s="25">
        <v>54</v>
      </c>
      <c r="CR10" s="25">
        <v>38</v>
      </c>
      <c r="CS10" s="25">
        <v>12</v>
      </c>
      <c r="CT10" s="25">
        <v>20</v>
      </c>
      <c r="CU10" s="25">
        <v>3</v>
      </c>
      <c r="CV10" s="25">
        <v>4</v>
      </c>
      <c r="CW10" s="25">
        <v>42</v>
      </c>
      <c r="CX10" s="25">
        <v>33</v>
      </c>
      <c r="CY10" s="25">
        <v>0</v>
      </c>
      <c r="CZ10" s="25">
        <v>27</v>
      </c>
      <c r="DA10" s="25">
        <v>295</v>
      </c>
      <c r="DB10" s="25">
        <v>82</v>
      </c>
      <c r="DC10" s="25">
        <v>199</v>
      </c>
      <c r="DD10" s="25">
        <v>79</v>
      </c>
      <c r="DE10" s="25">
        <v>196</v>
      </c>
      <c r="DF10" s="25">
        <v>79</v>
      </c>
      <c r="DG10" s="25">
        <v>3</v>
      </c>
      <c r="DH10" s="25">
        <v>5</v>
      </c>
      <c r="DI10" s="25">
        <v>6</v>
      </c>
      <c r="DJ10" s="25">
        <v>9</v>
      </c>
      <c r="DK10" s="25">
        <v>29</v>
      </c>
      <c r="DL10" s="25">
        <v>18</v>
      </c>
      <c r="DM10" s="25">
        <v>24</v>
      </c>
      <c r="DN10" s="25">
        <v>19</v>
      </c>
      <c r="DO10" s="25">
        <v>16</v>
      </c>
      <c r="DP10" s="25">
        <v>15</v>
      </c>
      <c r="DQ10" s="25">
        <v>14</v>
      </c>
      <c r="DR10" s="25">
        <v>20</v>
      </c>
      <c r="DS10" s="25">
        <v>7</v>
      </c>
      <c r="DT10" s="25">
        <v>9</v>
      </c>
      <c r="DU10" s="25">
        <v>1142</v>
      </c>
      <c r="DV10" s="25">
        <v>178</v>
      </c>
      <c r="DW10" s="25">
        <v>601</v>
      </c>
      <c r="DX10" s="25">
        <v>153</v>
      </c>
      <c r="DY10" s="25">
        <v>435</v>
      </c>
      <c r="DZ10" s="25">
        <v>137</v>
      </c>
      <c r="EA10" s="25">
        <v>166</v>
      </c>
      <c r="EB10" s="25">
        <v>75</v>
      </c>
      <c r="EC10" s="25">
        <v>38</v>
      </c>
      <c r="ED10" s="25">
        <v>23</v>
      </c>
      <c r="EE10" s="25">
        <v>6</v>
      </c>
      <c r="EF10" s="25">
        <v>7</v>
      </c>
      <c r="EG10" s="25">
        <v>8</v>
      </c>
      <c r="EH10" s="25">
        <v>12</v>
      </c>
      <c r="EI10" s="25">
        <v>41</v>
      </c>
      <c r="EJ10" s="25">
        <v>33</v>
      </c>
      <c r="EK10" s="25">
        <v>436</v>
      </c>
      <c r="EL10" s="25">
        <v>99</v>
      </c>
      <c r="EM10" s="25">
        <v>12</v>
      </c>
      <c r="EN10" s="25">
        <v>12</v>
      </c>
    </row>
    <row r="11" spans="1:144" x14ac:dyDescent="0.25">
      <c r="A11" s="19">
        <f t="shared" si="8"/>
        <v>5</v>
      </c>
      <c r="B11" s="20" t="str">
        <f t="shared" si="9"/>
        <v>Cache</v>
      </c>
      <c r="C11" s="24" t="s">
        <v>292</v>
      </c>
      <c r="D11" s="24" t="s">
        <v>293</v>
      </c>
      <c r="E11" s="25">
        <v>58265</v>
      </c>
      <c r="F11" s="25">
        <v>809</v>
      </c>
      <c r="G11" s="25">
        <v>41366</v>
      </c>
      <c r="H11" s="25">
        <v>963</v>
      </c>
      <c r="I11" s="25">
        <v>38447</v>
      </c>
      <c r="J11" s="25">
        <v>892</v>
      </c>
      <c r="K11" s="25">
        <v>2919</v>
      </c>
      <c r="L11" s="25">
        <v>279</v>
      </c>
      <c r="M11" s="25">
        <v>3687</v>
      </c>
      <c r="N11" s="25">
        <v>345</v>
      </c>
      <c r="O11" s="25">
        <v>4009</v>
      </c>
      <c r="P11" s="25">
        <v>377</v>
      </c>
      <c r="Q11" s="25">
        <v>5784</v>
      </c>
      <c r="R11" s="25">
        <v>554</v>
      </c>
      <c r="S11" s="25">
        <v>881</v>
      </c>
      <c r="T11" s="25">
        <v>159</v>
      </c>
      <c r="U11" s="25">
        <v>2439</v>
      </c>
      <c r="V11" s="25">
        <v>301</v>
      </c>
      <c r="W11" s="25">
        <v>99</v>
      </c>
      <c r="X11" s="25">
        <v>50</v>
      </c>
      <c r="Y11" s="25">
        <v>43572</v>
      </c>
      <c r="Z11" s="25">
        <v>942</v>
      </c>
      <c r="AA11" s="25">
        <v>31851</v>
      </c>
      <c r="AB11" s="25">
        <v>938</v>
      </c>
      <c r="AC11" s="25">
        <v>30148</v>
      </c>
      <c r="AD11" s="25">
        <v>861</v>
      </c>
      <c r="AE11" s="25">
        <v>1703</v>
      </c>
      <c r="AF11" s="25">
        <v>212</v>
      </c>
      <c r="AG11" s="25">
        <v>2683</v>
      </c>
      <c r="AH11" s="25">
        <v>267</v>
      </c>
      <c r="AI11" s="25">
        <v>3341</v>
      </c>
      <c r="AJ11" s="25">
        <v>317</v>
      </c>
      <c r="AK11" s="25">
        <v>3698</v>
      </c>
      <c r="AL11" s="25">
        <v>357</v>
      </c>
      <c r="AM11" s="25">
        <v>581</v>
      </c>
      <c r="AN11" s="25">
        <v>151</v>
      </c>
      <c r="AO11" s="25">
        <v>1348</v>
      </c>
      <c r="AP11" s="25">
        <v>212</v>
      </c>
      <c r="AQ11" s="25">
        <v>70</v>
      </c>
      <c r="AR11" s="25">
        <v>42</v>
      </c>
      <c r="AS11" s="25">
        <v>6620</v>
      </c>
      <c r="AT11" s="25">
        <v>514</v>
      </c>
      <c r="AU11" s="25">
        <v>4969</v>
      </c>
      <c r="AV11" s="25">
        <v>472</v>
      </c>
      <c r="AW11" s="25">
        <v>4748</v>
      </c>
      <c r="AX11" s="25">
        <v>459</v>
      </c>
      <c r="AY11" s="25">
        <v>221</v>
      </c>
      <c r="AZ11" s="25">
        <v>72</v>
      </c>
      <c r="BA11" s="25">
        <v>304</v>
      </c>
      <c r="BB11" s="25">
        <v>107</v>
      </c>
      <c r="BC11" s="25">
        <v>395</v>
      </c>
      <c r="BD11" s="25">
        <v>114</v>
      </c>
      <c r="BE11" s="25">
        <v>578</v>
      </c>
      <c r="BF11" s="25">
        <v>135</v>
      </c>
      <c r="BG11" s="25">
        <v>183</v>
      </c>
      <c r="BH11" s="25">
        <v>72</v>
      </c>
      <c r="BI11" s="25">
        <v>191</v>
      </c>
      <c r="BJ11" s="25">
        <v>96</v>
      </c>
      <c r="BK11" s="25">
        <v>0</v>
      </c>
      <c r="BL11" s="25">
        <v>27</v>
      </c>
      <c r="BM11" s="25">
        <v>1203</v>
      </c>
      <c r="BN11" s="25">
        <v>281</v>
      </c>
      <c r="BO11" s="25">
        <v>734</v>
      </c>
      <c r="BP11" s="25">
        <v>203</v>
      </c>
      <c r="BQ11" s="25">
        <v>724</v>
      </c>
      <c r="BR11" s="25">
        <v>200</v>
      </c>
      <c r="BS11" s="25">
        <v>10</v>
      </c>
      <c r="BT11" s="25">
        <v>15</v>
      </c>
      <c r="BU11" s="25">
        <v>101</v>
      </c>
      <c r="BV11" s="25">
        <v>46</v>
      </c>
      <c r="BW11" s="25">
        <v>75</v>
      </c>
      <c r="BX11" s="25">
        <v>53</v>
      </c>
      <c r="BY11" s="25">
        <v>269</v>
      </c>
      <c r="BZ11" s="25">
        <v>177</v>
      </c>
      <c r="CA11" s="25">
        <v>3</v>
      </c>
      <c r="CB11" s="25">
        <v>5</v>
      </c>
      <c r="CC11" s="25">
        <v>21</v>
      </c>
      <c r="CD11" s="25">
        <v>17</v>
      </c>
      <c r="CE11" s="25">
        <v>0</v>
      </c>
      <c r="CF11" s="25">
        <v>27</v>
      </c>
      <c r="CG11" s="25">
        <v>2201</v>
      </c>
      <c r="CH11" s="25">
        <v>323</v>
      </c>
      <c r="CI11" s="25">
        <v>914</v>
      </c>
      <c r="CJ11" s="25">
        <v>167</v>
      </c>
      <c r="CK11" s="25">
        <v>773</v>
      </c>
      <c r="CL11" s="25">
        <v>154</v>
      </c>
      <c r="CM11" s="25">
        <v>141</v>
      </c>
      <c r="CN11" s="25">
        <v>60</v>
      </c>
      <c r="CO11" s="25">
        <v>306</v>
      </c>
      <c r="CP11" s="25">
        <v>118</v>
      </c>
      <c r="CQ11" s="25">
        <v>110</v>
      </c>
      <c r="CR11" s="25">
        <v>69</v>
      </c>
      <c r="CS11" s="25">
        <v>723</v>
      </c>
      <c r="CT11" s="25">
        <v>180</v>
      </c>
      <c r="CU11" s="25">
        <v>43</v>
      </c>
      <c r="CV11" s="25">
        <v>34</v>
      </c>
      <c r="CW11" s="25">
        <v>105</v>
      </c>
      <c r="CX11" s="25">
        <v>59</v>
      </c>
      <c r="CY11" s="25">
        <v>0</v>
      </c>
      <c r="CZ11" s="25">
        <v>27</v>
      </c>
      <c r="DA11" s="25">
        <v>1437</v>
      </c>
      <c r="DB11" s="25">
        <v>251</v>
      </c>
      <c r="DC11" s="25">
        <v>861</v>
      </c>
      <c r="DD11" s="25">
        <v>201</v>
      </c>
      <c r="DE11" s="25">
        <v>815</v>
      </c>
      <c r="DF11" s="25">
        <v>201</v>
      </c>
      <c r="DG11" s="25">
        <v>46</v>
      </c>
      <c r="DH11" s="25">
        <v>29</v>
      </c>
      <c r="DI11" s="25">
        <v>109</v>
      </c>
      <c r="DJ11" s="25">
        <v>59</v>
      </c>
      <c r="DK11" s="25">
        <v>42</v>
      </c>
      <c r="DL11" s="25">
        <v>27</v>
      </c>
      <c r="DM11" s="25">
        <v>375</v>
      </c>
      <c r="DN11" s="25">
        <v>128</v>
      </c>
      <c r="DO11" s="25">
        <v>23</v>
      </c>
      <c r="DP11" s="25">
        <v>22</v>
      </c>
      <c r="DQ11" s="25">
        <v>21</v>
      </c>
      <c r="DR11" s="25">
        <v>17</v>
      </c>
      <c r="DS11" s="25">
        <v>6</v>
      </c>
      <c r="DT11" s="25">
        <v>8</v>
      </c>
      <c r="DU11" s="25">
        <v>3232</v>
      </c>
      <c r="DV11" s="25">
        <v>383</v>
      </c>
      <c r="DW11" s="25">
        <v>2037</v>
      </c>
      <c r="DX11" s="25">
        <v>302</v>
      </c>
      <c r="DY11" s="25">
        <v>1239</v>
      </c>
      <c r="DZ11" s="25">
        <v>196</v>
      </c>
      <c r="EA11" s="25">
        <v>798</v>
      </c>
      <c r="EB11" s="25">
        <v>198</v>
      </c>
      <c r="EC11" s="25">
        <v>184</v>
      </c>
      <c r="ED11" s="25">
        <v>68</v>
      </c>
      <c r="EE11" s="25">
        <v>46</v>
      </c>
      <c r="EF11" s="25">
        <v>36</v>
      </c>
      <c r="EG11" s="25">
        <v>141</v>
      </c>
      <c r="EH11" s="25">
        <v>87</v>
      </c>
      <c r="EI11" s="25">
        <v>48</v>
      </c>
      <c r="EJ11" s="25">
        <v>37</v>
      </c>
      <c r="EK11" s="25">
        <v>753</v>
      </c>
      <c r="EL11" s="25">
        <v>163</v>
      </c>
      <c r="EM11" s="25">
        <v>23</v>
      </c>
      <c r="EN11" s="25">
        <v>22</v>
      </c>
    </row>
    <row r="12" spans="1:144" x14ac:dyDescent="0.25">
      <c r="A12" s="19">
        <f t="shared" si="8"/>
        <v>7</v>
      </c>
      <c r="B12" s="20" t="str">
        <f t="shared" si="9"/>
        <v>Carbon</v>
      </c>
      <c r="C12" s="24" t="s">
        <v>294</v>
      </c>
      <c r="D12" s="24" t="s">
        <v>295</v>
      </c>
      <c r="E12" s="25">
        <v>8581</v>
      </c>
      <c r="F12" s="25">
        <v>381</v>
      </c>
      <c r="G12" s="25">
        <v>5815</v>
      </c>
      <c r="H12" s="25">
        <v>358</v>
      </c>
      <c r="I12" s="25">
        <v>5527</v>
      </c>
      <c r="J12" s="25">
        <v>356</v>
      </c>
      <c r="K12" s="25">
        <v>288</v>
      </c>
      <c r="L12" s="25">
        <v>111</v>
      </c>
      <c r="M12" s="25">
        <v>462</v>
      </c>
      <c r="N12" s="25">
        <v>112</v>
      </c>
      <c r="O12" s="25">
        <v>936</v>
      </c>
      <c r="P12" s="25">
        <v>191</v>
      </c>
      <c r="Q12" s="25">
        <v>734</v>
      </c>
      <c r="R12" s="25">
        <v>149</v>
      </c>
      <c r="S12" s="25">
        <v>175</v>
      </c>
      <c r="T12" s="25">
        <v>58</v>
      </c>
      <c r="U12" s="25">
        <v>436</v>
      </c>
      <c r="V12" s="25">
        <v>111</v>
      </c>
      <c r="W12" s="25">
        <v>23</v>
      </c>
      <c r="X12" s="25">
        <v>23</v>
      </c>
      <c r="Y12" s="25">
        <v>6950</v>
      </c>
      <c r="Z12" s="25">
        <v>420</v>
      </c>
      <c r="AA12" s="25">
        <v>4744</v>
      </c>
      <c r="AB12" s="25">
        <v>371</v>
      </c>
      <c r="AC12" s="25">
        <v>4589</v>
      </c>
      <c r="AD12" s="25">
        <v>355</v>
      </c>
      <c r="AE12" s="25">
        <v>155</v>
      </c>
      <c r="AF12" s="25">
        <v>75</v>
      </c>
      <c r="AG12" s="25">
        <v>409</v>
      </c>
      <c r="AH12" s="25">
        <v>101</v>
      </c>
      <c r="AI12" s="25">
        <v>860</v>
      </c>
      <c r="AJ12" s="25">
        <v>193</v>
      </c>
      <c r="AK12" s="25">
        <v>593</v>
      </c>
      <c r="AL12" s="25">
        <v>133</v>
      </c>
      <c r="AM12" s="25">
        <v>85</v>
      </c>
      <c r="AN12" s="25">
        <v>46</v>
      </c>
      <c r="AO12" s="25">
        <v>251</v>
      </c>
      <c r="AP12" s="25">
        <v>84</v>
      </c>
      <c r="AQ12" s="25">
        <v>8</v>
      </c>
      <c r="AR12" s="25">
        <v>16</v>
      </c>
      <c r="AS12" s="25">
        <v>860</v>
      </c>
      <c r="AT12" s="25">
        <v>173</v>
      </c>
      <c r="AU12" s="25">
        <v>612</v>
      </c>
      <c r="AV12" s="25">
        <v>160</v>
      </c>
      <c r="AW12" s="25">
        <v>603</v>
      </c>
      <c r="AX12" s="25">
        <v>160</v>
      </c>
      <c r="AY12" s="25">
        <v>9</v>
      </c>
      <c r="AZ12" s="25">
        <v>10</v>
      </c>
      <c r="BA12" s="25">
        <v>32</v>
      </c>
      <c r="BB12" s="25">
        <v>24</v>
      </c>
      <c r="BC12" s="25">
        <v>37</v>
      </c>
      <c r="BD12" s="25">
        <v>28</v>
      </c>
      <c r="BE12" s="25">
        <v>77</v>
      </c>
      <c r="BF12" s="25">
        <v>48</v>
      </c>
      <c r="BG12" s="25">
        <v>61</v>
      </c>
      <c r="BH12" s="25">
        <v>45</v>
      </c>
      <c r="BI12" s="25">
        <v>41</v>
      </c>
      <c r="BJ12" s="25">
        <v>36</v>
      </c>
      <c r="BK12" s="25">
        <v>0</v>
      </c>
      <c r="BL12" s="25">
        <v>21</v>
      </c>
      <c r="BM12" s="25">
        <v>15</v>
      </c>
      <c r="BN12" s="25">
        <v>22</v>
      </c>
      <c r="BO12" s="25">
        <v>7</v>
      </c>
      <c r="BP12" s="25">
        <v>16</v>
      </c>
      <c r="BQ12" s="25">
        <v>7</v>
      </c>
      <c r="BR12" s="25">
        <v>16</v>
      </c>
      <c r="BS12" s="25">
        <v>0</v>
      </c>
      <c r="BT12" s="25">
        <v>21</v>
      </c>
      <c r="BU12" s="25">
        <v>0</v>
      </c>
      <c r="BV12" s="25">
        <v>21</v>
      </c>
      <c r="BW12" s="25">
        <v>8</v>
      </c>
      <c r="BX12" s="25">
        <v>13</v>
      </c>
      <c r="BY12" s="25">
        <v>0</v>
      </c>
      <c r="BZ12" s="25">
        <v>21</v>
      </c>
      <c r="CA12" s="25">
        <v>0</v>
      </c>
      <c r="CB12" s="25">
        <v>21</v>
      </c>
      <c r="CC12" s="25">
        <v>0</v>
      </c>
      <c r="CD12" s="25">
        <v>21</v>
      </c>
      <c r="CE12" s="25">
        <v>0</v>
      </c>
      <c r="CF12" s="25">
        <v>21</v>
      </c>
      <c r="CG12" s="25">
        <v>327</v>
      </c>
      <c r="CH12" s="25">
        <v>115</v>
      </c>
      <c r="CI12" s="25">
        <v>218</v>
      </c>
      <c r="CJ12" s="25">
        <v>94</v>
      </c>
      <c r="CK12" s="25">
        <v>203</v>
      </c>
      <c r="CL12" s="25">
        <v>88</v>
      </c>
      <c r="CM12" s="25">
        <v>15</v>
      </c>
      <c r="CN12" s="25">
        <v>26</v>
      </c>
      <c r="CO12" s="25">
        <v>0</v>
      </c>
      <c r="CP12" s="25">
        <v>21</v>
      </c>
      <c r="CQ12" s="25">
        <v>8</v>
      </c>
      <c r="CR12" s="25">
        <v>10</v>
      </c>
      <c r="CS12" s="25">
        <v>50</v>
      </c>
      <c r="CT12" s="25">
        <v>37</v>
      </c>
      <c r="CU12" s="25">
        <v>21</v>
      </c>
      <c r="CV12" s="25">
        <v>16</v>
      </c>
      <c r="CW12" s="25">
        <v>21</v>
      </c>
      <c r="CX12" s="25">
        <v>21</v>
      </c>
      <c r="CY12" s="25">
        <v>9</v>
      </c>
      <c r="CZ12" s="25">
        <v>13</v>
      </c>
      <c r="DA12" s="25">
        <v>53</v>
      </c>
      <c r="DB12" s="25">
        <v>36</v>
      </c>
      <c r="DC12" s="25">
        <v>26</v>
      </c>
      <c r="DD12" s="25">
        <v>21</v>
      </c>
      <c r="DE12" s="25">
        <v>26</v>
      </c>
      <c r="DF12" s="25">
        <v>21</v>
      </c>
      <c r="DG12" s="25">
        <v>0</v>
      </c>
      <c r="DH12" s="25">
        <v>21</v>
      </c>
      <c r="DI12" s="25">
        <v>2</v>
      </c>
      <c r="DJ12" s="25">
        <v>5</v>
      </c>
      <c r="DK12" s="25">
        <v>1</v>
      </c>
      <c r="DL12" s="25">
        <v>3</v>
      </c>
      <c r="DM12" s="25">
        <v>7</v>
      </c>
      <c r="DN12" s="25">
        <v>11</v>
      </c>
      <c r="DO12" s="25">
        <v>0</v>
      </c>
      <c r="DP12" s="25">
        <v>21</v>
      </c>
      <c r="DQ12" s="25">
        <v>17</v>
      </c>
      <c r="DR12" s="25">
        <v>24</v>
      </c>
      <c r="DS12" s="25">
        <v>0</v>
      </c>
      <c r="DT12" s="25">
        <v>21</v>
      </c>
      <c r="DU12" s="25">
        <v>376</v>
      </c>
      <c r="DV12" s="25">
        <v>124</v>
      </c>
      <c r="DW12" s="25">
        <v>208</v>
      </c>
      <c r="DX12" s="25">
        <v>97</v>
      </c>
      <c r="DY12" s="25">
        <v>99</v>
      </c>
      <c r="DZ12" s="25">
        <v>60</v>
      </c>
      <c r="EA12" s="25">
        <v>109</v>
      </c>
      <c r="EB12" s="25">
        <v>72</v>
      </c>
      <c r="EC12" s="25">
        <v>19</v>
      </c>
      <c r="ED12" s="25">
        <v>21</v>
      </c>
      <c r="EE12" s="25">
        <v>22</v>
      </c>
      <c r="EF12" s="25">
        <v>23</v>
      </c>
      <c r="EG12" s="25">
        <v>7</v>
      </c>
      <c r="EH12" s="25">
        <v>12</v>
      </c>
      <c r="EI12" s="25">
        <v>8</v>
      </c>
      <c r="EJ12" s="25">
        <v>12</v>
      </c>
      <c r="EK12" s="25">
        <v>106</v>
      </c>
      <c r="EL12" s="25">
        <v>58</v>
      </c>
      <c r="EM12" s="25">
        <v>6</v>
      </c>
      <c r="EN12" s="25">
        <v>10</v>
      </c>
    </row>
    <row r="13" spans="1:144" x14ac:dyDescent="0.25">
      <c r="A13" s="19">
        <f t="shared" si="8"/>
        <v>9</v>
      </c>
      <c r="B13" s="20" t="str">
        <f t="shared" si="9"/>
        <v>Daggett</v>
      </c>
      <c r="C13" s="24" t="s">
        <v>296</v>
      </c>
      <c r="D13" s="24" t="s">
        <v>297</v>
      </c>
      <c r="E13" s="25">
        <v>250</v>
      </c>
      <c r="F13" s="25">
        <v>104</v>
      </c>
      <c r="G13" s="25">
        <v>189</v>
      </c>
      <c r="H13" s="25">
        <v>96</v>
      </c>
      <c r="I13" s="25">
        <v>176</v>
      </c>
      <c r="J13" s="25">
        <v>96</v>
      </c>
      <c r="K13" s="25">
        <v>13</v>
      </c>
      <c r="L13" s="25">
        <v>14</v>
      </c>
      <c r="M13" s="25">
        <v>0</v>
      </c>
      <c r="N13" s="25">
        <v>11</v>
      </c>
      <c r="O13" s="25">
        <v>36</v>
      </c>
      <c r="P13" s="25">
        <v>22</v>
      </c>
      <c r="Q13" s="25">
        <v>5</v>
      </c>
      <c r="R13" s="25">
        <v>6</v>
      </c>
      <c r="S13" s="25">
        <v>18</v>
      </c>
      <c r="T13" s="25">
        <v>11</v>
      </c>
      <c r="U13" s="25">
        <v>2</v>
      </c>
      <c r="V13" s="25">
        <v>3</v>
      </c>
      <c r="W13" s="25">
        <v>0</v>
      </c>
      <c r="X13" s="25">
        <v>11</v>
      </c>
      <c r="Y13" s="25">
        <v>114</v>
      </c>
      <c r="Z13" s="25">
        <v>45</v>
      </c>
      <c r="AA13" s="25">
        <v>57</v>
      </c>
      <c r="AB13" s="25">
        <v>28</v>
      </c>
      <c r="AC13" s="25">
        <v>53</v>
      </c>
      <c r="AD13" s="25">
        <v>28</v>
      </c>
      <c r="AE13" s="25">
        <v>4</v>
      </c>
      <c r="AF13" s="25">
        <v>6</v>
      </c>
      <c r="AG13" s="25">
        <v>0</v>
      </c>
      <c r="AH13" s="25">
        <v>11</v>
      </c>
      <c r="AI13" s="25">
        <v>36</v>
      </c>
      <c r="AJ13" s="25">
        <v>22</v>
      </c>
      <c r="AK13" s="25">
        <v>5</v>
      </c>
      <c r="AL13" s="25">
        <v>6</v>
      </c>
      <c r="AM13" s="25">
        <v>14</v>
      </c>
      <c r="AN13" s="25">
        <v>10</v>
      </c>
      <c r="AO13" s="25">
        <v>2</v>
      </c>
      <c r="AP13" s="25">
        <v>3</v>
      </c>
      <c r="AQ13" s="25">
        <v>0</v>
      </c>
      <c r="AR13" s="25">
        <v>11</v>
      </c>
      <c r="AS13" s="25">
        <v>7</v>
      </c>
      <c r="AT13" s="25">
        <v>8</v>
      </c>
      <c r="AU13" s="25">
        <v>5</v>
      </c>
      <c r="AV13" s="25">
        <v>7</v>
      </c>
      <c r="AW13" s="25">
        <v>5</v>
      </c>
      <c r="AX13" s="25">
        <v>7</v>
      </c>
      <c r="AY13" s="25">
        <v>0</v>
      </c>
      <c r="AZ13" s="25">
        <v>11</v>
      </c>
      <c r="BA13" s="25">
        <v>0</v>
      </c>
      <c r="BB13" s="25">
        <v>11</v>
      </c>
      <c r="BC13" s="25">
        <v>0</v>
      </c>
      <c r="BD13" s="25">
        <v>11</v>
      </c>
      <c r="BE13" s="25">
        <v>0</v>
      </c>
      <c r="BF13" s="25">
        <v>11</v>
      </c>
      <c r="BG13" s="25">
        <v>2</v>
      </c>
      <c r="BH13" s="25">
        <v>4</v>
      </c>
      <c r="BI13" s="25">
        <v>0</v>
      </c>
      <c r="BJ13" s="25">
        <v>11</v>
      </c>
      <c r="BK13" s="25">
        <v>0</v>
      </c>
      <c r="BL13" s="25">
        <v>11</v>
      </c>
      <c r="BM13" s="25">
        <v>0</v>
      </c>
      <c r="BN13" s="25">
        <v>11</v>
      </c>
      <c r="BO13" s="25">
        <v>0</v>
      </c>
      <c r="BP13" s="25">
        <v>11</v>
      </c>
      <c r="BQ13" s="25">
        <v>0</v>
      </c>
      <c r="BR13" s="25">
        <v>11</v>
      </c>
      <c r="BS13" s="25">
        <v>0</v>
      </c>
      <c r="BT13" s="25">
        <v>11</v>
      </c>
      <c r="BU13" s="25">
        <v>0</v>
      </c>
      <c r="BV13" s="25">
        <v>11</v>
      </c>
      <c r="BW13" s="25">
        <v>0</v>
      </c>
      <c r="BX13" s="25">
        <v>11</v>
      </c>
      <c r="BY13" s="25">
        <v>0</v>
      </c>
      <c r="BZ13" s="25">
        <v>11</v>
      </c>
      <c r="CA13" s="25">
        <v>0</v>
      </c>
      <c r="CB13" s="25">
        <v>11</v>
      </c>
      <c r="CC13" s="25">
        <v>0</v>
      </c>
      <c r="CD13" s="25">
        <v>11</v>
      </c>
      <c r="CE13" s="25">
        <v>0</v>
      </c>
      <c r="CF13" s="25">
        <v>11</v>
      </c>
      <c r="CG13" s="25">
        <v>117</v>
      </c>
      <c r="CH13" s="25">
        <v>100</v>
      </c>
      <c r="CI13" s="25">
        <v>115</v>
      </c>
      <c r="CJ13" s="25">
        <v>100</v>
      </c>
      <c r="CK13" s="25">
        <v>115</v>
      </c>
      <c r="CL13" s="25">
        <v>100</v>
      </c>
      <c r="CM13" s="25">
        <v>0</v>
      </c>
      <c r="CN13" s="25">
        <v>11</v>
      </c>
      <c r="CO13" s="25">
        <v>0</v>
      </c>
      <c r="CP13" s="25">
        <v>11</v>
      </c>
      <c r="CQ13" s="25">
        <v>0</v>
      </c>
      <c r="CR13" s="25">
        <v>11</v>
      </c>
      <c r="CS13" s="25">
        <v>0</v>
      </c>
      <c r="CT13" s="25">
        <v>11</v>
      </c>
      <c r="CU13" s="25">
        <v>2</v>
      </c>
      <c r="CV13" s="25">
        <v>4</v>
      </c>
      <c r="CW13" s="25">
        <v>0</v>
      </c>
      <c r="CX13" s="25">
        <v>11</v>
      </c>
      <c r="CY13" s="25">
        <v>0</v>
      </c>
      <c r="CZ13" s="25">
        <v>11</v>
      </c>
      <c r="DA13" s="25">
        <v>0</v>
      </c>
      <c r="DB13" s="25">
        <v>11</v>
      </c>
      <c r="DC13" s="25">
        <v>0</v>
      </c>
      <c r="DD13" s="25">
        <v>11</v>
      </c>
      <c r="DE13" s="25">
        <v>0</v>
      </c>
      <c r="DF13" s="25">
        <v>11</v>
      </c>
      <c r="DG13" s="25">
        <v>0</v>
      </c>
      <c r="DH13" s="25">
        <v>11</v>
      </c>
      <c r="DI13" s="25">
        <v>0</v>
      </c>
      <c r="DJ13" s="25">
        <v>11</v>
      </c>
      <c r="DK13" s="25">
        <v>0</v>
      </c>
      <c r="DL13" s="25">
        <v>11</v>
      </c>
      <c r="DM13" s="25">
        <v>0</v>
      </c>
      <c r="DN13" s="25">
        <v>11</v>
      </c>
      <c r="DO13" s="25">
        <v>0</v>
      </c>
      <c r="DP13" s="25">
        <v>11</v>
      </c>
      <c r="DQ13" s="25">
        <v>0</v>
      </c>
      <c r="DR13" s="25">
        <v>11</v>
      </c>
      <c r="DS13" s="25">
        <v>0</v>
      </c>
      <c r="DT13" s="25">
        <v>11</v>
      </c>
      <c r="DU13" s="25">
        <v>12</v>
      </c>
      <c r="DV13" s="25">
        <v>15</v>
      </c>
      <c r="DW13" s="25">
        <v>12</v>
      </c>
      <c r="DX13" s="25">
        <v>15</v>
      </c>
      <c r="DY13" s="25">
        <v>3</v>
      </c>
      <c r="DZ13" s="25">
        <v>6</v>
      </c>
      <c r="EA13" s="25">
        <v>9</v>
      </c>
      <c r="EB13" s="25">
        <v>13</v>
      </c>
      <c r="EC13" s="25">
        <v>0</v>
      </c>
      <c r="ED13" s="25">
        <v>11</v>
      </c>
      <c r="EE13" s="25">
        <v>0</v>
      </c>
      <c r="EF13" s="25">
        <v>11</v>
      </c>
      <c r="EG13" s="25">
        <v>0</v>
      </c>
      <c r="EH13" s="25">
        <v>11</v>
      </c>
      <c r="EI13" s="25">
        <v>0</v>
      </c>
      <c r="EJ13" s="25">
        <v>11</v>
      </c>
      <c r="EK13" s="25">
        <v>0</v>
      </c>
      <c r="EL13" s="25">
        <v>11</v>
      </c>
      <c r="EM13" s="25">
        <v>0</v>
      </c>
      <c r="EN13" s="25">
        <v>11</v>
      </c>
    </row>
    <row r="14" spans="1:144" x14ac:dyDescent="0.25">
      <c r="A14" s="19">
        <f t="shared" si="8"/>
        <v>11</v>
      </c>
      <c r="B14" s="20" t="str">
        <f t="shared" si="9"/>
        <v>Davis</v>
      </c>
      <c r="C14" s="24" t="s">
        <v>298</v>
      </c>
      <c r="D14" s="24" t="s">
        <v>299</v>
      </c>
      <c r="E14" s="25">
        <v>158992</v>
      </c>
      <c r="F14" s="25">
        <v>1626</v>
      </c>
      <c r="G14" s="25">
        <v>111518</v>
      </c>
      <c r="H14" s="25">
        <v>1810</v>
      </c>
      <c r="I14" s="25">
        <v>105528</v>
      </c>
      <c r="J14" s="25">
        <v>1850</v>
      </c>
      <c r="K14" s="25">
        <v>5990</v>
      </c>
      <c r="L14" s="25">
        <v>495</v>
      </c>
      <c r="M14" s="25">
        <v>11762</v>
      </c>
      <c r="N14" s="25">
        <v>687</v>
      </c>
      <c r="O14" s="25">
        <v>9497</v>
      </c>
      <c r="P14" s="25">
        <v>628</v>
      </c>
      <c r="Q14" s="25">
        <v>7385</v>
      </c>
      <c r="R14" s="25">
        <v>593</v>
      </c>
      <c r="S14" s="25">
        <v>12349</v>
      </c>
      <c r="T14" s="25">
        <v>626</v>
      </c>
      <c r="U14" s="25">
        <v>6324</v>
      </c>
      <c r="V14" s="25">
        <v>548</v>
      </c>
      <c r="W14" s="25">
        <v>157</v>
      </c>
      <c r="X14" s="25">
        <v>80</v>
      </c>
      <c r="Y14" s="25">
        <v>126913</v>
      </c>
      <c r="Z14" s="25">
        <v>1744</v>
      </c>
      <c r="AA14" s="25">
        <v>89648</v>
      </c>
      <c r="AB14" s="25">
        <v>1998</v>
      </c>
      <c r="AC14" s="25">
        <v>85800</v>
      </c>
      <c r="AD14" s="25">
        <v>1955</v>
      </c>
      <c r="AE14" s="25">
        <v>3848</v>
      </c>
      <c r="AF14" s="25">
        <v>422</v>
      </c>
      <c r="AG14" s="25">
        <v>9390</v>
      </c>
      <c r="AH14" s="25">
        <v>618</v>
      </c>
      <c r="AI14" s="25">
        <v>8039</v>
      </c>
      <c r="AJ14" s="25">
        <v>574</v>
      </c>
      <c r="AK14" s="25">
        <v>5663</v>
      </c>
      <c r="AL14" s="25">
        <v>519</v>
      </c>
      <c r="AM14" s="25">
        <v>10802</v>
      </c>
      <c r="AN14" s="25">
        <v>599</v>
      </c>
      <c r="AO14" s="25">
        <v>3300</v>
      </c>
      <c r="AP14" s="25">
        <v>424</v>
      </c>
      <c r="AQ14" s="25">
        <v>71</v>
      </c>
      <c r="AR14" s="25">
        <v>44</v>
      </c>
      <c r="AS14" s="25">
        <v>15208</v>
      </c>
      <c r="AT14" s="25">
        <v>938</v>
      </c>
      <c r="AU14" s="25">
        <v>11006</v>
      </c>
      <c r="AV14" s="25">
        <v>798</v>
      </c>
      <c r="AW14" s="25">
        <v>10491</v>
      </c>
      <c r="AX14" s="25">
        <v>785</v>
      </c>
      <c r="AY14" s="25">
        <v>515</v>
      </c>
      <c r="AZ14" s="25">
        <v>144</v>
      </c>
      <c r="BA14" s="25">
        <v>1150</v>
      </c>
      <c r="BB14" s="25">
        <v>257</v>
      </c>
      <c r="BC14" s="25">
        <v>781</v>
      </c>
      <c r="BD14" s="25">
        <v>149</v>
      </c>
      <c r="BE14" s="25">
        <v>781</v>
      </c>
      <c r="BF14" s="25">
        <v>185</v>
      </c>
      <c r="BG14" s="25">
        <v>920</v>
      </c>
      <c r="BH14" s="25">
        <v>194</v>
      </c>
      <c r="BI14" s="25">
        <v>561</v>
      </c>
      <c r="BJ14" s="25">
        <v>185</v>
      </c>
      <c r="BK14" s="25">
        <v>9</v>
      </c>
      <c r="BL14" s="25">
        <v>14</v>
      </c>
      <c r="BM14" s="25">
        <v>3628</v>
      </c>
      <c r="BN14" s="25">
        <v>404</v>
      </c>
      <c r="BO14" s="25">
        <v>2013</v>
      </c>
      <c r="BP14" s="25">
        <v>326</v>
      </c>
      <c r="BQ14" s="25">
        <v>1937</v>
      </c>
      <c r="BR14" s="25">
        <v>328</v>
      </c>
      <c r="BS14" s="25">
        <v>76</v>
      </c>
      <c r="BT14" s="25">
        <v>62</v>
      </c>
      <c r="BU14" s="25">
        <v>657</v>
      </c>
      <c r="BV14" s="25">
        <v>145</v>
      </c>
      <c r="BW14" s="25">
        <v>163</v>
      </c>
      <c r="BX14" s="25">
        <v>85</v>
      </c>
      <c r="BY14" s="25">
        <v>558</v>
      </c>
      <c r="BZ14" s="25">
        <v>172</v>
      </c>
      <c r="CA14" s="25">
        <v>142</v>
      </c>
      <c r="CB14" s="25">
        <v>85</v>
      </c>
      <c r="CC14" s="25">
        <v>95</v>
      </c>
      <c r="CD14" s="25">
        <v>85</v>
      </c>
      <c r="CE14" s="25">
        <v>0</v>
      </c>
      <c r="CF14" s="25">
        <v>27</v>
      </c>
      <c r="CG14" s="25">
        <v>2103</v>
      </c>
      <c r="CH14" s="25">
        <v>329</v>
      </c>
      <c r="CI14" s="25">
        <v>1353</v>
      </c>
      <c r="CJ14" s="25">
        <v>271</v>
      </c>
      <c r="CK14" s="25">
        <v>1312</v>
      </c>
      <c r="CL14" s="25">
        <v>271</v>
      </c>
      <c r="CM14" s="25">
        <v>41</v>
      </c>
      <c r="CN14" s="25">
        <v>39</v>
      </c>
      <c r="CO14" s="25">
        <v>142</v>
      </c>
      <c r="CP14" s="25">
        <v>66</v>
      </c>
      <c r="CQ14" s="25">
        <v>191</v>
      </c>
      <c r="CR14" s="25">
        <v>95</v>
      </c>
      <c r="CS14" s="25">
        <v>121</v>
      </c>
      <c r="CT14" s="25">
        <v>82</v>
      </c>
      <c r="CU14" s="25">
        <v>168</v>
      </c>
      <c r="CV14" s="25">
        <v>103</v>
      </c>
      <c r="CW14" s="25">
        <v>115</v>
      </c>
      <c r="CX14" s="25">
        <v>65</v>
      </c>
      <c r="CY14" s="25">
        <v>13</v>
      </c>
      <c r="CZ14" s="25">
        <v>19</v>
      </c>
      <c r="DA14" s="25">
        <v>1875</v>
      </c>
      <c r="DB14" s="25">
        <v>298</v>
      </c>
      <c r="DC14" s="25">
        <v>1416</v>
      </c>
      <c r="DD14" s="25">
        <v>244</v>
      </c>
      <c r="DE14" s="25">
        <v>1329</v>
      </c>
      <c r="DF14" s="25">
        <v>246</v>
      </c>
      <c r="DG14" s="25">
        <v>87</v>
      </c>
      <c r="DH14" s="25">
        <v>58</v>
      </c>
      <c r="DI14" s="25">
        <v>112</v>
      </c>
      <c r="DJ14" s="25">
        <v>74</v>
      </c>
      <c r="DK14" s="25">
        <v>147</v>
      </c>
      <c r="DL14" s="25">
        <v>78</v>
      </c>
      <c r="DM14" s="25">
        <v>95</v>
      </c>
      <c r="DN14" s="25">
        <v>54</v>
      </c>
      <c r="DO14" s="25">
        <v>53</v>
      </c>
      <c r="DP14" s="25">
        <v>31</v>
      </c>
      <c r="DQ14" s="25">
        <v>52</v>
      </c>
      <c r="DR14" s="25">
        <v>44</v>
      </c>
      <c r="DS14" s="25">
        <v>0</v>
      </c>
      <c r="DT14" s="25">
        <v>27</v>
      </c>
      <c r="DU14" s="25">
        <v>9265</v>
      </c>
      <c r="DV14" s="25">
        <v>630</v>
      </c>
      <c r="DW14" s="25">
        <v>6082</v>
      </c>
      <c r="DX14" s="25">
        <v>475</v>
      </c>
      <c r="DY14" s="25">
        <v>4659</v>
      </c>
      <c r="DZ14" s="25">
        <v>427</v>
      </c>
      <c r="EA14" s="25">
        <v>1423</v>
      </c>
      <c r="EB14" s="25">
        <v>264</v>
      </c>
      <c r="EC14" s="25">
        <v>311</v>
      </c>
      <c r="ED14" s="25">
        <v>106</v>
      </c>
      <c r="EE14" s="25">
        <v>176</v>
      </c>
      <c r="EF14" s="25">
        <v>102</v>
      </c>
      <c r="EG14" s="25">
        <v>167</v>
      </c>
      <c r="EH14" s="25">
        <v>70</v>
      </c>
      <c r="EI14" s="25">
        <v>264</v>
      </c>
      <c r="EJ14" s="25">
        <v>90</v>
      </c>
      <c r="EK14" s="25">
        <v>2201</v>
      </c>
      <c r="EL14" s="25">
        <v>312</v>
      </c>
      <c r="EM14" s="25">
        <v>64</v>
      </c>
      <c r="EN14" s="25">
        <v>67</v>
      </c>
    </row>
    <row r="15" spans="1:144" x14ac:dyDescent="0.25">
      <c r="A15" s="19">
        <f t="shared" si="8"/>
        <v>13</v>
      </c>
      <c r="B15" s="20" t="str">
        <f t="shared" si="9"/>
        <v>Duchesne</v>
      </c>
      <c r="C15" s="24" t="s">
        <v>300</v>
      </c>
      <c r="D15" s="24" t="s">
        <v>301</v>
      </c>
      <c r="E15" s="25">
        <v>7928</v>
      </c>
      <c r="F15" s="25">
        <v>183</v>
      </c>
      <c r="G15" s="25">
        <v>5465</v>
      </c>
      <c r="H15" s="25">
        <v>197</v>
      </c>
      <c r="I15" s="25">
        <v>4890</v>
      </c>
      <c r="J15" s="25">
        <v>198</v>
      </c>
      <c r="K15" s="25">
        <v>575</v>
      </c>
      <c r="L15" s="25">
        <v>101</v>
      </c>
      <c r="M15" s="25">
        <v>489</v>
      </c>
      <c r="N15" s="25">
        <v>77</v>
      </c>
      <c r="O15" s="25">
        <v>1033</v>
      </c>
      <c r="P15" s="25">
        <v>110</v>
      </c>
      <c r="Q15" s="25">
        <v>232</v>
      </c>
      <c r="R15" s="25">
        <v>59</v>
      </c>
      <c r="S15" s="25">
        <v>223</v>
      </c>
      <c r="T15" s="25">
        <v>48</v>
      </c>
      <c r="U15" s="25">
        <v>439</v>
      </c>
      <c r="V15" s="25">
        <v>80</v>
      </c>
      <c r="W15" s="25">
        <v>47</v>
      </c>
      <c r="X15" s="25">
        <v>23</v>
      </c>
      <c r="Y15" s="25">
        <v>6353</v>
      </c>
      <c r="Z15" s="25">
        <v>214</v>
      </c>
      <c r="AA15" s="25">
        <v>4390</v>
      </c>
      <c r="AB15" s="25">
        <v>181</v>
      </c>
      <c r="AC15" s="25">
        <v>4040</v>
      </c>
      <c r="AD15" s="25">
        <v>184</v>
      </c>
      <c r="AE15" s="25">
        <v>350</v>
      </c>
      <c r="AF15" s="25">
        <v>77</v>
      </c>
      <c r="AG15" s="25">
        <v>440</v>
      </c>
      <c r="AH15" s="25">
        <v>71</v>
      </c>
      <c r="AI15" s="25">
        <v>902</v>
      </c>
      <c r="AJ15" s="25">
        <v>110</v>
      </c>
      <c r="AK15" s="25">
        <v>210</v>
      </c>
      <c r="AL15" s="25">
        <v>56</v>
      </c>
      <c r="AM15" s="25">
        <v>212</v>
      </c>
      <c r="AN15" s="25">
        <v>48</v>
      </c>
      <c r="AO15" s="25">
        <v>173</v>
      </c>
      <c r="AP15" s="25">
        <v>49</v>
      </c>
      <c r="AQ15" s="25">
        <v>26</v>
      </c>
      <c r="AR15" s="25">
        <v>14</v>
      </c>
      <c r="AS15" s="25">
        <v>621</v>
      </c>
      <c r="AT15" s="25">
        <v>99</v>
      </c>
      <c r="AU15" s="25">
        <v>477</v>
      </c>
      <c r="AV15" s="25">
        <v>86</v>
      </c>
      <c r="AW15" s="25">
        <v>419</v>
      </c>
      <c r="AX15" s="25">
        <v>78</v>
      </c>
      <c r="AY15" s="25">
        <v>58</v>
      </c>
      <c r="AZ15" s="25">
        <v>38</v>
      </c>
      <c r="BA15" s="25">
        <v>24</v>
      </c>
      <c r="BB15" s="25">
        <v>21</v>
      </c>
      <c r="BC15" s="25">
        <v>81</v>
      </c>
      <c r="BD15" s="25">
        <v>37</v>
      </c>
      <c r="BE15" s="25">
        <v>10</v>
      </c>
      <c r="BF15" s="25">
        <v>11</v>
      </c>
      <c r="BG15" s="25">
        <v>4</v>
      </c>
      <c r="BH15" s="25">
        <v>6</v>
      </c>
      <c r="BI15" s="25">
        <v>25</v>
      </c>
      <c r="BJ15" s="25">
        <v>17</v>
      </c>
      <c r="BK15" s="25">
        <v>0</v>
      </c>
      <c r="BL15" s="25">
        <v>21</v>
      </c>
      <c r="BM15" s="25">
        <v>33</v>
      </c>
      <c r="BN15" s="25">
        <v>24</v>
      </c>
      <c r="BO15" s="25">
        <v>2</v>
      </c>
      <c r="BP15" s="25">
        <v>4</v>
      </c>
      <c r="BQ15" s="25">
        <v>2</v>
      </c>
      <c r="BR15" s="25">
        <v>4</v>
      </c>
      <c r="BS15" s="25">
        <v>0</v>
      </c>
      <c r="BT15" s="25">
        <v>21</v>
      </c>
      <c r="BU15" s="25">
        <v>6</v>
      </c>
      <c r="BV15" s="25">
        <v>9</v>
      </c>
      <c r="BW15" s="25">
        <v>25</v>
      </c>
      <c r="BX15" s="25">
        <v>22</v>
      </c>
      <c r="BY15" s="25">
        <v>0</v>
      </c>
      <c r="BZ15" s="25">
        <v>21</v>
      </c>
      <c r="CA15" s="25">
        <v>0</v>
      </c>
      <c r="CB15" s="25">
        <v>21</v>
      </c>
      <c r="CC15" s="25">
        <v>0</v>
      </c>
      <c r="CD15" s="25">
        <v>21</v>
      </c>
      <c r="CE15" s="25">
        <v>0</v>
      </c>
      <c r="CF15" s="25">
        <v>21</v>
      </c>
      <c r="CG15" s="25">
        <v>164</v>
      </c>
      <c r="CH15" s="25">
        <v>55</v>
      </c>
      <c r="CI15" s="25">
        <v>126</v>
      </c>
      <c r="CJ15" s="25">
        <v>50</v>
      </c>
      <c r="CK15" s="25">
        <v>115</v>
      </c>
      <c r="CL15" s="25">
        <v>47</v>
      </c>
      <c r="CM15" s="25">
        <v>11</v>
      </c>
      <c r="CN15" s="25">
        <v>16</v>
      </c>
      <c r="CO15" s="25">
        <v>0</v>
      </c>
      <c r="CP15" s="25">
        <v>21</v>
      </c>
      <c r="CQ15" s="25">
        <v>16</v>
      </c>
      <c r="CR15" s="25">
        <v>13</v>
      </c>
      <c r="CS15" s="25">
        <v>4</v>
      </c>
      <c r="CT15" s="25">
        <v>6</v>
      </c>
      <c r="CU15" s="25">
        <v>4</v>
      </c>
      <c r="CV15" s="25">
        <v>5</v>
      </c>
      <c r="CW15" s="25">
        <v>6</v>
      </c>
      <c r="CX15" s="25">
        <v>8</v>
      </c>
      <c r="CY15" s="25">
        <v>8</v>
      </c>
      <c r="CZ15" s="25">
        <v>9</v>
      </c>
      <c r="DA15" s="25">
        <v>82</v>
      </c>
      <c r="DB15" s="25">
        <v>30</v>
      </c>
      <c r="DC15" s="25">
        <v>70</v>
      </c>
      <c r="DD15" s="25">
        <v>28</v>
      </c>
      <c r="DE15" s="25">
        <v>70</v>
      </c>
      <c r="DF15" s="25">
        <v>28</v>
      </c>
      <c r="DG15" s="25">
        <v>0</v>
      </c>
      <c r="DH15" s="25">
        <v>21</v>
      </c>
      <c r="DI15" s="25">
        <v>7</v>
      </c>
      <c r="DJ15" s="25">
        <v>9</v>
      </c>
      <c r="DK15" s="25">
        <v>5</v>
      </c>
      <c r="DL15" s="25">
        <v>8</v>
      </c>
      <c r="DM15" s="25">
        <v>0</v>
      </c>
      <c r="DN15" s="25">
        <v>21</v>
      </c>
      <c r="DO15" s="25">
        <v>0</v>
      </c>
      <c r="DP15" s="25">
        <v>21</v>
      </c>
      <c r="DQ15" s="25">
        <v>0</v>
      </c>
      <c r="DR15" s="25">
        <v>21</v>
      </c>
      <c r="DS15" s="25">
        <v>0</v>
      </c>
      <c r="DT15" s="25">
        <v>21</v>
      </c>
      <c r="DU15" s="25">
        <v>675</v>
      </c>
      <c r="DV15" s="25">
        <v>95</v>
      </c>
      <c r="DW15" s="25">
        <v>400</v>
      </c>
      <c r="DX15" s="25">
        <v>82</v>
      </c>
      <c r="DY15" s="25">
        <v>244</v>
      </c>
      <c r="DZ15" s="25">
        <v>60</v>
      </c>
      <c r="EA15" s="25">
        <v>156</v>
      </c>
      <c r="EB15" s="25">
        <v>52</v>
      </c>
      <c r="EC15" s="25">
        <v>12</v>
      </c>
      <c r="ED15" s="25">
        <v>11</v>
      </c>
      <c r="EE15" s="25">
        <v>4</v>
      </c>
      <c r="EF15" s="25">
        <v>7</v>
      </c>
      <c r="EG15" s="25">
        <v>8</v>
      </c>
      <c r="EH15" s="25">
        <v>10</v>
      </c>
      <c r="EI15" s="25">
        <v>3</v>
      </c>
      <c r="EJ15" s="25">
        <v>5</v>
      </c>
      <c r="EK15" s="25">
        <v>235</v>
      </c>
      <c r="EL15" s="25">
        <v>62</v>
      </c>
      <c r="EM15" s="25">
        <v>13</v>
      </c>
      <c r="EN15" s="25">
        <v>15</v>
      </c>
    </row>
    <row r="16" spans="1:144" x14ac:dyDescent="0.25">
      <c r="A16" s="19">
        <f t="shared" si="8"/>
        <v>15</v>
      </c>
      <c r="B16" s="20" t="str">
        <f t="shared" si="9"/>
        <v>Emery</v>
      </c>
      <c r="C16" s="24" t="s">
        <v>302</v>
      </c>
      <c r="D16" s="24" t="s">
        <v>303</v>
      </c>
      <c r="E16" s="25">
        <v>3861</v>
      </c>
      <c r="F16" s="25">
        <v>174</v>
      </c>
      <c r="G16" s="25">
        <v>2550</v>
      </c>
      <c r="H16" s="25">
        <v>188</v>
      </c>
      <c r="I16" s="25">
        <v>2451</v>
      </c>
      <c r="J16" s="25">
        <v>186</v>
      </c>
      <c r="K16" s="25">
        <v>99</v>
      </c>
      <c r="L16" s="25">
        <v>41</v>
      </c>
      <c r="M16" s="25">
        <v>130</v>
      </c>
      <c r="N16" s="25">
        <v>44</v>
      </c>
      <c r="O16" s="25">
        <v>556</v>
      </c>
      <c r="P16" s="25">
        <v>104</v>
      </c>
      <c r="Q16" s="25">
        <v>255</v>
      </c>
      <c r="R16" s="25">
        <v>60</v>
      </c>
      <c r="S16" s="25">
        <v>82</v>
      </c>
      <c r="T16" s="25">
        <v>39</v>
      </c>
      <c r="U16" s="25">
        <v>287</v>
      </c>
      <c r="V16" s="25">
        <v>73</v>
      </c>
      <c r="W16" s="25">
        <v>1</v>
      </c>
      <c r="X16" s="25">
        <v>3</v>
      </c>
      <c r="Y16" s="25">
        <v>3062</v>
      </c>
      <c r="Z16" s="25">
        <v>188</v>
      </c>
      <c r="AA16" s="25">
        <v>2112</v>
      </c>
      <c r="AB16" s="25">
        <v>184</v>
      </c>
      <c r="AC16" s="25">
        <v>2062</v>
      </c>
      <c r="AD16" s="25">
        <v>182</v>
      </c>
      <c r="AE16" s="25">
        <v>50</v>
      </c>
      <c r="AF16" s="25">
        <v>33</v>
      </c>
      <c r="AG16" s="25">
        <v>109</v>
      </c>
      <c r="AH16" s="25">
        <v>42</v>
      </c>
      <c r="AI16" s="25">
        <v>473</v>
      </c>
      <c r="AJ16" s="25">
        <v>88</v>
      </c>
      <c r="AK16" s="25">
        <v>217</v>
      </c>
      <c r="AL16" s="25">
        <v>59</v>
      </c>
      <c r="AM16" s="25">
        <v>66</v>
      </c>
      <c r="AN16" s="25">
        <v>29</v>
      </c>
      <c r="AO16" s="25">
        <v>84</v>
      </c>
      <c r="AP16" s="25">
        <v>35</v>
      </c>
      <c r="AQ16" s="25">
        <v>1</v>
      </c>
      <c r="AR16" s="25">
        <v>3</v>
      </c>
      <c r="AS16" s="25">
        <v>320</v>
      </c>
      <c r="AT16" s="25">
        <v>75</v>
      </c>
      <c r="AU16" s="25">
        <v>251</v>
      </c>
      <c r="AV16" s="25">
        <v>69</v>
      </c>
      <c r="AW16" s="25">
        <v>244</v>
      </c>
      <c r="AX16" s="25">
        <v>69</v>
      </c>
      <c r="AY16" s="25">
        <v>7</v>
      </c>
      <c r="AZ16" s="25">
        <v>8</v>
      </c>
      <c r="BA16" s="25">
        <v>12</v>
      </c>
      <c r="BB16" s="25">
        <v>11</v>
      </c>
      <c r="BC16" s="25">
        <v>29</v>
      </c>
      <c r="BD16" s="25">
        <v>22</v>
      </c>
      <c r="BE16" s="25">
        <v>28</v>
      </c>
      <c r="BF16" s="25">
        <v>21</v>
      </c>
      <c r="BG16" s="25">
        <v>0</v>
      </c>
      <c r="BH16" s="25">
        <v>18</v>
      </c>
      <c r="BI16" s="25">
        <v>0</v>
      </c>
      <c r="BJ16" s="25">
        <v>18</v>
      </c>
      <c r="BK16" s="25">
        <v>0</v>
      </c>
      <c r="BL16" s="25">
        <v>18</v>
      </c>
      <c r="BM16" s="25">
        <v>57</v>
      </c>
      <c r="BN16" s="25">
        <v>41</v>
      </c>
      <c r="BO16" s="25">
        <v>22</v>
      </c>
      <c r="BP16" s="25">
        <v>23</v>
      </c>
      <c r="BQ16" s="25">
        <v>22</v>
      </c>
      <c r="BR16" s="25">
        <v>23</v>
      </c>
      <c r="BS16" s="25">
        <v>0</v>
      </c>
      <c r="BT16" s="25">
        <v>18</v>
      </c>
      <c r="BU16" s="25">
        <v>0</v>
      </c>
      <c r="BV16" s="25">
        <v>18</v>
      </c>
      <c r="BW16" s="25">
        <v>35</v>
      </c>
      <c r="BX16" s="25">
        <v>33</v>
      </c>
      <c r="BY16" s="25">
        <v>0</v>
      </c>
      <c r="BZ16" s="25">
        <v>18</v>
      </c>
      <c r="CA16" s="25">
        <v>0</v>
      </c>
      <c r="CB16" s="25">
        <v>18</v>
      </c>
      <c r="CC16" s="25">
        <v>0</v>
      </c>
      <c r="CD16" s="25">
        <v>18</v>
      </c>
      <c r="CE16" s="25">
        <v>0</v>
      </c>
      <c r="CF16" s="25">
        <v>18</v>
      </c>
      <c r="CG16" s="25">
        <v>70</v>
      </c>
      <c r="CH16" s="25">
        <v>34</v>
      </c>
      <c r="CI16" s="25">
        <v>40</v>
      </c>
      <c r="CJ16" s="25">
        <v>27</v>
      </c>
      <c r="CK16" s="25">
        <v>40</v>
      </c>
      <c r="CL16" s="25">
        <v>27</v>
      </c>
      <c r="CM16" s="25">
        <v>0</v>
      </c>
      <c r="CN16" s="25">
        <v>18</v>
      </c>
      <c r="CO16" s="25">
        <v>0</v>
      </c>
      <c r="CP16" s="25">
        <v>18</v>
      </c>
      <c r="CQ16" s="25">
        <v>10</v>
      </c>
      <c r="CR16" s="25">
        <v>9</v>
      </c>
      <c r="CS16" s="25">
        <v>7</v>
      </c>
      <c r="CT16" s="25">
        <v>9</v>
      </c>
      <c r="CU16" s="25">
        <v>4</v>
      </c>
      <c r="CV16" s="25">
        <v>5</v>
      </c>
      <c r="CW16" s="25">
        <v>9</v>
      </c>
      <c r="CX16" s="25">
        <v>11</v>
      </c>
      <c r="CY16" s="25">
        <v>0</v>
      </c>
      <c r="CZ16" s="25">
        <v>18</v>
      </c>
      <c r="DA16" s="25">
        <v>55</v>
      </c>
      <c r="DB16" s="25">
        <v>32</v>
      </c>
      <c r="DC16" s="25">
        <v>24</v>
      </c>
      <c r="DD16" s="25">
        <v>17</v>
      </c>
      <c r="DE16" s="25">
        <v>24</v>
      </c>
      <c r="DF16" s="25">
        <v>17</v>
      </c>
      <c r="DG16" s="25">
        <v>0</v>
      </c>
      <c r="DH16" s="25">
        <v>18</v>
      </c>
      <c r="DI16" s="25">
        <v>7</v>
      </c>
      <c r="DJ16" s="25">
        <v>10</v>
      </c>
      <c r="DK16" s="25">
        <v>4</v>
      </c>
      <c r="DL16" s="25">
        <v>4</v>
      </c>
      <c r="DM16" s="25">
        <v>0</v>
      </c>
      <c r="DN16" s="25">
        <v>18</v>
      </c>
      <c r="DO16" s="25">
        <v>12</v>
      </c>
      <c r="DP16" s="25">
        <v>20</v>
      </c>
      <c r="DQ16" s="25">
        <v>8</v>
      </c>
      <c r="DR16" s="25">
        <v>11</v>
      </c>
      <c r="DS16" s="25">
        <v>0</v>
      </c>
      <c r="DT16" s="25">
        <v>18</v>
      </c>
      <c r="DU16" s="25">
        <v>297</v>
      </c>
      <c r="DV16" s="25">
        <v>74</v>
      </c>
      <c r="DW16" s="25">
        <v>101</v>
      </c>
      <c r="DX16" s="25">
        <v>56</v>
      </c>
      <c r="DY16" s="25">
        <v>59</v>
      </c>
      <c r="DZ16" s="25">
        <v>43</v>
      </c>
      <c r="EA16" s="25">
        <v>42</v>
      </c>
      <c r="EB16" s="25">
        <v>27</v>
      </c>
      <c r="EC16" s="25">
        <v>2</v>
      </c>
      <c r="ED16" s="25">
        <v>3</v>
      </c>
      <c r="EE16" s="25">
        <v>5</v>
      </c>
      <c r="EF16" s="25">
        <v>6</v>
      </c>
      <c r="EG16" s="25">
        <v>3</v>
      </c>
      <c r="EH16" s="25">
        <v>5</v>
      </c>
      <c r="EI16" s="25">
        <v>0</v>
      </c>
      <c r="EJ16" s="25">
        <v>18</v>
      </c>
      <c r="EK16" s="25">
        <v>186</v>
      </c>
      <c r="EL16" s="25">
        <v>61</v>
      </c>
      <c r="EM16" s="25">
        <v>0</v>
      </c>
      <c r="EN16" s="25">
        <v>18</v>
      </c>
    </row>
    <row r="17" spans="1:144" x14ac:dyDescent="0.25">
      <c r="A17" s="19">
        <f t="shared" si="8"/>
        <v>17</v>
      </c>
      <c r="B17" s="20" t="str">
        <f t="shared" si="9"/>
        <v>Garfield</v>
      </c>
      <c r="C17" s="24" t="s">
        <v>304</v>
      </c>
      <c r="D17" s="24" t="s">
        <v>305</v>
      </c>
      <c r="E17" s="25">
        <v>2179</v>
      </c>
      <c r="F17" s="25">
        <v>116</v>
      </c>
      <c r="G17" s="25">
        <v>1416</v>
      </c>
      <c r="H17" s="25">
        <v>148</v>
      </c>
      <c r="I17" s="25">
        <v>1286</v>
      </c>
      <c r="J17" s="25">
        <v>159</v>
      </c>
      <c r="K17" s="25">
        <v>130</v>
      </c>
      <c r="L17" s="25">
        <v>64</v>
      </c>
      <c r="M17" s="25">
        <v>129</v>
      </c>
      <c r="N17" s="25">
        <v>50</v>
      </c>
      <c r="O17" s="25">
        <v>211</v>
      </c>
      <c r="P17" s="25">
        <v>54</v>
      </c>
      <c r="Q17" s="25">
        <v>126</v>
      </c>
      <c r="R17" s="25">
        <v>48</v>
      </c>
      <c r="S17" s="25">
        <v>198</v>
      </c>
      <c r="T17" s="25">
        <v>77</v>
      </c>
      <c r="U17" s="25">
        <v>99</v>
      </c>
      <c r="V17" s="25">
        <v>33</v>
      </c>
      <c r="W17" s="25">
        <v>0</v>
      </c>
      <c r="X17" s="25">
        <v>16</v>
      </c>
      <c r="Y17" s="25">
        <v>1580</v>
      </c>
      <c r="Z17" s="25">
        <v>121</v>
      </c>
      <c r="AA17" s="25">
        <v>993</v>
      </c>
      <c r="AB17" s="25">
        <v>130</v>
      </c>
      <c r="AC17" s="25">
        <v>914</v>
      </c>
      <c r="AD17" s="25">
        <v>133</v>
      </c>
      <c r="AE17" s="25">
        <v>79</v>
      </c>
      <c r="AF17" s="25">
        <v>55</v>
      </c>
      <c r="AG17" s="25">
        <v>82</v>
      </c>
      <c r="AH17" s="25">
        <v>40</v>
      </c>
      <c r="AI17" s="25">
        <v>183</v>
      </c>
      <c r="AJ17" s="25">
        <v>52</v>
      </c>
      <c r="AK17" s="25">
        <v>89</v>
      </c>
      <c r="AL17" s="25">
        <v>45</v>
      </c>
      <c r="AM17" s="25">
        <v>188</v>
      </c>
      <c r="AN17" s="25">
        <v>77</v>
      </c>
      <c r="AO17" s="25">
        <v>45</v>
      </c>
      <c r="AP17" s="25">
        <v>21</v>
      </c>
      <c r="AQ17" s="25">
        <v>0</v>
      </c>
      <c r="AR17" s="25">
        <v>16</v>
      </c>
      <c r="AS17" s="25">
        <v>243</v>
      </c>
      <c r="AT17" s="25">
        <v>71</v>
      </c>
      <c r="AU17" s="25">
        <v>181</v>
      </c>
      <c r="AV17" s="25">
        <v>63</v>
      </c>
      <c r="AW17" s="25">
        <v>178</v>
      </c>
      <c r="AX17" s="25">
        <v>62</v>
      </c>
      <c r="AY17" s="25">
        <v>3</v>
      </c>
      <c r="AZ17" s="25">
        <v>3</v>
      </c>
      <c r="BA17" s="25">
        <v>15</v>
      </c>
      <c r="BB17" s="25">
        <v>14</v>
      </c>
      <c r="BC17" s="25">
        <v>8</v>
      </c>
      <c r="BD17" s="25">
        <v>8</v>
      </c>
      <c r="BE17" s="25">
        <v>25</v>
      </c>
      <c r="BF17" s="25">
        <v>24</v>
      </c>
      <c r="BG17" s="25">
        <v>9</v>
      </c>
      <c r="BH17" s="25">
        <v>6</v>
      </c>
      <c r="BI17" s="25">
        <v>5</v>
      </c>
      <c r="BJ17" s="25">
        <v>7</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119</v>
      </c>
      <c r="CH17" s="25">
        <v>56</v>
      </c>
      <c r="CI17" s="25">
        <v>88</v>
      </c>
      <c r="CJ17" s="25">
        <v>54</v>
      </c>
      <c r="CK17" s="25">
        <v>80</v>
      </c>
      <c r="CL17" s="25">
        <v>56</v>
      </c>
      <c r="CM17" s="25">
        <v>8</v>
      </c>
      <c r="CN17" s="25">
        <v>11</v>
      </c>
      <c r="CO17" s="25">
        <v>2</v>
      </c>
      <c r="CP17" s="25">
        <v>4</v>
      </c>
      <c r="CQ17" s="25">
        <v>13</v>
      </c>
      <c r="CR17" s="25">
        <v>15</v>
      </c>
      <c r="CS17" s="25">
        <v>9</v>
      </c>
      <c r="CT17" s="25">
        <v>13</v>
      </c>
      <c r="CU17" s="25">
        <v>1</v>
      </c>
      <c r="CV17" s="25">
        <v>2</v>
      </c>
      <c r="CW17" s="25">
        <v>6</v>
      </c>
      <c r="CX17" s="25">
        <v>6</v>
      </c>
      <c r="CY17" s="25">
        <v>0</v>
      </c>
      <c r="CZ17" s="25">
        <v>16</v>
      </c>
      <c r="DA17" s="25">
        <v>68</v>
      </c>
      <c r="DB17" s="25">
        <v>45</v>
      </c>
      <c r="DC17" s="25">
        <v>56</v>
      </c>
      <c r="DD17" s="25">
        <v>41</v>
      </c>
      <c r="DE17" s="25">
        <v>42</v>
      </c>
      <c r="DF17" s="25">
        <v>36</v>
      </c>
      <c r="DG17" s="25">
        <v>14</v>
      </c>
      <c r="DH17" s="25">
        <v>21</v>
      </c>
      <c r="DI17" s="25">
        <v>5</v>
      </c>
      <c r="DJ17" s="25">
        <v>8</v>
      </c>
      <c r="DK17" s="25">
        <v>5</v>
      </c>
      <c r="DL17" s="25">
        <v>7</v>
      </c>
      <c r="DM17" s="25">
        <v>0</v>
      </c>
      <c r="DN17" s="25">
        <v>16</v>
      </c>
      <c r="DO17" s="25">
        <v>0</v>
      </c>
      <c r="DP17" s="25">
        <v>16</v>
      </c>
      <c r="DQ17" s="25">
        <v>2</v>
      </c>
      <c r="DR17" s="25">
        <v>3</v>
      </c>
      <c r="DS17" s="25">
        <v>0</v>
      </c>
      <c r="DT17" s="25">
        <v>16</v>
      </c>
      <c r="DU17" s="25">
        <v>169</v>
      </c>
      <c r="DV17" s="25">
        <v>66</v>
      </c>
      <c r="DW17" s="25">
        <v>98</v>
      </c>
      <c r="DX17" s="25">
        <v>54</v>
      </c>
      <c r="DY17" s="25">
        <v>72</v>
      </c>
      <c r="DZ17" s="25">
        <v>50</v>
      </c>
      <c r="EA17" s="25">
        <v>26</v>
      </c>
      <c r="EB17" s="25">
        <v>18</v>
      </c>
      <c r="EC17" s="25">
        <v>25</v>
      </c>
      <c r="ED17" s="25">
        <v>25</v>
      </c>
      <c r="EE17" s="25">
        <v>2</v>
      </c>
      <c r="EF17" s="25">
        <v>3</v>
      </c>
      <c r="EG17" s="25">
        <v>3</v>
      </c>
      <c r="EH17" s="25">
        <v>4</v>
      </c>
      <c r="EI17" s="25">
        <v>0</v>
      </c>
      <c r="EJ17" s="25">
        <v>16</v>
      </c>
      <c r="EK17" s="25">
        <v>41</v>
      </c>
      <c r="EL17" s="25">
        <v>28</v>
      </c>
      <c r="EM17" s="25">
        <v>0</v>
      </c>
      <c r="EN17" s="25">
        <v>16</v>
      </c>
    </row>
    <row r="18" spans="1:144" x14ac:dyDescent="0.25">
      <c r="A18" s="19">
        <f t="shared" si="8"/>
        <v>19</v>
      </c>
      <c r="B18" s="20" t="str">
        <f t="shared" si="9"/>
        <v>Grand</v>
      </c>
      <c r="C18" s="24" t="s">
        <v>306</v>
      </c>
      <c r="D18" s="24" t="s">
        <v>307</v>
      </c>
      <c r="E18" s="25">
        <v>4674</v>
      </c>
      <c r="F18" s="25">
        <v>291</v>
      </c>
      <c r="G18" s="25">
        <v>3414</v>
      </c>
      <c r="H18" s="25">
        <v>324</v>
      </c>
      <c r="I18" s="25">
        <v>3245</v>
      </c>
      <c r="J18" s="25">
        <v>319</v>
      </c>
      <c r="K18" s="25">
        <v>169</v>
      </c>
      <c r="L18" s="25">
        <v>83</v>
      </c>
      <c r="M18" s="25">
        <v>318</v>
      </c>
      <c r="N18" s="25">
        <v>132</v>
      </c>
      <c r="O18" s="25">
        <v>282</v>
      </c>
      <c r="P18" s="25">
        <v>127</v>
      </c>
      <c r="Q18" s="25">
        <v>113</v>
      </c>
      <c r="R18" s="25">
        <v>79</v>
      </c>
      <c r="S18" s="25">
        <v>243</v>
      </c>
      <c r="T18" s="25">
        <v>105</v>
      </c>
      <c r="U18" s="25">
        <v>304</v>
      </c>
      <c r="V18" s="25">
        <v>134</v>
      </c>
      <c r="W18" s="25">
        <v>0</v>
      </c>
      <c r="X18" s="25">
        <v>16</v>
      </c>
      <c r="Y18" s="25">
        <v>3479</v>
      </c>
      <c r="Z18" s="25">
        <v>319</v>
      </c>
      <c r="AA18" s="25">
        <v>2777</v>
      </c>
      <c r="AB18" s="25">
        <v>326</v>
      </c>
      <c r="AC18" s="25">
        <v>2674</v>
      </c>
      <c r="AD18" s="25">
        <v>312</v>
      </c>
      <c r="AE18" s="25">
        <v>103</v>
      </c>
      <c r="AF18" s="25">
        <v>71</v>
      </c>
      <c r="AG18" s="25">
        <v>241</v>
      </c>
      <c r="AH18" s="25">
        <v>123</v>
      </c>
      <c r="AI18" s="25">
        <v>248</v>
      </c>
      <c r="AJ18" s="25">
        <v>122</v>
      </c>
      <c r="AK18" s="25">
        <v>86</v>
      </c>
      <c r="AL18" s="25">
        <v>70</v>
      </c>
      <c r="AM18" s="25">
        <v>82</v>
      </c>
      <c r="AN18" s="25">
        <v>59</v>
      </c>
      <c r="AO18" s="25">
        <v>45</v>
      </c>
      <c r="AP18" s="25">
        <v>37</v>
      </c>
      <c r="AQ18" s="25">
        <v>0</v>
      </c>
      <c r="AR18" s="25">
        <v>16</v>
      </c>
      <c r="AS18" s="25">
        <v>315</v>
      </c>
      <c r="AT18" s="25">
        <v>180</v>
      </c>
      <c r="AU18" s="25">
        <v>179</v>
      </c>
      <c r="AV18" s="25">
        <v>153</v>
      </c>
      <c r="AW18" s="25">
        <v>160</v>
      </c>
      <c r="AX18" s="25">
        <v>146</v>
      </c>
      <c r="AY18" s="25">
        <v>19</v>
      </c>
      <c r="AZ18" s="25">
        <v>25</v>
      </c>
      <c r="BA18" s="25">
        <v>39</v>
      </c>
      <c r="BB18" s="25">
        <v>49</v>
      </c>
      <c r="BC18" s="25">
        <v>1</v>
      </c>
      <c r="BD18" s="25">
        <v>4</v>
      </c>
      <c r="BE18" s="25">
        <v>12</v>
      </c>
      <c r="BF18" s="25">
        <v>20</v>
      </c>
      <c r="BG18" s="25">
        <v>66</v>
      </c>
      <c r="BH18" s="25">
        <v>68</v>
      </c>
      <c r="BI18" s="25">
        <v>18</v>
      </c>
      <c r="BJ18" s="25">
        <v>29</v>
      </c>
      <c r="BK18" s="25">
        <v>0</v>
      </c>
      <c r="BL18" s="25">
        <v>16</v>
      </c>
      <c r="BM18" s="25">
        <v>2</v>
      </c>
      <c r="BN18" s="25">
        <v>5</v>
      </c>
      <c r="BO18" s="25">
        <v>0</v>
      </c>
      <c r="BP18" s="25">
        <v>16</v>
      </c>
      <c r="BQ18" s="25">
        <v>0</v>
      </c>
      <c r="BR18" s="25">
        <v>16</v>
      </c>
      <c r="BS18" s="25">
        <v>0</v>
      </c>
      <c r="BT18" s="25">
        <v>16</v>
      </c>
      <c r="BU18" s="25">
        <v>0</v>
      </c>
      <c r="BV18" s="25">
        <v>16</v>
      </c>
      <c r="BW18" s="25">
        <v>0</v>
      </c>
      <c r="BX18" s="25">
        <v>16</v>
      </c>
      <c r="BY18" s="25">
        <v>0</v>
      </c>
      <c r="BZ18" s="25">
        <v>16</v>
      </c>
      <c r="CA18" s="25">
        <v>0</v>
      </c>
      <c r="CB18" s="25">
        <v>16</v>
      </c>
      <c r="CC18" s="25">
        <v>2</v>
      </c>
      <c r="CD18" s="25">
        <v>5</v>
      </c>
      <c r="CE18" s="25">
        <v>0</v>
      </c>
      <c r="CF18" s="25">
        <v>16</v>
      </c>
      <c r="CG18" s="25">
        <v>286</v>
      </c>
      <c r="CH18" s="25">
        <v>141</v>
      </c>
      <c r="CI18" s="25">
        <v>244</v>
      </c>
      <c r="CJ18" s="25">
        <v>123</v>
      </c>
      <c r="CK18" s="25">
        <v>244</v>
      </c>
      <c r="CL18" s="25">
        <v>123</v>
      </c>
      <c r="CM18" s="25">
        <v>0</v>
      </c>
      <c r="CN18" s="25">
        <v>16</v>
      </c>
      <c r="CO18" s="25">
        <v>7</v>
      </c>
      <c r="CP18" s="25">
        <v>13</v>
      </c>
      <c r="CQ18" s="25">
        <v>0</v>
      </c>
      <c r="CR18" s="25">
        <v>16</v>
      </c>
      <c r="CS18" s="25">
        <v>0</v>
      </c>
      <c r="CT18" s="25">
        <v>16</v>
      </c>
      <c r="CU18" s="25">
        <v>35</v>
      </c>
      <c r="CV18" s="25">
        <v>57</v>
      </c>
      <c r="CW18" s="25">
        <v>0</v>
      </c>
      <c r="CX18" s="25">
        <v>16</v>
      </c>
      <c r="CY18" s="25">
        <v>0</v>
      </c>
      <c r="CZ18" s="25">
        <v>16</v>
      </c>
      <c r="DA18" s="25">
        <v>185</v>
      </c>
      <c r="DB18" s="25">
        <v>93</v>
      </c>
      <c r="DC18" s="25">
        <v>97</v>
      </c>
      <c r="DD18" s="25">
        <v>75</v>
      </c>
      <c r="DE18" s="25">
        <v>76</v>
      </c>
      <c r="DF18" s="25">
        <v>66</v>
      </c>
      <c r="DG18" s="25">
        <v>21</v>
      </c>
      <c r="DH18" s="25">
        <v>32</v>
      </c>
      <c r="DI18" s="25">
        <v>0</v>
      </c>
      <c r="DJ18" s="25">
        <v>16</v>
      </c>
      <c r="DK18" s="25">
        <v>33</v>
      </c>
      <c r="DL18" s="25">
        <v>41</v>
      </c>
      <c r="DM18" s="25">
        <v>0</v>
      </c>
      <c r="DN18" s="25">
        <v>16</v>
      </c>
      <c r="DO18" s="25">
        <v>40</v>
      </c>
      <c r="DP18" s="25">
        <v>44</v>
      </c>
      <c r="DQ18" s="25">
        <v>15</v>
      </c>
      <c r="DR18" s="25">
        <v>26</v>
      </c>
      <c r="DS18" s="25">
        <v>0</v>
      </c>
      <c r="DT18" s="25">
        <v>16</v>
      </c>
      <c r="DU18" s="25">
        <v>407</v>
      </c>
      <c r="DV18" s="25">
        <v>129</v>
      </c>
      <c r="DW18" s="25">
        <v>117</v>
      </c>
      <c r="DX18" s="25">
        <v>82</v>
      </c>
      <c r="DY18" s="25">
        <v>91</v>
      </c>
      <c r="DZ18" s="25">
        <v>78</v>
      </c>
      <c r="EA18" s="25">
        <v>26</v>
      </c>
      <c r="EB18" s="25">
        <v>23</v>
      </c>
      <c r="EC18" s="25">
        <v>31</v>
      </c>
      <c r="ED18" s="25">
        <v>29</v>
      </c>
      <c r="EE18" s="25">
        <v>0</v>
      </c>
      <c r="EF18" s="25">
        <v>16</v>
      </c>
      <c r="EG18" s="25">
        <v>15</v>
      </c>
      <c r="EH18" s="25">
        <v>16</v>
      </c>
      <c r="EI18" s="25">
        <v>20</v>
      </c>
      <c r="EJ18" s="25">
        <v>26</v>
      </c>
      <c r="EK18" s="25">
        <v>224</v>
      </c>
      <c r="EL18" s="25">
        <v>106</v>
      </c>
      <c r="EM18" s="25">
        <v>0</v>
      </c>
      <c r="EN18" s="25">
        <v>16</v>
      </c>
    </row>
    <row r="19" spans="1:144" x14ac:dyDescent="0.25">
      <c r="A19" s="19">
        <f t="shared" si="8"/>
        <v>21</v>
      </c>
      <c r="B19" s="20" t="str">
        <f t="shared" si="9"/>
        <v>Iron</v>
      </c>
      <c r="C19" s="24" t="s">
        <v>308</v>
      </c>
      <c r="D19" s="24" t="s">
        <v>309</v>
      </c>
      <c r="E19" s="25">
        <v>21173</v>
      </c>
      <c r="F19" s="25">
        <v>747</v>
      </c>
      <c r="G19" s="25">
        <v>14895</v>
      </c>
      <c r="H19" s="25">
        <v>721</v>
      </c>
      <c r="I19" s="25">
        <v>13725</v>
      </c>
      <c r="J19" s="25">
        <v>688</v>
      </c>
      <c r="K19" s="25">
        <v>1170</v>
      </c>
      <c r="L19" s="25">
        <v>227</v>
      </c>
      <c r="M19" s="25">
        <v>1190</v>
      </c>
      <c r="N19" s="25">
        <v>261</v>
      </c>
      <c r="O19" s="25">
        <v>1618</v>
      </c>
      <c r="P19" s="25">
        <v>283</v>
      </c>
      <c r="Q19" s="25">
        <v>1820</v>
      </c>
      <c r="R19" s="25">
        <v>404</v>
      </c>
      <c r="S19" s="25">
        <v>702</v>
      </c>
      <c r="T19" s="25">
        <v>237</v>
      </c>
      <c r="U19" s="25">
        <v>948</v>
      </c>
      <c r="V19" s="25">
        <v>212</v>
      </c>
      <c r="W19" s="25">
        <v>0</v>
      </c>
      <c r="X19" s="25">
        <v>24</v>
      </c>
      <c r="Y19" s="25">
        <v>16241</v>
      </c>
      <c r="Z19" s="25">
        <v>759</v>
      </c>
      <c r="AA19" s="25">
        <v>11467</v>
      </c>
      <c r="AB19" s="25">
        <v>759</v>
      </c>
      <c r="AC19" s="25">
        <v>10796</v>
      </c>
      <c r="AD19" s="25">
        <v>731</v>
      </c>
      <c r="AE19" s="25">
        <v>671</v>
      </c>
      <c r="AF19" s="25">
        <v>169</v>
      </c>
      <c r="AG19" s="25">
        <v>891</v>
      </c>
      <c r="AH19" s="25">
        <v>220</v>
      </c>
      <c r="AI19" s="25">
        <v>1400</v>
      </c>
      <c r="AJ19" s="25">
        <v>252</v>
      </c>
      <c r="AK19" s="25">
        <v>1404</v>
      </c>
      <c r="AL19" s="25">
        <v>312</v>
      </c>
      <c r="AM19" s="25">
        <v>522</v>
      </c>
      <c r="AN19" s="25">
        <v>215</v>
      </c>
      <c r="AO19" s="25">
        <v>557</v>
      </c>
      <c r="AP19" s="25">
        <v>161</v>
      </c>
      <c r="AQ19" s="25">
        <v>0</v>
      </c>
      <c r="AR19" s="25">
        <v>24</v>
      </c>
      <c r="AS19" s="25">
        <v>2847</v>
      </c>
      <c r="AT19" s="25">
        <v>586</v>
      </c>
      <c r="AU19" s="25">
        <v>2177</v>
      </c>
      <c r="AV19" s="25">
        <v>492</v>
      </c>
      <c r="AW19" s="25">
        <v>2005</v>
      </c>
      <c r="AX19" s="25">
        <v>463</v>
      </c>
      <c r="AY19" s="25">
        <v>172</v>
      </c>
      <c r="AZ19" s="25">
        <v>158</v>
      </c>
      <c r="BA19" s="25">
        <v>136</v>
      </c>
      <c r="BB19" s="25">
        <v>78</v>
      </c>
      <c r="BC19" s="25">
        <v>174</v>
      </c>
      <c r="BD19" s="25">
        <v>86</v>
      </c>
      <c r="BE19" s="25">
        <v>186</v>
      </c>
      <c r="BF19" s="25">
        <v>125</v>
      </c>
      <c r="BG19" s="25">
        <v>125</v>
      </c>
      <c r="BH19" s="25">
        <v>86</v>
      </c>
      <c r="BI19" s="25">
        <v>49</v>
      </c>
      <c r="BJ19" s="25">
        <v>37</v>
      </c>
      <c r="BK19" s="25">
        <v>0</v>
      </c>
      <c r="BL19" s="25">
        <v>24</v>
      </c>
      <c r="BM19" s="25">
        <v>43</v>
      </c>
      <c r="BN19" s="25">
        <v>45</v>
      </c>
      <c r="BO19" s="25">
        <v>25</v>
      </c>
      <c r="BP19" s="25">
        <v>35</v>
      </c>
      <c r="BQ19" s="25">
        <v>25</v>
      </c>
      <c r="BR19" s="25">
        <v>35</v>
      </c>
      <c r="BS19" s="25">
        <v>0</v>
      </c>
      <c r="BT19" s="25">
        <v>24</v>
      </c>
      <c r="BU19" s="25">
        <v>0</v>
      </c>
      <c r="BV19" s="25">
        <v>24</v>
      </c>
      <c r="BW19" s="25">
        <v>0</v>
      </c>
      <c r="BX19" s="25">
        <v>24</v>
      </c>
      <c r="BY19" s="25">
        <v>0</v>
      </c>
      <c r="BZ19" s="25">
        <v>24</v>
      </c>
      <c r="CA19" s="25">
        <v>18</v>
      </c>
      <c r="CB19" s="25">
        <v>29</v>
      </c>
      <c r="CC19" s="25">
        <v>0</v>
      </c>
      <c r="CD19" s="25">
        <v>24</v>
      </c>
      <c r="CE19" s="25">
        <v>0</v>
      </c>
      <c r="CF19" s="25">
        <v>24</v>
      </c>
      <c r="CG19" s="25">
        <v>703</v>
      </c>
      <c r="CH19" s="25">
        <v>243</v>
      </c>
      <c r="CI19" s="25">
        <v>451</v>
      </c>
      <c r="CJ19" s="25">
        <v>184</v>
      </c>
      <c r="CK19" s="25">
        <v>421</v>
      </c>
      <c r="CL19" s="25">
        <v>186</v>
      </c>
      <c r="CM19" s="25">
        <v>30</v>
      </c>
      <c r="CN19" s="25">
        <v>23</v>
      </c>
      <c r="CO19" s="25">
        <v>130</v>
      </c>
      <c r="CP19" s="25">
        <v>97</v>
      </c>
      <c r="CQ19" s="25">
        <v>11</v>
      </c>
      <c r="CR19" s="25">
        <v>17</v>
      </c>
      <c r="CS19" s="25">
        <v>20</v>
      </c>
      <c r="CT19" s="25">
        <v>19</v>
      </c>
      <c r="CU19" s="25">
        <v>0</v>
      </c>
      <c r="CV19" s="25">
        <v>24</v>
      </c>
      <c r="CW19" s="25">
        <v>91</v>
      </c>
      <c r="CX19" s="25">
        <v>78</v>
      </c>
      <c r="CY19" s="25">
        <v>0</v>
      </c>
      <c r="CZ19" s="25">
        <v>24</v>
      </c>
      <c r="DA19" s="25">
        <v>313</v>
      </c>
      <c r="DB19" s="25">
        <v>181</v>
      </c>
      <c r="DC19" s="25">
        <v>99</v>
      </c>
      <c r="DD19" s="25">
        <v>78</v>
      </c>
      <c r="DE19" s="25">
        <v>92</v>
      </c>
      <c r="DF19" s="25">
        <v>76</v>
      </c>
      <c r="DG19" s="25">
        <v>7</v>
      </c>
      <c r="DH19" s="25">
        <v>11</v>
      </c>
      <c r="DI19" s="25">
        <v>20</v>
      </c>
      <c r="DJ19" s="25">
        <v>36</v>
      </c>
      <c r="DK19" s="25">
        <v>0</v>
      </c>
      <c r="DL19" s="25">
        <v>24</v>
      </c>
      <c r="DM19" s="25">
        <v>120</v>
      </c>
      <c r="DN19" s="25">
        <v>119</v>
      </c>
      <c r="DO19" s="25">
        <v>32</v>
      </c>
      <c r="DP19" s="25">
        <v>49</v>
      </c>
      <c r="DQ19" s="25">
        <v>42</v>
      </c>
      <c r="DR19" s="25">
        <v>60</v>
      </c>
      <c r="DS19" s="25">
        <v>0</v>
      </c>
      <c r="DT19" s="25">
        <v>24</v>
      </c>
      <c r="DU19" s="25">
        <v>1026</v>
      </c>
      <c r="DV19" s="25">
        <v>224</v>
      </c>
      <c r="DW19" s="25">
        <v>676</v>
      </c>
      <c r="DX19" s="25">
        <v>187</v>
      </c>
      <c r="DY19" s="25">
        <v>386</v>
      </c>
      <c r="DZ19" s="25">
        <v>148</v>
      </c>
      <c r="EA19" s="25">
        <v>290</v>
      </c>
      <c r="EB19" s="25">
        <v>111</v>
      </c>
      <c r="EC19" s="25">
        <v>13</v>
      </c>
      <c r="ED19" s="25">
        <v>21</v>
      </c>
      <c r="EE19" s="25">
        <v>33</v>
      </c>
      <c r="EF19" s="25">
        <v>30</v>
      </c>
      <c r="EG19" s="25">
        <v>90</v>
      </c>
      <c r="EH19" s="25">
        <v>62</v>
      </c>
      <c r="EI19" s="25">
        <v>5</v>
      </c>
      <c r="EJ19" s="25">
        <v>9</v>
      </c>
      <c r="EK19" s="25">
        <v>209</v>
      </c>
      <c r="EL19" s="25">
        <v>90</v>
      </c>
      <c r="EM19" s="25">
        <v>0</v>
      </c>
      <c r="EN19" s="25">
        <v>24</v>
      </c>
    </row>
    <row r="20" spans="1:144" x14ac:dyDescent="0.25">
      <c r="A20" s="19">
        <f t="shared" si="8"/>
        <v>23</v>
      </c>
      <c r="B20" s="20" t="str">
        <f t="shared" si="9"/>
        <v>Juab</v>
      </c>
      <c r="C20" s="24" t="s">
        <v>310</v>
      </c>
      <c r="D20" s="24" t="s">
        <v>311</v>
      </c>
      <c r="E20" s="25">
        <v>4747</v>
      </c>
      <c r="F20" s="25">
        <v>202</v>
      </c>
      <c r="G20" s="25">
        <v>3424</v>
      </c>
      <c r="H20" s="25">
        <v>218</v>
      </c>
      <c r="I20" s="25">
        <v>3300</v>
      </c>
      <c r="J20" s="25">
        <v>217</v>
      </c>
      <c r="K20" s="25">
        <v>124</v>
      </c>
      <c r="L20" s="25">
        <v>58</v>
      </c>
      <c r="M20" s="25">
        <v>256</v>
      </c>
      <c r="N20" s="25">
        <v>82</v>
      </c>
      <c r="O20" s="25">
        <v>384</v>
      </c>
      <c r="P20" s="25">
        <v>92</v>
      </c>
      <c r="Q20" s="25">
        <v>435</v>
      </c>
      <c r="R20" s="25">
        <v>116</v>
      </c>
      <c r="S20" s="25">
        <v>22</v>
      </c>
      <c r="T20" s="25">
        <v>18</v>
      </c>
      <c r="U20" s="25">
        <v>226</v>
      </c>
      <c r="V20" s="25">
        <v>73</v>
      </c>
      <c r="W20" s="25">
        <v>0</v>
      </c>
      <c r="X20" s="25">
        <v>18</v>
      </c>
      <c r="Y20" s="25">
        <v>3480</v>
      </c>
      <c r="Z20" s="25">
        <v>197</v>
      </c>
      <c r="AA20" s="25">
        <v>2459</v>
      </c>
      <c r="AB20" s="25">
        <v>211</v>
      </c>
      <c r="AC20" s="25">
        <v>2349</v>
      </c>
      <c r="AD20" s="25">
        <v>217</v>
      </c>
      <c r="AE20" s="25">
        <v>110</v>
      </c>
      <c r="AF20" s="25">
        <v>62</v>
      </c>
      <c r="AG20" s="25">
        <v>156</v>
      </c>
      <c r="AH20" s="25">
        <v>50</v>
      </c>
      <c r="AI20" s="25">
        <v>343</v>
      </c>
      <c r="AJ20" s="25">
        <v>92</v>
      </c>
      <c r="AK20" s="25">
        <v>393</v>
      </c>
      <c r="AL20" s="25">
        <v>114</v>
      </c>
      <c r="AM20" s="25">
        <v>12</v>
      </c>
      <c r="AN20" s="25">
        <v>15</v>
      </c>
      <c r="AO20" s="25">
        <v>117</v>
      </c>
      <c r="AP20" s="25">
        <v>55</v>
      </c>
      <c r="AQ20" s="25">
        <v>0</v>
      </c>
      <c r="AR20" s="25">
        <v>18</v>
      </c>
      <c r="AS20" s="25">
        <v>780</v>
      </c>
      <c r="AT20" s="25">
        <v>148</v>
      </c>
      <c r="AU20" s="25">
        <v>647</v>
      </c>
      <c r="AV20" s="25">
        <v>129</v>
      </c>
      <c r="AW20" s="25">
        <v>647</v>
      </c>
      <c r="AX20" s="25">
        <v>129</v>
      </c>
      <c r="AY20" s="25">
        <v>0</v>
      </c>
      <c r="AZ20" s="25">
        <v>18</v>
      </c>
      <c r="BA20" s="25">
        <v>50</v>
      </c>
      <c r="BB20" s="25">
        <v>46</v>
      </c>
      <c r="BC20" s="25">
        <v>27</v>
      </c>
      <c r="BD20" s="25">
        <v>32</v>
      </c>
      <c r="BE20" s="25">
        <v>21</v>
      </c>
      <c r="BF20" s="25">
        <v>17</v>
      </c>
      <c r="BG20" s="25">
        <v>3</v>
      </c>
      <c r="BH20" s="25">
        <v>5</v>
      </c>
      <c r="BI20" s="25">
        <v>32</v>
      </c>
      <c r="BJ20" s="25">
        <v>34</v>
      </c>
      <c r="BK20" s="25">
        <v>0</v>
      </c>
      <c r="BL20" s="25">
        <v>18</v>
      </c>
      <c r="BM20" s="25">
        <v>17</v>
      </c>
      <c r="BN20" s="25">
        <v>15</v>
      </c>
      <c r="BO20" s="25">
        <v>8</v>
      </c>
      <c r="BP20" s="25">
        <v>11</v>
      </c>
      <c r="BQ20" s="25">
        <v>8</v>
      </c>
      <c r="BR20" s="25">
        <v>11</v>
      </c>
      <c r="BS20" s="25">
        <v>0</v>
      </c>
      <c r="BT20" s="25">
        <v>18</v>
      </c>
      <c r="BU20" s="25">
        <v>0</v>
      </c>
      <c r="BV20" s="25">
        <v>18</v>
      </c>
      <c r="BW20" s="25">
        <v>0</v>
      </c>
      <c r="BX20" s="25">
        <v>18</v>
      </c>
      <c r="BY20" s="25">
        <v>9</v>
      </c>
      <c r="BZ20" s="25">
        <v>9</v>
      </c>
      <c r="CA20" s="25">
        <v>0</v>
      </c>
      <c r="CB20" s="25">
        <v>18</v>
      </c>
      <c r="CC20" s="25">
        <v>0</v>
      </c>
      <c r="CD20" s="25">
        <v>18</v>
      </c>
      <c r="CE20" s="25">
        <v>0</v>
      </c>
      <c r="CF20" s="25">
        <v>18</v>
      </c>
      <c r="CG20" s="25">
        <v>173</v>
      </c>
      <c r="CH20" s="25">
        <v>56</v>
      </c>
      <c r="CI20" s="25">
        <v>116</v>
      </c>
      <c r="CJ20" s="25">
        <v>47</v>
      </c>
      <c r="CK20" s="25">
        <v>116</v>
      </c>
      <c r="CL20" s="25">
        <v>47</v>
      </c>
      <c r="CM20" s="25">
        <v>0</v>
      </c>
      <c r="CN20" s="25">
        <v>18</v>
      </c>
      <c r="CO20" s="25">
        <v>31</v>
      </c>
      <c r="CP20" s="25">
        <v>25</v>
      </c>
      <c r="CQ20" s="25">
        <v>11</v>
      </c>
      <c r="CR20" s="25">
        <v>10</v>
      </c>
      <c r="CS20" s="25">
        <v>7</v>
      </c>
      <c r="CT20" s="25">
        <v>11</v>
      </c>
      <c r="CU20" s="25">
        <v>7</v>
      </c>
      <c r="CV20" s="25">
        <v>9</v>
      </c>
      <c r="CW20" s="25">
        <v>1</v>
      </c>
      <c r="CX20" s="25">
        <v>3</v>
      </c>
      <c r="CY20" s="25">
        <v>0</v>
      </c>
      <c r="CZ20" s="25">
        <v>18</v>
      </c>
      <c r="DA20" s="25">
        <v>24</v>
      </c>
      <c r="DB20" s="25">
        <v>16</v>
      </c>
      <c r="DC20" s="25">
        <v>20</v>
      </c>
      <c r="DD20" s="25">
        <v>15</v>
      </c>
      <c r="DE20" s="25">
        <v>20</v>
      </c>
      <c r="DF20" s="25">
        <v>15</v>
      </c>
      <c r="DG20" s="25">
        <v>0</v>
      </c>
      <c r="DH20" s="25">
        <v>18</v>
      </c>
      <c r="DI20" s="25">
        <v>4</v>
      </c>
      <c r="DJ20" s="25">
        <v>5</v>
      </c>
      <c r="DK20" s="25">
        <v>0</v>
      </c>
      <c r="DL20" s="25">
        <v>18</v>
      </c>
      <c r="DM20" s="25">
        <v>0</v>
      </c>
      <c r="DN20" s="25">
        <v>18</v>
      </c>
      <c r="DO20" s="25">
        <v>0</v>
      </c>
      <c r="DP20" s="25">
        <v>18</v>
      </c>
      <c r="DQ20" s="25">
        <v>0</v>
      </c>
      <c r="DR20" s="25">
        <v>18</v>
      </c>
      <c r="DS20" s="25">
        <v>0</v>
      </c>
      <c r="DT20" s="25">
        <v>18</v>
      </c>
      <c r="DU20" s="25">
        <v>273</v>
      </c>
      <c r="DV20" s="25">
        <v>97</v>
      </c>
      <c r="DW20" s="25">
        <v>174</v>
      </c>
      <c r="DX20" s="25">
        <v>87</v>
      </c>
      <c r="DY20" s="25">
        <v>160</v>
      </c>
      <c r="DZ20" s="25">
        <v>86</v>
      </c>
      <c r="EA20" s="25">
        <v>14</v>
      </c>
      <c r="EB20" s="25">
        <v>13</v>
      </c>
      <c r="EC20" s="25">
        <v>15</v>
      </c>
      <c r="ED20" s="25">
        <v>20</v>
      </c>
      <c r="EE20" s="25">
        <v>3</v>
      </c>
      <c r="EF20" s="25">
        <v>5</v>
      </c>
      <c r="EG20" s="25">
        <v>5</v>
      </c>
      <c r="EH20" s="25">
        <v>7</v>
      </c>
      <c r="EI20" s="25">
        <v>0</v>
      </c>
      <c r="EJ20" s="25">
        <v>18</v>
      </c>
      <c r="EK20" s="25">
        <v>76</v>
      </c>
      <c r="EL20" s="25">
        <v>33</v>
      </c>
      <c r="EM20" s="25">
        <v>0</v>
      </c>
      <c r="EN20" s="25">
        <v>18</v>
      </c>
    </row>
    <row r="21" spans="1:144" x14ac:dyDescent="0.25">
      <c r="A21" s="19">
        <f t="shared" si="8"/>
        <v>25</v>
      </c>
      <c r="B21" s="20" t="str">
        <f t="shared" si="9"/>
        <v>Kane</v>
      </c>
      <c r="C21" s="24" t="s">
        <v>312</v>
      </c>
      <c r="D21" s="24" t="s">
        <v>313</v>
      </c>
      <c r="E21" s="25">
        <v>3221</v>
      </c>
      <c r="F21" s="25">
        <v>207</v>
      </c>
      <c r="G21" s="25">
        <v>1785</v>
      </c>
      <c r="H21" s="25">
        <v>237</v>
      </c>
      <c r="I21" s="25">
        <v>1635</v>
      </c>
      <c r="J21" s="25">
        <v>240</v>
      </c>
      <c r="K21" s="25">
        <v>150</v>
      </c>
      <c r="L21" s="25">
        <v>68</v>
      </c>
      <c r="M21" s="25">
        <v>391</v>
      </c>
      <c r="N21" s="25">
        <v>136</v>
      </c>
      <c r="O21" s="25">
        <v>350</v>
      </c>
      <c r="P21" s="25">
        <v>156</v>
      </c>
      <c r="Q21" s="25">
        <v>250</v>
      </c>
      <c r="R21" s="25">
        <v>108</v>
      </c>
      <c r="S21" s="25">
        <v>217</v>
      </c>
      <c r="T21" s="25">
        <v>103</v>
      </c>
      <c r="U21" s="25">
        <v>204</v>
      </c>
      <c r="V21" s="25">
        <v>87</v>
      </c>
      <c r="W21" s="25">
        <v>24</v>
      </c>
      <c r="X21" s="25">
        <v>28</v>
      </c>
      <c r="Y21" s="25">
        <v>2524</v>
      </c>
      <c r="Z21" s="25">
        <v>225</v>
      </c>
      <c r="AA21" s="25">
        <v>1281</v>
      </c>
      <c r="AB21" s="25">
        <v>209</v>
      </c>
      <c r="AC21" s="25">
        <v>1183</v>
      </c>
      <c r="AD21" s="25">
        <v>218</v>
      </c>
      <c r="AE21" s="25">
        <v>98</v>
      </c>
      <c r="AF21" s="25">
        <v>54</v>
      </c>
      <c r="AG21" s="25">
        <v>384</v>
      </c>
      <c r="AH21" s="25">
        <v>138</v>
      </c>
      <c r="AI21" s="25">
        <v>307</v>
      </c>
      <c r="AJ21" s="25">
        <v>150</v>
      </c>
      <c r="AK21" s="25">
        <v>235</v>
      </c>
      <c r="AL21" s="25">
        <v>108</v>
      </c>
      <c r="AM21" s="25">
        <v>174</v>
      </c>
      <c r="AN21" s="25">
        <v>95</v>
      </c>
      <c r="AO21" s="25">
        <v>136</v>
      </c>
      <c r="AP21" s="25">
        <v>78</v>
      </c>
      <c r="AQ21" s="25">
        <v>7</v>
      </c>
      <c r="AR21" s="25">
        <v>14</v>
      </c>
      <c r="AS21" s="25">
        <v>295</v>
      </c>
      <c r="AT21" s="25">
        <v>152</v>
      </c>
      <c r="AU21" s="25">
        <v>229</v>
      </c>
      <c r="AV21" s="25">
        <v>140</v>
      </c>
      <c r="AW21" s="25">
        <v>226</v>
      </c>
      <c r="AX21" s="25">
        <v>139</v>
      </c>
      <c r="AY21" s="25">
        <v>3</v>
      </c>
      <c r="AZ21" s="25">
        <v>4</v>
      </c>
      <c r="BA21" s="25">
        <v>6</v>
      </c>
      <c r="BB21" s="25">
        <v>8</v>
      </c>
      <c r="BC21" s="25">
        <v>18</v>
      </c>
      <c r="BD21" s="25">
        <v>22</v>
      </c>
      <c r="BE21" s="25">
        <v>0</v>
      </c>
      <c r="BF21" s="25">
        <v>16</v>
      </c>
      <c r="BG21" s="25">
        <v>0</v>
      </c>
      <c r="BH21" s="25">
        <v>16</v>
      </c>
      <c r="BI21" s="25">
        <v>42</v>
      </c>
      <c r="BJ21" s="25">
        <v>46</v>
      </c>
      <c r="BK21" s="25">
        <v>0</v>
      </c>
      <c r="BL21" s="25">
        <v>16</v>
      </c>
      <c r="BM21" s="25">
        <v>2</v>
      </c>
      <c r="BN21" s="25">
        <v>3</v>
      </c>
      <c r="BO21" s="25">
        <v>0</v>
      </c>
      <c r="BP21" s="25">
        <v>16</v>
      </c>
      <c r="BQ21" s="25">
        <v>0</v>
      </c>
      <c r="BR21" s="25">
        <v>16</v>
      </c>
      <c r="BS21" s="25">
        <v>0</v>
      </c>
      <c r="BT21" s="25">
        <v>16</v>
      </c>
      <c r="BU21" s="25">
        <v>0</v>
      </c>
      <c r="BV21" s="25">
        <v>16</v>
      </c>
      <c r="BW21" s="25">
        <v>0</v>
      </c>
      <c r="BX21" s="25">
        <v>16</v>
      </c>
      <c r="BY21" s="25">
        <v>0</v>
      </c>
      <c r="BZ21" s="25">
        <v>16</v>
      </c>
      <c r="CA21" s="25">
        <v>0</v>
      </c>
      <c r="CB21" s="25">
        <v>16</v>
      </c>
      <c r="CC21" s="25">
        <v>2</v>
      </c>
      <c r="CD21" s="25">
        <v>3</v>
      </c>
      <c r="CE21" s="25">
        <v>0</v>
      </c>
      <c r="CF21" s="25">
        <v>16</v>
      </c>
      <c r="CG21" s="25">
        <v>195</v>
      </c>
      <c r="CH21" s="25">
        <v>130</v>
      </c>
      <c r="CI21" s="25">
        <v>129</v>
      </c>
      <c r="CJ21" s="25">
        <v>124</v>
      </c>
      <c r="CK21" s="25">
        <v>123</v>
      </c>
      <c r="CL21" s="25">
        <v>123</v>
      </c>
      <c r="CM21" s="25">
        <v>6</v>
      </c>
      <c r="CN21" s="25">
        <v>10</v>
      </c>
      <c r="CO21" s="25">
        <v>0</v>
      </c>
      <c r="CP21" s="25">
        <v>16</v>
      </c>
      <c r="CQ21" s="25">
        <v>11</v>
      </c>
      <c r="CR21" s="25">
        <v>17</v>
      </c>
      <c r="CS21" s="25">
        <v>15</v>
      </c>
      <c r="CT21" s="25">
        <v>26</v>
      </c>
      <c r="CU21" s="25">
        <v>29</v>
      </c>
      <c r="CV21" s="25">
        <v>36</v>
      </c>
      <c r="CW21" s="25">
        <v>11</v>
      </c>
      <c r="CX21" s="25">
        <v>17</v>
      </c>
      <c r="CY21" s="25">
        <v>0</v>
      </c>
      <c r="CZ21" s="25">
        <v>16</v>
      </c>
      <c r="DA21" s="25">
        <v>77</v>
      </c>
      <c r="DB21" s="25">
        <v>51</v>
      </c>
      <c r="DC21" s="25">
        <v>50</v>
      </c>
      <c r="DD21" s="25">
        <v>36</v>
      </c>
      <c r="DE21" s="25">
        <v>39</v>
      </c>
      <c r="DF21" s="25">
        <v>36</v>
      </c>
      <c r="DG21" s="25">
        <v>11</v>
      </c>
      <c r="DH21" s="25">
        <v>19</v>
      </c>
      <c r="DI21" s="25">
        <v>0</v>
      </c>
      <c r="DJ21" s="25">
        <v>16</v>
      </c>
      <c r="DK21" s="25">
        <v>13</v>
      </c>
      <c r="DL21" s="25">
        <v>23</v>
      </c>
      <c r="DM21" s="25">
        <v>0</v>
      </c>
      <c r="DN21" s="25">
        <v>16</v>
      </c>
      <c r="DO21" s="25">
        <v>14</v>
      </c>
      <c r="DP21" s="25">
        <v>24</v>
      </c>
      <c r="DQ21" s="25">
        <v>0</v>
      </c>
      <c r="DR21" s="25">
        <v>16</v>
      </c>
      <c r="DS21" s="25">
        <v>0</v>
      </c>
      <c r="DT21" s="25">
        <v>16</v>
      </c>
      <c r="DU21" s="25">
        <v>128</v>
      </c>
      <c r="DV21" s="25">
        <v>67</v>
      </c>
      <c r="DW21" s="25">
        <v>96</v>
      </c>
      <c r="DX21" s="25">
        <v>60</v>
      </c>
      <c r="DY21" s="25">
        <v>64</v>
      </c>
      <c r="DZ21" s="25">
        <v>54</v>
      </c>
      <c r="EA21" s="25">
        <v>32</v>
      </c>
      <c r="EB21" s="25">
        <v>27</v>
      </c>
      <c r="EC21" s="25">
        <v>1</v>
      </c>
      <c r="ED21" s="25">
        <v>3</v>
      </c>
      <c r="EE21" s="25">
        <v>1</v>
      </c>
      <c r="EF21" s="25">
        <v>4</v>
      </c>
      <c r="EG21" s="25">
        <v>0</v>
      </c>
      <c r="EH21" s="25">
        <v>16</v>
      </c>
      <c r="EI21" s="25">
        <v>0</v>
      </c>
      <c r="EJ21" s="25">
        <v>16</v>
      </c>
      <c r="EK21" s="25">
        <v>13</v>
      </c>
      <c r="EL21" s="25">
        <v>11</v>
      </c>
      <c r="EM21" s="25">
        <v>17</v>
      </c>
      <c r="EN21" s="25">
        <v>23</v>
      </c>
    </row>
    <row r="22" spans="1:144" x14ac:dyDescent="0.25">
      <c r="A22" s="19">
        <f t="shared" si="8"/>
        <v>27</v>
      </c>
      <c r="B22" s="20" t="str">
        <f t="shared" si="9"/>
        <v>Millard</v>
      </c>
      <c r="C22" s="24" t="s">
        <v>314</v>
      </c>
      <c r="D22" s="24" t="s">
        <v>315</v>
      </c>
      <c r="E22" s="25">
        <v>5379</v>
      </c>
      <c r="F22" s="25">
        <v>211</v>
      </c>
      <c r="G22" s="25">
        <v>3758</v>
      </c>
      <c r="H22" s="25">
        <v>241</v>
      </c>
      <c r="I22" s="25">
        <v>3548</v>
      </c>
      <c r="J22" s="25">
        <v>242</v>
      </c>
      <c r="K22" s="25">
        <v>210</v>
      </c>
      <c r="L22" s="25">
        <v>79</v>
      </c>
      <c r="M22" s="25">
        <v>330</v>
      </c>
      <c r="N22" s="25">
        <v>112</v>
      </c>
      <c r="O22" s="25">
        <v>477</v>
      </c>
      <c r="P22" s="25">
        <v>104</v>
      </c>
      <c r="Q22" s="25">
        <v>320</v>
      </c>
      <c r="R22" s="25">
        <v>60</v>
      </c>
      <c r="S22" s="25">
        <v>92</v>
      </c>
      <c r="T22" s="25">
        <v>37</v>
      </c>
      <c r="U22" s="25">
        <v>398</v>
      </c>
      <c r="V22" s="25">
        <v>95</v>
      </c>
      <c r="W22" s="25">
        <v>4</v>
      </c>
      <c r="X22" s="25">
        <v>4</v>
      </c>
      <c r="Y22" s="25">
        <v>3963</v>
      </c>
      <c r="Z22" s="25">
        <v>242</v>
      </c>
      <c r="AA22" s="25">
        <v>2862</v>
      </c>
      <c r="AB22" s="25">
        <v>246</v>
      </c>
      <c r="AC22" s="25">
        <v>2755</v>
      </c>
      <c r="AD22" s="25">
        <v>245</v>
      </c>
      <c r="AE22" s="25">
        <v>107</v>
      </c>
      <c r="AF22" s="25">
        <v>42</v>
      </c>
      <c r="AG22" s="25">
        <v>236</v>
      </c>
      <c r="AH22" s="25">
        <v>87</v>
      </c>
      <c r="AI22" s="25">
        <v>347</v>
      </c>
      <c r="AJ22" s="25">
        <v>87</v>
      </c>
      <c r="AK22" s="25">
        <v>230</v>
      </c>
      <c r="AL22" s="25">
        <v>53</v>
      </c>
      <c r="AM22" s="25">
        <v>73</v>
      </c>
      <c r="AN22" s="25">
        <v>31</v>
      </c>
      <c r="AO22" s="25">
        <v>212</v>
      </c>
      <c r="AP22" s="25">
        <v>60</v>
      </c>
      <c r="AQ22" s="25">
        <v>3</v>
      </c>
      <c r="AR22" s="25">
        <v>4</v>
      </c>
      <c r="AS22" s="25">
        <v>926</v>
      </c>
      <c r="AT22" s="25">
        <v>175</v>
      </c>
      <c r="AU22" s="25">
        <v>707</v>
      </c>
      <c r="AV22" s="25">
        <v>156</v>
      </c>
      <c r="AW22" s="25">
        <v>693</v>
      </c>
      <c r="AX22" s="25">
        <v>154</v>
      </c>
      <c r="AY22" s="25">
        <v>14</v>
      </c>
      <c r="AZ22" s="25">
        <v>14</v>
      </c>
      <c r="BA22" s="25">
        <v>47</v>
      </c>
      <c r="BB22" s="25">
        <v>35</v>
      </c>
      <c r="BC22" s="25">
        <v>76</v>
      </c>
      <c r="BD22" s="25">
        <v>37</v>
      </c>
      <c r="BE22" s="25">
        <v>64</v>
      </c>
      <c r="BF22" s="25">
        <v>36</v>
      </c>
      <c r="BG22" s="25">
        <v>14</v>
      </c>
      <c r="BH22" s="25">
        <v>15</v>
      </c>
      <c r="BI22" s="25">
        <v>18</v>
      </c>
      <c r="BJ22" s="25">
        <v>17</v>
      </c>
      <c r="BK22" s="25">
        <v>0</v>
      </c>
      <c r="BL22" s="25">
        <v>18</v>
      </c>
      <c r="BM22" s="25">
        <v>10</v>
      </c>
      <c r="BN22" s="25">
        <v>14</v>
      </c>
      <c r="BO22" s="25">
        <v>10</v>
      </c>
      <c r="BP22" s="25">
        <v>14</v>
      </c>
      <c r="BQ22" s="25">
        <v>10</v>
      </c>
      <c r="BR22" s="25">
        <v>14</v>
      </c>
      <c r="BS22" s="25">
        <v>0</v>
      </c>
      <c r="BT22" s="25">
        <v>18</v>
      </c>
      <c r="BU22" s="25">
        <v>0</v>
      </c>
      <c r="BV22" s="25">
        <v>18</v>
      </c>
      <c r="BW22" s="25">
        <v>0</v>
      </c>
      <c r="BX22" s="25">
        <v>18</v>
      </c>
      <c r="BY22" s="25">
        <v>0</v>
      </c>
      <c r="BZ22" s="25">
        <v>18</v>
      </c>
      <c r="CA22" s="25">
        <v>0</v>
      </c>
      <c r="CB22" s="25">
        <v>18</v>
      </c>
      <c r="CC22" s="25">
        <v>0</v>
      </c>
      <c r="CD22" s="25">
        <v>18</v>
      </c>
      <c r="CE22" s="25">
        <v>0</v>
      </c>
      <c r="CF22" s="25">
        <v>18</v>
      </c>
      <c r="CG22" s="25">
        <v>117</v>
      </c>
      <c r="CH22" s="25">
        <v>38</v>
      </c>
      <c r="CI22" s="25">
        <v>42</v>
      </c>
      <c r="CJ22" s="25">
        <v>25</v>
      </c>
      <c r="CK22" s="25">
        <v>42</v>
      </c>
      <c r="CL22" s="25">
        <v>25</v>
      </c>
      <c r="CM22" s="25">
        <v>0</v>
      </c>
      <c r="CN22" s="25">
        <v>18</v>
      </c>
      <c r="CO22" s="25">
        <v>10</v>
      </c>
      <c r="CP22" s="25">
        <v>16</v>
      </c>
      <c r="CQ22" s="25">
        <v>38</v>
      </c>
      <c r="CR22" s="25">
        <v>27</v>
      </c>
      <c r="CS22" s="25">
        <v>18</v>
      </c>
      <c r="CT22" s="25">
        <v>16</v>
      </c>
      <c r="CU22" s="25">
        <v>5</v>
      </c>
      <c r="CV22" s="25">
        <v>8</v>
      </c>
      <c r="CW22" s="25">
        <v>4</v>
      </c>
      <c r="CX22" s="25">
        <v>5</v>
      </c>
      <c r="CY22" s="25">
        <v>0</v>
      </c>
      <c r="CZ22" s="25">
        <v>18</v>
      </c>
      <c r="DA22" s="25">
        <v>35</v>
      </c>
      <c r="DB22" s="25">
        <v>20</v>
      </c>
      <c r="DC22" s="25">
        <v>24</v>
      </c>
      <c r="DD22" s="25">
        <v>16</v>
      </c>
      <c r="DE22" s="25">
        <v>17</v>
      </c>
      <c r="DF22" s="25">
        <v>14</v>
      </c>
      <c r="DG22" s="25">
        <v>7</v>
      </c>
      <c r="DH22" s="25">
        <v>12</v>
      </c>
      <c r="DI22" s="25">
        <v>1</v>
      </c>
      <c r="DJ22" s="25">
        <v>4</v>
      </c>
      <c r="DK22" s="25">
        <v>8</v>
      </c>
      <c r="DL22" s="25">
        <v>12</v>
      </c>
      <c r="DM22" s="25">
        <v>0</v>
      </c>
      <c r="DN22" s="25">
        <v>18</v>
      </c>
      <c r="DO22" s="25">
        <v>0</v>
      </c>
      <c r="DP22" s="25">
        <v>18</v>
      </c>
      <c r="DQ22" s="25">
        <v>2</v>
      </c>
      <c r="DR22" s="25">
        <v>4</v>
      </c>
      <c r="DS22" s="25">
        <v>0</v>
      </c>
      <c r="DT22" s="25">
        <v>18</v>
      </c>
      <c r="DU22" s="25">
        <v>328</v>
      </c>
      <c r="DV22" s="25">
        <v>120</v>
      </c>
      <c r="DW22" s="25">
        <v>113</v>
      </c>
      <c r="DX22" s="25">
        <v>67</v>
      </c>
      <c r="DY22" s="25">
        <v>31</v>
      </c>
      <c r="DZ22" s="25">
        <v>23</v>
      </c>
      <c r="EA22" s="25">
        <v>82</v>
      </c>
      <c r="EB22" s="25">
        <v>72</v>
      </c>
      <c r="EC22" s="25">
        <v>36</v>
      </c>
      <c r="ED22" s="25">
        <v>54</v>
      </c>
      <c r="EE22" s="25">
        <v>8</v>
      </c>
      <c r="EF22" s="25">
        <v>10</v>
      </c>
      <c r="EG22" s="25">
        <v>8</v>
      </c>
      <c r="EH22" s="25">
        <v>10</v>
      </c>
      <c r="EI22" s="25">
        <v>0</v>
      </c>
      <c r="EJ22" s="25">
        <v>18</v>
      </c>
      <c r="EK22" s="25">
        <v>162</v>
      </c>
      <c r="EL22" s="25">
        <v>84</v>
      </c>
      <c r="EM22" s="25">
        <v>1</v>
      </c>
      <c r="EN22" s="25">
        <v>2</v>
      </c>
    </row>
    <row r="23" spans="1:144" x14ac:dyDescent="0.25">
      <c r="A23" s="19">
        <f t="shared" si="8"/>
        <v>29</v>
      </c>
      <c r="B23" s="20" t="str">
        <f t="shared" si="9"/>
        <v>Morgan</v>
      </c>
      <c r="C23" s="24" t="s">
        <v>316</v>
      </c>
      <c r="D23" s="24" t="s">
        <v>317</v>
      </c>
      <c r="E23" s="25">
        <v>4757</v>
      </c>
      <c r="F23" s="25">
        <v>217</v>
      </c>
      <c r="G23" s="25">
        <v>3491</v>
      </c>
      <c r="H23" s="25">
        <v>218</v>
      </c>
      <c r="I23" s="25">
        <v>3189</v>
      </c>
      <c r="J23" s="25">
        <v>218</v>
      </c>
      <c r="K23" s="25">
        <v>302</v>
      </c>
      <c r="L23" s="25">
        <v>79</v>
      </c>
      <c r="M23" s="25">
        <v>246</v>
      </c>
      <c r="N23" s="25">
        <v>84</v>
      </c>
      <c r="O23" s="25">
        <v>346</v>
      </c>
      <c r="P23" s="25">
        <v>115</v>
      </c>
      <c r="Q23" s="25">
        <v>188</v>
      </c>
      <c r="R23" s="25">
        <v>63</v>
      </c>
      <c r="S23" s="25">
        <v>268</v>
      </c>
      <c r="T23" s="25">
        <v>94</v>
      </c>
      <c r="U23" s="25">
        <v>201</v>
      </c>
      <c r="V23" s="25">
        <v>78</v>
      </c>
      <c r="W23" s="25">
        <v>17</v>
      </c>
      <c r="X23" s="25">
        <v>26</v>
      </c>
      <c r="Y23" s="25">
        <v>3980</v>
      </c>
      <c r="Z23" s="25">
        <v>217</v>
      </c>
      <c r="AA23" s="25">
        <v>2955</v>
      </c>
      <c r="AB23" s="25">
        <v>224</v>
      </c>
      <c r="AC23" s="25">
        <v>2726</v>
      </c>
      <c r="AD23" s="25">
        <v>222</v>
      </c>
      <c r="AE23" s="25">
        <v>229</v>
      </c>
      <c r="AF23" s="25">
        <v>67</v>
      </c>
      <c r="AG23" s="25">
        <v>199</v>
      </c>
      <c r="AH23" s="25">
        <v>73</v>
      </c>
      <c r="AI23" s="25">
        <v>296</v>
      </c>
      <c r="AJ23" s="25">
        <v>104</v>
      </c>
      <c r="AK23" s="25">
        <v>166</v>
      </c>
      <c r="AL23" s="25">
        <v>61</v>
      </c>
      <c r="AM23" s="25">
        <v>258</v>
      </c>
      <c r="AN23" s="25">
        <v>95</v>
      </c>
      <c r="AO23" s="25">
        <v>89</v>
      </c>
      <c r="AP23" s="25">
        <v>51</v>
      </c>
      <c r="AQ23" s="25">
        <v>17</v>
      </c>
      <c r="AR23" s="25">
        <v>26</v>
      </c>
      <c r="AS23" s="25">
        <v>396</v>
      </c>
      <c r="AT23" s="25">
        <v>117</v>
      </c>
      <c r="AU23" s="25">
        <v>286</v>
      </c>
      <c r="AV23" s="25">
        <v>100</v>
      </c>
      <c r="AW23" s="25">
        <v>244</v>
      </c>
      <c r="AX23" s="25">
        <v>94</v>
      </c>
      <c r="AY23" s="25">
        <v>42</v>
      </c>
      <c r="AZ23" s="25">
        <v>33</v>
      </c>
      <c r="BA23" s="25">
        <v>22</v>
      </c>
      <c r="BB23" s="25">
        <v>27</v>
      </c>
      <c r="BC23" s="25">
        <v>24</v>
      </c>
      <c r="BD23" s="25">
        <v>22</v>
      </c>
      <c r="BE23" s="25">
        <v>18</v>
      </c>
      <c r="BF23" s="25">
        <v>22</v>
      </c>
      <c r="BG23" s="25">
        <v>10</v>
      </c>
      <c r="BH23" s="25">
        <v>13</v>
      </c>
      <c r="BI23" s="25">
        <v>36</v>
      </c>
      <c r="BJ23" s="25">
        <v>40</v>
      </c>
      <c r="BK23" s="25">
        <v>0</v>
      </c>
      <c r="BL23" s="25">
        <v>18</v>
      </c>
      <c r="BM23" s="25">
        <v>18</v>
      </c>
      <c r="BN23" s="25">
        <v>23</v>
      </c>
      <c r="BO23" s="25">
        <v>0</v>
      </c>
      <c r="BP23" s="25">
        <v>18</v>
      </c>
      <c r="BQ23" s="25">
        <v>0</v>
      </c>
      <c r="BR23" s="25">
        <v>18</v>
      </c>
      <c r="BS23" s="25">
        <v>0</v>
      </c>
      <c r="BT23" s="25">
        <v>18</v>
      </c>
      <c r="BU23" s="25">
        <v>14</v>
      </c>
      <c r="BV23" s="25">
        <v>22</v>
      </c>
      <c r="BW23" s="25">
        <v>0</v>
      </c>
      <c r="BX23" s="25">
        <v>18</v>
      </c>
      <c r="BY23" s="25">
        <v>4</v>
      </c>
      <c r="BZ23" s="25">
        <v>7</v>
      </c>
      <c r="CA23" s="25">
        <v>0</v>
      </c>
      <c r="CB23" s="25">
        <v>18</v>
      </c>
      <c r="CC23" s="25">
        <v>0</v>
      </c>
      <c r="CD23" s="25">
        <v>18</v>
      </c>
      <c r="CE23" s="25">
        <v>0</v>
      </c>
      <c r="CF23" s="25">
        <v>18</v>
      </c>
      <c r="CG23" s="25">
        <v>56</v>
      </c>
      <c r="CH23" s="25">
        <v>38</v>
      </c>
      <c r="CI23" s="25">
        <v>33</v>
      </c>
      <c r="CJ23" s="25">
        <v>22</v>
      </c>
      <c r="CK23" s="25">
        <v>27</v>
      </c>
      <c r="CL23" s="25">
        <v>19</v>
      </c>
      <c r="CM23" s="25">
        <v>6</v>
      </c>
      <c r="CN23" s="25">
        <v>9</v>
      </c>
      <c r="CO23" s="25">
        <v>7</v>
      </c>
      <c r="CP23" s="25">
        <v>10</v>
      </c>
      <c r="CQ23" s="25">
        <v>11</v>
      </c>
      <c r="CR23" s="25">
        <v>12</v>
      </c>
      <c r="CS23" s="25">
        <v>0</v>
      </c>
      <c r="CT23" s="25">
        <v>18</v>
      </c>
      <c r="CU23" s="25">
        <v>0</v>
      </c>
      <c r="CV23" s="25">
        <v>18</v>
      </c>
      <c r="CW23" s="25">
        <v>5</v>
      </c>
      <c r="CX23" s="25">
        <v>10</v>
      </c>
      <c r="CY23" s="25">
        <v>0</v>
      </c>
      <c r="CZ23" s="25">
        <v>18</v>
      </c>
      <c r="DA23" s="25">
        <v>113</v>
      </c>
      <c r="DB23" s="25">
        <v>63</v>
      </c>
      <c r="DC23" s="25">
        <v>113</v>
      </c>
      <c r="DD23" s="25">
        <v>63</v>
      </c>
      <c r="DE23" s="25">
        <v>113</v>
      </c>
      <c r="DF23" s="25">
        <v>63</v>
      </c>
      <c r="DG23" s="25">
        <v>0</v>
      </c>
      <c r="DH23" s="25">
        <v>18</v>
      </c>
      <c r="DI23" s="25">
        <v>0</v>
      </c>
      <c r="DJ23" s="25">
        <v>18</v>
      </c>
      <c r="DK23" s="25">
        <v>0</v>
      </c>
      <c r="DL23" s="25">
        <v>18</v>
      </c>
      <c r="DM23" s="25">
        <v>0</v>
      </c>
      <c r="DN23" s="25">
        <v>18</v>
      </c>
      <c r="DO23" s="25">
        <v>0</v>
      </c>
      <c r="DP23" s="25">
        <v>18</v>
      </c>
      <c r="DQ23" s="25">
        <v>0</v>
      </c>
      <c r="DR23" s="25">
        <v>18</v>
      </c>
      <c r="DS23" s="25">
        <v>0</v>
      </c>
      <c r="DT23" s="25">
        <v>18</v>
      </c>
      <c r="DU23" s="25">
        <v>194</v>
      </c>
      <c r="DV23" s="25">
        <v>67</v>
      </c>
      <c r="DW23" s="25">
        <v>104</v>
      </c>
      <c r="DX23" s="25">
        <v>43</v>
      </c>
      <c r="DY23" s="25">
        <v>79</v>
      </c>
      <c r="DZ23" s="25">
        <v>39</v>
      </c>
      <c r="EA23" s="25">
        <v>25</v>
      </c>
      <c r="EB23" s="25">
        <v>19</v>
      </c>
      <c r="EC23" s="25">
        <v>4</v>
      </c>
      <c r="ED23" s="25">
        <v>7</v>
      </c>
      <c r="EE23" s="25">
        <v>15</v>
      </c>
      <c r="EF23" s="25">
        <v>24</v>
      </c>
      <c r="EG23" s="25">
        <v>0</v>
      </c>
      <c r="EH23" s="25">
        <v>18</v>
      </c>
      <c r="EI23" s="25">
        <v>0</v>
      </c>
      <c r="EJ23" s="25">
        <v>18</v>
      </c>
      <c r="EK23" s="25">
        <v>71</v>
      </c>
      <c r="EL23" s="25">
        <v>43</v>
      </c>
      <c r="EM23" s="25">
        <v>0</v>
      </c>
      <c r="EN23" s="25">
        <v>18</v>
      </c>
    </row>
    <row r="24" spans="1:144" x14ac:dyDescent="0.25">
      <c r="A24" s="19">
        <f t="shared" si="8"/>
        <v>31</v>
      </c>
      <c r="B24" s="20" t="str">
        <f t="shared" si="9"/>
        <v>Piute</v>
      </c>
      <c r="C24" s="24" t="s">
        <v>318</v>
      </c>
      <c r="D24" s="24" t="s">
        <v>319</v>
      </c>
      <c r="E24" s="25">
        <v>604</v>
      </c>
      <c r="F24" s="25">
        <v>111</v>
      </c>
      <c r="G24" s="25">
        <v>403</v>
      </c>
      <c r="H24" s="25">
        <v>96</v>
      </c>
      <c r="I24" s="25">
        <v>373</v>
      </c>
      <c r="J24" s="25">
        <v>99</v>
      </c>
      <c r="K24" s="25">
        <v>30</v>
      </c>
      <c r="L24" s="25">
        <v>13</v>
      </c>
      <c r="M24" s="25">
        <v>21</v>
      </c>
      <c r="N24" s="25">
        <v>13</v>
      </c>
      <c r="O24" s="25">
        <v>51</v>
      </c>
      <c r="P24" s="25">
        <v>19</v>
      </c>
      <c r="Q24" s="25">
        <v>88</v>
      </c>
      <c r="R24" s="25">
        <v>69</v>
      </c>
      <c r="S24" s="25">
        <v>2</v>
      </c>
      <c r="T24" s="25">
        <v>4</v>
      </c>
      <c r="U24" s="25">
        <v>28</v>
      </c>
      <c r="V24" s="25">
        <v>16</v>
      </c>
      <c r="W24" s="25">
        <v>11</v>
      </c>
      <c r="X24" s="25">
        <v>12</v>
      </c>
      <c r="Y24" s="25">
        <v>471</v>
      </c>
      <c r="Z24" s="25">
        <v>89</v>
      </c>
      <c r="AA24" s="25">
        <v>286</v>
      </c>
      <c r="AB24" s="25">
        <v>73</v>
      </c>
      <c r="AC24" s="25">
        <v>267</v>
      </c>
      <c r="AD24" s="25">
        <v>72</v>
      </c>
      <c r="AE24" s="25">
        <v>19</v>
      </c>
      <c r="AF24" s="25">
        <v>10</v>
      </c>
      <c r="AG24" s="25">
        <v>21</v>
      </c>
      <c r="AH24" s="25">
        <v>13</v>
      </c>
      <c r="AI24" s="25">
        <v>48</v>
      </c>
      <c r="AJ24" s="25">
        <v>19</v>
      </c>
      <c r="AK24" s="25">
        <v>81</v>
      </c>
      <c r="AL24" s="25">
        <v>68</v>
      </c>
      <c r="AM24" s="25">
        <v>2</v>
      </c>
      <c r="AN24" s="25">
        <v>4</v>
      </c>
      <c r="AO24" s="25">
        <v>26</v>
      </c>
      <c r="AP24" s="25">
        <v>16</v>
      </c>
      <c r="AQ24" s="25">
        <v>7</v>
      </c>
      <c r="AR24" s="25">
        <v>10</v>
      </c>
      <c r="AS24" s="25">
        <v>105</v>
      </c>
      <c r="AT24" s="25">
        <v>76</v>
      </c>
      <c r="AU24" s="25">
        <v>101</v>
      </c>
      <c r="AV24" s="25">
        <v>74</v>
      </c>
      <c r="AW24" s="25">
        <v>101</v>
      </c>
      <c r="AX24" s="25">
        <v>74</v>
      </c>
      <c r="AY24" s="25">
        <v>0</v>
      </c>
      <c r="AZ24" s="25">
        <v>11</v>
      </c>
      <c r="BA24" s="25">
        <v>0</v>
      </c>
      <c r="BB24" s="25">
        <v>11</v>
      </c>
      <c r="BC24" s="25">
        <v>3</v>
      </c>
      <c r="BD24" s="25">
        <v>6</v>
      </c>
      <c r="BE24" s="25">
        <v>0</v>
      </c>
      <c r="BF24" s="25">
        <v>11</v>
      </c>
      <c r="BG24" s="25">
        <v>0</v>
      </c>
      <c r="BH24" s="25">
        <v>11</v>
      </c>
      <c r="BI24" s="25">
        <v>1</v>
      </c>
      <c r="BJ24" s="25">
        <v>2</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13</v>
      </c>
      <c r="CH24" s="25">
        <v>11</v>
      </c>
      <c r="CI24" s="25">
        <v>4</v>
      </c>
      <c r="CJ24" s="25">
        <v>3</v>
      </c>
      <c r="CK24" s="25">
        <v>3</v>
      </c>
      <c r="CL24" s="25">
        <v>3</v>
      </c>
      <c r="CM24" s="25">
        <v>1</v>
      </c>
      <c r="CN24" s="25">
        <v>2</v>
      </c>
      <c r="CO24" s="25">
        <v>0</v>
      </c>
      <c r="CP24" s="25">
        <v>11</v>
      </c>
      <c r="CQ24" s="25">
        <v>0</v>
      </c>
      <c r="CR24" s="25">
        <v>11</v>
      </c>
      <c r="CS24" s="25">
        <v>5</v>
      </c>
      <c r="CT24" s="25">
        <v>9</v>
      </c>
      <c r="CU24" s="25">
        <v>0</v>
      </c>
      <c r="CV24" s="25">
        <v>11</v>
      </c>
      <c r="CW24" s="25">
        <v>0</v>
      </c>
      <c r="CX24" s="25">
        <v>11</v>
      </c>
      <c r="CY24" s="25">
        <v>4</v>
      </c>
      <c r="CZ24" s="25">
        <v>7</v>
      </c>
      <c r="DA24" s="25">
        <v>3</v>
      </c>
      <c r="DB24" s="25">
        <v>4</v>
      </c>
      <c r="DC24" s="25">
        <v>2</v>
      </c>
      <c r="DD24" s="25">
        <v>4</v>
      </c>
      <c r="DE24" s="25">
        <v>2</v>
      </c>
      <c r="DF24" s="25">
        <v>4</v>
      </c>
      <c r="DG24" s="25">
        <v>0</v>
      </c>
      <c r="DH24" s="25">
        <v>11</v>
      </c>
      <c r="DI24" s="25">
        <v>0</v>
      </c>
      <c r="DJ24" s="25">
        <v>11</v>
      </c>
      <c r="DK24" s="25">
        <v>0</v>
      </c>
      <c r="DL24" s="25">
        <v>11</v>
      </c>
      <c r="DM24" s="25">
        <v>0</v>
      </c>
      <c r="DN24" s="25">
        <v>11</v>
      </c>
      <c r="DO24" s="25">
        <v>0</v>
      </c>
      <c r="DP24" s="25">
        <v>11</v>
      </c>
      <c r="DQ24" s="25">
        <v>1</v>
      </c>
      <c r="DR24" s="25">
        <v>2</v>
      </c>
      <c r="DS24" s="25">
        <v>0</v>
      </c>
      <c r="DT24" s="25">
        <v>11</v>
      </c>
      <c r="DU24" s="25">
        <v>12</v>
      </c>
      <c r="DV24" s="25">
        <v>9</v>
      </c>
      <c r="DW24" s="25">
        <v>10</v>
      </c>
      <c r="DX24" s="25">
        <v>9</v>
      </c>
      <c r="DY24" s="25">
        <v>0</v>
      </c>
      <c r="DZ24" s="25">
        <v>11</v>
      </c>
      <c r="EA24" s="25">
        <v>10</v>
      </c>
      <c r="EB24" s="25">
        <v>9</v>
      </c>
      <c r="EC24" s="25">
        <v>0</v>
      </c>
      <c r="ED24" s="25">
        <v>11</v>
      </c>
      <c r="EE24" s="25">
        <v>0</v>
      </c>
      <c r="EF24" s="25">
        <v>11</v>
      </c>
      <c r="EG24" s="25">
        <v>2</v>
      </c>
      <c r="EH24" s="25">
        <v>2</v>
      </c>
      <c r="EI24" s="25">
        <v>0</v>
      </c>
      <c r="EJ24" s="25">
        <v>11</v>
      </c>
      <c r="EK24" s="25">
        <v>0</v>
      </c>
      <c r="EL24" s="25">
        <v>11</v>
      </c>
      <c r="EM24" s="25">
        <v>0</v>
      </c>
      <c r="EN24" s="25">
        <v>11</v>
      </c>
    </row>
    <row r="25" spans="1:144" x14ac:dyDescent="0.25">
      <c r="A25" s="19">
        <f t="shared" si="8"/>
        <v>33</v>
      </c>
      <c r="B25" s="20" t="str">
        <f t="shared" si="9"/>
        <v>Rich</v>
      </c>
      <c r="C25" s="24" t="s">
        <v>320</v>
      </c>
      <c r="D25" s="24" t="s">
        <v>321</v>
      </c>
      <c r="E25" s="25">
        <v>764</v>
      </c>
      <c r="F25" s="25">
        <v>102</v>
      </c>
      <c r="G25" s="25">
        <v>594</v>
      </c>
      <c r="H25" s="25">
        <v>104</v>
      </c>
      <c r="I25" s="25">
        <v>499</v>
      </c>
      <c r="J25" s="25">
        <v>89</v>
      </c>
      <c r="K25" s="25">
        <v>95</v>
      </c>
      <c r="L25" s="25">
        <v>44</v>
      </c>
      <c r="M25" s="25">
        <v>41</v>
      </c>
      <c r="N25" s="25">
        <v>29</v>
      </c>
      <c r="O25" s="25">
        <v>76</v>
      </c>
      <c r="P25" s="25">
        <v>29</v>
      </c>
      <c r="Q25" s="25">
        <v>28</v>
      </c>
      <c r="R25" s="25">
        <v>13</v>
      </c>
      <c r="S25" s="25">
        <v>1</v>
      </c>
      <c r="T25" s="25">
        <v>2</v>
      </c>
      <c r="U25" s="25">
        <v>24</v>
      </c>
      <c r="V25" s="25">
        <v>20</v>
      </c>
      <c r="W25" s="25">
        <v>0</v>
      </c>
      <c r="X25" s="25">
        <v>11</v>
      </c>
      <c r="Y25" s="25">
        <v>569</v>
      </c>
      <c r="Z25" s="25">
        <v>86</v>
      </c>
      <c r="AA25" s="25">
        <v>458</v>
      </c>
      <c r="AB25" s="25">
        <v>85</v>
      </c>
      <c r="AC25" s="25">
        <v>430</v>
      </c>
      <c r="AD25" s="25">
        <v>85</v>
      </c>
      <c r="AE25" s="25">
        <v>28</v>
      </c>
      <c r="AF25" s="25">
        <v>21</v>
      </c>
      <c r="AG25" s="25">
        <v>9</v>
      </c>
      <c r="AH25" s="25">
        <v>8</v>
      </c>
      <c r="AI25" s="25">
        <v>70</v>
      </c>
      <c r="AJ25" s="25">
        <v>28</v>
      </c>
      <c r="AK25" s="25">
        <v>22</v>
      </c>
      <c r="AL25" s="25">
        <v>12</v>
      </c>
      <c r="AM25" s="25">
        <v>1</v>
      </c>
      <c r="AN25" s="25">
        <v>2</v>
      </c>
      <c r="AO25" s="25">
        <v>9</v>
      </c>
      <c r="AP25" s="25">
        <v>11</v>
      </c>
      <c r="AQ25" s="25">
        <v>0</v>
      </c>
      <c r="AR25" s="25">
        <v>11</v>
      </c>
      <c r="AS25" s="25">
        <v>88</v>
      </c>
      <c r="AT25" s="25">
        <v>31</v>
      </c>
      <c r="AU25" s="25">
        <v>55</v>
      </c>
      <c r="AV25" s="25">
        <v>22</v>
      </c>
      <c r="AW25" s="25">
        <v>46</v>
      </c>
      <c r="AX25" s="25">
        <v>19</v>
      </c>
      <c r="AY25" s="25">
        <v>9</v>
      </c>
      <c r="AZ25" s="25">
        <v>10</v>
      </c>
      <c r="BA25" s="25">
        <v>32</v>
      </c>
      <c r="BB25" s="25">
        <v>28</v>
      </c>
      <c r="BC25" s="25">
        <v>0</v>
      </c>
      <c r="BD25" s="25">
        <v>11</v>
      </c>
      <c r="BE25" s="25">
        <v>1</v>
      </c>
      <c r="BF25" s="25">
        <v>2</v>
      </c>
      <c r="BG25" s="25">
        <v>0</v>
      </c>
      <c r="BH25" s="25">
        <v>11</v>
      </c>
      <c r="BI25" s="25">
        <v>0</v>
      </c>
      <c r="BJ25" s="25">
        <v>11</v>
      </c>
      <c r="BK25" s="25">
        <v>0</v>
      </c>
      <c r="BL25" s="25">
        <v>11</v>
      </c>
      <c r="BM25" s="25">
        <v>0</v>
      </c>
      <c r="BN25" s="25">
        <v>11</v>
      </c>
      <c r="BO25" s="25">
        <v>0</v>
      </c>
      <c r="BP25" s="25">
        <v>11</v>
      </c>
      <c r="BQ25" s="25">
        <v>0</v>
      </c>
      <c r="BR25" s="25">
        <v>11</v>
      </c>
      <c r="BS25" s="25">
        <v>0</v>
      </c>
      <c r="BT25" s="25">
        <v>11</v>
      </c>
      <c r="BU25" s="25">
        <v>0</v>
      </c>
      <c r="BV25" s="25">
        <v>11</v>
      </c>
      <c r="BW25" s="25">
        <v>0</v>
      </c>
      <c r="BX25" s="25">
        <v>11</v>
      </c>
      <c r="BY25" s="25">
        <v>0</v>
      </c>
      <c r="BZ25" s="25">
        <v>11</v>
      </c>
      <c r="CA25" s="25">
        <v>0</v>
      </c>
      <c r="CB25" s="25">
        <v>11</v>
      </c>
      <c r="CC25" s="25">
        <v>0</v>
      </c>
      <c r="CD25" s="25">
        <v>11</v>
      </c>
      <c r="CE25" s="25">
        <v>0</v>
      </c>
      <c r="CF25" s="25">
        <v>11</v>
      </c>
      <c r="CG25" s="25">
        <v>27</v>
      </c>
      <c r="CH25" s="25">
        <v>15</v>
      </c>
      <c r="CI25" s="25">
        <v>19</v>
      </c>
      <c r="CJ25" s="25">
        <v>14</v>
      </c>
      <c r="CK25" s="25">
        <v>12</v>
      </c>
      <c r="CL25" s="25">
        <v>10</v>
      </c>
      <c r="CM25" s="25">
        <v>7</v>
      </c>
      <c r="CN25" s="25">
        <v>9</v>
      </c>
      <c r="CO25" s="25">
        <v>0</v>
      </c>
      <c r="CP25" s="25">
        <v>11</v>
      </c>
      <c r="CQ25" s="25">
        <v>4</v>
      </c>
      <c r="CR25" s="25">
        <v>6</v>
      </c>
      <c r="CS25" s="25">
        <v>2</v>
      </c>
      <c r="CT25" s="25">
        <v>4</v>
      </c>
      <c r="CU25" s="25">
        <v>0</v>
      </c>
      <c r="CV25" s="25">
        <v>11</v>
      </c>
      <c r="CW25" s="25">
        <v>2</v>
      </c>
      <c r="CX25" s="25">
        <v>3</v>
      </c>
      <c r="CY25" s="25">
        <v>0</v>
      </c>
      <c r="CZ25" s="25">
        <v>11</v>
      </c>
      <c r="DA25" s="25">
        <v>3</v>
      </c>
      <c r="DB25" s="25">
        <v>3</v>
      </c>
      <c r="DC25" s="25">
        <v>0</v>
      </c>
      <c r="DD25" s="25">
        <v>11</v>
      </c>
      <c r="DE25" s="25">
        <v>0</v>
      </c>
      <c r="DF25" s="25">
        <v>11</v>
      </c>
      <c r="DG25" s="25">
        <v>0</v>
      </c>
      <c r="DH25" s="25">
        <v>11</v>
      </c>
      <c r="DI25" s="25">
        <v>0</v>
      </c>
      <c r="DJ25" s="25">
        <v>11</v>
      </c>
      <c r="DK25" s="25">
        <v>2</v>
      </c>
      <c r="DL25" s="25">
        <v>3</v>
      </c>
      <c r="DM25" s="25">
        <v>1</v>
      </c>
      <c r="DN25" s="25">
        <v>3</v>
      </c>
      <c r="DO25" s="25">
        <v>0</v>
      </c>
      <c r="DP25" s="25">
        <v>11</v>
      </c>
      <c r="DQ25" s="25">
        <v>0</v>
      </c>
      <c r="DR25" s="25">
        <v>11</v>
      </c>
      <c r="DS25" s="25">
        <v>0</v>
      </c>
      <c r="DT25" s="25">
        <v>11</v>
      </c>
      <c r="DU25" s="25">
        <v>77</v>
      </c>
      <c r="DV25" s="25">
        <v>35</v>
      </c>
      <c r="DW25" s="25">
        <v>62</v>
      </c>
      <c r="DX25" s="25">
        <v>35</v>
      </c>
      <c r="DY25" s="25">
        <v>11</v>
      </c>
      <c r="DZ25" s="25">
        <v>16</v>
      </c>
      <c r="EA25" s="25">
        <v>51</v>
      </c>
      <c r="EB25" s="25">
        <v>30</v>
      </c>
      <c r="EC25" s="25">
        <v>0</v>
      </c>
      <c r="ED25" s="25">
        <v>11</v>
      </c>
      <c r="EE25" s="25">
        <v>0</v>
      </c>
      <c r="EF25" s="25">
        <v>11</v>
      </c>
      <c r="EG25" s="25">
        <v>2</v>
      </c>
      <c r="EH25" s="25">
        <v>3</v>
      </c>
      <c r="EI25" s="25">
        <v>0</v>
      </c>
      <c r="EJ25" s="25">
        <v>11</v>
      </c>
      <c r="EK25" s="25">
        <v>13</v>
      </c>
      <c r="EL25" s="25">
        <v>12</v>
      </c>
      <c r="EM25" s="25">
        <v>0</v>
      </c>
      <c r="EN25" s="25">
        <v>11</v>
      </c>
    </row>
    <row r="26" spans="1:144" x14ac:dyDescent="0.25">
      <c r="A26" s="19">
        <f t="shared" si="8"/>
        <v>35</v>
      </c>
      <c r="B26" s="20" t="str">
        <f t="shared" si="9"/>
        <v>Salt Lake</v>
      </c>
      <c r="C26" s="24" t="s">
        <v>322</v>
      </c>
      <c r="D26" s="24" t="s">
        <v>323</v>
      </c>
      <c r="E26" s="25">
        <v>569309</v>
      </c>
      <c r="F26" s="25">
        <v>2929</v>
      </c>
      <c r="G26" s="25">
        <v>428708</v>
      </c>
      <c r="H26" s="25">
        <v>2998</v>
      </c>
      <c r="I26" s="25">
        <v>405851</v>
      </c>
      <c r="J26" s="25">
        <v>3218</v>
      </c>
      <c r="K26" s="25">
        <v>22857</v>
      </c>
      <c r="L26" s="25">
        <v>1207</v>
      </c>
      <c r="M26" s="25">
        <v>41084</v>
      </c>
      <c r="N26" s="25">
        <v>1512</v>
      </c>
      <c r="O26" s="25">
        <v>26772</v>
      </c>
      <c r="P26" s="25">
        <v>1245</v>
      </c>
      <c r="Q26" s="25">
        <v>34682</v>
      </c>
      <c r="R26" s="25">
        <v>1239</v>
      </c>
      <c r="S26" s="25">
        <v>11435</v>
      </c>
      <c r="T26" s="25">
        <v>950</v>
      </c>
      <c r="U26" s="25">
        <v>25931</v>
      </c>
      <c r="V26" s="25">
        <v>1129</v>
      </c>
      <c r="W26" s="25">
        <v>697</v>
      </c>
      <c r="X26" s="25">
        <v>164</v>
      </c>
      <c r="Y26" s="25">
        <v>426192</v>
      </c>
      <c r="Z26" s="25">
        <v>3685</v>
      </c>
      <c r="AA26" s="25">
        <v>325564</v>
      </c>
      <c r="AB26" s="25">
        <v>3516</v>
      </c>
      <c r="AC26" s="25">
        <v>311242</v>
      </c>
      <c r="AD26" s="25">
        <v>3613</v>
      </c>
      <c r="AE26" s="25">
        <v>14322</v>
      </c>
      <c r="AF26" s="25">
        <v>829</v>
      </c>
      <c r="AG26" s="25">
        <v>31275</v>
      </c>
      <c r="AH26" s="25">
        <v>1305</v>
      </c>
      <c r="AI26" s="25">
        <v>21643</v>
      </c>
      <c r="AJ26" s="25">
        <v>1146</v>
      </c>
      <c r="AK26" s="25">
        <v>25426</v>
      </c>
      <c r="AL26" s="25">
        <v>1134</v>
      </c>
      <c r="AM26" s="25">
        <v>8854</v>
      </c>
      <c r="AN26" s="25">
        <v>741</v>
      </c>
      <c r="AO26" s="25">
        <v>13067</v>
      </c>
      <c r="AP26" s="25">
        <v>765</v>
      </c>
      <c r="AQ26" s="25">
        <v>363</v>
      </c>
      <c r="AR26" s="25">
        <v>107</v>
      </c>
      <c r="AS26" s="25">
        <v>65215</v>
      </c>
      <c r="AT26" s="25">
        <v>2020</v>
      </c>
      <c r="AU26" s="25">
        <v>51874</v>
      </c>
      <c r="AV26" s="25">
        <v>1864</v>
      </c>
      <c r="AW26" s="25">
        <v>49749</v>
      </c>
      <c r="AX26" s="25">
        <v>1878</v>
      </c>
      <c r="AY26" s="25">
        <v>2125</v>
      </c>
      <c r="AZ26" s="25">
        <v>332</v>
      </c>
      <c r="BA26" s="25">
        <v>3764</v>
      </c>
      <c r="BB26" s="25">
        <v>408</v>
      </c>
      <c r="BC26" s="25">
        <v>2563</v>
      </c>
      <c r="BD26" s="25">
        <v>325</v>
      </c>
      <c r="BE26" s="25">
        <v>3607</v>
      </c>
      <c r="BF26" s="25">
        <v>511</v>
      </c>
      <c r="BG26" s="25">
        <v>1347</v>
      </c>
      <c r="BH26" s="25">
        <v>348</v>
      </c>
      <c r="BI26" s="25">
        <v>1997</v>
      </c>
      <c r="BJ26" s="25">
        <v>351</v>
      </c>
      <c r="BK26" s="25">
        <v>63</v>
      </c>
      <c r="BL26" s="25">
        <v>58</v>
      </c>
      <c r="BM26" s="25">
        <v>21486</v>
      </c>
      <c r="BN26" s="25">
        <v>1295</v>
      </c>
      <c r="BO26" s="25">
        <v>13703</v>
      </c>
      <c r="BP26" s="25">
        <v>1069</v>
      </c>
      <c r="BQ26" s="25">
        <v>13612</v>
      </c>
      <c r="BR26" s="25">
        <v>1075</v>
      </c>
      <c r="BS26" s="25">
        <v>91</v>
      </c>
      <c r="BT26" s="25">
        <v>55</v>
      </c>
      <c r="BU26" s="25">
        <v>2841</v>
      </c>
      <c r="BV26" s="25">
        <v>400</v>
      </c>
      <c r="BW26" s="25">
        <v>1132</v>
      </c>
      <c r="BX26" s="25">
        <v>250</v>
      </c>
      <c r="BY26" s="25">
        <v>2877</v>
      </c>
      <c r="BZ26" s="25">
        <v>362</v>
      </c>
      <c r="CA26" s="25">
        <v>666</v>
      </c>
      <c r="CB26" s="25">
        <v>238</v>
      </c>
      <c r="CC26" s="25">
        <v>267</v>
      </c>
      <c r="CD26" s="25">
        <v>112</v>
      </c>
      <c r="CE26" s="25">
        <v>0</v>
      </c>
      <c r="CF26" s="25">
        <v>27</v>
      </c>
      <c r="CG26" s="25">
        <v>13139</v>
      </c>
      <c r="CH26" s="25">
        <v>875</v>
      </c>
      <c r="CI26" s="25">
        <v>9437</v>
      </c>
      <c r="CJ26" s="25">
        <v>807</v>
      </c>
      <c r="CK26" s="25">
        <v>9091</v>
      </c>
      <c r="CL26" s="25">
        <v>792</v>
      </c>
      <c r="CM26" s="25">
        <v>346</v>
      </c>
      <c r="CN26" s="25">
        <v>116</v>
      </c>
      <c r="CO26" s="25">
        <v>1083</v>
      </c>
      <c r="CP26" s="25">
        <v>234</v>
      </c>
      <c r="CQ26" s="25">
        <v>596</v>
      </c>
      <c r="CR26" s="25">
        <v>155</v>
      </c>
      <c r="CS26" s="25">
        <v>1226</v>
      </c>
      <c r="CT26" s="25">
        <v>303</v>
      </c>
      <c r="CU26" s="25">
        <v>116</v>
      </c>
      <c r="CV26" s="25">
        <v>69</v>
      </c>
      <c r="CW26" s="25">
        <v>656</v>
      </c>
      <c r="CX26" s="25">
        <v>194</v>
      </c>
      <c r="CY26" s="25">
        <v>25</v>
      </c>
      <c r="CZ26" s="25">
        <v>32</v>
      </c>
      <c r="DA26" s="25">
        <v>9581</v>
      </c>
      <c r="DB26" s="25">
        <v>657</v>
      </c>
      <c r="DC26" s="25">
        <v>6842</v>
      </c>
      <c r="DD26" s="25">
        <v>580</v>
      </c>
      <c r="DE26" s="25">
        <v>6556</v>
      </c>
      <c r="DF26" s="25">
        <v>594</v>
      </c>
      <c r="DG26" s="25">
        <v>286</v>
      </c>
      <c r="DH26" s="25">
        <v>114</v>
      </c>
      <c r="DI26" s="25">
        <v>827</v>
      </c>
      <c r="DJ26" s="25">
        <v>160</v>
      </c>
      <c r="DK26" s="25">
        <v>444</v>
      </c>
      <c r="DL26" s="25">
        <v>139</v>
      </c>
      <c r="DM26" s="25">
        <v>804</v>
      </c>
      <c r="DN26" s="25">
        <v>188</v>
      </c>
      <c r="DO26" s="25">
        <v>268</v>
      </c>
      <c r="DP26" s="25">
        <v>116</v>
      </c>
      <c r="DQ26" s="25">
        <v>396</v>
      </c>
      <c r="DR26" s="25">
        <v>150</v>
      </c>
      <c r="DS26" s="25">
        <v>0</v>
      </c>
      <c r="DT26" s="25">
        <v>27</v>
      </c>
      <c r="DU26" s="25">
        <v>33696</v>
      </c>
      <c r="DV26" s="25">
        <v>1426</v>
      </c>
      <c r="DW26" s="25">
        <v>21288</v>
      </c>
      <c r="DX26" s="25">
        <v>1181</v>
      </c>
      <c r="DY26" s="25">
        <v>15601</v>
      </c>
      <c r="DZ26" s="25">
        <v>892</v>
      </c>
      <c r="EA26" s="25">
        <v>5687</v>
      </c>
      <c r="EB26" s="25">
        <v>649</v>
      </c>
      <c r="EC26" s="25">
        <v>1294</v>
      </c>
      <c r="ED26" s="25">
        <v>214</v>
      </c>
      <c r="EE26" s="25">
        <v>394</v>
      </c>
      <c r="EF26" s="25">
        <v>127</v>
      </c>
      <c r="EG26" s="25">
        <v>742</v>
      </c>
      <c r="EH26" s="25">
        <v>170</v>
      </c>
      <c r="EI26" s="25">
        <v>184</v>
      </c>
      <c r="EJ26" s="25">
        <v>81</v>
      </c>
      <c r="EK26" s="25">
        <v>9548</v>
      </c>
      <c r="EL26" s="25">
        <v>769</v>
      </c>
      <c r="EM26" s="25">
        <v>246</v>
      </c>
      <c r="EN26" s="25">
        <v>113</v>
      </c>
    </row>
    <row r="27" spans="1:144" x14ac:dyDescent="0.25">
      <c r="A27" s="19">
        <f t="shared" si="8"/>
        <v>37</v>
      </c>
      <c r="B27" s="20" t="str">
        <f t="shared" si="9"/>
        <v>San Juan</v>
      </c>
      <c r="C27" s="24" t="s">
        <v>324</v>
      </c>
      <c r="D27" s="24" t="s">
        <v>325</v>
      </c>
      <c r="E27" s="25">
        <v>5346</v>
      </c>
      <c r="F27" s="25">
        <v>244</v>
      </c>
      <c r="G27" s="25">
        <v>3011</v>
      </c>
      <c r="H27" s="25">
        <v>231</v>
      </c>
      <c r="I27" s="25">
        <v>2793</v>
      </c>
      <c r="J27" s="25">
        <v>238</v>
      </c>
      <c r="K27" s="25">
        <v>218</v>
      </c>
      <c r="L27" s="25">
        <v>79</v>
      </c>
      <c r="M27" s="25">
        <v>324</v>
      </c>
      <c r="N27" s="25">
        <v>94</v>
      </c>
      <c r="O27" s="25">
        <v>729</v>
      </c>
      <c r="P27" s="25">
        <v>124</v>
      </c>
      <c r="Q27" s="25">
        <v>594</v>
      </c>
      <c r="R27" s="25">
        <v>99</v>
      </c>
      <c r="S27" s="25">
        <v>242</v>
      </c>
      <c r="T27" s="25">
        <v>65</v>
      </c>
      <c r="U27" s="25">
        <v>431</v>
      </c>
      <c r="V27" s="25">
        <v>155</v>
      </c>
      <c r="W27" s="25">
        <v>15</v>
      </c>
      <c r="X27" s="25">
        <v>23</v>
      </c>
      <c r="Y27" s="25">
        <v>4121</v>
      </c>
      <c r="Z27" s="25">
        <v>245</v>
      </c>
      <c r="AA27" s="25">
        <v>2342</v>
      </c>
      <c r="AB27" s="25">
        <v>248</v>
      </c>
      <c r="AC27" s="25">
        <v>2234</v>
      </c>
      <c r="AD27" s="25">
        <v>250</v>
      </c>
      <c r="AE27" s="25">
        <v>108</v>
      </c>
      <c r="AF27" s="25">
        <v>50</v>
      </c>
      <c r="AG27" s="25">
        <v>293</v>
      </c>
      <c r="AH27" s="25">
        <v>95</v>
      </c>
      <c r="AI27" s="25">
        <v>610</v>
      </c>
      <c r="AJ27" s="25">
        <v>110</v>
      </c>
      <c r="AK27" s="25">
        <v>508</v>
      </c>
      <c r="AL27" s="25">
        <v>93</v>
      </c>
      <c r="AM27" s="25">
        <v>210</v>
      </c>
      <c r="AN27" s="25">
        <v>64</v>
      </c>
      <c r="AO27" s="25">
        <v>143</v>
      </c>
      <c r="AP27" s="25">
        <v>61</v>
      </c>
      <c r="AQ27" s="25">
        <v>15</v>
      </c>
      <c r="AR27" s="25">
        <v>23</v>
      </c>
      <c r="AS27" s="25">
        <v>378</v>
      </c>
      <c r="AT27" s="25">
        <v>95</v>
      </c>
      <c r="AU27" s="25">
        <v>263</v>
      </c>
      <c r="AV27" s="25">
        <v>71</v>
      </c>
      <c r="AW27" s="25">
        <v>249</v>
      </c>
      <c r="AX27" s="25">
        <v>69</v>
      </c>
      <c r="AY27" s="25">
        <v>14</v>
      </c>
      <c r="AZ27" s="25">
        <v>19</v>
      </c>
      <c r="BA27" s="25">
        <v>13</v>
      </c>
      <c r="BB27" s="25">
        <v>17</v>
      </c>
      <c r="BC27" s="25">
        <v>25</v>
      </c>
      <c r="BD27" s="25">
        <v>21</v>
      </c>
      <c r="BE27" s="25">
        <v>58</v>
      </c>
      <c r="BF27" s="25">
        <v>33</v>
      </c>
      <c r="BG27" s="25">
        <v>11</v>
      </c>
      <c r="BH27" s="25">
        <v>12</v>
      </c>
      <c r="BI27" s="25">
        <v>8</v>
      </c>
      <c r="BJ27" s="25">
        <v>14</v>
      </c>
      <c r="BK27" s="25">
        <v>0</v>
      </c>
      <c r="BL27" s="25">
        <v>18</v>
      </c>
      <c r="BM27" s="25">
        <v>30</v>
      </c>
      <c r="BN27" s="25">
        <v>21</v>
      </c>
      <c r="BO27" s="25">
        <v>13</v>
      </c>
      <c r="BP27" s="25">
        <v>14</v>
      </c>
      <c r="BQ27" s="25">
        <v>13</v>
      </c>
      <c r="BR27" s="25">
        <v>14</v>
      </c>
      <c r="BS27" s="25">
        <v>0</v>
      </c>
      <c r="BT27" s="25">
        <v>18</v>
      </c>
      <c r="BU27" s="25">
        <v>0</v>
      </c>
      <c r="BV27" s="25">
        <v>18</v>
      </c>
      <c r="BW27" s="25">
        <v>9</v>
      </c>
      <c r="BX27" s="25">
        <v>11</v>
      </c>
      <c r="BY27" s="25">
        <v>0</v>
      </c>
      <c r="BZ27" s="25">
        <v>18</v>
      </c>
      <c r="CA27" s="25">
        <v>8</v>
      </c>
      <c r="CB27" s="25">
        <v>7</v>
      </c>
      <c r="CC27" s="25">
        <v>0</v>
      </c>
      <c r="CD27" s="25">
        <v>18</v>
      </c>
      <c r="CE27" s="25">
        <v>0</v>
      </c>
      <c r="CF27" s="25">
        <v>18</v>
      </c>
      <c r="CG27" s="25">
        <v>202</v>
      </c>
      <c r="CH27" s="25">
        <v>64</v>
      </c>
      <c r="CI27" s="25">
        <v>88</v>
      </c>
      <c r="CJ27" s="25">
        <v>40</v>
      </c>
      <c r="CK27" s="25">
        <v>88</v>
      </c>
      <c r="CL27" s="25">
        <v>40</v>
      </c>
      <c r="CM27" s="25">
        <v>0</v>
      </c>
      <c r="CN27" s="25">
        <v>18</v>
      </c>
      <c r="CO27" s="25">
        <v>11</v>
      </c>
      <c r="CP27" s="25">
        <v>13</v>
      </c>
      <c r="CQ27" s="25">
        <v>61</v>
      </c>
      <c r="CR27" s="25">
        <v>41</v>
      </c>
      <c r="CS27" s="25">
        <v>23</v>
      </c>
      <c r="CT27" s="25">
        <v>24</v>
      </c>
      <c r="CU27" s="25">
        <v>11</v>
      </c>
      <c r="CV27" s="25">
        <v>13</v>
      </c>
      <c r="CW27" s="25">
        <v>8</v>
      </c>
      <c r="CX27" s="25">
        <v>8</v>
      </c>
      <c r="CY27" s="25">
        <v>0</v>
      </c>
      <c r="CZ27" s="25">
        <v>18</v>
      </c>
      <c r="DA27" s="25">
        <v>94</v>
      </c>
      <c r="DB27" s="25">
        <v>51</v>
      </c>
      <c r="DC27" s="25">
        <v>82</v>
      </c>
      <c r="DD27" s="25">
        <v>49</v>
      </c>
      <c r="DE27" s="25">
        <v>82</v>
      </c>
      <c r="DF27" s="25">
        <v>49</v>
      </c>
      <c r="DG27" s="25">
        <v>0</v>
      </c>
      <c r="DH27" s="25">
        <v>18</v>
      </c>
      <c r="DI27" s="25">
        <v>0</v>
      </c>
      <c r="DJ27" s="25">
        <v>18</v>
      </c>
      <c r="DK27" s="25">
        <v>6</v>
      </c>
      <c r="DL27" s="25">
        <v>9</v>
      </c>
      <c r="DM27" s="25">
        <v>4</v>
      </c>
      <c r="DN27" s="25">
        <v>6</v>
      </c>
      <c r="DO27" s="25">
        <v>2</v>
      </c>
      <c r="DP27" s="25">
        <v>4</v>
      </c>
      <c r="DQ27" s="25">
        <v>0</v>
      </c>
      <c r="DR27" s="25">
        <v>18</v>
      </c>
      <c r="DS27" s="25">
        <v>0</v>
      </c>
      <c r="DT27" s="25">
        <v>18</v>
      </c>
      <c r="DU27" s="25">
        <v>521</v>
      </c>
      <c r="DV27" s="25">
        <v>164</v>
      </c>
      <c r="DW27" s="25">
        <v>223</v>
      </c>
      <c r="DX27" s="25">
        <v>107</v>
      </c>
      <c r="DY27" s="25">
        <v>127</v>
      </c>
      <c r="DZ27" s="25">
        <v>87</v>
      </c>
      <c r="EA27" s="25">
        <v>96</v>
      </c>
      <c r="EB27" s="25">
        <v>57</v>
      </c>
      <c r="EC27" s="25">
        <v>7</v>
      </c>
      <c r="ED27" s="25">
        <v>9</v>
      </c>
      <c r="EE27" s="25">
        <v>18</v>
      </c>
      <c r="EF27" s="25">
        <v>15</v>
      </c>
      <c r="EG27" s="25">
        <v>1</v>
      </c>
      <c r="EH27" s="25">
        <v>3</v>
      </c>
      <c r="EI27" s="25">
        <v>0</v>
      </c>
      <c r="EJ27" s="25">
        <v>18</v>
      </c>
      <c r="EK27" s="25">
        <v>272</v>
      </c>
      <c r="EL27" s="25">
        <v>142</v>
      </c>
      <c r="EM27" s="25">
        <v>0</v>
      </c>
      <c r="EN27" s="25">
        <v>18</v>
      </c>
    </row>
    <row r="28" spans="1:144" x14ac:dyDescent="0.25">
      <c r="A28" s="19">
        <f t="shared" si="8"/>
        <v>39</v>
      </c>
      <c r="B28" s="20" t="str">
        <f t="shared" si="9"/>
        <v>Sanpete</v>
      </c>
      <c r="C28" s="24" t="s">
        <v>326</v>
      </c>
      <c r="D28" s="24" t="s">
        <v>327</v>
      </c>
      <c r="E28" s="25">
        <v>11087</v>
      </c>
      <c r="F28" s="25">
        <v>469</v>
      </c>
      <c r="G28" s="25">
        <v>7760</v>
      </c>
      <c r="H28" s="25">
        <v>458</v>
      </c>
      <c r="I28" s="25">
        <v>7162</v>
      </c>
      <c r="J28" s="25">
        <v>428</v>
      </c>
      <c r="K28" s="25">
        <v>598</v>
      </c>
      <c r="L28" s="25">
        <v>168</v>
      </c>
      <c r="M28" s="25">
        <v>687</v>
      </c>
      <c r="N28" s="25">
        <v>172</v>
      </c>
      <c r="O28" s="25">
        <v>450</v>
      </c>
      <c r="P28" s="25">
        <v>118</v>
      </c>
      <c r="Q28" s="25">
        <v>1233</v>
      </c>
      <c r="R28" s="25">
        <v>208</v>
      </c>
      <c r="S28" s="25">
        <v>162</v>
      </c>
      <c r="T28" s="25">
        <v>66</v>
      </c>
      <c r="U28" s="25">
        <v>793</v>
      </c>
      <c r="V28" s="25">
        <v>196</v>
      </c>
      <c r="W28" s="25">
        <v>2</v>
      </c>
      <c r="X28" s="25">
        <v>3</v>
      </c>
      <c r="Y28" s="25">
        <v>7988</v>
      </c>
      <c r="Z28" s="25">
        <v>471</v>
      </c>
      <c r="AA28" s="25">
        <v>5557</v>
      </c>
      <c r="AB28" s="25">
        <v>423</v>
      </c>
      <c r="AC28" s="25">
        <v>5226</v>
      </c>
      <c r="AD28" s="25">
        <v>406</v>
      </c>
      <c r="AE28" s="25">
        <v>331</v>
      </c>
      <c r="AF28" s="25">
        <v>116</v>
      </c>
      <c r="AG28" s="25">
        <v>468</v>
      </c>
      <c r="AH28" s="25">
        <v>122</v>
      </c>
      <c r="AI28" s="25">
        <v>345</v>
      </c>
      <c r="AJ28" s="25">
        <v>94</v>
      </c>
      <c r="AK28" s="25">
        <v>1025</v>
      </c>
      <c r="AL28" s="25">
        <v>198</v>
      </c>
      <c r="AM28" s="25">
        <v>159</v>
      </c>
      <c r="AN28" s="25">
        <v>66</v>
      </c>
      <c r="AO28" s="25">
        <v>434</v>
      </c>
      <c r="AP28" s="25">
        <v>162</v>
      </c>
      <c r="AQ28" s="25">
        <v>0</v>
      </c>
      <c r="AR28" s="25">
        <v>21</v>
      </c>
      <c r="AS28" s="25">
        <v>1579</v>
      </c>
      <c r="AT28" s="25">
        <v>226</v>
      </c>
      <c r="AU28" s="25">
        <v>1280</v>
      </c>
      <c r="AV28" s="25">
        <v>222</v>
      </c>
      <c r="AW28" s="25">
        <v>1236</v>
      </c>
      <c r="AX28" s="25">
        <v>219</v>
      </c>
      <c r="AY28" s="25">
        <v>44</v>
      </c>
      <c r="AZ28" s="25">
        <v>33</v>
      </c>
      <c r="BA28" s="25">
        <v>88</v>
      </c>
      <c r="BB28" s="25">
        <v>48</v>
      </c>
      <c r="BC28" s="25">
        <v>49</v>
      </c>
      <c r="BD28" s="25">
        <v>35</v>
      </c>
      <c r="BE28" s="25">
        <v>124</v>
      </c>
      <c r="BF28" s="25">
        <v>54</v>
      </c>
      <c r="BG28" s="25">
        <v>1</v>
      </c>
      <c r="BH28" s="25">
        <v>2</v>
      </c>
      <c r="BI28" s="25">
        <v>37</v>
      </c>
      <c r="BJ28" s="25">
        <v>36</v>
      </c>
      <c r="BK28" s="25">
        <v>0</v>
      </c>
      <c r="BL28" s="25">
        <v>21</v>
      </c>
      <c r="BM28" s="25">
        <v>52</v>
      </c>
      <c r="BN28" s="25">
        <v>66</v>
      </c>
      <c r="BO28" s="25">
        <v>52</v>
      </c>
      <c r="BP28" s="25">
        <v>66</v>
      </c>
      <c r="BQ28" s="25">
        <v>52</v>
      </c>
      <c r="BR28" s="25">
        <v>66</v>
      </c>
      <c r="BS28" s="25">
        <v>0</v>
      </c>
      <c r="BT28" s="25">
        <v>21</v>
      </c>
      <c r="BU28" s="25">
        <v>0</v>
      </c>
      <c r="BV28" s="25">
        <v>21</v>
      </c>
      <c r="BW28" s="25">
        <v>0</v>
      </c>
      <c r="BX28" s="25">
        <v>21</v>
      </c>
      <c r="BY28" s="25">
        <v>0</v>
      </c>
      <c r="BZ28" s="25">
        <v>21</v>
      </c>
      <c r="CA28" s="25">
        <v>0</v>
      </c>
      <c r="CB28" s="25">
        <v>21</v>
      </c>
      <c r="CC28" s="25">
        <v>0</v>
      </c>
      <c r="CD28" s="25">
        <v>21</v>
      </c>
      <c r="CE28" s="25">
        <v>0</v>
      </c>
      <c r="CF28" s="25">
        <v>21</v>
      </c>
      <c r="CG28" s="25">
        <v>617</v>
      </c>
      <c r="CH28" s="25">
        <v>164</v>
      </c>
      <c r="CI28" s="25">
        <v>459</v>
      </c>
      <c r="CJ28" s="25">
        <v>150</v>
      </c>
      <c r="CK28" s="25">
        <v>419</v>
      </c>
      <c r="CL28" s="25">
        <v>145</v>
      </c>
      <c r="CM28" s="25">
        <v>40</v>
      </c>
      <c r="CN28" s="25">
        <v>35</v>
      </c>
      <c r="CO28" s="25">
        <v>44</v>
      </c>
      <c r="CP28" s="25">
        <v>45</v>
      </c>
      <c r="CQ28" s="25">
        <v>30</v>
      </c>
      <c r="CR28" s="25">
        <v>33</v>
      </c>
      <c r="CS28" s="25">
        <v>65</v>
      </c>
      <c r="CT28" s="25">
        <v>40</v>
      </c>
      <c r="CU28" s="25">
        <v>0</v>
      </c>
      <c r="CV28" s="25">
        <v>21</v>
      </c>
      <c r="CW28" s="25">
        <v>17</v>
      </c>
      <c r="CX28" s="25">
        <v>18</v>
      </c>
      <c r="CY28" s="25">
        <v>2</v>
      </c>
      <c r="CZ28" s="25">
        <v>3</v>
      </c>
      <c r="DA28" s="25">
        <v>81</v>
      </c>
      <c r="DB28" s="25">
        <v>39</v>
      </c>
      <c r="DC28" s="25">
        <v>51</v>
      </c>
      <c r="DD28" s="25">
        <v>33</v>
      </c>
      <c r="DE28" s="25">
        <v>43</v>
      </c>
      <c r="DF28" s="25">
        <v>31</v>
      </c>
      <c r="DG28" s="25">
        <v>8</v>
      </c>
      <c r="DH28" s="25">
        <v>12</v>
      </c>
      <c r="DI28" s="25">
        <v>11</v>
      </c>
      <c r="DJ28" s="25">
        <v>9</v>
      </c>
      <c r="DK28" s="25">
        <v>0</v>
      </c>
      <c r="DL28" s="25">
        <v>21</v>
      </c>
      <c r="DM28" s="25">
        <v>12</v>
      </c>
      <c r="DN28" s="25">
        <v>13</v>
      </c>
      <c r="DO28" s="25">
        <v>0</v>
      </c>
      <c r="DP28" s="25">
        <v>21</v>
      </c>
      <c r="DQ28" s="25">
        <v>7</v>
      </c>
      <c r="DR28" s="25">
        <v>10</v>
      </c>
      <c r="DS28" s="25">
        <v>0</v>
      </c>
      <c r="DT28" s="25">
        <v>21</v>
      </c>
      <c r="DU28" s="25">
        <v>770</v>
      </c>
      <c r="DV28" s="25">
        <v>188</v>
      </c>
      <c r="DW28" s="25">
        <v>361</v>
      </c>
      <c r="DX28" s="25">
        <v>122</v>
      </c>
      <c r="DY28" s="25">
        <v>186</v>
      </c>
      <c r="DZ28" s="25">
        <v>64</v>
      </c>
      <c r="EA28" s="25">
        <v>175</v>
      </c>
      <c r="EB28" s="25">
        <v>104</v>
      </c>
      <c r="EC28" s="25">
        <v>76</v>
      </c>
      <c r="ED28" s="25">
        <v>75</v>
      </c>
      <c r="EE28" s="25">
        <v>26</v>
      </c>
      <c r="EF28" s="25">
        <v>29</v>
      </c>
      <c r="EG28" s="25">
        <v>7</v>
      </c>
      <c r="EH28" s="25">
        <v>6</v>
      </c>
      <c r="EI28" s="25">
        <v>2</v>
      </c>
      <c r="EJ28" s="25">
        <v>4</v>
      </c>
      <c r="EK28" s="25">
        <v>298</v>
      </c>
      <c r="EL28" s="25">
        <v>126</v>
      </c>
      <c r="EM28" s="25">
        <v>0</v>
      </c>
      <c r="EN28" s="25">
        <v>21</v>
      </c>
    </row>
    <row r="29" spans="1:144" x14ac:dyDescent="0.25">
      <c r="A29" s="19">
        <f t="shared" si="8"/>
        <v>41</v>
      </c>
      <c r="B29" s="20" t="str">
        <f t="shared" si="9"/>
        <v>Sevier</v>
      </c>
      <c r="C29" s="24" t="s">
        <v>328</v>
      </c>
      <c r="D29" s="24" t="s">
        <v>329</v>
      </c>
      <c r="E29" s="25">
        <v>8683</v>
      </c>
      <c r="F29" s="25">
        <v>325</v>
      </c>
      <c r="G29" s="25">
        <v>5803</v>
      </c>
      <c r="H29" s="25">
        <v>283</v>
      </c>
      <c r="I29" s="25">
        <v>5442</v>
      </c>
      <c r="J29" s="25">
        <v>267</v>
      </c>
      <c r="K29" s="25">
        <v>361</v>
      </c>
      <c r="L29" s="25">
        <v>90</v>
      </c>
      <c r="M29" s="25">
        <v>428</v>
      </c>
      <c r="N29" s="25">
        <v>93</v>
      </c>
      <c r="O29" s="25">
        <v>654</v>
      </c>
      <c r="P29" s="25">
        <v>105</v>
      </c>
      <c r="Q29" s="25">
        <v>998</v>
      </c>
      <c r="R29" s="25">
        <v>159</v>
      </c>
      <c r="S29" s="25">
        <v>177</v>
      </c>
      <c r="T29" s="25">
        <v>55</v>
      </c>
      <c r="U29" s="25">
        <v>598</v>
      </c>
      <c r="V29" s="25">
        <v>130</v>
      </c>
      <c r="W29" s="25">
        <v>25</v>
      </c>
      <c r="X29" s="25">
        <v>27</v>
      </c>
      <c r="Y29" s="25">
        <v>6949</v>
      </c>
      <c r="Z29" s="25">
        <v>275</v>
      </c>
      <c r="AA29" s="25">
        <v>4882</v>
      </c>
      <c r="AB29" s="25">
        <v>269</v>
      </c>
      <c r="AC29" s="25">
        <v>4643</v>
      </c>
      <c r="AD29" s="25">
        <v>260</v>
      </c>
      <c r="AE29" s="25">
        <v>239</v>
      </c>
      <c r="AF29" s="25">
        <v>63</v>
      </c>
      <c r="AG29" s="25">
        <v>323</v>
      </c>
      <c r="AH29" s="25">
        <v>82</v>
      </c>
      <c r="AI29" s="25">
        <v>532</v>
      </c>
      <c r="AJ29" s="25">
        <v>89</v>
      </c>
      <c r="AK29" s="25">
        <v>807</v>
      </c>
      <c r="AL29" s="25">
        <v>135</v>
      </c>
      <c r="AM29" s="25">
        <v>148</v>
      </c>
      <c r="AN29" s="25">
        <v>52</v>
      </c>
      <c r="AO29" s="25">
        <v>236</v>
      </c>
      <c r="AP29" s="25">
        <v>83</v>
      </c>
      <c r="AQ29" s="25">
        <v>21</v>
      </c>
      <c r="AR29" s="25">
        <v>25</v>
      </c>
      <c r="AS29" s="25">
        <v>837</v>
      </c>
      <c r="AT29" s="25">
        <v>137</v>
      </c>
      <c r="AU29" s="25">
        <v>452</v>
      </c>
      <c r="AV29" s="25">
        <v>101</v>
      </c>
      <c r="AW29" s="25">
        <v>428</v>
      </c>
      <c r="AX29" s="25">
        <v>102</v>
      </c>
      <c r="AY29" s="25">
        <v>24</v>
      </c>
      <c r="AZ29" s="25">
        <v>23</v>
      </c>
      <c r="BA29" s="25">
        <v>83</v>
      </c>
      <c r="BB29" s="25">
        <v>40</v>
      </c>
      <c r="BC29" s="25">
        <v>74</v>
      </c>
      <c r="BD29" s="25">
        <v>33</v>
      </c>
      <c r="BE29" s="25">
        <v>139</v>
      </c>
      <c r="BF29" s="25">
        <v>65</v>
      </c>
      <c r="BG29" s="25">
        <v>22</v>
      </c>
      <c r="BH29" s="25">
        <v>16</v>
      </c>
      <c r="BI29" s="25">
        <v>67</v>
      </c>
      <c r="BJ29" s="25">
        <v>41</v>
      </c>
      <c r="BK29" s="25">
        <v>0</v>
      </c>
      <c r="BL29" s="25">
        <v>21</v>
      </c>
      <c r="BM29" s="25">
        <v>48</v>
      </c>
      <c r="BN29" s="25">
        <v>45</v>
      </c>
      <c r="BO29" s="25">
        <v>17</v>
      </c>
      <c r="BP29" s="25">
        <v>14</v>
      </c>
      <c r="BQ29" s="25">
        <v>17</v>
      </c>
      <c r="BR29" s="25">
        <v>14</v>
      </c>
      <c r="BS29" s="25">
        <v>0</v>
      </c>
      <c r="BT29" s="25">
        <v>21</v>
      </c>
      <c r="BU29" s="25">
        <v>2</v>
      </c>
      <c r="BV29" s="25">
        <v>4</v>
      </c>
      <c r="BW29" s="25">
        <v>29</v>
      </c>
      <c r="BX29" s="25">
        <v>43</v>
      </c>
      <c r="BY29" s="25">
        <v>0</v>
      </c>
      <c r="BZ29" s="25">
        <v>21</v>
      </c>
      <c r="CA29" s="25">
        <v>0</v>
      </c>
      <c r="CB29" s="25">
        <v>21</v>
      </c>
      <c r="CC29" s="25">
        <v>0</v>
      </c>
      <c r="CD29" s="25">
        <v>21</v>
      </c>
      <c r="CE29" s="25">
        <v>0</v>
      </c>
      <c r="CF29" s="25">
        <v>21</v>
      </c>
      <c r="CG29" s="25">
        <v>189</v>
      </c>
      <c r="CH29" s="25">
        <v>75</v>
      </c>
      <c r="CI29" s="25">
        <v>105</v>
      </c>
      <c r="CJ29" s="25">
        <v>56</v>
      </c>
      <c r="CK29" s="25">
        <v>66</v>
      </c>
      <c r="CL29" s="25">
        <v>40</v>
      </c>
      <c r="CM29" s="25">
        <v>39</v>
      </c>
      <c r="CN29" s="25">
        <v>33</v>
      </c>
      <c r="CO29" s="25">
        <v>0</v>
      </c>
      <c r="CP29" s="25">
        <v>21</v>
      </c>
      <c r="CQ29" s="25">
        <v>3</v>
      </c>
      <c r="CR29" s="25">
        <v>4</v>
      </c>
      <c r="CS29" s="25">
        <v>50</v>
      </c>
      <c r="CT29" s="25">
        <v>46</v>
      </c>
      <c r="CU29" s="25">
        <v>0</v>
      </c>
      <c r="CV29" s="25">
        <v>21</v>
      </c>
      <c r="CW29" s="25">
        <v>31</v>
      </c>
      <c r="CX29" s="25">
        <v>21</v>
      </c>
      <c r="CY29" s="25">
        <v>0</v>
      </c>
      <c r="CZ29" s="25">
        <v>21</v>
      </c>
      <c r="DA29" s="25">
        <v>102</v>
      </c>
      <c r="DB29" s="25">
        <v>52</v>
      </c>
      <c r="DC29" s="25">
        <v>79</v>
      </c>
      <c r="DD29" s="25">
        <v>48</v>
      </c>
      <c r="DE29" s="25">
        <v>77</v>
      </c>
      <c r="DF29" s="25">
        <v>47</v>
      </c>
      <c r="DG29" s="25">
        <v>2</v>
      </c>
      <c r="DH29" s="25">
        <v>3</v>
      </c>
      <c r="DI29" s="25">
        <v>9</v>
      </c>
      <c r="DJ29" s="25">
        <v>14</v>
      </c>
      <c r="DK29" s="25">
        <v>0</v>
      </c>
      <c r="DL29" s="25">
        <v>21</v>
      </c>
      <c r="DM29" s="25">
        <v>0</v>
      </c>
      <c r="DN29" s="25">
        <v>21</v>
      </c>
      <c r="DO29" s="25">
        <v>0</v>
      </c>
      <c r="DP29" s="25">
        <v>21</v>
      </c>
      <c r="DQ29" s="25">
        <v>14</v>
      </c>
      <c r="DR29" s="25">
        <v>14</v>
      </c>
      <c r="DS29" s="25">
        <v>0</v>
      </c>
      <c r="DT29" s="25">
        <v>21</v>
      </c>
      <c r="DU29" s="25">
        <v>558</v>
      </c>
      <c r="DV29" s="25">
        <v>147</v>
      </c>
      <c r="DW29" s="25">
        <v>268</v>
      </c>
      <c r="DX29" s="25">
        <v>97</v>
      </c>
      <c r="DY29" s="25">
        <v>211</v>
      </c>
      <c r="DZ29" s="25">
        <v>89</v>
      </c>
      <c r="EA29" s="25">
        <v>57</v>
      </c>
      <c r="EB29" s="25">
        <v>39</v>
      </c>
      <c r="EC29" s="25">
        <v>11</v>
      </c>
      <c r="ED29" s="25">
        <v>12</v>
      </c>
      <c r="EE29" s="25">
        <v>16</v>
      </c>
      <c r="EF29" s="25">
        <v>19</v>
      </c>
      <c r="EG29" s="25">
        <v>2</v>
      </c>
      <c r="EH29" s="25">
        <v>3</v>
      </c>
      <c r="EI29" s="25">
        <v>7</v>
      </c>
      <c r="EJ29" s="25">
        <v>7</v>
      </c>
      <c r="EK29" s="25">
        <v>250</v>
      </c>
      <c r="EL29" s="25">
        <v>92</v>
      </c>
      <c r="EM29" s="25">
        <v>4</v>
      </c>
      <c r="EN29" s="25">
        <v>7</v>
      </c>
    </row>
    <row r="30" spans="1:144" x14ac:dyDescent="0.25">
      <c r="A30" s="19">
        <f t="shared" si="8"/>
        <v>43</v>
      </c>
      <c r="B30" s="20" t="str">
        <f t="shared" si="9"/>
        <v>Summit</v>
      </c>
      <c r="C30" s="24" t="s">
        <v>330</v>
      </c>
      <c r="D30" s="24" t="s">
        <v>331</v>
      </c>
      <c r="E30" s="25">
        <v>21889</v>
      </c>
      <c r="F30" s="25">
        <v>427</v>
      </c>
      <c r="G30" s="25">
        <v>16264</v>
      </c>
      <c r="H30" s="25">
        <v>484</v>
      </c>
      <c r="I30" s="25">
        <v>14127</v>
      </c>
      <c r="J30" s="25">
        <v>498</v>
      </c>
      <c r="K30" s="25">
        <v>2137</v>
      </c>
      <c r="L30" s="25">
        <v>226</v>
      </c>
      <c r="M30" s="25">
        <v>1433</v>
      </c>
      <c r="N30" s="25">
        <v>201</v>
      </c>
      <c r="O30" s="25">
        <v>1283</v>
      </c>
      <c r="P30" s="25">
        <v>168</v>
      </c>
      <c r="Q30" s="25">
        <v>994</v>
      </c>
      <c r="R30" s="25">
        <v>149</v>
      </c>
      <c r="S30" s="25">
        <v>255</v>
      </c>
      <c r="T30" s="25">
        <v>86</v>
      </c>
      <c r="U30" s="25">
        <v>1637</v>
      </c>
      <c r="V30" s="25">
        <v>205</v>
      </c>
      <c r="W30" s="25">
        <v>23</v>
      </c>
      <c r="X30" s="25">
        <v>18</v>
      </c>
      <c r="Y30" s="25">
        <v>15653</v>
      </c>
      <c r="Z30" s="25">
        <v>517</v>
      </c>
      <c r="AA30" s="25">
        <v>11684</v>
      </c>
      <c r="AB30" s="25">
        <v>494</v>
      </c>
      <c r="AC30" s="25">
        <v>10417</v>
      </c>
      <c r="AD30" s="25">
        <v>476</v>
      </c>
      <c r="AE30" s="25">
        <v>1267</v>
      </c>
      <c r="AF30" s="25">
        <v>185</v>
      </c>
      <c r="AG30" s="25">
        <v>1143</v>
      </c>
      <c r="AH30" s="25">
        <v>177</v>
      </c>
      <c r="AI30" s="25">
        <v>1104</v>
      </c>
      <c r="AJ30" s="25">
        <v>159</v>
      </c>
      <c r="AK30" s="25">
        <v>752</v>
      </c>
      <c r="AL30" s="25">
        <v>132</v>
      </c>
      <c r="AM30" s="25">
        <v>180</v>
      </c>
      <c r="AN30" s="25">
        <v>69</v>
      </c>
      <c r="AO30" s="25">
        <v>773</v>
      </c>
      <c r="AP30" s="25">
        <v>149</v>
      </c>
      <c r="AQ30" s="25">
        <v>17</v>
      </c>
      <c r="AR30" s="25">
        <v>16</v>
      </c>
      <c r="AS30" s="25">
        <v>1704</v>
      </c>
      <c r="AT30" s="25">
        <v>318</v>
      </c>
      <c r="AU30" s="25">
        <v>1269</v>
      </c>
      <c r="AV30" s="25">
        <v>299</v>
      </c>
      <c r="AW30" s="25">
        <v>1197</v>
      </c>
      <c r="AX30" s="25">
        <v>291</v>
      </c>
      <c r="AY30" s="25">
        <v>72</v>
      </c>
      <c r="AZ30" s="25">
        <v>51</v>
      </c>
      <c r="BA30" s="25">
        <v>111</v>
      </c>
      <c r="BB30" s="25">
        <v>57</v>
      </c>
      <c r="BC30" s="25">
        <v>97</v>
      </c>
      <c r="BD30" s="25">
        <v>60</v>
      </c>
      <c r="BE30" s="25">
        <v>133</v>
      </c>
      <c r="BF30" s="25">
        <v>60</v>
      </c>
      <c r="BG30" s="25">
        <v>14</v>
      </c>
      <c r="BH30" s="25">
        <v>19</v>
      </c>
      <c r="BI30" s="25">
        <v>80</v>
      </c>
      <c r="BJ30" s="25">
        <v>52</v>
      </c>
      <c r="BK30" s="25">
        <v>0</v>
      </c>
      <c r="BL30" s="25">
        <v>24</v>
      </c>
      <c r="BM30" s="25">
        <v>450</v>
      </c>
      <c r="BN30" s="25">
        <v>192</v>
      </c>
      <c r="BO30" s="25">
        <v>437</v>
      </c>
      <c r="BP30" s="25">
        <v>192</v>
      </c>
      <c r="BQ30" s="25">
        <v>429</v>
      </c>
      <c r="BR30" s="25">
        <v>194</v>
      </c>
      <c r="BS30" s="25">
        <v>8</v>
      </c>
      <c r="BT30" s="25">
        <v>13</v>
      </c>
      <c r="BU30" s="25">
        <v>6</v>
      </c>
      <c r="BV30" s="25">
        <v>9</v>
      </c>
      <c r="BW30" s="25">
        <v>0</v>
      </c>
      <c r="BX30" s="25">
        <v>24</v>
      </c>
      <c r="BY30" s="25">
        <v>7</v>
      </c>
      <c r="BZ30" s="25">
        <v>10</v>
      </c>
      <c r="CA30" s="25">
        <v>0</v>
      </c>
      <c r="CB30" s="25">
        <v>24</v>
      </c>
      <c r="CC30" s="25">
        <v>0</v>
      </c>
      <c r="CD30" s="25">
        <v>24</v>
      </c>
      <c r="CE30" s="25">
        <v>0</v>
      </c>
      <c r="CF30" s="25">
        <v>24</v>
      </c>
      <c r="CG30" s="25">
        <v>549</v>
      </c>
      <c r="CH30" s="25">
        <v>182</v>
      </c>
      <c r="CI30" s="25">
        <v>386</v>
      </c>
      <c r="CJ30" s="25">
        <v>162</v>
      </c>
      <c r="CK30" s="25">
        <v>360</v>
      </c>
      <c r="CL30" s="25">
        <v>160</v>
      </c>
      <c r="CM30" s="25">
        <v>26</v>
      </c>
      <c r="CN30" s="25">
        <v>30</v>
      </c>
      <c r="CO30" s="25">
        <v>29</v>
      </c>
      <c r="CP30" s="25">
        <v>24</v>
      </c>
      <c r="CQ30" s="25">
        <v>11</v>
      </c>
      <c r="CR30" s="25">
        <v>15</v>
      </c>
      <c r="CS30" s="25">
        <v>4</v>
      </c>
      <c r="CT30" s="25">
        <v>6</v>
      </c>
      <c r="CU30" s="25">
        <v>31</v>
      </c>
      <c r="CV30" s="25">
        <v>47</v>
      </c>
      <c r="CW30" s="25">
        <v>88</v>
      </c>
      <c r="CX30" s="25">
        <v>51</v>
      </c>
      <c r="CY30" s="25">
        <v>0</v>
      </c>
      <c r="CZ30" s="25">
        <v>24</v>
      </c>
      <c r="DA30" s="25">
        <v>666</v>
      </c>
      <c r="DB30" s="25">
        <v>200</v>
      </c>
      <c r="DC30" s="25">
        <v>470</v>
      </c>
      <c r="DD30" s="25">
        <v>144</v>
      </c>
      <c r="DE30" s="25">
        <v>429</v>
      </c>
      <c r="DF30" s="25">
        <v>128</v>
      </c>
      <c r="DG30" s="25">
        <v>41</v>
      </c>
      <c r="DH30" s="25">
        <v>40</v>
      </c>
      <c r="DI30" s="25">
        <v>52</v>
      </c>
      <c r="DJ30" s="25">
        <v>67</v>
      </c>
      <c r="DK30" s="25">
        <v>46</v>
      </c>
      <c r="DL30" s="25">
        <v>35</v>
      </c>
      <c r="DM30" s="25">
        <v>22</v>
      </c>
      <c r="DN30" s="25">
        <v>20</v>
      </c>
      <c r="DO30" s="25">
        <v>0</v>
      </c>
      <c r="DP30" s="25">
        <v>24</v>
      </c>
      <c r="DQ30" s="25">
        <v>76</v>
      </c>
      <c r="DR30" s="25">
        <v>61</v>
      </c>
      <c r="DS30" s="25">
        <v>0</v>
      </c>
      <c r="DT30" s="25">
        <v>24</v>
      </c>
      <c r="DU30" s="25">
        <v>2867</v>
      </c>
      <c r="DV30" s="25">
        <v>329</v>
      </c>
      <c r="DW30" s="25">
        <v>2018</v>
      </c>
      <c r="DX30" s="25">
        <v>266</v>
      </c>
      <c r="DY30" s="25">
        <v>1295</v>
      </c>
      <c r="DZ30" s="25">
        <v>243</v>
      </c>
      <c r="EA30" s="25">
        <v>723</v>
      </c>
      <c r="EB30" s="25">
        <v>142</v>
      </c>
      <c r="EC30" s="25">
        <v>92</v>
      </c>
      <c r="ED30" s="25">
        <v>65</v>
      </c>
      <c r="EE30" s="25">
        <v>25</v>
      </c>
      <c r="EF30" s="25">
        <v>26</v>
      </c>
      <c r="EG30" s="25">
        <v>76</v>
      </c>
      <c r="EH30" s="25">
        <v>48</v>
      </c>
      <c r="EI30" s="25">
        <v>30</v>
      </c>
      <c r="EJ30" s="25">
        <v>28</v>
      </c>
      <c r="EK30" s="25">
        <v>620</v>
      </c>
      <c r="EL30" s="25">
        <v>158</v>
      </c>
      <c r="EM30" s="25">
        <v>6</v>
      </c>
      <c r="EN30" s="25">
        <v>9</v>
      </c>
    </row>
    <row r="31" spans="1:144" x14ac:dyDescent="0.25">
      <c r="A31" s="19">
        <f t="shared" si="8"/>
        <v>45</v>
      </c>
      <c r="B31" s="20" t="str">
        <f t="shared" si="9"/>
        <v>Tooele</v>
      </c>
      <c r="C31" s="24" t="s">
        <v>332</v>
      </c>
      <c r="D31" s="24" t="s">
        <v>333</v>
      </c>
      <c r="E31" s="25">
        <v>28546</v>
      </c>
      <c r="F31" s="25">
        <v>671</v>
      </c>
      <c r="G31" s="25">
        <v>21060</v>
      </c>
      <c r="H31" s="25">
        <v>883</v>
      </c>
      <c r="I31" s="25">
        <v>20452</v>
      </c>
      <c r="J31" s="25">
        <v>838</v>
      </c>
      <c r="K31" s="25">
        <v>608</v>
      </c>
      <c r="L31" s="25">
        <v>232</v>
      </c>
      <c r="M31" s="25">
        <v>1067</v>
      </c>
      <c r="N31" s="25">
        <v>214</v>
      </c>
      <c r="O31" s="25">
        <v>2617</v>
      </c>
      <c r="P31" s="25">
        <v>389</v>
      </c>
      <c r="Q31" s="25">
        <v>857</v>
      </c>
      <c r="R31" s="25">
        <v>220</v>
      </c>
      <c r="S31" s="25">
        <v>1916</v>
      </c>
      <c r="T31" s="25">
        <v>420</v>
      </c>
      <c r="U31" s="25">
        <v>1013</v>
      </c>
      <c r="V31" s="25">
        <v>235</v>
      </c>
      <c r="W31" s="25">
        <v>16</v>
      </c>
      <c r="X31" s="25">
        <v>21</v>
      </c>
      <c r="Y31" s="25">
        <v>21376</v>
      </c>
      <c r="Z31" s="25">
        <v>751</v>
      </c>
      <c r="AA31" s="25">
        <v>16054</v>
      </c>
      <c r="AB31" s="25">
        <v>829</v>
      </c>
      <c r="AC31" s="25">
        <v>15570</v>
      </c>
      <c r="AD31" s="25">
        <v>807</v>
      </c>
      <c r="AE31" s="25">
        <v>484</v>
      </c>
      <c r="AF31" s="25">
        <v>207</v>
      </c>
      <c r="AG31" s="25">
        <v>855</v>
      </c>
      <c r="AH31" s="25">
        <v>191</v>
      </c>
      <c r="AI31" s="25">
        <v>2224</v>
      </c>
      <c r="AJ31" s="25">
        <v>356</v>
      </c>
      <c r="AK31" s="25">
        <v>625</v>
      </c>
      <c r="AL31" s="25">
        <v>162</v>
      </c>
      <c r="AM31" s="25">
        <v>1143</v>
      </c>
      <c r="AN31" s="25">
        <v>332</v>
      </c>
      <c r="AO31" s="25">
        <v>475</v>
      </c>
      <c r="AP31" s="25">
        <v>168</v>
      </c>
      <c r="AQ31" s="25">
        <v>0</v>
      </c>
      <c r="AR31" s="25">
        <v>27</v>
      </c>
      <c r="AS31" s="25">
        <v>4655</v>
      </c>
      <c r="AT31" s="25">
        <v>551</v>
      </c>
      <c r="AU31" s="25">
        <v>3391</v>
      </c>
      <c r="AV31" s="25">
        <v>460</v>
      </c>
      <c r="AW31" s="25">
        <v>3343</v>
      </c>
      <c r="AX31" s="25">
        <v>447</v>
      </c>
      <c r="AY31" s="25">
        <v>48</v>
      </c>
      <c r="AZ31" s="25">
        <v>52</v>
      </c>
      <c r="BA31" s="25">
        <v>138</v>
      </c>
      <c r="BB31" s="25">
        <v>87</v>
      </c>
      <c r="BC31" s="25">
        <v>248</v>
      </c>
      <c r="BD31" s="25">
        <v>119</v>
      </c>
      <c r="BE31" s="25">
        <v>173</v>
      </c>
      <c r="BF31" s="25">
        <v>124</v>
      </c>
      <c r="BG31" s="25">
        <v>682</v>
      </c>
      <c r="BH31" s="25">
        <v>206</v>
      </c>
      <c r="BI31" s="25">
        <v>23</v>
      </c>
      <c r="BJ31" s="25">
        <v>21</v>
      </c>
      <c r="BK31" s="25">
        <v>0</v>
      </c>
      <c r="BL31" s="25">
        <v>27</v>
      </c>
      <c r="BM31" s="25">
        <v>419</v>
      </c>
      <c r="BN31" s="25">
        <v>120</v>
      </c>
      <c r="BO31" s="25">
        <v>302</v>
      </c>
      <c r="BP31" s="25">
        <v>109</v>
      </c>
      <c r="BQ31" s="25">
        <v>295</v>
      </c>
      <c r="BR31" s="25">
        <v>108</v>
      </c>
      <c r="BS31" s="25">
        <v>7</v>
      </c>
      <c r="BT31" s="25">
        <v>13</v>
      </c>
      <c r="BU31" s="25">
        <v>32</v>
      </c>
      <c r="BV31" s="25">
        <v>24</v>
      </c>
      <c r="BW31" s="25">
        <v>74</v>
      </c>
      <c r="BX31" s="25">
        <v>55</v>
      </c>
      <c r="BY31" s="25">
        <v>11</v>
      </c>
      <c r="BZ31" s="25">
        <v>18</v>
      </c>
      <c r="CA31" s="25">
        <v>0</v>
      </c>
      <c r="CB31" s="25">
        <v>27</v>
      </c>
      <c r="CC31" s="25">
        <v>0</v>
      </c>
      <c r="CD31" s="25">
        <v>27</v>
      </c>
      <c r="CE31" s="25">
        <v>0</v>
      </c>
      <c r="CF31" s="25">
        <v>27</v>
      </c>
      <c r="CG31" s="25">
        <v>462</v>
      </c>
      <c r="CH31" s="25">
        <v>140</v>
      </c>
      <c r="CI31" s="25">
        <v>357</v>
      </c>
      <c r="CJ31" s="25">
        <v>122</v>
      </c>
      <c r="CK31" s="25">
        <v>357</v>
      </c>
      <c r="CL31" s="25">
        <v>122</v>
      </c>
      <c r="CM31" s="25">
        <v>0</v>
      </c>
      <c r="CN31" s="25">
        <v>27</v>
      </c>
      <c r="CO31" s="25">
        <v>0</v>
      </c>
      <c r="CP31" s="25">
        <v>27</v>
      </c>
      <c r="CQ31" s="25">
        <v>36</v>
      </c>
      <c r="CR31" s="25">
        <v>39</v>
      </c>
      <c r="CS31" s="25">
        <v>6</v>
      </c>
      <c r="CT31" s="25">
        <v>11</v>
      </c>
      <c r="CU31" s="25">
        <v>54</v>
      </c>
      <c r="CV31" s="25">
        <v>43</v>
      </c>
      <c r="CW31" s="25">
        <v>9</v>
      </c>
      <c r="CX31" s="25">
        <v>16</v>
      </c>
      <c r="CY31" s="25">
        <v>0</v>
      </c>
      <c r="CZ31" s="25">
        <v>27</v>
      </c>
      <c r="DA31" s="25">
        <v>260</v>
      </c>
      <c r="DB31" s="25">
        <v>95</v>
      </c>
      <c r="DC31" s="25">
        <v>200</v>
      </c>
      <c r="DD31" s="25">
        <v>91</v>
      </c>
      <c r="DE31" s="25">
        <v>196</v>
      </c>
      <c r="DF31" s="25">
        <v>91</v>
      </c>
      <c r="DG31" s="25">
        <v>4</v>
      </c>
      <c r="DH31" s="25">
        <v>5</v>
      </c>
      <c r="DI31" s="25">
        <v>0</v>
      </c>
      <c r="DJ31" s="25">
        <v>27</v>
      </c>
      <c r="DK31" s="25">
        <v>6</v>
      </c>
      <c r="DL31" s="25">
        <v>9</v>
      </c>
      <c r="DM31" s="25">
        <v>10</v>
      </c>
      <c r="DN31" s="25">
        <v>16</v>
      </c>
      <c r="DO31" s="25">
        <v>14</v>
      </c>
      <c r="DP31" s="25">
        <v>22</v>
      </c>
      <c r="DQ31" s="25">
        <v>30</v>
      </c>
      <c r="DR31" s="25">
        <v>30</v>
      </c>
      <c r="DS31" s="25">
        <v>0</v>
      </c>
      <c r="DT31" s="25">
        <v>27</v>
      </c>
      <c r="DU31" s="25">
        <v>1374</v>
      </c>
      <c r="DV31" s="25">
        <v>240</v>
      </c>
      <c r="DW31" s="25">
        <v>756</v>
      </c>
      <c r="DX31" s="25">
        <v>178</v>
      </c>
      <c r="DY31" s="25">
        <v>691</v>
      </c>
      <c r="DZ31" s="25">
        <v>166</v>
      </c>
      <c r="EA31" s="25">
        <v>65</v>
      </c>
      <c r="EB31" s="25">
        <v>53</v>
      </c>
      <c r="EC31" s="25">
        <v>42</v>
      </c>
      <c r="ED31" s="25">
        <v>45</v>
      </c>
      <c r="EE31" s="25">
        <v>29</v>
      </c>
      <c r="EF31" s="25">
        <v>30</v>
      </c>
      <c r="EG31" s="25">
        <v>32</v>
      </c>
      <c r="EH31" s="25">
        <v>46</v>
      </c>
      <c r="EI31" s="25">
        <v>23</v>
      </c>
      <c r="EJ31" s="25">
        <v>31</v>
      </c>
      <c r="EK31" s="25">
        <v>476</v>
      </c>
      <c r="EL31" s="25">
        <v>146</v>
      </c>
      <c r="EM31" s="25">
        <v>16</v>
      </c>
      <c r="EN31" s="25">
        <v>21</v>
      </c>
    </row>
    <row r="32" spans="1:144" x14ac:dyDescent="0.25">
      <c r="A32" s="19">
        <f t="shared" si="8"/>
        <v>47</v>
      </c>
      <c r="B32" s="20" t="str">
        <f t="shared" si="9"/>
        <v>Uintah</v>
      </c>
      <c r="C32" s="24" t="s">
        <v>334</v>
      </c>
      <c r="D32" s="24" t="s">
        <v>335</v>
      </c>
      <c r="E32" s="25">
        <v>14842</v>
      </c>
      <c r="F32" s="25">
        <v>597</v>
      </c>
      <c r="G32" s="25">
        <v>10851</v>
      </c>
      <c r="H32" s="25">
        <v>601</v>
      </c>
      <c r="I32" s="25">
        <v>9940</v>
      </c>
      <c r="J32" s="25">
        <v>634</v>
      </c>
      <c r="K32" s="25">
        <v>911</v>
      </c>
      <c r="L32" s="25">
        <v>188</v>
      </c>
      <c r="M32" s="25">
        <v>522</v>
      </c>
      <c r="N32" s="25">
        <v>170</v>
      </c>
      <c r="O32" s="25">
        <v>1315</v>
      </c>
      <c r="P32" s="25">
        <v>254</v>
      </c>
      <c r="Q32" s="25">
        <v>799</v>
      </c>
      <c r="R32" s="25">
        <v>202</v>
      </c>
      <c r="S32" s="25">
        <v>675</v>
      </c>
      <c r="T32" s="25">
        <v>155</v>
      </c>
      <c r="U32" s="25">
        <v>636</v>
      </c>
      <c r="V32" s="25">
        <v>144</v>
      </c>
      <c r="W32" s="25">
        <v>44</v>
      </c>
      <c r="X32" s="25">
        <v>42</v>
      </c>
      <c r="Y32" s="25">
        <v>11749</v>
      </c>
      <c r="Z32" s="25">
        <v>661</v>
      </c>
      <c r="AA32" s="25">
        <v>8729</v>
      </c>
      <c r="AB32" s="25">
        <v>661</v>
      </c>
      <c r="AC32" s="25">
        <v>8096</v>
      </c>
      <c r="AD32" s="25">
        <v>690</v>
      </c>
      <c r="AE32" s="25">
        <v>633</v>
      </c>
      <c r="AF32" s="25">
        <v>165</v>
      </c>
      <c r="AG32" s="25">
        <v>422</v>
      </c>
      <c r="AH32" s="25">
        <v>155</v>
      </c>
      <c r="AI32" s="25">
        <v>1031</v>
      </c>
      <c r="AJ32" s="25">
        <v>219</v>
      </c>
      <c r="AK32" s="25">
        <v>674</v>
      </c>
      <c r="AL32" s="25">
        <v>192</v>
      </c>
      <c r="AM32" s="25">
        <v>604</v>
      </c>
      <c r="AN32" s="25">
        <v>145</v>
      </c>
      <c r="AO32" s="25">
        <v>266</v>
      </c>
      <c r="AP32" s="25">
        <v>94</v>
      </c>
      <c r="AQ32" s="25">
        <v>23</v>
      </c>
      <c r="AR32" s="25">
        <v>34</v>
      </c>
      <c r="AS32" s="25">
        <v>1971</v>
      </c>
      <c r="AT32" s="25">
        <v>387</v>
      </c>
      <c r="AU32" s="25">
        <v>1462</v>
      </c>
      <c r="AV32" s="25">
        <v>295</v>
      </c>
      <c r="AW32" s="25">
        <v>1391</v>
      </c>
      <c r="AX32" s="25">
        <v>295</v>
      </c>
      <c r="AY32" s="25">
        <v>71</v>
      </c>
      <c r="AZ32" s="25">
        <v>37</v>
      </c>
      <c r="BA32" s="25">
        <v>90</v>
      </c>
      <c r="BB32" s="25">
        <v>85</v>
      </c>
      <c r="BC32" s="25">
        <v>235</v>
      </c>
      <c r="BD32" s="25">
        <v>119</v>
      </c>
      <c r="BE32" s="25">
        <v>67</v>
      </c>
      <c r="BF32" s="25">
        <v>45</v>
      </c>
      <c r="BG32" s="25">
        <v>29</v>
      </c>
      <c r="BH32" s="25">
        <v>44</v>
      </c>
      <c r="BI32" s="25">
        <v>88</v>
      </c>
      <c r="BJ32" s="25">
        <v>59</v>
      </c>
      <c r="BK32" s="25">
        <v>0</v>
      </c>
      <c r="BL32" s="25">
        <v>24</v>
      </c>
      <c r="BM32" s="25">
        <v>69</v>
      </c>
      <c r="BN32" s="25">
        <v>54</v>
      </c>
      <c r="BO32" s="25">
        <v>45</v>
      </c>
      <c r="BP32" s="25">
        <v>51</v>
      </c>
      <c r="BQ32" s="25">
        <v>45</v>
      </c>
      <c r="BR32" s="25">
        <v>51</v>
      </c>
      <c r="BS32" s="25">
        <v>0</v>
      </c>
      <c r="BT32" s="25">
        <v>24</v>
      </c>
      <c r="BU32" s="25">
        <v>0</v>
      </c>
      <c r="BV32" s="25">
        <v>24</v>
      </c>
      <c r="BW32" s="25">
        <v>0</v>
      </c>
      <c r="BX32" s="25">
        <v>24</v>
      </c>
      <c r="BY32" s="25">
        <v>24</v>
      </c>
      <c r="BZ32" s="25">
        <v>25</v>
      </c>
      <c r="CA32" s="25">
        <v>0</v>
      </c>
      <c r="CB32" s="25">
        <v>24</v>
      </c>
      <c r="CC32" s="25">
        <v>0</v>
      </c>
      <c r="CD32" s="25">
        <v>24</v>
      </c>
      <c r="CE32" s="25">
        <v>0</v>
      </c>
      <c r="CF32" s="25">
        <v>24</v>
      </c>
      <c r="CG32" s="25">
        <v>288</v>
      </c>
      <c r="CH32" s="25">
        <v>127</v>
      </c>
      <c r="CI32" s="25">
        <v>177</v>
      </c>
      <c r="CJ32" s="25">
        <v>93</v>
      </c>
      <c r="CK32" s="25">
        <v>160</v>
      </c>
      <c r="CL32" s="25">
        <v>91</v>
      </c>
      <c r="CM32" s="25">
        <v>17</v>
      </c>
      <c r="CN32" s="25">
        <v>13</v>
      </c>
      <c r="CO32" s="25">
        <v>10</v>
      </c>
      <c r="CP32" s="25">
        <v>13</v>
      </c>
      <c r="CQ32" s="25">
        <v>21</v>
      </c>
      <c r="CR32" s="25">
        <v>34</v>
      </c>
      <c r="CS32" s="25">
        <v>5</v>
      </c>
      <c r="CT32" s="25">
        <v>7</v>
      </c>
      <c r="CU32" s="25">
        <v>36</v>
      </c>
      <c r="CV32" s="25">
        <v>37</v>
      </c>
      <c r="CW32" s="25">
        <v>39</v>
      </c>
      <c r="CX32" s="25">
        <v>39</v>
      </c>
      <c r="CY32" s="25">
        <v>0</v>
      </c>
      <c r="CZ32" s="25">
        <v>24</v>
      </c>
      <c r="DA32" s="25">
        <v>100</v>
      </c>
      <c r="DB32" s="25">
        <v>62</v>
      </c>
      <c r="DC32" s="25">
        <v>53</v>
      </c>
      <c r="DD32" s="25">
        <v>42</v>
      </c>
      <c r="DE32" s="25">
        <v>53</v>
      </c>
      <c r="DF32" s="25">
        <v>42</v>
      </c>
      <c r="DG32" s="25">
        <v>0</v>
      </c>
      <c r="DH32" s="25">
        <v>24</v>
      </c>
      <c r="DI32" s="25">
        <v>0</v>
      </c>
      <c r="DJ32" s="25">
        <v>24</v>
      </c>
      <c r="DK32" s="25">
        <v>28</v>
      </c>
      <c r="DL32" s="25">
        <v>32</v>
      </c>
      <c r="DM32" s="25">
        <v>13</v>
      </c>
      <c r="DN32" s="25">
        <v>21</v>
      </c>
      <c r="DO32" s="25">
        <v>6</v>
      </c>
      <c r="DP32" s="25">
        <v>8</v>
      </c>
      <c r="DQ32" s="25">
        <v>0</v>
      </c>
      <c r="DR32" s="25">
        <v>24</v>
      </c>
      <c r="DS32" s="25">
        <v>0</v>
      </c>
      <c r="DT32" s="25">
        <v>24</v>
      </c>
      <c r="DU32" s="25">
        <v>665</v>
      </c>
      <c r="DV32" s="25">
        <v>187</v>
      </c>
      <c r="DW32" s="25">
        <v>385</v>
      </c>
      <c r="DX32" s="25">
        <v>129</v>
      </c>
      <c r="DY32" s="25">
        <v>195</v>
      </c>
      <c r="DZ32" s="25">
        <v>95</v>
      </c>
      <c r="EA32" s="25">
        <v>190</v>
      </c>
      <c r="EB32" s="25">
        <v>87</v>
      </c>
      <c r="EC32" s="25">
        <v>0</v>
      </c>
      <c r="ED32" s="25">
        <v>24</v>
      </c>
      <c r="EE32" s="25">
        <v>0</v>
      </c>
      <c r="EF32" s="25">
        <v>24</v>
      </c>
      <c r="EG32" s="25">
        <v>16</v>
      </c>
      <c r="EH32" s="25">
        <v>24</v>
      </c>
      <c r="EI32" s="25">
        <v>0</v>
      </c>
      <c r="EJ32" s="25">
        <v>24</v>
      </c>
      <c r="EK32" s="25">
        <v>243</v>
      </c>
      <c r="EL32" s="25">
        <v>109</v>
      </c>
      <c r="EM32" s="25">
        <v>21</v>
      </c>
      <c r="EN32" s="25">
        <v>23</v>
      </c>
    </row>
    <row r="33" spans="1:144" x14ac:dyDescent="0.25">
      <c r="A33" s="19">
        <f t="shared" si="8"/>
        <v>49</v>
      </c>
      <c r="B33" s="20" t="str">
        <f t="shared" si="9"/>
        <v>Utah</v>
      </c>
      <c r="C33" s="24" t="s">
        <v>336</v>
      </c>
      <c r="D33" s="24" t="s">
        <v>337</v>
      </c>
      <c r="E33" s="25">
        <v>264911</v>
      </c>
      <c r="F33" s="25">
        <v>1686</v>
      </c>
      <c r="G33" s="25">
        <v>197794</v>
      </c>
      <c r="H33" s="25">
        <v>1885</v>
      </c>
      <c r="I33" s="25">
        <v>186514</v>
      </c>
      <c r="J33" s="25">
        <v>1760</v>
      </c>
      <c r="K33" s="25">
        <v>11280</v>
      </c>
      <c r="L33" s="25">
        <v>602</v>
      </c>
      <c r="M33" s="25">
        <v>24785</v>
      </c>
      <c r="N33" s="25">
        <v>1037</v>
      </c>
      <c r="O33" s="25">
        <v>14892</v>
      </c>
      <c r="P33" s="25">
        <v>722</v>
      </c>
      <c r="Q33" s="25">
        <v>11740</v>
      </c>
      <c r="R33" s="25">
        <v>715</v>
      </c>
      <c r="S33" s="25">
        <v>2840</v>
      </c>
      <c r="T33" s="25">
        <v>281</v>
      </c>
      <c r="U33" s="25">
        <v>12303</v>
      </c>
      <c r="V33" s="25">
        <v>644</v>
      </c>
      <c r="W33" s="25">
        <v>557</v>
      </c>
      <c r="X33" s="25">
        <v>155</v>
      </c>
      <c r="Y33" s="25">
        <v>194391</v>
      </c>
      <c r="Z33" s="25">
        <v>1735</v>
      </c>
      <c r="AA33" s="25">
        <v>148134</v>
      </c>
      <c r="AB33" s="25">
        <v>1726</v>
      </c>
      <c r="AC33" s="25">
        <v>141333</v>
      </c>
      <c r="AD33" s="25">
        <v>1730</v>
      </c>
      <c r="AE33" s="25">
        <v>6801</v>
      </c>
      <c r="AF33" s="25">
        <v>448</v>
      </c>
      <c r="AG33" s="25">
        <v>16594</v>
      </c>
      <c r="AH33" s="25">
        <v>755</v>
      </c>
      <c r="AI33" s="25">
        <v>11899</v>
      </c>
      <c r="AJ33" s="25">
        <v>613</v>
      </c>
      <c r="AK33" s="25">
        <v>9491</v>
      </c>
      <c r="AL33" s="25">
        <v>651</v>
      </c>
      <c r="AM33" s="25">
        <v>2227</v>
      </c>
      <c r="AN33" s="25">
        <v>271</v>
      </c>
      <c r="AO33" s="25">
        <v>5921</v>
      </c>
      <c r="AP33" s="25">
        <v>418</v>
      </c>
      <c r="AQ33" s="25">
        <v>125</v>
      </c>
      <c r="AR33" s="25">
        <v>53</v>
      </c>
      <c r="AS33" s="25">
        <v>30007</v>
      </c>
      <c r="AT33" s="25">
        <v>1246</v>
      </c>
      <c r="AU33" s="25">
        <v>22901</v>
      </c>
      <c r="AV33" s="25">
        <v>1085</v>
      </c>
      <c r="AW33" s="25">
        <v>21938</v>
      </c>
      <c r="AX33" s="25">
        <v>1041</v>
      </c>
      <c r="AY33" s="25">
        <v>963</v>
      </c>
      <c r="AZ33" s="25">
        <v>241</v>
      </c>
      <c r="BA33" s="25">
        <v>2578</v>
      </c>
      <c r="BB33" s="25">
        <v>266</v>
      </c>
      <c r="BC33" s="25">
        <v>1762</v>
      </c>
      <c r="BD33" s="25">
        <v>293</v>
      </c>
      <c r="BE33" s="25">
        <v>1193</v>
      </c>
      <c r="BF33" s="25">
        <v>231</v>
      </c>
      <c r="BG33" s="25">
        <v>305</v>
      </c>
      <c r="BH33" s="25">
        <v>112</v>
      </c>
      <c r="BI33" s="25">
        <v>1051</v>
      </c>
      <c r="BJ33" s="25">
        <v>217</v>
      </c>
      <c r="BK33" s="25">
        <v>217</v>
      </c>
      <c r="BL33" s="25">
        <v>119</v>
      </c>
      <c r="BM33" s="25">
        <v>5431</v>
      </c>
      <c r="BN33" s="25">
        <v>476</v>
      </c>
      <c r="BO33" s="25">
        <v>3438</v>
      </c>
      <c r="BP33" s="25">
        <v>347</v>
      </c>
      <c r="BQ33" s="25">
        <v>3380</v>
      </c>
      <c r="BR33" s="25">
        <v>342</v>
      </c>
      <c r="BS33" s="25">
        <v>58</v>
      </c>
      <c r="BT33" s="25">
        <v>54</v>
      </c>
      <c r="BU33" s="25">
        <v>1092</v>
      </c>
      <c r="BV33" s="25">
        <v>236</v>
      </c>
      <c r="BW33" s="25">
        <v>273</v>
      </c>
      <c r="BX33" s="25">
        <v>82</v>
      </c>
      <c r="BY33" s="25">
        <v>439</v>
      </c>
      <c r="BZ33" s="25">
        <v>111</v>
      </c>
      <c r="CA33" s="25">
        <v>127</v>
      </c>
      <c r="CB33" s="25">
        <v>57</v>
      </c>
      <c r="CC33" s="25">
        <v>62</v>
      </c>
      <c r="CD33" s="25">
        <v>48</v>
      </c>
      <c r="CE33" s="25">
        <v>0</v>
      </c>
      <c r="CF33" s="25">
        <v>27</v>
      </c>
      <c r="CG33" s="25">
        <v>10855</v>
      </c>
      <c r="CH33" s="25">
        <v>807</v>
      </c>
      <c r="CI33" s="25">
        <v>7151</v>
      </c>
      <c r="CJ33" s="25">
        <v>590</v>
      </c>
      <c r="CK33" s="25">
        <v>6983</v>
      </c>
      <c r="CL33" s="25">
        <v>591</v>
      </c>
      <c r="CM33" s="25">
        <v>168</v>
      </c>
      <c r="CN33" s="25">
        <v>65</v>
      </c>
      <c r="CO33" s="25">
        <v>2595</v>
      </c>
      <c r="CP33" s="25">
        <v>608</v>
      </c>
      <c r="CQ33" s="25">
        <v>525</v>
      </c>
      <c r="CR33" s="25">
        <v>159</v>
      </c>
      <c r="CS33" s="25">
        <v>233</v>
      </c>
      <c r="CT33" s="25">
        <v>79</v>
      </c>
      <c r="CU33" s="25">
        <v>50</v>
      </c>
      <c r="CV33" s="25">
        <v>34</v>
      </c>
      <c r="CW33" s="25">
        <v>301</v>
      </c>
      <c r="CX33" s="25">
        <v>93</v>
      </c>
      <c r="CY33" s="25">
        <v>0</v>
      </c>
      <c r="CZ33" s="25">
        <v>27</v>
      </c>
      <c r="DA33" s="25">
        <v>5932</v>
      </c>
      <c r="DB33" s="25">
        <v>489</v>
      </c>
      <c r="DC33" s="25">
        <v>4411</v>
      </c>
      <c r="DD33" s="25">
        <v>409</v>
      </c>
      <c r="DE33" s="25">
        <v>4192</v>
      </c>
      <c r="DF33" s="25">
        <v>393</v>
      </c>
      <c r="DG33" s="25">
        <v>219</v>
      </c>
      <c r="DH33" s="25">
        <v>81</v>
      </c>
      <c r="DI33" s="25">
        <v>1106</v>
      </c>
      <c r="DJ33" s="25">
        <v>299</v>
      </c>
      <c r="DK33" s="25">
        <v>111</v>
      </c>
      <c r="DL33" s="25">
        <v>50</v>
      </c>
      <c r="DM33" s="25">
        <v>114</v>
      </c>
      <c r="DN33" s="25">
        <v>58</v>
      </c>
      <c r="DO33" s="25">
        <v>27</v>
      </c>
      <c r="DP33" s="25">
        <v>24</v>
      </c>
      <c r="DQ33" s="25">
        <v>145</v>
      </c>
      <c r="DR33" s="25">
        <v>53</v>
      </c>
      <c r="DS33" s="25">
        <v>18</v>
      </c>
      <c r="DT33" s="25">
        <v>22</v>
      </c>
      <c r="DU33" s="25">
        <v>18295</v>
      </c>
      <c r="DV33" s="25">
        <v>827</v>
      </c>
      <c r="DW33" s="25">
        <v>11759</v>
      </c>
      <c r="DX33" s="25">
        <v>652</v>
      </c>
      <c r="DY33" s="25">
        <v>8688</v>
      </c>
      <c r="DZ33" s="25">
        <v>472</v>
      </c>
      <c r="EA33" s="25">
        <v>3071</v>
      </c>
      <c r="EB33" s="25">
        <v>381</v>
      </c>
      <c r="EC33" s="25">
        <v>820</v>
      </c>
      <c r="ED33" s="25">
        <v>141</v>
      </c>
      <c r="EE33" s="25">
        <v>322</v>
      </c>
      <c r="EF33" s="25">
        <v>101</v>
      </c>
      <c r="EG33" s="25">
        <v>270</v>
      </c>
      <c r="EH33" s="25">
        <v>106</v>
      </c>
      <c r="EI33" s="25">
        <v>104</v>
      </c>
      <c r="EJ33" s="25">
        <v>70</v>
      </c>
      <c r="EK33" s="25">
        <v>4823</v>
      </c>
      <c r="EL33" s="25">
        <v>458</v>
      </c>
      <c r="EM33" s="25">
        <v>197</v>
      </c>
      <c r="EN33" s="25">
        <v>106</v>
      </c>
    </row>
    <row r="34" spans="1:144" x14ac:dyDescent="0.25">
      <c r="A34" s="19">
        <f t="shared" si="8"/>
        <v>51</v>
      </c>
      <c r="B34" s="20" t="str">
        <f t="shared" si="9"/>
        <v>Wasatch</v>
      </c>
      <c r="C34" s="24" t="s">
        <v>338</v>
      </c>
      <c r="D34" s="24" t="s">
        <v>339</v>
      </c>
      <c r="E34" s="25">
        <v>14844</v>
      </c>
      <c r="F34" s="25">
        <v>413</v>
      </c>
      <c r="G34" s="25">
        <v>10680</v>
      </c>
      <c r="H34" s="25">
        <v>468</v>
      </c>
      <c r="I34" s="25">
        <v>9595</v>
      </c>
      <c r="J34" s="25">
        <v>461</v>
      </c>
      <c r="K34" s="25">
        <v>1085</v>
      </c>
      <c r="L34" s="25">
        <v>228</v>
      </c>
      <c r="M34" s="25">
        <v>969</v>
      </c>
      <c r="N34" s="25">
        <v>205</v>
      </c>
      <c r="O34" s="25">
        <v>1409</v>
      </c>
      <c r="P34" s="25">
        <v>236</v>
      </c>
      <c r="Q34" s="25">
        <v>643</v>
      </c>
      <c r="R34" s="25">
        <v>196</v>
      </c>
      <c r="S34" s="25">
        <v>243</v>
      </c>
      <c r="T34" s="25">
        <v>98</v>
      </c>
      <c r="U34" s="25">
        <v>869</v>
      </c>
      <c r="V34" s="25">
        <v>202</v>
      </c>
      <c r="W34" s="25">
        <v>31</v>
      </c>
      <c r="X34" s="25">
        <v>28</v>
      </c>
      <c r="Y34" s="25">
        <v>11905</v>
      </c>
      <c r="Z34" s="25">
        <v>496</v>
      </c>
      <c r="AA34" s="25">
        <v>8502</v>
      </c>
      <c r="AB34" s="25">
        <v>504</v>
      </c>
      <c r="AC34" s="25">
        <v>7650</v>
      </c>
      <c r="AD34" s="25">
        <v>478</v>
      </c>
      <c r="AE34" s="25">
        <v>852</v>
      </c>
      <c r="AF34" s="25">
        <v>232</v>
      </c>
      <c r="AG34" s="25">
        <v>820</v>
      </c>
      <c r="AH34" s="25">
        <v>193</v>
      </c>
      <c r="AI34" s="25">
        <v>1303</v>
      </c>
      <c r="AJ34" s="25">
        <v>232</v>
      </c>
      <c r="AK34" s="25">
        <v>526</v>
      </c>
      <c r="AL34" s="25">
        <v>178</v>
      </c>
      <c r="AM34" s="25">
        <v>213</v>
      </c>
      <c r="AN34" s="25">
        <v>93</v>
      </c>
      <c r="AO34" s="25">
        <v>522</v>
      </c>
      <c r="AP34" s="25">
        <v>155</v>
      </c>
      <c r="AQ34" s="25">
        <v>19</v>
      </c>
      <c r="AR34" s="25">
        <v>21</v>
      </c>
      <c r="AS34" s="25">
        <v>1656</v>
      </c>
      <c r="AT34" s="25">
        <v>354</v>
      </c>
      <c r="AU34" s="25">
        <v>1372</v>
      </c>
      <c r="AV34" s="25">
        <v>314</v>
      </c>
      <c r="AW34" s="25">
        <v>1264</v>
      </c>
      <c r="AX34" s="25">
        <v>317</v>
      </c>
      <c r="AY34" s="25">
        <v>108</v>
      </c>
      <c r="AZ34" s="25">
        <v>75</v>
      </c>
      <c r="BA34" s="25">
        <v>71</v>
      </c>
      <c r="BB34" s="25">
        <v>41</v>
      </c>
      <c r="BC34" s="25">
        <v>83</v>
      </c>
      <c r="BD34" s="25">
        <v>55</v>
      </c>
      <c r="BE34" s="25">
        <v>84</v>
      </c>
      <c r="BF34" s="25">
        <v>71</v>
      </c>
      <c r="BG34" s="25">
        <v>18</v>
      </c>
      <c r="BH34" s="25">
        <v>28</v>
      </c>
      <c r="BI34" s="25">
        <v>28</v>
      </c>
      <c r="BJ34" s="25">
        <v>33</v>
      </c>
      <c r="BK34" s="25">
        <v>0</v>
      </c>
      <c r="BL34" s="25">
        <v>24</v>
      </c>
      <c r="BM34" s="25">
        <v>37</v>
      </c>
      <c r="BN34" s="25">
        <v>34</v>
      </c>
      <c r="BO34" s="25">
        <v>32</v>
      </c>
      <c r="BP34" s="25">
        <v>33</v>
      </c>
      <c r="BQ34" s="25">
        <v>32</v>
      </c>
      <c r="BR34" s="25">
        <v>33</v>
      </c>
      <c r="BS34" s="25">
        <v>0</v>
      </c>
      <c r="BT34" s="25">
        <v>24</v>
      </c>
      <c r="BU34" s="25">
        <v>0</v>
      </c>
      <c r="BV34" s="25">
        <v>24</v>
      </c>
      <c r="BW34" s="25">
        <v>0</v>
      </c>
      <c r="BX34" s="25">
        <v>24</v>
      </c>
      <c r="BY34" s="25">
        <v>0</v>
      </c>
      <c r="BZ34" s="25">
        <v>24</v>
      </c>
      <c r="CA34" s="25">
        <v>0</v>
      </c>
      <c r="CB34" s="25">
        <v>24</v>
      </c>
      <c r="CC34" s="25">
        <v>5</v>
      </c>
      <c r="CD34" s="25">
        <v>10</v>
      </c>
      <c r="CE34" s="25">
        <v>0</v>
      </c>
      <c r="CF34" s="25">
        <v>24</v>
      </c>
      <c r="CG34" s="25">
        <v>241</v>
      </c>
      <c r="CH34" s="25">
        <v>89</v>
      </c>
      <c r="CI34" s="25">
        <v>178</v>
      </c>
      <c r="CJ34" s="25">
        <v>78</v>
      </c>
      <c r="CK34" s="25">
        <v>166</v>
      </c>
      <c r="CL34" s="25">
        <v>74</v>
      </c>
      <c r="CM34" s="25">
        <v>12</v>
      </c>
      <c r="CN34" s="25">
        <v>20</v>
      </c>
      <c r="CO34" s="25">
        <v>41</v>
      </c>
      <c r="CP34" s="25">
        <v>44</v>
      </c>
      <c r="CQ34" s="25">
        <v>13</v>
      </c>
      <c r="CR34" s="25">
        <v>21</v>
      </c>
      <c r="CS34" s="25">
        <v>0</v>
      </c>
      <c r="CT34" s="25">
        <v>24</v>
      </c>
      <c r="CU34" s="25">
        <v>0</v>
      </c>
      <c r="CV34" s="25">
        <v>24</v>
      </c>
      <c r="CW34" s="25">
        <v>9</v>
      </c>
      <c r="CX34" s="25">
        <v>8</v>
      </c>
      <c r="CY34" s="25">
        <v>0</v>
      </c>
      <c r="CZ34" s="25">
        <v>24</v>
      </c>
      <c r="DA34" s="25">
        <v>198</v>
      </c>
      <c r="DB34" s="25">
        <v>122</v>
      </c>
      <c r="DC34" s="25">
        <v>163</v>
      </c>
      <c r="DD34" s="25">
        <v>125</v>
      </c>
      <c r="DE34" s="25">
        <v>159</v>
      </c>
      <c r="DF34" s="25">
        <v>125</v>
      </c>
      <c r="DG34" s="25">
        <v>4</v>
      </c>
      <c r="DH34" s="25">
        <v>5</v>
      </c>
      <c r="DI34" s="25">
        <v>0</v>
      </c>
      <c r="DJ34" s="25">
        <v>24</v>
      </c>
      <c r="DK34" s="25">
        <v>0</v>
      </c>
      <c r="DL34" s="25">
        <v>24</v>
      </c>
      <c r="DM34" s="25">
        <v>8</v>
      </c>
      <c r="DN34" s="25">
        <v>15</v>
      </c>
      <c r="DO34" s="25">
        <v>0</v>
      </c>
      <c r="DP34" s="25">
        <v>24</v>
      </c>
      <c r="DQ34" s="25">
        <v>15</v>
      </c>
      <c r="DR34" s="25">
        <v>23</v>
      </c>
      <c r="DS34" s="25">
        <v>12</v>
      </c>
      <c r="DT34" s="25">
        <v>19</v>
      </c>
      <c r="DU34" s="25">
        <v>807</v>
      </c>
      <c r="DV34" s="25">
        <v>172</v>
      </c>
      <c r="DW34" s="25">
        <v>433</v>
      </c>
      <c r="DX34" s="25">
        <v>116</v>
      </c>
      <c r="DY34" s="25">
        <v>324</v>
      </c>
      <c r="DZ34" s="25">
        <v>108</v>
      </c>
      <c r="EA34" s="25">
        <v>109</v>
      </c>
      <c r="EB34" s="25">
        <v>52</v>
      </c>
      <c r="EC34" s="25">
        <v>37</v>
      </c>
      <c r="ED34" s="25">
        <v>38</v>
      </c>
      <c r="EE34" s="25">
        <v>10</v>
      </c>
      <c r="EF34" s="25">
        <v>13</v>
      </c>
      <c r="EG34" s="25">
        <v>25</v>
      </c>
      <c r="EH34" s="25">
        <v>29</v>
      </c>
      <c r="EI34" s="25">
        <v>12</v>
      </c>
      <c r="EJ34" s="25">
        <v>17</v>
      </c>
      <c r="EK34" s="25">
        <v>290</v>
      </c>
      <c r="EL34" s="25">
        <v>125</v>
      </c>
      <c r="EM34" s="25">
        <v>0</v>
      </c>
      <c r="EN34" s="25">
        <v>24</v>
      </c>
    </row>
    <row r="35" spans="1:144" x14ac:dyDescent="0.25">
      <c r="A35" s="19">
        <f t="shared" si="8"/>
        <v>53</v>
      </c>
      <c r="B35" s="20" t="str">
        <f t="shared" si="9"/>
        <v>Washington</v>
      </c>
      <c r="C35" s="24" t="s">
        <v>340</v>
      </c>
      <c r="D35" s="24" t="s">
        <v>341</v>
      </c>
      <c r="E35" s="25">
        <v>64128</v>
      </c>
      <c r="F35" s="25">
        <v>1153</v>
      </c>
      <c r="G35" s="25">
        <v>48478</v>
      </c>
      <c r="H35" s="25">
        <v>1579</v>
      </c>
      <c r="I35" s="25">
        <v>43881</v>
      </c>
      <c r="J35" s="25">
        <v>1608</v>
      </c>
      <c r="K35" s="25">
        <v>4597</v>
      </c>
      <c r="L35" s="25">
        <v>698</v>
      </c>
      <c r="M35" s="25">
        <v>3770</v>
      </c>
      <c r="N35" s="25">
        <v>517</v>
      </c>
      <c r="O35" s="25">
        <v>4756</v>
      </c>
      <c r="P35" s="25">
        <v>639</v>
      </c>
      <c r="Q35" s="25">
        <v>2371</v>
      </c>
      <c r="R35" s="25">
        <v>451</v>
      </c>
      <c r="S35" s="25">
        <v>1062</v>
      </c>
      <c r="T35" s="25">
        <v>315</v>
      </c>
      <c r="U35" s="25">
        <v>3565</v>
      </c>
      <c r="V35" s="25">
        <v>478</v>
      </c>
      <c r="W35" s="25">
        <v>126</v>
      </c>
      <c r="X35" s="25">
        <v>59</v>
      </c>
      <c r="Y35" s="25">
        <v>49678</v>
      </c>
      <c r="Z35" s="25">
        <v>1228</v>
      </c>
      <c r="AA35" s="25">
        <v>37867</v>
      </c>
      <c r="AB35" s="25">
        <v>1385</v>
      </c>
      <c r="AC35" s="25">
        <v>35190</v>
      </c>
      <c r="AD35" s="25">
        <v>1417</v>
      </c>
      <c r="AE35" s="25">
        <v>2677</v>
      </c>
      <c r="AF35" s="25">
        <v>574</v>
      </c>
      <c r="AG35" s="25">
        <v>3052</v>
      </c>
      <c r="AH35" s="25">
        <v>460</v>
      </c>
      <c r="AI35" s="25">
        <v>3808</v>
      </c>
      <c r="AJ35" s="25">
        <v>560</v>
      </c>
      <c r="AK35" s="25">
        <v>2004</v>
      </c>
      <c r="AL35" s="25">
        <v>447</v>
      </c>
      <c r="AM35" s="25">
        <v>833</v>
      </c>
      <c r="AN35" s="25">
        <v>272</v>
      </c>
      <c r="AO35" s="25">
        <v>2058</v>
      </c>
      <c r="AP35" s="25">
        <v>358</v>
      </c>
      <c r="AQ35" s="25">
        <v>56</v>
      </c>
      <c r="AR35" s="25">
        <v>45</v>
      </c>
      <c r="AS35" s="25">
        <v>6829</v>
      </c>
      <c r="AT35" s="25">
        <v>762</v>
      </c>
      <c r="AU35" s="25">
        <v>5112</v>
      </c>
      <c r="AV35" s="25">
        <v>642</v>
      </c>
      <c r="AW35" s="25">
        <v>4662</v>
      </c>
      <c r="AX35" s="25">
        <v>598</v>
      </c>
      <c r="AY35" s="25">
        <v>450</v>
      </c>
      <c r="AZ35" s="25">
        <v>214</v>
      </c>
      <c r="BA35" s="25">
        <v>374</v>
      </c>
      <c r="BB35" s="25">
        <v>125</v>
      </c>
      <c r="BC35" s="25">
        <v>651</v>
      </c>
      <c r="BD35" s="25">
        <v>191</v>
      </c>
      <c r="BE35" s="25">
        <v>274</v>
      </c>
      <c r="BF35" s="25">
        <v>123</v>
      </c>
      <c r="BG35" s="25">
        <v>177</v>
      </c>
      <c r="BH35" s="25">
        <v>155</v>
      </c>
      <c r="BI35" s="25">
        <v>203</v>
      </c>
      <c r="BJ35" s="25">
        <v>93</v>
      </c>
      <c r="BK35" s="25">
        <v>38</v>
      </c>
      <c r="BL35" s="25">
        <v>41</v>
      </c>
      <c r="BM35" s="25">
        <v>338</v>
      </c>
      <c r="BN35" s="25">
        <v>152</v>
      </c>
      <c r="BO35" s="25">
        <v>175</v>
      </c>
      <c r="BP35" s="25">
        <v>106</v>
      </c>
      <c r="BQ35" s="25">
        <v>160</v>
      </c>
      <c r="BR35" s="25">
        <v>104</v>
      </c>
      <c r="BS35" s="25">
        <v>15</v>
      </c>
      <c r="BT35" s="25">
        <v>25</v>
      </c>
      <c r="BU35" s="25">
        <v>87</v>
      </c>
      <c r="BV35" s="25">
        <v>83</v>
      </c>
      <c r="BW35" s="25">
        <v>44</v>
      </c>
      <c r="BX35" s="25">
        <v>53</v>
      </c>
      <c r="BY35" s="25">
        <v>10</v>
      </c>
      <c r="BZ35" s="25">
        <v>16</v>
      </c>
      <c r="CA35" s="25">
        <v>0</v>
      </c>
      <c r="CB35" s="25">
        <v>27</v>
      </c>
      <c r="CC35" s="25">
        <v>22</v>
      </c>
      <c r="CD35" s="25">
        <v>27</v>
      </c>
      <c r="CE35" s="25">
        <v>0</v>
      </c>
      <c r="CF35" s="25">
        <v>27</v>
      </c>
      <c r="CG35" s="25">
        <v>1007</v>
      </c>
      <c r="CH35" s="25">
        <v>322</v>
      </c>
      <c r="CI35" s="25">
        <v>679</v>
      </c>
      <c r="CJ35" s="25">
        <v>253</v>
      </c>
      <c r="CK35" s="25">
        <v>636</v>
      </c>
      <c r="CL35" s="25">
        <v>243</v>
      </c>
      <c r="CM35" s="25">
        <v>43</v>
      </c>
      <c r="CN35" s="25">
        <v>58</v>
      </c>
      <c r="CO35" s="25">
        <v>106</v>
      </c>
      <c r="CP35" s="25">
        <v>81</v>
      </c>
      <c r="CQ35" s="25">
        <v>38</v>
      </c>
      <c r="CR35" s="25">
        <v>39</v>
      </c>
      <c r="CS35" s="25">
        <v>30</v>
      </c>
      <c r="CT35" s="25">
        <v>33</v>
      </c>
      <c r="CU35" s="25">
        <v>0</v>
      </c>
      <c r="CV35" s="25">
        <v>27</v>
      </c>
      <c r="CW35" s="25">
        <v>154</v>
      </c>
      <c r="CX35" s="25">
        <v>127</v>
      </c>
      <c r="CY35" s="25">
        <v>0</v>
      </c>
      <c r="CZ35" s="25">
        <v>27</v>
      </c>
      <c r="DA35" s="25">
        <v>1129</v>
      </c>
      <c r="DB35" s="25">
        <v>273</v>
      </c>
      <c r="DC35" s="25">
        <v>949</v>
      </c>
      <c r="DD35" s="25">
        <v>248</v>
      </c>
      <c r="DE35" s="25">
        <v>909</v>
      </c>
      <c r="DF35" s="25">
        <v>238</v>
      </c>
      <c r="DG35" s="25">
        <v>40</v>
      </c>
      <c r="DH35" s="25">
        <v>50</v>
      </c>
      <c r="DI35" s="25">
        <v>65</v>
      </c>
      <c r="DJ35" s="25">
        <v>63</v>
      </c>
      <c r="DK35" s="25">
        <v>24</v>
      </c>
      <c r="DL35" s="25">
        <v>29</v>
      </c>
      <c r="DM35" s="25">
        <v>8</v>
      </c>
      <c r="DN35" s="25">
        <v>13</v>
      </c>
      <c r="DO35" s="25">
        <v>11</v>
      </c>
      <c r="DP35" s="25">
        <v>18</v>
      </c>
      <c r="DQ35" s="25">
        <v>72</v>
      </c>
      <c r="DR35" s="25">
        <v>70</v>
      </c>
      <c r="DS35" s="25">
        <v>0</v>
      </c>
      <c r="DT35" s="25">
        <v>27</v>
      </c>
      <c r="DU35" s="25">
        <v>5147</v>
      </c>
      <c r="DV35" s="25">
        <v>568</v>
      </c>
      <c r="DW35" s="25">
        <v>3696</v>
      </c>
      <c r="DX35" s="25">
        <v>490</v>
      </c>
      <c r="DY35" s="25">
        <v>2324</v>
      </c>
      <c r="DZ35" s="25">
        <v>356</v>
      </c>
      <c r="EA35" s="25">
        <v>1372</v>
      </c>
      <c r="EB35" s="25">
        <v>325</v>
      </c>
      <c r="EC35" s="25">
        <v>86</v>
      </c>
      <c r="ED35" s="25">
        <v>65</v>
      </c>
      <c r="EE35" s="25">
        <v>191</v>
      </c>
      <c r="EF35" s="25">
        <v>115</v>
      </c>
      <c r="EG35" s="25">
        <v>45</v>
      </c>
      <c r="EH35" s="25">
        <v>40</v>
      </c>
      <c r="EI35" s="25">
        <v>41</v>
      </c>
      <c r="EJ35" s="25">
        <v>39</v>
      </c>
      <c r="EK35" s="25">
        <v>1056</v>
      </c>
      <c r="EL35" s="25">
        <v>283</v>
      </c>
      <c r="EM35" s="25">
        <v>32</v>
      </c>
      <c r="EN35" s="25">
        <v>18</v>
      </c>
    </row>
    <row r="36" spans="1:144" x14ac:dyDescent="0.25">
      <c r="A36" s="19">
        <f t="shared" si="8"/>
        <v>55</v>
      </c>
      <c r="B36" s="20" t="str">
        <f t="shared" si="9"/>
        <v>Wayne</v>
      </c>
      <c r="C36" s="24" t="s">
        <v>342</v>
      </c>
      <c r="D36" s="24" t="s">
        <v>343</v>
      </c>
      <c r="E36" s="25">
        <v>1235</v>
      </c>
      <c r="F36" s="25">
        <v>85</v>
      </c>
      <c r="G36" s="25">
        <v>775</v>
      </c>
      <c r="H36" s="25">
        <v>88</v>
      </c>
      <c r="I36" s="25">
        <v>645</v>
      </c>
      <c r="J36" s="25">
        <v>85</v>
      </c>
      <c r="K36" s="25">
        <v>130</v>
      </c>
      <c r="L36" s="25">
        <v>55</v>
      </c>
      <c r="M36" s="25">
        <v>45</v>
      </c>
      <c r="N36" s="25">
        <v>24</v>
      </c>
      <c r="O36" s="25">
        <v>63</v>
      </c>
      <c r="P36" s="25">
        <v>29</v>
      </c>
      <c r="Q36" s="25">
        <v>111</v>
      </c>
      <c r="R36" s="25">
        <v>41</v>
      </c>
      <c r="S36" s="25">
        <v>52</v>
      </c>
      <c r="T36" s="25">
        <v>26</v>
      </c>
      <c r="U36" s="25">
        <v>183</v>
      </c>
      <c r="V36" s="25">
        <v>64</v>
      </c>
      <c r="W36" s="25">
        <v>6</v>
      </c>
      <c r="X36" s="25">
        <v>9</v>
      </c>
      <c r="Y36" s="25">
        <v>907</v>
      </c>
      <c r="Z36" s="25">
        <v>101</v>
      </c>
      <c r="AA36" s="25">
        <v>583</v>
      </c>
      <c r="AB36" s="25">
        <v>92</v>
      </c>
      <c r="AC36" s="25">
        <v>520</v>
      </c>
      <c r="AD36" s="25">
        <v>85</v>
      </c>
      <c r="AE36" s="25">
        <v>63</v>
      </c>
      <c r="AF36" s="25">
        <v>32</v>
      </c>
      <c r="AG36" s="25">
        <v>26</v>
      </c>
      <c r="AH36" s="25">
        <v>18</v>
      </c>
      <c r="AI36" s="25">
        <v>59</v>
      </c>
      <c r="AJ36" s="25">
        <v>28</v>
      </c>
      <c r="AK36" s="25">
        <v>100</v>
      </c>
      <c r="AL36" s="25">
        <v>39</v>
      </c>
      <c r="AM36" s="25">
        <v>22</v>
      </c>
      <c r="AN36" s="25">
        <v>15</v>
      </c>
      <c r="AO36" s="25">
        <v>111</v>
      </c>
      <c r="AP36" s="25">
        <v>46</v>
      </c>
      <c r="AQ36" s="25">
        <v>6</v>
      </c>
      <c r="AR36" s="25">
        <v>9</v>
      </c>
      <c r="AS36" s="25">
        <v>152</v>
      </c>
      <c r="AT36" s="25">
        <v>64</v>
      </c>
      <c r="AU36" s="25">
        <v>116</v>
      </c>
      <c r="AV36" s="25">
        <v>57</v>
      </c>
      <c r="AW36" s="25">
        <v>67</v>
      </c>
      <c r="AX36" s="25">
        <v>36</v>
      </c>
      <c r="AY36" s="25">
        <v>49</v>
      </c>
      <c r="AZ36" s="25">
        <v>43</v>
      </c>
      <c r="BA36" s="25">
        <v>15</v>
      </c>
      <c r="BB36" s="25">
        <v>14</v>
      </c>
      <c r="BC36" s="25">
        <v>3</v>
      </c>
      <c r="BD36" s="25">
        <v>4</v>
      </c>
      <c r="BE36" s="25">
        <v>0</v>
      </c>
      <c r="BF36" s="25">
        <v>11</v>
      </c>
      <c r="BG36" s="25">
        <v>16</v>
      </c>
      <c r="BH36" s="25">
        <v>18</v>
      </c>
      <c r="BI36" s="25">
        <v>2</v>
      </c>
      <c r="BJ36" s="25">
        <v>4</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89</v>
      </c>
      <c r="CH36" s="25">
        <v>48</v>
      </c>
      <c r="CI36" s="25">
        <v>40</v>
      </c>
      <c r="CJ36" s="25">
        <v>24</v>
      </c>
      <c r="CK36" s="25">
        <v>36</v>
      </c>
      <c r="CL36" s="25">
        <v>23</v>
      </c>
      <c r="CM36" s="25">
        <v>4</v>
      </c>
      <c r="CN36" s="25">
        <v>5</v>
      </c>
      <c r="CO36" s="25">
        <v>0</v>
      </c>
      <c r="CP36" s="25">
        <v>11</v>
      </c>
      <c r="CQ36" s="25">
        <v>0</v>
      </c>
      <c r="CR36" s="25">
        <v>11</v>
      </c>
      <c r="CS36" s="25">
        <v>2</v>
      </c>
      <c r="CT36" s="25">
        <v>3</v>
      </c>
      <c r="CU36" s="25">
        <v>9</v>
      </c>
      <c r="CV36" s="25">
        <v>8</v>
      </c>
      <c r="CW36" s="25">
        <v>38</v>
      </c>
      <c r="CX36" s="25">
        <v>42</v>
      </c>
      <c r="CY36" s="25">
        <v>0</v>
      </c>
      <c r="CZ36" s="25">
        <v>11</v>
      </c>
      <c r="DA36" s="25">
        <v>7</v>
      </c>
      <c r="DB36" s="25">
        <v>12</v>
      </c>
      <c r="DC36" s="25">
        <v>7</v>
      </c>
      <c r="DD36" s="25">
        <v>12</v>
      </c>
      <c r="DE36" s="25">
        <v>7</v>
      </c>
      <c r="DF36" s="25">
        <v>12</v>
      </c>
      <c r="DG36" s="25">
        <v>0</v>
      </c>
      <c r="DH36" s="25">
        <v>11</v>
      </c>
      <c r="DI36" s="25">
        <v>0</v>
      </c>
      <c r="DJ36" s="25">
        <v>11</v>
      </c>
      <c r="DK36" s="25">
        <v>0</v>
      </c>
      <c r="DL36" s="25">
        <v>11</v>
      </c>
      <c r="DM36" s="25">
        <v>0</v>
      </c>
      <c r="DN36" s="25">
        <v>11</v>
      </c>
      <c r="DO36" s="25">
        <v>0</v>
      </c>
      <c r="DP36" s="25">
        <v>11</v>
      </c>
      <c r="DQ36" s="25">
        <v>0</v>
      </c>
      <c r="DR36" s="25">
        <v>11</v>
      </c>
      <c r="DS36" s="25">
        <v>0</v>
      </c>
      <c r="DT36" s="25">
        <v>11</v>
      </c>
      <c r="DU36" s="25">
        <v>80</v>
      </c>
      <c r="DV36" s="25">
        <v>31</v>
      </c>
      <c r="DW36" s="25">
        <v>29</v>
      </c>
      <c r="DX36" s="25">
        <v>17</v>
      </c>
      <c r="DY36" s="25">
        <v>15</v>
      </c>
      <c r="DZ36" s="25">
        <v>13</v>
      </c>
      <c r="EA36" s="25">
        <v>14</v>
      </c>
      <c r="EB36" s="25">
        <v>14</v>
      </c>
      <c r="EC36" s="25">
        <v>4</v>
      </c>
      <c r="ED36" s="25">
        <v>6</v>
      </c>
      <c r="EE36" s="25">
        <v>1</v>
      </c>
      <c r="EF36" s="25">
        <v>3</v>
      </c>
      <c r="EG36" s="25">
        <v>9</v>
      </c>
      <c r="EH36" s="25">
        <v>14</v>
      </c>
      <c r="EI36" s="25">
        <v>5</v>
      </c>
      <c r="EJ36" s="25">
        <v>10</v>
      </c>
      <c r="EK36" s="25">
        <v>32</v>
      </c>
      <c r="EL36" s="25">
        <v>19</v>
      </c>
      <c r="EM36" s="25">
        <v>0</v>
      </c>
      <c r="EN36" s="25">
        <v>11</v>
      </c>
    </row>
    <row r="37" spans="1:144" x14ac:dyDescent="0.25">
      <c r="A37" s="19">
        <f t="shared" si="8"/>
        <v>57</v>
      </c>
      <c r="B37" s="20" t="str">
        <f t="shared" si="9"/>
        <v>Weber</v>
      </c>
      <c r="C37" s="24" t="s">
        <v>344</v>
      </c>
      <c r="D37" s="24" t="s">
        <v>345</v>
      </c>
      <c r="E37" s="25">
        <v>117743</v>
      </c>
      <c r="F37" s="25">
        <v>1309</v>
      </c>
      <c r="G37" s="25">
        <v>83805</v>
      </c>
      <c r="H37" s="25">
        <v>1524</v>
      </c>
      <c r="I37" s="25">
        <v>79493</v>
      </c>
      <c r="J37" s="25">
        <v>1606</v>
      </c>
      <c r="K37" s="25">
        <v>4312</v>
      </c>
      <c r="L37" s="25">
        <v>499</v>
      </c>
      <c r="M37" s="25">
        <v>7211</v>
      </c>
      <c r="N37" s="25">
        <v>679</v>
      </c>
      <c r="O37" s="25">
        <v>6335</v>
      </c>
      <c r="P37" s="25">
        <v>487</v>
      </c>
      <c r="Q37" s="25">
        <v>5373</v>
      </c>
      <c r="R37" s="25">
        <v>489</v>
      </c>
      <c r="S37" s="25">
        <v>10235</v>
      </c>
      <c r="T37" s="25">
        <v>685</v>
      </c>
      <c r="U37" s="25">
        <v>4608</v>
      </c>
      <c r="V37" s="25">
        <v>437</v>
      </c>
      <c r="W37" s="25">
        <v>176</v>
      </c>
      <c r="X37" s="25">
        <v>88</v>
      </c>
      <c r="Y37" s="25">
        <v>94964</v>
      </c>
      <c r="Z37" s="25">
        <v>1381</v>
      </c>
      <c r="AA37" s="25">
        <v>67650</v>
      </c>
      <c r="AB37" s="25">
        <v>1489</v>
      </c>
      <c r="AC37" s="25">
        <v>65000</v>
      </c>
      <c r="AD37" s="25">
        <v>1501</v>
      </c>
      <c r="AE37" s="25">
        <v>2650</v>
      </c>
      <c r="AF37" s="25">
        <v>363</v>
      </c>
      <c r="AG37" s="25">
        <v>5855</v>
      </c>
      <c r="AH37" s="25">
        <v>588</v>
      </c>
      <c r="AI37" s="25">
        <v>5383</v>
      </c>
      <c r="AJ37" s="25">
        <v>449</v>
      </c>
      <c r="AK37" s="25">
        <v>4405</v>
      </c>
      <c r="AL37" s="25">
        <v>423</v>
      </c>
      <c r="AM37" s="25">
        <v>8867</v>
      </c>
      <c r="AN37" s="25">
        <v>652</v>
      </c>
      <c r="AO37" s="25">
        <v>2654</v>
      </c>
      <c r="AP37" s="25">
        <v>406</v>
      </c>
      <c r="AQ37" s="25">
        <v>150</v>
      </c>
      <c r="AR37" s="25">
        <v>84</v>
      </c>
      <c r="AS37" s="25">
        <v>11729</v>
      </c>
      <c r="AT37" s="25">
        <v>805</v>
      </c>
      <c r="AU37" s="25">
        <v>8668</v>
      </c>
      <c r="AV37" s="25">
        <v>652</v>
      </c>
      <c r="AW37" s="25">
        <v>8347</v>
      </c>
      <c r="AX37" s="25">
        <v>638</v>
      </c>
      <c r="AY37" s="25">
        <v>321</v>
      </c>
      <c r="AZ37" s="25">
        <v>181</v>
      </c>
      <c r="BA37" s="25">
        <v>701</v>
      </c>
      <c r="BB37" s="25">
        <v>155</v>
      </c>
      <c r="BC37" s="25">
        <v>585</v>
      </c>
      <c r="BD37" s="25">
        <v>180</v>
      </c>
      <c r="BE37" s="25">
        <v>452</v>
      </c>
      <c r="BF37" s="25">
        <v>142</v>
      </c>
      <c r="BG37" s="25">
        <v>892</v>
      </c>
      <c r="BH37" s="25">
        <v>225</v>
      </c>
      <c r="BI37" s="25">
        <v>418</v>
      </c>
      <c r="BJ37" s="25">
        <v>129</v>
      </c>
      <c r="BK37" s="25">
        <v>13</v>
      </c>
      <c r="BL37" s="25">
        <v>20</v>
      </c>
      <c r="BM37" s="25">
        <v>1813</v>
      </c>
      <c r="BN37" s="25">
        <v>295</v>
      </c>
      <c r="BO37" s="25">
        <v>1150</v>
      </c>
      <c r="BP37" s="25">
        <v>248</v>
      </c>
      <c r="BQ37" s="25">
        <v>1116</v>
      </c>
      <c r="BR37" s="25">
        <v>244</v>
      </c>
      <c r="BS37" s="25">
        <v>34</v>
      </c>
      <c r="BT37" s="25">
        <v>51</v>
      </c>
      <c r="BU37" s="25">
        <v>253</v>
      </c>
      <c r="BV37" s="25">
        <v>102</v>
      </c>
      <c r="BW37" s="25">
        <v>112</v>
      </c>
      <c r="BX37" s="25">
        <v>65</v>
      </c>
      <c r="BY37" s="25">
        <v>168</v>
      </c>
      <c r="BZ37" s="25">
        <v>63</v>
      </c>
      <c r="CA37" s="25">
        <v>121</v>
      </c>
      <c r="CB37" s="25">
        <v>78</v>
      </c>
      <c r="CC37" s="25">
        <v>9</v>
      </c>
      <c r="CD37" s="25">
        <v>19</v>
      </c>
      <c r="CE37" s="25">
        <v>0</v>
      </c>
      <c r="CF37" s="25">
        <v>27</v>
      </c>
      <c r="CG37" s="25">
        <v>1597</v>
      </c>
      <c r="CH37" s="25">
        <v>335</v>
      </c>
      <c r="CI37" s="25">
        <v>1044</v>
      </c>
      <c r="CJ37" s="25">
        <v>239</v>
      </c>
      <c r="CK37" s="25">
        <v>982</v>
      </c>
      <c r="CL37" s="25">
        <v>241</v>
      </c>
      <c r="CM37" s="25">
        <v>62</v>
      </c>
      <c r="CN37" s="25">
        <v>42</v>
      </c>
      <c r="CO37" s="25">
        <v>100</v>
      </c>
      <c r="CP37" s="25">
        <v>62</v>
      </c>
      <c r="CQ37" s="25">
        <v>156</v>
      </c>
      <c r="CR37" s="25">
        <v>88</v>
      </c>
      <c r="CS37" s="25">
        <v>156</v>
      </c>
      <c r="CT37" s="25">
        <v>132</v>
      </c>
      <c r="CU37" s="25">
        <v>36</v>
      </c>
      <c r="CV37" s="25">
        <v>35</v>
      </c>
      <c r="CW37" s="25">
        <v>105</v>
      </c>
      <c r="CX37" s="25">
        <v>88</v>
      </c>
      <c r="CY37" s="25">
        <v>0</v>
      </c>
      <c r="CZ37" s="25">
        <v>27</v>
      </c>
      <c r="DA37" s="25">
        <v>1875</v>
      </c>
      <c r="DB37" s="25">
        <v>291</v>
      </c>
      <c r="DC37" s="25">
        <v>1503</v>
      </c>
      <c r="DD37" s="25">
        <v>269</v>
      </c>
      <c r="DE37" s="25">
        <v>1487</v>
      </c>
      <c r="DF37" s="25">
        <v>270</v>
      </c>
      <c r="DG37" s="25">
        <v>16</v>
      </c>
      <c r="DH37" s="25">
        <v>19</v>
      </c>
      <c r="DI37" s="25">
        <v>103</v>
      </c>
      <c r="DJ37" s="25">
        <v>65</v>
      </c>
      <c r="DK37" s="25">
        <v>52</v>
      </c>
      <c r="DL37" s="25">
        <v>42</v>
      </c>
      <c r="DM37" s="25">
        <v>52</v>
      </c>
      <c r="DN37" s="25">
        <v>57</v>
      </c>
      <c r="DO37" s="25">
        <v>77</v>
      </c>
      <c r="DP37" s="25">
        <v>61</v>
      </c>
      <c r="DQ37" s="25">
        <v>84</v>
      </c>
      <c r="DR37" s="25">
        <v>54</v>
      </c>
      <c r="DS37" s="25">
        <v>4</v>
      </c>
      <c r="DT37" s="25">
        <v>6</v>
      </c>
      <c r="DU37" s="25">
        <v>5765</v>
      </c>
      <c r="DV37" s="25">
        <v>621</v>
      </c>
      <c r="DW37" s="25">
        <v>3790</v>
      </c>
      <c r="DX37" s="25">
        <v>443</v>
      </c>
      <c r="DY37" s="25">
        <v>2561</v>
      </c>
      <c r="DZ37" s="25">
        <v>344</v>
      </c>
      <c r="EA37" s="25">
        <v>1229</v>
      </c>
      <c r="EB37" s="25">
        <v>273</v>
      </c>
      <c r="EC37" s="25">
        <v>199</v>
      </c>
      <c r="ED37" s="25">
        <v>100</v>
      </c>
      <c r="EE37" s="25">
        <v>47</v>
      </c>
      <c r="EF37" s="25">
        <v>37</v>
      </c>
      <c r="EG37" s="25">
        <v>140</v>
      </c>
      <c r="EH37" s="25">
        <v>84</v>
      </c>
      <c r="EI37" s="25">
        <v>242</v>
      </c>
      <c r="EJ37" s="25">
        <v>100</v>
      </c>
      <c r="EK37" s="25">
        <v>1338</v>
      </c>
      <c r="EL37" s="25">
        <v>248</v>
      </c>
      <c r="EM37" s="25">
        <v>9</v>
      </c>
      <c r="EN37" s="25">
        <v>9</v>
      </c>
    </row>
    <row r="39" spans="1:144" x14ac:dyDescent="0.25">
      <c r="A39" s="19">
        <f>VLOOKUP($C39, lu_GEOID, 2, FALSE)</f>
        <v>101</v>
      </c>
      <c r="B39" s="20" t="str">
        <f>VLOOKUP($C39, lu_GEOID, 3, FALSE)</f>
        <v>Wasatch Front</v>
      </c>
      <c r="C39" s="17" t="s">
        <v>401</v>
      </c>
      <c r="D39" s="21" t="str">
        <f>B39</f>
        <v>Wasatch Front</v>
      </c>
      <c r="E39" s="22">
        <f>E14 + E26 + E33 + E37</f>
        <v>1110955</v>
      </c>
      <c r="F39" s="22">
        <f t="shared" ref="F39:BQ39" si="10">F14 + F26 + F33 + F37</f>
        <v>7550</v>
      </c>
      <c r="G39" s="22">
        <f t="shared" si="10"/>
        <v>821825</v>
      </c>
      <c r="H39" s="22">
        <f t="shared" si="10"/>
        <v>8217</v>
      </c>
      <c r="I39" s="22">
        <f t="shared" si="10"/>
        <v>777386</v>
      </c>
      <c r="J39" s="22">
        <f t="shared" si="10"/>
        <v>8434</v>
      </c>
      <c r="K39" s="22">
        <f t="shared" si="10"/>
        <v>44439</v>
      </c>
      <c r="L39" s="22">
        <f t="shared" si="10"/>
        <v>2803</v>
      </c>
      <c r="M39" s="22">
        <f t="shared" si="10"/>
        <v>84842</v>
      </c>
      <c r="N39" s="22">
        <f t="shared" si="10"/>
        <v>3915</v>
      </c>
      <c r="O39" s="22">
        <f t="shared" si="10"/>
        <v>57496</v>
      </c>
      <c r="P39" s="22">
        <f t="shared" si="10"/>
        <v>3082</v>
      </c>
      <c r="Q39" s="22">
        <f t="shared" si="10"/>
        <v>59180</v>
      </c>
      <c r="R39" s="22">
        <f t="shared" si="10"/>
        <v>3036</v>
      </c>
      <c r="S39" s="22">
        <f t="shared" si="10"/>
        <v>36859</v>
      </c>
      <c r="T39" s="22">
        <f t="shared" si="10"/>
        <v>2542</v>
      </c>
      <c r="U39" s="22">
        <f t="shared" si="10"/>
        <v>49166</v>
      </c>
      <c r="V39" s="22">
        <f t="shared" si="10"/>
        <v>2758</v>
      </c>
      <c r="W39" s="22">
        <f t="shared" si="10"/>
        <v>1587</v>
      </c>
      <c r="X39" s="22">
        <f t="shared" si="10"/>
        <v>487</v>
      </c>
      <c r="Y39" s="22">
        <f t="shared" si="10"/>
        <v>842460</v>
      </c>
      <c r="Z39" s="22">
        <f t="shared" si="10"/>
        <v>8545</v>
      </c>
      <c r="AA39" s="22">
        <f t="shared" si="10"/>
        <v>630996</v>
      </c>
      <c r="AB39" s="22">
        <f t="shared" si="10"/>
        <v>8729</v>
      </c>
      <c r="AC39" s="22">
        <f t="shared" si="10"/>
        <v>603375</v>
      </c>
      <c r="AD39" s="22">
        <f t="shared" si="10"/>
        <v>8799</v>
      </c>
      <c r="AE39" s="22">
        <f t="shared" si="10"/>
        <v>27621</v>
      </c>
      <c r="AF39" s="22">
        <f t="shared" si="10"/>
        <v>2062</v>
      </c>
      <c r="AG39" s="22">
        <f t="shared" si="10"/>
        <v>63114</v>
      </c>
      <c r="AH39" s="22">
        <f t="shared" si="10"/>
        <v>3266</v>
      </c>
      <c r="AI39" s="22">
        <f t="shared" si="10"/>
        <v>46964</v>
      </c>
      <c r="AJ39" s="22">
        <f t="shared" si="10"/>
        <v>2782</v>
      </c>
      <c r="AK39" s="22">
        <f t="shared" si="10"/>
        <v>44985</v>
      </c>
      <c r="AL39" s="22">
        <f t="shared" si="10"/>
        <v>2727</v>
      </c>
      <c r="AM39" s="22">
        <f t="shared" si="10"/>
        <v>30750</v>
      </c>
      <c r="AN39" s="22">
        <f t="shared" si="10"/>
        <v>2263</v>
      </c>
      <c r="AO39" s="22">
        <f t="shared" si="10"/>
        <v>24942</v>
      </c>
      <c r="AP39" s="22">
        <f t="shared" si="10"/>
        <v>2013</v>
      </c>
      <c r="AQ39" s="22">
        <f t="shared" si="10"/>
        <v>709</v>
      </c>
      <c r="AR39" s="22">
        <f t="shared" si="10"/>
        <v>288</v>
      </c>
      <c r="AS39" s="22">
        <f t="shared" si="10"/>
        <v>122159</v>
      </c>
      <c r="AT39" s="22">
        <f t="shared" si="10"/>
        <v>5009</v>
      </c>
      <c r="AU39" s="22">
        <f t="shared" si="10"/>
        <v>94449</v>
      </c>
      <c r="AV39" s="22">
        <f t="shared" si="10"/>
        <v>4399</v>
      </c>
      <c r="AW39" s="22">
        <f t="shared" si="10"/>
        <v>90525</v>
      </c>
      <c r="AX39" s="22">
        <f t="shared" si="10"/>
        <v>4342</v>
      </c>
      <c r="AY39" s="22">
        <f t="shared" si="10"/>
        <v>3924</v>
      </c>
      <c r="AZ39" s="22">
        <f t="shared" si="10"/>
        <v>898</v>
      </c>
      <c r="BA39" s="22">
        <f t="shared" si="10"/>
        <v>8193</v>
      </c>
      <c r="BB39" s="22">
        <f t="shared" si="10"/>
        <v>1086</v>
      </c>
      <c r="BC39" s="22">
        <f t="shared" si="10"/>
        <v>5691</v>
      </c>
      <c r="BD39" s="22">
        <f t="shared" si="10"/>
        <v>947</v>
      </c>
      <c r="BE39" s="22">
        <f t="shared" si="10"/>
        <v>6033</v>
      </c>
      <c r="BF39" s="22">
        <f t="shared" si="10"/>
        <v>1069</v>
      </c>
      <c r="BG39" s="22">
        <f t="shared" si="10"/>
        <v>3464</v>
      </c>
      <c r="BH39" s="22">
        <f t="shared" si="10"/>
        <v>879</v>
      </c>
      <c r="BI39" s="22">
        <f t="shared" si="10"/>
        <v>4027</v>
      </c>
      <c r="BJ39" s="22">
        <f t="shared" si="10"/>
        <v>882</v>
      </c>
      <c r="BK39" s="22">
        <f t="shared" si="10"/>
        <v>302</v>
      </c>
      <c r="BL39" s="22">
        <f t="shared" si="10"/>
        <v>211</v>
      </c>
      <c r="BM39" s="22">
        <f t="shared" si="10"/>
        <v>32358</v>
      </c>
      <c r="BN39" s="22">
        <f t="shared" si="10"/>
        <v>2470</v>
      </c>
      <c r="BO39" s="22">
        <f t="shared" si="10"/>
        <v>20304</v>
      </c>
      <c r="BP39" s="22">
        <f t="shared" si="10"/>
        <v>1990</v>
      </c>
      <c r="BQ39" s="22">
        <f t="shared" si="10"/>
        <v>20045</v>
      </c>
      <c r="BR39" s="22">
        <f t="shared" ref="BR39:EC39" si="11">BR14 + BR26 + BR33 + BR37</f>
        <v>1989</v>
      </c>
      <c r="BS39" s="22">
        <f t="shared" si="11"/>
        <v>259</v>
      </c>
      <c r="BT39" s="22">
        <f t="shared" si="11"/>
        <v>222</v>
      </c>
      <c r="BU39" s="22">
        <f t="shared" si="11"/>
        <v>4843</v>
      </c>
      <c r="BV39" s="22">
        <f t="shared" si="11"/>
        <v>883</v>
      </c>
      <c r="BW39" s="22">
        <f t="shared" si="11"/>
        <v>1680</v>
      </c>
      <c r="BX39" s="22">
        <f t="shared" si="11"/>
        <v>482</v>
      </c>
      <c r="BY39" s="22">
        <f t="shared" si="11"/>
        <v>4042</v>
      </c>
      <c r="BZ39" s="22">
        <f t="shared" si="11"/>
        <v>708</v>
      </c>
      <c r="CA39" s="22">
        <f t="shared" si="11"/>
        <v>1056</v>
      </c>
      <c r="CB39" s="22">
        <f t="shared" si="11"/>
        <v>458</v>
      </c>
      <c r="CC39" s="22">
        <f t="shared" si="11"/>
        <v>433</v>
      </c>
      <c r="CD39" s="22">
        <f t="shared" si="11"/>
        <v>264</v>
      </c>
      <c r="CE39" s="22">
        <f t="shared" si="11"/>
        <v>0</v>
      </c>
      <c r="CF39" s="22">
        <f t="shared" si="11"/>
        <v>108</v>
      </c>
      <c r="CG39" s="22">
        <f t="shared" si="11"/>
        <v>27694</v>
      </c>
      <c r="CH39" s="22">
        <f t="shared" si="11"/>
        <v>2346</v>
      </c>
      <c r="CI39" s="22">
        <f t="shared" si="11"/>
        <v>18985</v>
      </c>
      <c r="CJ39" s="22">
        <f t="shared" si="11"/>
        <v>1907</v>
      </c>
      <c r="CK39" s="22">
        <f t="shared" si="11"/>
        <v>18368</v>
      </c>
      <c r="CL39" s="22">
        <f t="shared" si="11"/>
        <v>1895</v>
      </c>
      <c r="CM39" s="22">
        <f t="shared" si="11"/>
        <v>617</v>
      </c>
      <c r="CN39" s="22">
        <f t="shared" si="11"/>
        <v>262</v>
      </c>
      <c r="CO39" s="22">
        <f t="shared" si="11"/>
        <v>3920</v>
      </c>
      <c r="CP39" s="22">
        <f t="shared" si="11"/>
        <v>970</v>
      </c>
      <c r="CQ39" s="22">
        <f t="shared" si="11"/>
        <v>1468</v>
      </c>
      <c r="CR39" s="22">
        <f t="shared" si="11"/>
        <v>497</v>
      </c>
      <c r="CS39" s="22">
        <f t="shared" si="11"/>
        <v>1736</v>
      </c>
      <c r="CT39" s="22">
        <f t="shared" si="11"/>
        <v>596</v>
      </c>
      <c r="CU39" s="22">
        <f t="shared" si="11"/>
        <v>370</v>
      </c>
      <c r="CV39" s="22">
        <f t="shared" si="11"/>
        <v>241</v>
      </c>
      <c r="CW39" s="22">
        <f t="shared" si="11"/>
        <v>1177</v>
      </c>
      <c r="CX39" s="22">
        <f t="shared" si="11"/>
        <v>440</v>
      </c>
      <c r="CY39" s="22">
        <f t="shared" si="11"/>
        <v>38</v>
      </c>
      <c r="CZ39" s="22">
        <f t="shared" si="11"/>
        <v>105</v>
      </c>
      <c r="DA39" s="22">
        <f t="shared" si="11"/>
        <v>19263</v>
      </c>
      <c r="DB39" s="22">
        <f t="shared" si="11"/>
        <v>1735</v>
      </c>
      <c r="DC39" s="22">
        <f t="shared" si="11"/>
        <v>14172</v>
      </c>
      <c r="DD39" s="22">
        <f t="shared" si="11"/>
        <v>1502</v>
      </c>
      <c r="DE39" s="22">
        <f t="shared" si="11"/>
        <v>13564</v>
      </c>
      <c r="DF39" s="22">
        <f t="shared" si="11"/>
        <v>1503</v>
      </c>
      <c r="DG39" s="22">
        <f t="shared" si="11"/>
        <v>608</v>
      </c>
      <c r="DH39" s="22">
        <f t="shared" si="11"/>
        <v>272</v>
      </c>
      <c r="DI39" s="22">
        <f t="shared" si="11"/>
        <v>2148</v>
      </c>
      <c r="DJ39" s="22">
        <f t="shared" si="11"/>
        <v>598</v>
      </c>
      <c r="DK39" s="22">
        <f t="shared" si="11"/>
        <v>754</v>
      </c>
      <c r="DL39" s="22">
        <f t="shared" si="11"/>
        <v>309</v>
      </c>
      <c r="DM39" s="22">
        <f t="shared" si="11"/>
        <v>1065</v>
      </c>
      <c r="DN39" s="22">
        <f t="shared" si="11"/>
        <v>357</v>
      </c>
      <c r="DO39" s="22">
        <f t="shared" si="11"/>
        <v>425</v>
      </c>
      <c r="DP39" s="22">
        <f t="shared" si="11"/>
        <v>232</v>
      </c>
      <c r="DQ39" s="22">
        <f t="shared" si="11"/>
        <v>677</v>
      </c>
      <c r="DR39" s="22">
        <f t="shared" si="11"/>
        <v>301</v>
      </c>
      <c r="DS39" s="22">
        <f t="shared" si="11"/>
        <v>22</v>
      </c>
      <c r="DT39" s="22">
        <f t="shared" si="11"/>
        <v>82</v>
      </c>
      <c r="DU39" s="22">
        <f t="shared" si="11"/>
        <v>67021</v>
      </c>
      <c r="DV39" s="22">
        <f t="shared" si="11"/>
        <v>3504</v>
      </c>
      <c r="DW39" s="22">
        <f t="shared" si="11"/>
        <v>42919</v>
      </c>
      <c r="DX39" s="22">
        <f t="shared" si="11"/>
        <v>2751</v>
      </c>
      <c r="DY39" s="22">
        <f t="shared" si="11"/>
        <v>31509</v>
      </c>
      <c r="DZ39" s="22">
        <f t="shared" si="11"/>
        <v>2135</v>
      </c>
      <c r="EA39" s="22">
        <f t="shared" si="11"/>
        <v>11410</v>
      </c>
      <c r="EB39" s="22">
        <f t="shared" si="11"/>
        <v>1567</v>
      </c>
      <c r="EC39" s="22">
        <f t="shared" si="11"/>
        <v>2624</v>
      </c>
      <c r="ED39" s="22">
        <f t="shared" ref="ED39:EN39" si="12">ED14 + ED26 + ED33 + ED37</f>
        <v>561</v>
      </c>
      <c r="EE39" s="22">
        <f t="shared" si="12"/>
        <v>939</v>
      </c>
      <c r="EF39" s="22">
        <f t="shared" si="12"/>
        <v>367</v>
      </c>
      <c r="EG39" s="22">
        <f t="shared" si="12"/>
        <v>1319</v>
      </c>
      <c r="EH39" s="22">
        <f t="shared" si="12"/>
        <v>430</v>
      </c>
      <c r="EI39" s="22">
        <f t="shared" si="12"/>
        <v>794</v>
      </c>
      <c r="EJ39" s="22">
        <f t="shared" si="12"/>
        <v>341</v>
      </c>
      <c r="EK39" s="22">
        <f t="shared" si="12"/>
        <v>17910</v>
      </c>
      <c r="EL39" s="22">
        <f t="shared" si="12"/>
        <v>1787</v>
      </c>
      <c r="EM39" s="22">
        <f t="shared" si="12"/>
        <v>516</v>
      </c>
      <c r="EN39" s="22">
        <f t="shared" si="12"/>
        <v>295</v>
      </c>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406</v>
      </c>
      <c r="F6" s="24" t="s">
        <v>407</v>
      </c>
      <c r="G6" s="24" t="s">
        <v>408</v>
      </c>
      <c r="H6" s="24" t="s">
        <v>409</v>
      </c>
      <c r="I6" s="24" t="s">
        <v>410</v>
      </c>
      <c r="J6" s="24" t="s">
        <v>411</v>
      </c>
      <c r="K6" s="24" t="s">
        <v>412</v>
      </c>
      <c r="L6" s="24" t="s">
        <v>413</v>
      </c>
      <c r="M6" s="24" t="s">
        <v>414</v>
      </c>
      <c r="N6" s="24" t="s">
        <v>415</v>
      </c>
      <c r="O6" s="24" t="s">
        <v>416</v>
      </c>
      <c r="P6" s="24" t="s">
        <v>417</v>
      </c>
      <c r="Q6" s="24" t="s">
        <v>418</v>
      </c>
      <c r="R6" s="24" t="s">
        <v>419</v>
      </c>
      <c r="S6" s="24" t="s">
        <v>420</v>
      </c>
      <c r="T6" s="24" t="s">
        <v>421</v>
      </c>
      <c r="U6" s="24" t="s">
        <v>422</v>
      </c>
      <c r="V6" s="24" t="s">
        <v>423</v>
      </c>
      <c r="W6" s="24" t="s">
        <v>424</v>
      </c>
      <c r="X6" s="24" t="s">
        <v>425</v>
      </c>
      <c r="Y6" s="24" t="s">
        <v>426</v>
      </c>
      <c r="Z6" s="24" t="s">
        <v>427</v>
      </c>
      <c r="AA6" s="24" t="s">
        <v>428</v>
      </c>
      <c r="AB6" s="24" t="s">
        <v>429</v>
      </c>
      <c r="AC6" s="24" t="s">
        <v>430</v>
      </c>
      <c r="AD6" s="24" t="s">
        <v>431</v>
      </c>
      <c r="AE6" s="24" t="s">
        <v>432</v>
      </c>
      <c r="AF6" s="24" t="s">
        <v>433</v>
      </c>
      <c r="AG6" s="24" t="s">
        <v>434</v>
      </c>
      <c r="AH6" s="24" t="s">
        <v>435</v>
      </c>
      <c r="AI6" s="24" t="s">
        <v>436</v>
      </c>
      <c r="AJ6" s="24" t="s">
        <v>437</v>
      </c>
      <c r="AK6" s="24" t="s">
        <v>438</v>
      </c>
      <c r="AL6" s="24" t="s">
        <v>439</v>
      </c>
      <c r="AM6" s="24" t="s">
        <v>440</v>
      </c>
      <c r="AN6" s="24" t="s">
        <v>441</v>
      </c>
      <c r="AO6" s="24" t="s">
        <v>442</v>
      </c>
      <c r="AP6" s="24" t="s">
        <v>443</v>
      </c>
      <c r="AQ6" s="24" t="s">
        <v>444</v>
      </c>
      <c r="AR6" s="24" t="s">
        <v>445</v>
      </c>
      <c r="AS6" s="24" t="s">
        <v>446</v>
      </c>
      <c r="AT6" s="24" t="s">
        <v>447</v>
      </c>
      <c r="AU6" s="24" t="s">
        <v>448</v>
      </c>
      <c r="AV6" s="24" t="s">
        <v>449</v>
      </c>
      <c r="AW6" s="24" t="s">
        <v>450</v>
      </c>
      <c r="AX6" s="24" t="s">
        <v>451</v>
      </c>
      <c r="AY6" s="24" t="s">
        <v>452</v>
      </c>
      <c r="AZ6" s="24" t="s">
        <v>453</v>
      </c>
      <c r="BA6" s="24" t="s">
        <v>454</v>
      </c>
      <c r="BB6" s="24" t="s">
        <v>455</v>
      </c>
      <c r="BC6" s="24" t="s">
        <v>456</v>
      </c>
      <c r="BD6" s="24" t="s">
        <v>457</v>
      </c>
      <c r="BE6" s="24" t="s">
        <v>458</v>
      </c>
      <c r="BF6" s="24" t="s">
        <v>459</v>
      </c>
      <c r="BG6" s="24" t="s">
        <v>460</v>
      </c>
      <c r="BH6" s="24" t="s">
        <v>461</v>
      </c>
      <c r="BI6" s="24" t="s">
        <v>462</v>
      </c>
      <c r="BJ6" s="24" t="s">
        <v>463</v>
      </c>
      <c r="BK6" s="24" t="s">
        <v>464</v>
      </c>
      <c r="BL6" s="24" t="s">
        <v>465</v>
      </c>
      <c r="BM6" s="24" t="s">
        <v>466</v>
      </c>
      <c r="BN6" s="24" t="s">
        <v>467</v>
      </c>
      <c r="BO6" s="24" t="s">
        <v>468</v>
      </c>
      <c r="BP6" s="24" t="s">
        <v>469</v>
      </c>
      <c r="BQ6" s="24" t="s">
        <v>470</v>
      </c>
      <c r="BR6" s="24" t="s">
        <v>471</v>
      </c>
      <c r="BS6" s="24" t="s">
        <v>472</v>
      </c>
      <c r="BT6" s="24" t="s">
        <v>473</v>
      </c>
      <c r="BU6" s="24" t="s">
        <v>474</v>
      </c>
      <c r="BV6" s="24" t="s">
        <v>475</v>
      </c>
      <c r="BW6" s="24" t="s">
        <v>476</v>
      </c>
      <c r="BX6" s="24" t="s">
        <v>477</v>
      </c>
      <c r="BY6" s="24" t="s">
        <v>478</v>
      </c>
      <c r="BZ6" s="24" t="s">
        <v>479</v>
      </c>
      <c r="CA6" s="24" t="s">
        <v>480</v>
      </c>
      <c r="CB6" s="24" t="s">
        <v>481</v>
      </c>
      <c r="CC6" s="24" t="s">
        <v>482</v>
      </c>
      <c r="CD6" s="24" t="s">
        <v>483</v>
      </c>
      <c r="CE6" s="24" t="s">
        <v>484</v>
      </c>
      <c r="CF6" s="24" t="s">
        <v>485</v>
      </c>
      <c r="CG6" s="24" t="s">
        <v>486</v>
      </c>
      <c r="CH6" s="24" t="s">
        <v>487</v>
      </c>
      <c r="CI6" s="24" t="s">
        <v>488</v>
      </c>
      <c r="CJ6" s="24" t="s">
        <v>489</v>
      </c>
      <c r="CK6" s="24" t="s">
        <v>490</v>
      </c>
      <c r="CL6" s="24" t="s">
        <v>491</v>
      </c>
      <c r="CM6" s="24" t="s">
        <v>492</v>
      </c>
      <c r="CN6" s="24" t="s">
        <v>493</v>
      </c>
      <c r="CO6" s="24" t="s">
        <v>494</v>
      </c>
      <c r="CP6" s="24" t="s">
        <v>495</v>
      </c>
      <c r="CQ6" s="24" t="s">
        <v>496</v>
      </c>
      <c r="CR6" s="24" t="s">
        <v>497</v>
      </c>
      <c r="CS6" s="24" t="s">
        <v>498</v>
      </c>
      <c r="CT6" s="24" t="s">
        <v>499</v>
      </c>
      <c r="CU6" s="24" t="s">
        <v>500</v>
      </c>
      <c r="CV6" s="24" t="s">
        <v>501</v>
      </c>
      <c r="CW6" s="24" t="s">
        <v>502</v>
      </c>
      <c r="CX6" s="24" t="s">
        <v>503</v>
      </c>
      <c r="CY6" s="24" t="s">
        <v>504</v>
      </c>
      <c r="CZ6" s="24" t="s">
        <v>505</v>
      </c>
      <c r="DA6" s="24" t="s">
        <v>506</v>
      </c>
      <c r="DB6" s="24" t="s">
        <v>507</v>
      </c>
      <c r="DC6" s="24" t="s">
        <v>508</v>
      </c>
      <c r="DD6" s="24" t="s">
        <v>509</v>
      </c>
      <c r="DE6" s="24" t="s">
        <v>510</v>
      </c>
      <c r="DF6" s="24" t="s">
        <v>511</v>
      </c>
      <c r="DG6" s="24" t="s">
        <v>512</v>
      </c>
      <c r="DH6" s="24" t="s">
        <v>513</v>
      </c>
      <c r="DI6" s="24" t="s">
        <v>514</v>
      </c>
      <c r="DJ6" s="24" t="s">
        <v>515</v>
      </c>
      <c r="DK6" s="24" t="s">
        <v>516</v>
      </c>
      <c r="DL6" s="24" t="s">
        <v>517</v>
      </c>
      <c r="DM6" s="24" t="s">
        <v>518</v>
      </c>
      <c r="DN6" s="24" t="s">
        <v>519</v>
      </c>
      <c r="DO6" s="24" t="s">
        <v>520</v>
      </c>
      <c r="DP6" s="24" t="s">
        <v>521</v>
      </c>
      <c r="DQ6" s="24" t="s">
        <v>522</v>
      </c>
      <c r="DR6" s="24" t="s">
        <v>523</v>
      </c>
      <c r="DS6" s="24" t="s">
        <v>524</v>
      </c>
      <c r="DT6" s="24" t="s">
        <v>525</v>
      </c>
      <c r="DU6" s="24" t="s">
        <v>526</v>
      </c>
      <c r="DV6" s="24" t="s">
        <v>527</v>
      </c>
      <c r="DW6" s="24" t="s">
        <v>528</v>
      </c>
      <c r="DX6" s="24" t="s">
        <v>529</v>
      </c>
      <c r="DY6" s="24" t="s">
        <v>530</v>
      </c>
      <c r="DZ6" s="24" t="s">
        <v>531</v>
      </c>
      <c r="EA6" s="24" t="s">
        <v>532</v>
      </c>
      <c r="EB6" s="24" t="s">
        <v>533</v>
      </c>
      <c r="EC6" s="24" t="s">
        <v>534</v>
      </c>
      <c r="ED6" s="24" t="s">
        <v>535</v>
      </c>
      <c r="EE6" s="24" t="s">
        <v>536</v>
      </c>
      <c r="EF6" s="24" t="s">
        <v>537</v>
      </c>
      <c r="EG6" s="24" t="s">
        <v>538</v>
      </c>
      <c r="EH6" s="24" t="s">
        <v>539</v>
      </c>
      <c r="EI6" s="24" t="s">
        <v>540</v>
      </c>
      <c r="EJ6" s="24" t="s">
        <v>541</v>
      </c>
      <c r="EK6" s="24" t="s">
        <v>542</v>
      </c>
      <c r="EL6" s="24" t="s">
        <v>543</v>
      </c>
      <c r="EM6" s="24" t="s">
        <v>544</v>
      </c>
      <c r="EN6" s="24" t="s">
        <v>545</v>
      </c>
    </row>
    <row r="7" spans="1:144" x14ac:dyDescent="0.25">
      <c r="A7" s="19">
        <f t="shared" ref="A7:A37" si="8">VLOOKUP($C7, lu_GEOID, 2, FALSE)</f>
        <v>1000</v>
      </c>
      <c r="B7" s="20" t="str">
        <f t="shared" ref="B7:B37" si="9">VLOOKUP($C7, lu_GEOID, 3, FALSE)</f>
        <v>United States</v>
      </c>
      <c r="C7" s="24" t="s">
        <v>284</v>
      </c>
      <c r="D7" s="24" t="s">
        <v>285</v>
      </c>
      <c r="E7" s="25">
        <v>152735781</v>
      </c>
      <c r="F7" s="25">
        <v>170067</v>
      </c>
      <c r="G7" s="25">
        <v>109486033</v>
      </c>
      <c r="H7" s="25">
        <v>67479</v>
      </c>
      <c r="I7" s="25">
        <v>104021993</v>
      </c>
      <c r="J7" s="25">
        <v>70572</v>
      </c>
      <c r="K7" s="25">
        <v>5464040</v>
      </c>
      <c r="L7" s="25">
        <v>20609</v>
      </c>
      <c r="M7" s="25">
        <v>12312296</v>
      </c>
      <c r="N7" s="25">
        <v>73326</v>
      </c>
      <c r="O7" s="25">
        <v>10282908</v>
      </c>
      <c r="P7" s="25">
        <v>71923</v>
      </c>
      <c r="Q7" s="25">
        <v>6719339</v>
      </c>
      <c r="R7" s="25">
        <v>43968</v>
      </c>
      <c r="S7" s="25">
        <v>4775066</v>
      </c>
      <c r="T7" s="25">
        <v>31204</v>
      </c>
      <c r="U7" s="25">
        <v>8899855</v>
      </c>
      <c r="V7" s="25">
        <v>27850</v>
      </c>
      <c r="W7" s="25">
        <v>260284</v>
      </c>
      <c r="X7" s="25">
        <v>4018</v>
      </c>
      <c r="Y7" s="25">
        <v>116584507</v>
      </c>
      <c r="Z7" s="25">
        <v>125685</v>
      </c>
      <c r="AA7" s="25">
        <v>84401202</v>
      </c>
      <c r="AB7" s="25">
        <v>74055</v>
      </c>
      <c r="AC7" s="25">
        <v>80753797</v>
      </c>
      <c r="AD7" s="25">
        <v>81465</v>
      </c>
      <c r="AE7" s="25">
        <v>3647405</v>
      </c>
      <c r="AF7" s="25">
        <v>18174</v>
      </c>
      <c r="AG7" s="25">
        <v>9293787</v>
      </c>
      <c r="AH7" s="25">
        <v>56000</v>
      </c>
      <c r="AI7" s="25">
        <v>8515975</v>
      </c>
      <c r="AJ7" s="25">
        <v>54699</v>
      </c>
      <c r="AK7" s="25">
        <v>5269621</v>
      </c>
      <c r="AL7" s="25">
        <v>32131</v>
      </c>
      <c r="AM7" s="25">
        <v>3655214</v>
      </c>
      <c r="AN7" s="25">
        <v>24203</v>
      </c>
      <c r="AO7" s="25">
        <v>5304899</v>
      </c>
      <c r="AP7" s="25">
        <v>17891</v>
      </c>
      <c r="AQ7" s="25">
        <v>143809</v>
      </c>
      <c r="AR7" s="25">
        <v>2791</v>
      </c>
      <c r="AS7" s="25">
        <v>13763532</v>
      </c>
      <c r="AT7" s="25">
        <v>81680</v>
      </c>
      <c r="AU7" s="25">
        <v>10001106</v>
      </c>
      <c r="AV7" s="25">
        <v>41951</v>
      </c>
      <c r="AW7" s="25">
        <v>9538508</v>
      </c>
      <c r="AX7" s="25">
        <v>38618</v>
      </c>
      <c r="AY7" s="25">
        <v>462598</v>
      </c>
      <c r="AZ7" s="25">
        <v>6425</v>
      </c>
      <c r="BA7" s="25">
        <v>1061279</v>
      </c>
      <c r="BB7" s="25">
        <v>14046</v>
      </c>
      <c r="BC7" s="25">
        <v>868742</v>
      </c>
      <c r="BD7" s="25">
        <v>16304</v>
      </c>
      <c r="BE7" s="25">
        <v>602873</v>
      </c>
      <c r="BF7" s="25">
        <v>11310</v>
      </c>
      <c r="BG7" s="25">
        <v>390815</v>
      </c>
      <c r="BH7" s="25">
        <v>6249</v>
      </c>
      <c r="BI7" s="25">
        <v>802205</v>
      </c>
      <c r="BJ7" s="25">
        <v>8189</v>
      </c>
      <c r="BK7" s="25">
        <v>36512</v>
      </c>
      <c r="BL7" s="25">
        <v>1553</v>
      </c>
      <c r="BM7" s="25">
        <v>7641160</v>
      </c>
      <c r="BN7" s="25">
        <v>21502</v>
      </c>
      <c r="BO7" s="25">
        <v>5575940</v>
      </c>
      <c r="BP7" s="25">
        <v>16800</v>
      </c>
      <c r="BQ7" s="25">
        <v>5467770</v>
      </c>
      <c r="BR7" s="25">
        <v>17027</v>
      </c>
      <c r="BS7" s="25">
        <v>108170</v>
      </c>
      <c r="BT7" s="25">
        <v>2879</v>
      </c>
      <c r="BU7" s="25">
        <v>796572</v>
      </c>
      <c r="BV7" s="25">
        <v>7346</v>
      </c>
      <c r="BW7" s="25">
        <v>427027</v>
      </c>
      <c r="BX7" s="25">
        <v>4627</v>
      </c>
      <c r="BY7" s="25">
        <v>291731</v>
      </c>
      <c r="BZ7" s="25">
        <v>4288</v>
      </c>
      <c r="CA7" s="25">
        <v>287559</v>
      </c>
      <c r="CB7" s="25">
        <v>4222</v>
      </c>
      <c r="CC7" s="25">
        <v>255414</v>
      </c>
      <c r="CD7" s="25">
        <v>3815</v>
      </c>
      <c r="CE7" s="25">
        <v>6917</v>
      </c>
      <c r="CF7" s="25">
        <v>557</v>
      </c>
      <c r="CG7" s="25">
        <v>4073891</v>
      </c>
      <c r="CH7" s="25">
        <v>14003</v>
      </c>
      <c r="CI7" s="25">
        <v>2664903</v>
      </c>
      <c r="CJ7" s="25">
        <v>13608</v>
      </c>
      <c r="CK7" s="25">
        <v>2524835</v>
      </c>
      <c r="CL7" s="25">
        <v>14185</v>
      </c>
      <c r="CM7" s="25">
        <v>140068</v>
      </c>
      <c r="CN7" s="25">
        <v>2981</v>
      </c>
      <c r="CO7" s="25">
        <v>507231</v>
      </c>
      <c r="CP7" s="25">
        <v>5233</v>
      </c>
      <c r="CQ7" s="25">
        <v>187097</v>
      </c>
      <c r="CR7" s="25">
        <v>3170</v>
      </c>
      <c r="CS7" s="25">
        <v>238507</v>
      </c>
      <c r="CT7" s="25">
        <v>3334</v>
      </c>
      <c r="CU7" s="25">
        <v>206760</v>
      </c>
      <c r="CV7" s="25">
        <v>3564</v>
      </c>
      <c r="CW7" s="25">
        <v>256106</v>
      </c>
      <c r="CX7" s="25">
        <v>4141</v>
      </c>
      <c r="CY7" s="25">
        <v>13287</v>
      </c>
      <c r="CZ7" s="25">
        <v>797</v>
      </c>
      <c r="DA7" s="25">
        <v>2774115</v>
      </c>
      <c r="DB7" s="25">
        <v>15258</v>
      </c>
      <c r="DC7" s="25">
        <v>2034707</v>
      </c>
      <c r="DD7" s="25">
        <v>15170</v>
      </c>
      <c r="DE7" s="25">
        <v>1946439</v>
      </c>
      <c r="DF7" s="25">
        <v>15283</v>
      </c>
      <c r="DG7" s="25">
        <v>88268</v>
      </c>
      <c r="DH7" s="25">
        <v>2070</v>
      </c>
      <c r="DI7" s="25">
        <v>220739</v>
      </c>
      <c r="DJ7" s="25">
        <v>3580</v>
      </c>
      <c r="DK7" s="25">
        <v>123321</v>
      </c>
      <c r="DL7" s="25">
        <v>2670</v>
      </c>
      <c r="DM7" s="25">
        <v>122103</v>
      </c>
      <c r="DN7" s="25">
        <v>2736</v>
      </c>
      <c r="DO7" s="25">
        <v>80628</v>
      </c>
      <c r="DP7" s="25">
        <v>1916</v>
      </c>
      <c r="DQ7" s="25">
        <v>185257</v>
      </c>
      <c r="DR7" s="25">
        <v>3048</v>
      </c>
      <c r="DS7" s="25">
        <v>7360</v>
      </c>
      <c r="DT7" s="25">
        <v>677</v>
      </c>
      <c r="DU7" s="25">
        <v>7898576</v>
      </c>
      <c r="DV7" s="25">
        <v>27244</v>
      </c>
      <c r="DW7" s="25">
        <v>4808175</v>
      </c>
      <c r="DX7" s="25">
        <v>17925</v>
      </c>
      <c r="DY7" s="25">
        <v>3790644</v>
      </c>
      <c r="DZ7" s="25">
        <v>16738</v>
      </c>
      <c r="EA7" s="25">
        <v>1017531</v>
      </c>
      <c r="EB7" s="25">
        <v>10033</v>
      </c>
      <c r="EC7" s="25">
        <v>432688</v>
      </c>
      <c r="ED7" s="25">
        <v>4443</v>
      </c>
      <c r="EE7" s="25">
        <v>160746</v>
      </c>
      <c r="EF7" s="25">
        <v>3201</v>
      </c>
      <c r="EG7" s="25">
        <v>194504</v>
      </c>
      <c r="EH7" s="25">
        <v>3165</v>
      </c>
      <c r="EI7" s="25">
        <v>154090</v>
      </c>
      <c r="EJ7" s="25">
        <v>3473</v>
      </c>
      <c r="EK7" s="25">
        <v>2095974</v>
      </c>
      <c r="EL7" s="25">
        <v>18436</v>
      </c>
      <c r="EM7" s="25">
        <v>52399</v>
      </c>
      <c r="EN7" s="25">
        <v>1800</v>
      </c>
    </row>
    <row r="8" spans="1:144" x14ac:dyDescent="0.25">
      <c r="A8" s="19">
        <f t="shared" si="8"/>
        <v>1049</v>
      </c>
      <c r="B8" s="20" t="str">
        <f t="shared" si="9"/>
        <v>State of Utah</v>
      </c>
      <c r="C8" s="24" t="s">
        <v>286</v>
      </c>
      <c r="D8" s="24" t="s">
        <v>287</v>
      </c>
      <c r="E8" s="25">
        <v>1479469</v>
      </c>
      <c r="F8" s="25">
        <v>4249</v>
      </c>
      <c r="G8" s="25">
        <v>1086131</v>
      </c>
      <c r="H8" s="25">
        <v>4233</v>
      </c>
      <c r="I8" s="25">
        <v>1021681</v>
      </c>
      <c r="J8" s="25">
        <v>4226</v>
      </c>
      <c r="K8" s="25">
        <v>64450</v>
      </c>
      <c r="L8" s="25">
        <v>1756</v>
      </c>
      <c r="M8" s="25">
        <v>105075</v>
      </c>
      <c r="N8" s="25">
        <v>2301</v>
      </c>
      <c r="O8" s="25">
        <v>87089</v>
      </c>
      <c r="P8" s="25">
        <v>2102</v>
      </c>
      <c r="Q8" s="25">
        <v>81980</v>
      </c>
      <c r="R8" s="25">
        <v>1911</v>
      </c>
      <c r="S8" s="25">
        <v>46622</v>
      </c>
      <c r="T8" s="25">
        <v>1443</v>
      </c>
      <c r="U8" s="25">
        <v>70192</v>
      </c>
      <c r="V8" s="25">
        <v>1848</v>
      </c>
      <c r="W8" s="25">
        <v>2380</v>
      </c>
      <c r="X8" s="25">
        <v>389</v>
      </c>
      <c r="Y8" s="25">
        <v>1124679</v>
      </c>
      <c r="Z8" s="25">
        <v>5149</v>
      </c>
      <c r="AA8" s="25">
        <v>836282</v>
      </c>
      <c r="AB8" s="25">
        <v>4778</v>
      </c>
      <c r="AC8" s="25">
        <v>796149</v>
      </c>
      <c r="AD8" s="25">
        <v>4675</v>
      </c>
      <c r="AE8" s="25">
        <v>40133</v>
      </c>
      <c r="AF8" s="25">
        <v>1298</v>
      </c>
      <c r="AG8" s="25">
        <v>79084</v>
      </c>
      <c r="AH8" s="25">
        <v>1852</v>
      </c>
      <c r="AI8" s="25">
        <v>71943</v>
      </c>
      <c r="AJ8" s="25">
        <v>1882</v>
      </c>
      <c r="AK8" s="25">
        <v>62488</v>
      </c>
      <c r="AL8" s="25">
        <v>1608</v>
      </c>
      <c r="AM8" s="25">
        <v>38085</v>
      </c>
      <c r="AN8" s="25">
        <v>1399</v>
      </c>
      <c r="AO8" s="25">
        <v>35582</v>
      </c>
      <c r="AP8" s="25">
        <v>1278</v>
      </c>
      <c r="AQ8" s="25">
        <v>1215</v>
      </c>
      <c r="AR8" s="25">
        <v>216</v>
      </c>
      <c r="AS8" s="25">
        <v>159967</v>
      </c>
      <c r="AT8" s="25">
        <v>2842</v>
      </c>
      <c r="AU8" s="25">
        <v>121697</v>
      </c>
      <c r="AV8" s="25">
        <v>2521</v>
      </c>
      <c r="AW8" s="25">
        <v>116747</v>
      </c>
      <c r="AX8" s="25">
        <v>2559</v>
      </c>
      <c r="AY8" s="25">
        <v>4950</v>
      </c>
      <c r="AZ8" s="25">
        <v>443</v>
      </c>
      <c r="BA8" s="25">
        <v>10328</v>
      </c>
      <c r="BB8" s="25">
        <v>659</v>
      </c>
      <c r="BC8" s="25">
        <v>8816</v>
      </c>
      <c r="BD8" s="25">
        <v>623</v>
      </c>
      <c r="BE8" s="25">
        <v>8472</v>
      </c>
      <c r="BF8" s="25">
        <v>569</v>
      </c>
      <c r="BG8" s="25">
        <v>4964</v>
      </c>
      <c r="BH8" s="25">
        <v>469</v>
      </c>
      <c r="BI8" s="25">
        <v>5381</v>
      </c>
      <c r="BJ8" s="25">
        <v>544</v>
      </c>
      <c r="BK8" s="25">
        <v>309</v>
      </c>
      <c r="BL8" s="25">
        <v>127</v>
      </c>
      <c r="BM8" s="25">
        <v>36030</v>
      </c>
      <c r="BN8" s="25">
        <v>1560</v>
      </c>
      <c r="BO8" s="25">
        <v>22647</v>
      </c>
      <c r="BP8" s="25">
        <v>1163</v>
      </c>
      <c r="BQ8" s="25">
        <v>22301</v>
      </c>
      <c r="BR8" s="25">
        <v>1153</v>
      </c>
      <c r="BS8" s="25">
        <v>346</v>
      </c>
      <c r="BT8" s="25">
        <v>119</v>
      </c>
      <c r="BU8" s="25">
        <v>5106</v>
      </c>
      <c r="BV8" s="25">
        <v>489</v>
      </c>
      <c r="BW8" s="25">
        <v>1922</v>
      </c>
      <c r="BX8" s="25">
        <v>322</v>
      </c>
      <c r="BY8" s="25">
        <v>4507</v>
      </c>
      <c r="BZ8" s="25">
        <v>485</v>
      </c>
      <c r="CA8" s="25">
        <v>1160</v>
      </c>
      <c r="CB8" s="25">
        <v>255</v>
      </c>
      <c r="CC8" s="25">
        <v>593</v>
      </c>
      <c r="CD8" s="25">
        <v>163</v>
      </c>
      <c r="CE8" s="25">
        <v>95</v>
      </c>
      <c r="CF8" s="25">
        <v>115</v>
      </c>
      <c r="CG8" s="25">
        <v>36356</v>
      </c>
      <c r="CH8" s="25">
        <v>1561</v>
      </c>
      <c r="CI8" s="25">
        <v>24850</v>
      </c>
      <c r="CJ8" s="25">
        <v>1359</v>
      </c>
      <c r="CK8" s="25">
        <v>23754</v>
      </c>
      <c r="CL8" s="25">
        <v>1356</v>
      </c>
      <c r="CM8" s="25">
        <v>1096</v>
      </c>
      <c r="CN8" s="25">
        <v>205</v>
      </c>
      <c r="CO8" s="25">
        <v>4473</v>
      </c>
      <c r="CP8" s="25">
        <v>623</v>
      </c>
      <c r="CQ8" s="25">
        <v>1917</v>
      </c>
      <c r="CR8" s="25">
        <v>298</v>
      </c>
      <c r="CS8" s="25">
        <v>2887</v>
      </c>
      <c r="CT8" s="25">
        <v>363</v>
      </c>
      <c r="CU8" s="25">
        <v>602</v>
      </c>
      <c r="CV8" s="25">
        <v>150</v>
      </c>
      <c r="CW8" s="25">
        <v>1563</v>
      </c>
      <c r="CX8" s="25">
        <v>234</v>
      </c>
      <c r="CY8" s="25">
        <v>64</v>
      </c>
      <c r="CZ8" s="25">
        <v>43</v>
      </c>
      <c r="DA8" s="25">
        <v>25323</v>
      </c>
      <c r="DB8" s="25">
        <v>1311</v>
      </c>
      <c r="DC8" s="25">
        <v>18367</v>
      </c>
      <c r="DD8" s="25">
        <v>1251</v>
      </c>
      <c r="DE8" s="25">
        <v>17436</v>
      </c>
      <c r="DF8" s="25">
        <v>1191</v>
      </c>
      <c r="DG8" s="25">
        <v>931</v>
      </c>
      <c r="DH8" s="25">
        <v>262</v>
      </c>
      <c r="DI8" s="25">
        <v>2301</v>
      </c>
      <c r="DJ8" s="25">
        <v>389</v>
      </c>
      <c r="DK8" s="25">
        <v>1016</v>
      </c>
      <c r="DL8" s="25">
        <v>225</v>
      </c>
      <c r="DM8" s="25">
        <v>1657</v>
      </c>
      <c r="DN8" s="25">
        <v>302</v>
      </c>
      <c r="DO8" s="25">
        <v>557</v>
      </c>
      <c r="DP8" s="25">
        <v>156</v>
      </c>
      <c r="DQ8" s="25">
        <v>1384</v>
      </c>
      <c r="DR8" s="25">
        <v>269</v>
      </c>
      <c r="DS8" s="25">
        <v>41</v>
      </c>
      <c r="DT8" s="25">
        <v>32</v>
      </c>
      <c r="DU8" s="25">
        <v>97114</v>
      </c>
      <c r="DV8" s="25">
        <v>2411</v>
      </c>
      <c r="DW8" s="25">
        <v>62288</v>
      </c>
      <c r="DX8" s="25">
        <v>1766</v>
      </c>
      <c r="DY8" s="25">
        <v>45294</v>
      </c>
      <c r="DZ8" s="25">
        <v>1416</v>
      </c>
      <c r="EA8" s="25">
        <v>16994</v>
      </c>
      <c r="EB8" s="25">
        <v>1127</v>
      </c>
      <c r="EC8" s="25">
        <v>3783</v>
      </c>
      <c r="ED8" s="25">
        <v>426</v>
      </c>
      <c r="EE8" s="25">
        <v>1475</v>
      </c>
      <c r="EF8" s="25">
        <v>204</v>
      </c>
      <c r="EG8" s="25">
        <v>1969</v>
      </c>
      <c r="EH8" s="25">
        <v>307</v>
      </c>
      <c r="EI8" s="25">
        <v>1254</v>
      </c>
      <c r="EJ8" s="25">
        <v>207</v>
      </c>
      <c r="EK8" s="25">
        <v>25689</v>
      </c>
      <c r="EL8" s="25">
        <v>1188</v>
      </c>
      <c r="EM8" s="25">
        <v>656</v>
      </c>
      <c r="EN8" s="25">
        <v>174</v>
      </c>
    </row>
    <row r="9" spans="1:144" x14ac:dyDescent="0.25">
      <c r="A9" s="19">
        <f t="shared" si="8"/>
        <v>1</v>
      </c>
      <c r="B9" s="20" t="str">
        <f t="shared" si="9"/>
        <v>Beaver</v>
      </c>
      <c r="C9" s="24" t="s">
        <v>288</v>
      </c>
      <c r="D9" s="24" t="s">
        <v>289</v>
      </c>
      <c r="E9" s="25">
        <v>2659</v>
      </c>
      <c r="F9" s="25">
        <v>171</v>
      </c>
      <c r="G9" s="25">
        <v>2030</v>
      </c>
      <c r="H9" s="25">
        <v>167</v>
      </c>
      <c r="I9" s="25">
        <v>1908</v>
      </c>
      <c r="J9" s="25">
        <v>150</v>
      </c>
      <c r="K9" s="25">
        <v>122</v>
      </c>
      <c r="L9" s="25">
        <v>66</v>
      </c>
      <c r="M9" s="25">
        <v>32</v>
      </c>
      <c r="N9" s="25">
        <v>25</v>
      </c>
      <c r="O9" s="25">
        <v>277</v>
      </c>
      <c r="P9" s="25">
        <v>94</v>
      </c>
      <c r="Q9" s="25">
        <v>114</v>
      </c>
      <c r="R9" s="25">
        <v>58</v>
      </c>
      <c r="S9" s="25">
        <v>30</v>
      </c>
      <c r="T9" s="25">
        <v>36</v>
      </c>
      <c r="U9" s="25">
        <v>173</v>
      </c>
      <c r="V9" s="25">
        <v>66</v>
      </c>
      <c r="W9" s="25">
        <v>3</v>
      </c>
      <c r="X9" s="25">
        <v>5</v>
      </c>
      <c r="Y9" s="25">
        <v>1981</v>
      </c>
      <c r="Z9" s="25">
        <v>193</v>
      </c>
      <c r="AA9" s="25">
        <v>1512</v>
      </c>
      <c r="AB9" s="25">
        <v>176</v>
      </c>
      <c r="AC9" s="25">
        <v>1437</v>
      </c>
      <c r="AD9" s="25">
        <v>174</v>
      </c>
      <c r="AE9" s="25">
        <v>75</v>
      </c>
      <c r="AF9" s="25">
        <v>50</v>
      </c>
      <c r="AG9" s="25">
        <v>18</v>
      </c>
      <c r="AH9" s="25">
        <v>20</v>
      </c>
      <c r="AI9" s="25">
        <v>224</v>
      </c>
      <c r="AJ9" s="25">
        <v>84</v>
      </c>
      <c r="AK9" s="25">
        <v>107</v>
      </c>
      <c r="AL9" s="25">
        <v>56</v>
      </c>
      <c r="AM9" s="25">
        <v>30</v>
      </c>
      <c r="AN9" s="25">
        <v>36</v>
      </c>
      <c r="AO9" s="25">
        <v>87</v>
      </c>
      <c r="AP9" s="25">
        <v>56</v>
      </c>
      <c r="AQ9" s="25">
        <v>3</v>
      </c>
      <c r="AR9" s="25">
        <v>5</v>
      </c>
      <c r="AS9" s="25">
        <v>446</v>
      </c>
      <c r="AT9" s="25">
        <v>122</v>
      </c>
      <c r="AU9" s="25">
        <v>407</v>
      </c>
      <c r="AV9" s="25">
        <v>120</v>
      </c>
      <c r="AW9" s="25">
        <v>386</v>
      </c>
      <c r="AX9" s="25">
        <v>118</v>
      </c>
      <c r="AY9" s="25">
        <v>21</v>
      </c>
      <c r="AZ9" s="25">
        <v>24</v>
      </c>
      <c r="BA9" s="25">
        <v>0</v>
      </c>
      <c r="BB9" s="25">
        <v>16</v>
      </c>
      <c r="BC9" s="25">
        <v>24</v>
      </c>
      <c r="BD9" s="25">
        <v>21</v>
      </c>
      <c r="BE9" s="25">
        <v>7</v>
      </c>
      <c r="BF9" s="25">
        <v>8</v>
      </c>
      <c r="BG9" s="25">
        <v>0</v>
      </c>
      <c r="BH9" s="25">
        <v>16</v>
      </c>
      <c r="BI9" s="25">
        <v>8</v>
      </c>
      <c r="BJ9" s="25">
        <v>16</v>
      </c>
      <c r="BK9" s="25">
        <v>0</v>
      </c>
      <c r="BL9" s="25">
        <v>16</v>
      </c>
      <c r="BM9" s="25">
        <v>2</v>
      </c>
      <c r="BN9" s="25">
        <v>7</v>
      </c>
      <c r="BO9" s="25">
        <v>2</v>
      </c>
      <c r="BP9" s="25">
        <v>7</v>
      </c>
      <c r="BQ9" s="25">
        <v>2</v>
      </c>
      <c r="BR9" s="25">
        <v>7</v>
      </c>
      <c r="BS9" s="25">
        <v>0</v>
      </c>
      <c r="BT9" s="25">
        <v>16</v>
      </c>
      <c r="BU9" s="25">
        <v>0</v>
      </c>
      <c r="BV9" s="25">
        <v>16</v>
      </c>
      <c r="BW9" s="25">
        <v>0</v>
      </c>
      <c r="BX9" s="25">
        <v>16</v>
      </c>
      <c r="BY9" s="25">
        <v>0</v>
      </c>
      <c r="BZ9" s="25">
        <v>16</v>
      </c>
      <c r="CA9" s="25">
        <v>0</v>
      </c>
      <c r="CB9" s="25">
        <v>16</v>
      </c>
      <c r="CC9" s="25">
        <v>0</v>
      </c>
      <c r="CD9" s="25">
        <v>16</v>
      </c>
      <c r="CE9" s="25">
        <v>0</v>
      </c>
      <c r="CF9" s="25">
        <v>16</v>
      </c>
      <c r="CG9" s="25">
        <v>60</v>
      </c>
      <c r="CH9" s="25">
        <v>41</v>
      </c>
      <c r="CI9" s="25">
        <v>17</v>
      </c>
      <c r="CJ9" s="25">
        <v>19</v>
      </c>
      <c r="CK9" s="25">
        <v>13</v>
      </c>
      <c r="CL9" s="25">
        <v>15</v>
      </c>
      <c r="CM9" s="25">
        <v>4</v>
      </c>
      <c r="CN9" s="25">
        <v>6</v>
      </c>
      <c r="CO9" s="25">
        <v>14</v>
      </c>
      <c r="CP9" s="25">
        <v>20</v>
      </c>
      <c r="CQ9" s="25">
        <v>25</v>
      </c>
      <c r="CR9" s="25">
        <v>31</v>
      </c>
      <c r="CS9" s="25">
        <v>0</v>
      </c>
      <c r="CT9" s="25">
        <v>16</v>
      </c>
      <c r="CU9" s="25">
        <v>0</v>
      </c>
      <c r="CV9" s="25">
        <v>16</v>
      </c>
      <c r="CW9" s="25">
        <v>4</v>
      </c>
      <c r="CX9" s="25">
        <v>6</v>
      </c>
      <c r="CY9" s="25">
        <v>0</v>
      </c>
      <c r="CZ9" s="25">
        <v>16</v>
      </c>
      <c r="DA9" s="25">
        <v>11</v>
      </c>
      <c r="DB9" s="25">
        <v>17</v>
      </c>
      <c r="DC9" s="25">
        <v>7</v>
      </c>
      <c r="DD9" s="25">
        <v>11</v>
      </c>
      <c r="DE9" s="25">
        <v>7</v>
      </c>
      <c r="DF9" s="25">
        <v>11</v>
      </c>
      <c r="DG9" s="25">
        <v>0</v>
      </c>
      <c r="DH9" s="25">
        <v>16</v>
      </c>
      <c r="DI9" s="25">
        <v>0</v>
      </c>
      <c r="DJ9" s="25">
        <v>16</v>
      </c>
      <c r="DK9" s="25">
        <v>0</v>
      </c>
      <c r="DL9" s="25">
        <v>16</v>
      </c>
      <c r="DM9" s="25">
        <v>0</v>
      </c>
      <c r="DN9" s="25">
        <v>16</v>
      </c>
      <c r="DO9" s="25">
        <v>0</v>
      </c>
      <c r="DP9" s="25">
        <v>16</v>
      </c>
      <c r="DQ9" s="25">
        <v>4</v>
      </c>
      <c r="DR9" s="25">
        <v>6</v>
      </c>
      <c r="DS9" s="25">
        <v>0</v>
      </c>
      <c r="DT9" s="25">
        <v>16</v>
      </c>
      <c r="DU9" s="25">
        <v>159</v>
      </c>
      <c r="DV9" s="25">
        <v>77</v>
      </c>
      <c r="DW9" s="25">
        <v>85</v>
      </c>
      <c r="DX9" s="25">
        <v>57</v>
      </c>
      <c r="DY9" s="25">
        <v>63</v>
      </c>
      <c r="DZ9" s="25">
        <v>52</v>
      </c>
      <c r="EA9" s="25">
        <v>22</v>
      </c>
      <c r="EB9" s="25">
        <v>24</v>
      </c>
      <c r="EC9" s="25">
        <v>0</v>
      </c>
      <c r="ED9" s="25">
        <v>16</v>
      </c>
      <c r="EE9" s="25">
        <v>4</v>
      </c>
      <c r="EF9" s="25">
        <v>7</v>
      </c>
      <c r="EG9" s="25">
        <v>0</v>
      </c>
      <c r="EH9" s="25">
        <v>16</v>
      </c>
      <c r="EI9" s="25">
        <v>0</v>
      </c>
      <c r="EJ9" s="25">
        <v>16</v>
      </c>
      <c r="EK9" s="25">
        <v>70</v>
      </c>
      <c r="EL9" s="25">
        <v>48</v>
      </c>
      <c r="EM9" s="25">
        <v>0</v>
      </c>
      <c r="EN9" s="25">
        <v>16</v>
      </c>
    </row>
    <row r="10" spans="1:144" x14ac:dyDescent="0.25">
      <c r="A10" s="19">
        <f t="shared" si="8"/>
        <v>3</v>
      </c>
      <c r="B10" s="20" t="str">
        <f t="shared" si="9"/>
        <v>Box Elder</v>
      </c>
      <c r="C10" s="24" t="s">
        <v>290</v>
      </c>
      <c r="D10" s="24" t="s">
        <v>291</v>
      </c>
      <c r="E10" s="25">
        <v>23716</v>
      </c>
      <c r="F10" s="25">
        <v>445</v>
      </c>
      <c r="G10" s="25">
        <v>17542</v>
      </c>
      <c r="H10" s="25">
        <v>546</v>
      </c>
      <c r="I10" s="25">
        <v>16736</v>
      </c>
      <c r="J10" s="25">
        <v>549</v>
      </c>
      <c r="K10" s="25">
        <v>806</v>
      </c>
      <c r="L10" s="25">
        <v>162</v>
      </c>
      <c r="M10" s="25">
        <v>925</v>
      </c>
      <c r="N10" s="25">
        <v>172</v>
      </c>
      <c r="O10" s="25">
        <v>1696</v>
      </c>
      <c r="P10" s="25">
        <v>252</v>
      </c>
      <c r="Q10" s="25">
        <v>1066</v>
      </c>
      <c r="R10" s="25">
        <v>182</v>
      </c>
      <c r="S10" s="25">
        <v>1062</v>
      </c>
      <c r="T10" s="25">
        <v>181</v>
      </c>
      <c r="U10" s="25">
        <v>1360</v>
      </c>
      <c r="V10" s="25">
        <v>259</v>
      </c>
      <c r="W10" s="25">
        <v>65</v>
      </c>
      <c r="X10" s="25">
        <v>46</v>
      </c>
      <c r="Y10" s="25">
        <v>18475</v>
      </c>
      <c r="Z10" s="25">
        <v>522</v>
      </c>
      <c r="AA10" s="25">
        <v>13867</v>
      </c>
      <c r="AB10" s="25">
        <v>556</v>
      </c>
      <c r="AC10" s="25">
        <v>13293</v>
      </c>
      <c r="AD10" s="25">
        <v>534</v>
      </c>
      <c r="AE10" s="25">
        <v>574</v>
      </c>
      <c r="AF10" s="25">
        <v>139</v>
      </c>
      <c r="AG10" s="25">
        <v>712</v>
      </c>
      <c r="AH10" s="25">
        <v>137</v>
      </c>
      <c r="AI10" s="25">
        <v>1412</v>
      </c>
      <c r="AJ10" s="25">
        <v>241</v>
      </c>
      <c r="AK10" s="25">
        <v>849</v>
      </c>
      <c r="AL10" s="25">
        <v>154</v>
      </c>
      <c r="AM10" s="25">
        <v>847</v>
      </c>
      <c r="AN10" s="25">
        <v>163</v>
      </c>
      <c r="AO10" s="25">
        <v>762</v>
      </c>
      <c r="AP10" s="25">
        <v>197</v>
      </c>
      <c r="AQ10" s="25">
        <v>26</v>
      </c>
      <c r="AR10" s="25">
        <v>20</v>
      </c>
      <c r="AS10" s="25">
        <v>3234</v>
      </c>
      <c r="AT10" s="25">
        <v>355</v>
      </c>
      <c r="AU10" s="25">
        <v>2512</v>
      </c>
      <c r="AV10" s="25">
        <v>324</v>
      </c>
      <c r="AW10" s="25">
        <v>2433</v>
      </c>
      <c r="AX10" s="25">
        <v>311</v>
      </c>
      <c r="AY10" s="25">
        <v>79</v>
      </c>
      <c r="AZ10" s="25">
        <v>52</v>
      </c>
      <c r="BA10" s="25">
        <v>138</v>
      </c>
      <c r="BB10" s="25">
        <v>63</v>
      </c>
      <c r="BC10" s="25">
        <v>187</v>
      </c>
      <c r="BD10" s="25">
        <v>65</v>
      </c>
      <c r="BE10" s="25">
        <v>147</v>
      </c>
      <c r="BF10" s="25">
        <v>74</v>
      </c>
      <c r="BG10" s="25">
        <v>145</v>
      </c>
      <c r="BH10" s="25">
        <v>58</v>
      </c>
      <c r="BI10" s="25">
        <v>95</v>
      </c>
      <c r="BJ10" s="25">
        <v>47</v>
      </c>
      <c r="BK10" s="25">
        <v>10</v>
      </c>
      <c r="BL10" s="25">
        <v>16</v>
      </c>
      <c r="BM10" s="25">
        <v>94</v>
      </c>
      <c r="BN10" s="25">
        <v>34</v>
      </c>
      <c r="BO10" s="25">
        <v>36</v>
      </c>
      <c r="BP10" s="25">
        <v>18</v>
      </c>
      <c r="BQ10" s="25">
        <v>36</v>
      </c>
      <c r="BR10" s="25">
        <v>18</v>
      </c>
      <c r="BS10" s="25">
        <v>0</v>
      </c>
      <c r="BT10" s="25">
        <v>27</v>
      </c>
      <c r="BU10" s="25">
        <v>24</v>
      </c>
      <c r="BV10" s="25">
        <v>23</v>
      </c>
      <c r="BW10" s="25">
        <v>4</v>
      </c>
      <c r="BX10" s="25">
        <v>5</v>
      </c>
      <c r="BY10" s="25">
        <v>20</v>
      </c>
      <c r="BZ10" s="25">
        <v>17</v>
      </c>
      <c r="CA10" s="25">
        <v>10</v>
      </c>
      <c r="CB10" s="25">
        <v>8</v>
      </c>
      <c r="CC10" s="25">
        <v>0</v>
      </c>
      <c r="CD10" s="25">
        <v>27</v>
      </c>
      <c r="CE10" s="25">
        <v>0</v>
      </c>
      <c r="CF10" s="25">
        <v>27</v>
      </c>
      <c r="CG10" s="25">
        <v>319</v>
      </c>
      <c r="CH10" s="25">
        <v>85</v>
      </c>
      <c r="CI10" s="25">
        <v>209</v>
      </c>
      <c r="CJ10" s="25">
        <v>66</v>
      </c>
      <c r="CK10" s="25">
        <v>180</v>
      </c>
      <c r="CL10" s="25">
        <v>60</v>
      </c>
      <c r="CM10" s="25">
        <v>29</v>
      </c>
      <c r="CN10" s="25">
        <v>29</v>
      </c>
      <c r="CO10" s="25">
        <v>8</v>
      </c>
      <c r="CP10" s="25">
        <v>12</v>
      </c>
      <c r="CQ10" s="25">
        <v>53</v>
      </c>
      <c r="CR10" s="25">
        <v>38</v>
      </c>
      <c r="CS10" s="25">
        <v>13</v>
      </c>
      <c r="CT10" s="25">
        <v>21</v>
      </c>
      <c r="CU10" s="25">
        <v>3</v>
      </c>
      <c r="CV10" s="25">
        <v>4</v>
      </c>
      <c r="CW10" s="25">
        <v>33</v>
      </c>
      <c r="CX10" s="25">
        <v>26</v>
      </c>
      <c r="CY10" s="25">
        <v>0</v>
      </c>
      <c r="CZ10" s="25">
        <v>27</v>
      </c>
      <c r="DA10" s="25">
        <v>339</v>
      </c>
      <c r="DB10" s="25">
        <v>117</v>
      </c>
      <c r="DC10" s="25">
        <v>251</v>
      </c>
      <c r="DD10" s="25">
        <v>103</v>
      </c>
      <c r="DE10" s="25">
        <v>247</v>
      </c>
      <c r="DF10" s="25">
        <v>104</v>
      </c>
      <c r="DG10" s="25">
        <v>4</v>
      </c>
      <c r="DH10" s="25">
        <v>5</v>
      </c>
      <c r="DI10" s="25">
        <v>6</v>
      </c>
      <c r="DJ10" s="25">
        <v>10</v>
      </c>
      <c r="DK10" s="25">
        <v>20</v>
      </c>
      <c r="DL10" s="25">
        <v>15</v>
      </c>
      <c r="DM10" s="25">
        <v>27</v>
      </c>
      <c r="DN10" s="25">
        <v>27</v>
      </c>
      <c r="DO10" s="25">
        <v>13</v>
      </c>
      <c r="DP10" s="25">
        <v>18</v>
      </c>
      <c r="DQ10" s="25">
        <v>14</v>
      </c>
      <c r="DR10" s="25">
        <v>20</v>
      </c>
      <c r="DS10" s="25">
        <v>8</v>
      </c>
      <c r="DT10" s="25">
        <v>11</v>
      </c>
      <c r="DU10" s="25">
        <v>1255</v>
      </c>
      <c r="DV10" s="25">
        <v>210</v>
      </c>
      <c r="DW10" s="25">
        <v>667</v>
      </c>
      <c r="DX10" s="25">
        <v>177</v>
      </c>
      <c r="DY10" s="25">
        <v>547</v>
      </c>
      <c r="DZ10" s="25">
        <v>174</v>
      </c>
      <c r="EA10" s="25">
        <v>120</v>
      </c>
      <c r="EB10" s="25">
        <v>54</v>
      </c>
      <c r="EC10" s="25">
        <v>37</v>
      </c>
      <c r="ED10" s="25">
        <v>26</v>
      </c>
      <c r="EE10" s="25">
        <v>20</v>
      </c>
      <c r="EF10" s="25">
        <v>24</v>
      </c>
      <c r="EG10" s="25">
        <v>10</v>
      </c>
      <c r="EH10" s="25">
        <v>14</v>
      </c>
      <c r="EI10" s="25">
        <v>44</v>
      </c>
      <c r="EJ10" s="25">
        <v>32</v>
      </c>
      <c r="EK10" s="25">
        <v>456</v>
      </c>
      <c r="EL10" s="25">
        <v>110</v>
      </c>
      <c r="EM10" s="25">
        <v>21</v>
      </c>
      <c r="EN10" s="25">
        <v>20</v>
      </c>
    </row>
    <row r="11" spans="1:144" x14ac:dyDescent="0.25">
      <c r="A11" s="19">
        <f t="shared" si="8"/>
        <v>5</v>
      </c>
      <c r="B11" s="20" t="str">
        <f t="shared" si="9"/>
        <v>Cache</v>
      </c>
      <c r="C11" s="24" t="s">
        <v>292</v>
      </c>
      <c r="D11" s="24" t="s">
        <v>293</v>
      </c>
      <c r="E11" s="25">
        <v>60074</v>
      </c>
      <c r="F11" s="25">
        <v>912</v>
      </c>
      <c r="G11" s="25">
        <v>42841</v>
      </c>
      <c r="H11" s="25">
        <v>871</v>
      </c>
      <c r="I11" s="25">
        <v>39526</v>
      </c>
      <c r="J11" s="25">
        <v>865</v>
      </c>
      <c r="K11" s="25">
        <v>3315</v>
      </c>
      <c r="L11" s="25">
        <v>376</v>
      </c>
      <c r="M11" s="25">
        <v>3801</v>
      </c>
      <c r="N11" s="25">
        <v>421</v>
      </c>
      <c r="O11" s="25">
        <v>4039</v>
      </c>
      <c r="P11" s="25">
        <v>349</v>
      </c>
      <c r="Q11" s="25">
        <v>5980</v>
      </c>
      <c r="R11" s="25">
        <v>424</v>
      </c>
      <c r="S11" s="25">
        <v>814</v>
      </c>
      <c r="T11" s="25">
        <v>150</v>
      </c>
      <c r="U11" s="25">
        <v>2486</v>
      </c>
      <c r="V11" s="25">
        <v>310</v>
      </c>
      <c r="W11" s="25">
        <v>113</v>
      </c>
      <c r="X11" s="25">
        <v>56</v>
      </c>
      <c r="Y11" s="25">
        <v>44272</v>
      </c>
      <c r="Z11" s="25">
        <v>963</v>
      </c>
      <c r="AA11" s="25">
        <v>32352</v>
      </c>
      <c r="AB11" s="25">
        <v>903</v>
      </c>
      <c r="AC11" s="25">
        <v>30401</v>
      </c>
      <c r="AD11" s="25">
        <v>878</v>
      </c>
      <c r="AE11" s="25">
        <v>1951</v>
      </c>
      <c r="AF11" s="25">
        <v>253</v>
      </c>
      <c r="AG11" s="25">
        <v>2810</v>
      </c>
      <c r="AH11" s="25">
        <v>319</v>
      </c>
      <c r="AI11" s="25">
        <v>3353</v>
      </c>
      <c r="AJ11" s="25">
        <v>303</v>
      </c>
      <c r="AK11" s="25">
        <v>3851</v>
      </c>
      <c r="AL11" s="25">
        <v>331</v>
      </c>
      <c r="AM11" s="25">
        <v>532</v>
      </c>
      <c r="AN11" s="25">
        <v>132</v>
      </c>
      <c r="AO11" s="25">
        <v>1302</v>
      </c>
      <c r="AP11" s="25">
        <v>206</v>
      </c>
      <c r="AQ11" s="25">
        <v>72</v>
      </c>
      <c r="AR11" s="25">
        <v>41</v>
      </c>
      <c r="AS11" s="25">
        <v>6961</v>
      </c>
      <c r="AT11" s="25">
        <v>476</v>
      </c>
      <c r="AU11" s="25">
        <v>5180</v>
      </c>
      <c r="AV11" s="25">
        <v>427</v>
      </c>
      <c r="AW11" s="25">
        <v>4937</v>
      </c>
      <c r="AX11" s="25">
        <v>401</v>
      </c>
      <c r="AY11" s="25">
        <v>243</v>
      </c>
      <c r="AZ11" s="25">
        <v>103</v>
      </c>
      <c r="BA11" s="25">
        <v>410</v>
      </c>
      <c r="BB11" s="25">
        <v>125</v>
      </c>
      <c r="BC11" s="25">
        <v>435</v>
      </c>
      <c r="BD11" s="25">
        <v>121</v>
      </c>
      <c r="BE11" s="25">
        <v>500</v>
      </c>
      <c r="BF11" s="25">
        <v>114</v>
      </c>
      <c r="BG11" s="25">
        <v>195</v>
      </c>
      <c r="BH11" s="25">
        <v>78</v>
      </c>
      <c r="BI11" s="25">
        <v>241</v>
      </c>
      <c r="BJ11" s="25">
        <v>103</v>
      </c>
      <c r="BK11" s="25">
        <v>0</v>
      </c>
      <c r="BL11" s="25">
        <v>27</v>
      </c>
      <c r="BM11" s="25">
        <v>1308</v>
      </c>
      <c r="BN11" s="25">
        <v>312</v>
      </c>
      <c r="BO11" s="25">
        <v>862</v>
      </c>
      <c r="BP11" s="25">
        <v>227</v>
      </c>
      <c r="BQ11" s="25">
        <v>841</v>
      </c>
      <c r="BR11" s="25">
        <v>222</v>
      </c>
      <c r="BS11" s="25">
        <v>21</v>
      </c>
      <c r="BT11" s="25">
        <v>27</v>
      </c>
      <c r="BU11" s="25">
        <v>99</v>
      </c>
      <c r="BV11" s="25">
        <v>50</v>
      </c>
      <c r="BW11" s="25">
        <v>65</v>
      </c>
      <c r="BX11" s="25">
        <v>46</v>
      </c>
      <c r="BY11" s="25">
        <v>260</v>
      </c>
      <c r="BZ11" s="25">
        <v>168</v>
      </c>
      <c r="CA11" s="25">
        <v>4</v>
      </c>
      <c r="CB11" s="25">
        <v>6</v>
      </c>
      <c r="CC11" s="25">
        <v>18</v>
      </c>
      <c r="CD11" s="25">
        <v>23</v>
      </c>
      <c r="CE11" s="25">
        <v>0</v>
      </c>
      <c r="CF11" s="25">
        <v>27</v>
      </c>
      <c r="CG11" s="25">
        <v>2223</v>
      </c>
      <c r="CH11" s="25">
        <v>318</v>
      </c>
      <c r="CI11" s="25">
        <v>942</v>
      </c>
      <c r="CJ11" s="25">
        <v>194</v>
      </c>
      <c r="CK11" s="25">
        <v>808</v>
      </c>
      <c r="CL11" s="25">
        <v>171</v>
      </c>
      <c r="CM11" s="25">
        <v>134</v>
      </c>
      <c r="CN11" s="25">
        <v>58</v>
      </c>
      <c r="CO11" s="25">
        <v>246</v>
      </c>
      <c r="CP11" s="25">
        <v>109</v>
      </c>
      <c r="CQ11" s="25">
        <v>103</v>
      </c>
      <c r="CR11" s="25">
        <v>59</v>
      </c>
      <c r="CS11" s="25">
        <v>812</v>
      </c>
      <c r="CT11" s="25">
        <v>179</v>
      </c>
      <c r="CU11" s="25">
        <v>29</v>
      </c>
      <c r="CV11" s="25">
        <v>27</v>
      </c>
      <c r="CW11" s="25">
        <v>91</v>
      </c>
      <c r="CX11" s="25">
        <v>46</v>
      </c>
      <c r="CY11" s="25">
        <v>0</v>
      </c>
      <c r="CZ11" s="25">
        <v>27</v>
      </c>
      <c r="DA11" s="25">
        <v>1528</v>
      </c>
      <c r="DB11" s="25">
        <v>222</v>
      </c>
      <c r="DC11" s="25">
        <v>945</v>
      </c>
      <c r="DD11" s="25">
        <v>166</v>
      </c>
      <c r="DE11" s="25">
        <v>872</v>
      </c>
      <c r="DF11" s="25">
        <v>176</v>
      </c>
      <c r="DG11" s="25">
        <v>73</v>
      </c>
      <c r="DH11" s="25">
        <v>47</v>
      </c>
      <c r="DI11" s="25">
        <v>74</v>
      </c>
      <c r="DJ11" s="25">
        <v>49</v>
      </c>
      <c r="DK11" s="25">
        <v>59</v>
      </c>
      <c r="DL11" s="25">
        <v>45</v>
      </c>
      <c r="DM11" s="25">
        <v>396</v>
      </c>
      <c r="DN11" s="25">
        <v>138</v>
      </c>
      <c r="DO11" s="25">
        <v>24</v>
      </c>
      <c r="DP11" s="25">
        <v>22</v>
      </c>
      <c r="DQ11" s="25">
        <v>21</v>
      </c>
      <c r="DR11" s="25">
        <v>17</v>
      </c>
      <c r="DS11" s="25">
        <v>9</v>
      </c>
      <c r="DT11" s="25">
        <v>12</v>
      </c>
      <c r="DU11" s="25">
        <v>3782</v>
      </c>
      <c r="DV11" s="25">
        <v>388</v>
      </c>
      <c r="DW11" s="25">
        <v>2560</v>
      </c>
      <c r="DX11" s="25">
        <v>319</v>
      </c>
      <c r="DY11" s="25">
        <v>1667</v>
      </c>
      <c r="DZ11" s="25">
        <v>251</v>
      </c>
      <c r="EA11" s="25">
        <v>893</v>
      </c>
      <c r="EB11" s="25">
        <v>190</v>
      </c>
      <c r="EC11" s="25">
        <v>162</v>
      </c>
      <c r="ED11" s="25">
        <v>67</v>
      </c>
      <c r="EE11" s="25">
        <v>24</v>
      </c>
      <c r="EF11" s="25">
        <v>24</v>
      </c>
      <c r="EG11" s="25">
        <v>161</v>
      </c>
      <c r="EH11" s="25">
        <v>103</v>
      </c>
      <c r="EI11" s="25">
        <v>30</v>
      </c>
      <c r="EJ11" s="25">
        <v>26</v>
      </c>
      <c r="EK11" s="25">
        <v>813</v>
      </c>
      <c r="EL11" s="25">
        <v>164</v>
      </c>
      <c r="EM11" s="25">
        <v>32</v>
      </c>
      <c r="EN11" s="25">
        <v>32</v>
      </c>
    </row>
    <row r="12" spans="1:144" x14ac:dyDescent="0.25">
      <c r="A12" s="19">
        <f t="shared" si="8"/>
        <v>7</v>
      </c>
      <c r="B12" s="20" t="str">
        <f t="shared" si="9"/>
        <v>Carbon</v>
      </c>
      <c r="C12" s="24" t="s">
        <v>294</v>
      </c>
      <c r="D12" s="24" t="s">
        <v>295</v>
      </c>
      <c r="E12" s="25">
        <v>8398</v>
      </c>
      <c r="F12" s="25">
        <v>356</v>
      </c>
      <c r="G12" s="25">
        <v>5583</v>
      </c>
      <c r="H12" s="25">
        <v>339</v>
      </c>
      <c r="I12" s="25">
        <v>5284</v>
      </c>
      <c r="J12" s="25">
        <v>321</v>
      </c>
      <c r="K12" s="25">
        <v>299</v>
      </c>
      <c r="L12" s="25">
        <v>81</v>
      </c>
      <c r="M12" s="25">
        <v>439</v>
      </c>
      <c r="N12" s="25">
        <v>120</v>
      </c>
      <c r="O12" s="25">
        <v>907</v>
      </c>
      <c r="P12" s="25">
        <v>168</v>
      </c>
      <c r="Q12" s="25">
        <v>767</v>
      </c>
      <c r="R12" s="25">
        <v>171</v>
      </c>
      <c r="S12" s="25">
        <v>217</v>
      </c>
      <c r="T12" s="25">
        <v>75</v>
      </c>
      <c r="U12" s="25">
        <v>465</v>
      </c>
      <c r="V12" s="25">
        <v>123</v>
      </c>
      <c r="W12" s="25">
        <v>20</v>
      </c>
      <c r="X12" s="25">
        <v>19</v>
      </c>
      <c r="Y12" s="25">
        <v>6919</v>
      </c>
      <c r="Z12" s="25">
        <v>375</v>
      </c>
      <c r="AA12" s="25">
        <v>4692</v>
      </c>
      <c r="AB12" s="25">
        <v>330</v>
      </c>
      <c r="AC12" s="25">
        <v>4539</v>
      </c>
      <c r="AD12" s="25">
        <v>325</v>
      </c>
      <c r="AE12" s="25">
        <v>153</v>
      </c>
      <c r="AF12" s="25">
        <v>53</v>
      </c>
      <c r="AG12" s="25">
        <v>396</v>
      </c>
      <c r="AH12" s="25">
        <v>113</v>
      </c>
      <c r="AI12" s="25">
        <v>792</v>
      </c>
      <c r="AJ12" s="25">
        <v>153</v>
      </c>
      <c r="AK12" s="25">
        <v>637</v>
      </c>
      <c r="AL12" s="25">
        <v>159</v>
      </c>
      <c r="AM12" s="25">
        <v>122</v>
      </c>
      <c r="AN12" s="25">
        <v>59</v>
      </c>
      <c r="AO12" s="25">
        <v>280</v>
      </c>
      <c r="AP12" s="25">
        <v>106</v>
      </c>
      <c r="AQ12" s="25">
        <v>0</v>
      </c>
      <c r="AR12" s="25">
        <v>21</v>
      </c>
      <c r="AS12" s="25">
        <v>736</v>
      </c>
      <c r="AT12" s="25">
        <v>145</v>
      </c>
      <c r="AU12" s="25">
        <v>509</v>
      </c>
      <c r="AV12" s="25">
        <v>119</v>
      </c>
      <c r="AW12" s="25">
        <v>473</v>
      </c>
      <c r="AX12" s="25">
        <v>118</v>
      </c>
      <c r="AY12" s="25">
        <v>36</v>
      </c>
      <c r="AZ12" s="25">
        <v>37</v>
      </c>
      <c r="BA12" s="25">
        <v>24</v>
      </c>
      <c r="BB12" s="25">
        <v>28</v>
      </c>
      <c r="BC12" s="25">
        <v>72</v>
      </c>
      <c r="BD12" s="25">
        <v>53</v>
      </c>
      <c r="BE12" s="25">
        <v>53</v>
      </c>
      <c r="BF12" s="25">
        <v>41</v>
      </c>
      <c r="BG12" s="25">
        <v>64</v>
      </c>
      <c r="BH12" s="25">
        <v>45</v>
      </c>
      <c r="BI12" s="25">
        <v>9</v>
      </c>
      <c r="BJ12" s="25">
        <v>11</v>
      </c>
      <c r="BK12" s="25">
        <v>5</v>
      </c>
      <c r="BL12" s="25">
        <v>8</v>
      </c>
      <c r="BM12" s="25">
        <v>40</v>
      </c>
      <c r="BN12" s="25">
        <v>35</v>
      </c>
      <c r="BO12" s="25">
        <v>24</v>
      </c>
      <c r="BP12" s="25">
        <v>27</v>
      </c>
      <c r="BQ12" s="25">
        <v>24</v>
      </c>
      <c r="BR12" s="25">
        <v>27</v>
      </c>
      <c r="BS12" s="25">
        <v>0</v>
      </c>
      <c r="BT12" s="25">
        <v>21</v>
      </c>
      <c r="BU12" s="25">
        <v>0</v>
      </c>
      <c r="BV12" s="25">
        <v>21</v>
      </c>
      <c r="BW12" s="25">
        <v>10</v>
      </c>
      <c r="BX12" s="25">
        <v>16</v>
      </c>
      <c r="BY12" s="25">
        <v>0</v>
      </c>
      <c r="BZ12" s="25">
        <v>21</v>
      </c>
      <c r="CA12" s="25">
        <v>0</v>
      </c>
      <c r="CB12" s="25">
        <v>21</v>
      </c>
      <c r="CC12" s="25">
        <v>6</v>
      </c>
      <c r="CD12" s="25">
        <v>11</v>
      </c>
      <c r="CE12" s="25">
        <v>0</v>
      </c>
      <c r="CF12" s="25">
        <v>21</v>
      </c>
      <c r="CG12" s="25">
        <v>286</v>
      </c>
      <c r="CH12" s="25">
        <v>103</v>
      </c>
      <c r="CI12" s="25">
        <v>142</v>
      </c>
      <c r="CJ12" s="25">
        <v>79</v>
      </c>
      <c r="CK12" s="25">
        <v>124</v>
      </c>
      <c r="CL12" s="25">
        <v>67</v>
      </c>
      <c r="CM12" s="25">
        <v>18</v>
      </c>
      <c r="CN12" s="25">
        <v>27</v>
      </c>
      <c r="CO12" s="25">
        <v>0</v>
      </c>
      <c r="CP12" s="25">
        <v>21</v>
      </c>
      <c r="CQ12" s="25">
        <v>9</v>
      </c>
      <c r="CR12" s="25">
        <v>12</v>
      </c>
      <c r="CS12" s="25">
        <v>66</v>
      </c>
      <c r="CT12" s="25">
        <v>51</v>
      </c>
      <c r="CU12" s="25">
        <v>24</v>
      </c>
      <c r="CV12" s="25">
        <v>19</v>
      </c>
      <c r="CW12" s="25">
        <v>36</v>
      </c>
      <c r="CX12" s="25">
        <v>26</v>
      </c>
      <c r="CY12" s="25">
        <v>9</v>
      </c>
      <c r="CZ12" s="25">
        <v>15</v>
      </c>
      <c r="DA12" s="25">
        <v>70</v>
      </c>
      <c r="DB12" s="25">
        <v>61</v>
      </c>
      <c r="DC12" s="25">
        <v>50</v>
      </c>
      <c r="DD12" s="25">
        <v>56</v>
      </c>
      <c r="DE12" s="25">
        <v>50</v>
      </c>
      <c r="DF12" s="25">
        <v>56</v>
      </c>
      <c r="DG12" s="25">
        <v>0</v>
      </c>
      <c r="DH12" s="25">
        <v>21</v>
      </c>
      <c r="DI12" s="25">
        <v>3</v>
      </c>
      <c r="DJ12" s="25">
        <v>5</v>
      </c>
      <c r="DK12" s="25">
        <v>2</v>
      </c>
      <c r="DL12" s="25">
        <v>3</v>
      </c>
      <c r="DM12" s="25">
        <v>5</v>
      </c>
      <c r="DN12" s="25">
        <v>9</v>
      </c>
      <c r="DO12" s="25">
        <v>0</v>
      </c>
      <c r="DP12" s="25">
        <v>21</v>
      </c>
      <c r="DQ12" s="25">
        <v>10</v>
      </c>
      <c r="DR12" s="25">
        <v>16</v>
      </c>
      <c r="DS12" s="25">
        <v>0</v>
      </c>
      <c r="DT12" s="25">
        <v>21</v>
      </c>
      <c r="DU12" s="25">
        <v>347</v>
      </c>
      <c r="DV12" s="25">
        <v>108</v>
      </c>
      <c r="DW12" s="25">
        <v>166</v>
      </c>
      <c r="DX12" s="25">
        <v>78</v>
      </c>
      <c r="DY12" s="25">
        <v>74</v>
      </c>
      <c r="DZ12" s="25">
        <v>51</v>
      </c>
      <c r="EA12" s="25">
        <v>92</v>
      </c>
      <c r="EB12" s="25">
        <v>64</v>
      </c>
      <c r="EC12" s="25">
        <v>16</v>
      </c>
      <c r="ED12" s="25">
        <v>18</v>
      </c>
      <c r="EE12" s="25">
        <v>22</v>
      </c>
      <c r="EF12" s="25">
        <v>24</v>
      </c>
      <c r="EG12" s="25">
        <v>6</v>
      </c>
      <c r="EH12" s="25">
        <v>10</v>
      </c>
      <c r="EI12" s="25">
        <v>7</v>
      </c>
      <c r="EJ12" s="25">
        <v>11</v>
      </c>
      <c r="EK12" s="25">
        <v>124</v>
      </c>
      <c r="EL12" s="25">
        <v>64</v>
      </c>
      <c r="EM12" s="25">
        <v>6</v>
      </c>
      <c r="EN12" s="25">
        <v>10</v>
      </c>
    </row>
    <row r="13" spans="1:144" x14ac:dyDescent="0.25">
      <c r="A13" s="19">
        <f t="shared" si="8"/>
        <v>9</v>
      </c>
      <c r="B13" s="20" t="str">
        <f t="shared" si="9"/>
        <v>Daggett</v>
      </c>
      <c r="C13" s="24" t="s">
        <v>296</v>
      </c>
      <c r="D13" s="24" t="s">
        <v>297</v>
      </c>
      <c r="E13" s="25">
        <v>303</v>
      </c>
      <c r="F13" s="25">
        <v>111</v>
      </c>
      <c r="G13" s="25">
        <v>230</v>
      </c>
      <c r="H13" s="25">
        <v>95</v>
      </c>
      <c r="I13" s="25">
        <v>204</v>
      </c>
      <c r="J13" s="25">
        <v>93</v>
      </c>
      <c r="K13" s="25">
        <v>26</v>
      </c>
      <c r="L13" s="25">
        <v>22</v>
      </c>
      <c r="M13" s="25">
        <v>4</v>
      </c>
      <c r="N13" s="25">
        <v>6</v>
      </c>
      <c r="O13" s="25">
        <v>35</v>
      </c>
      <c r="P13" s="25">
        <v>27</v>
      </c>
      <c r="Q13" s="25">
        <v>6</v>
      </c>
      <c r="R13" s="25">
        <v>9</v>
      </c>
      <c r="S13" s="25">
        <v>20</v>
      </c>
      <c r="T13" s="25">
        <v>14</v>
      </c>
      <c r="U13" s="25">
        <v>8</v>
      </c>
      <c r="V13" s="25">
        <v>10</v>
      </c>
      <c r="W13" s="25">
        <v>0</v>
      </c>
      <c r="X13" s="25">
        <v>11</v>
      </c>
      <c r="Y13" s="25">
        <v>154</v>
      </c>
      <c r="Z13" s="25">
        <v>56</v>
      </c>
      <c r="AA13" s="25">
        <v>86</v>
      </c>
      <c r="AB13" s="25">
        <v>32</v>
      </c>
      <c r="AC13" s="25">
        <v>73</v>
      </c>
      <c r="AD13" s="25">
        <v>29</v>
      </c>
      <c r="AE13" s="25">
        <v>13</v>
      </c>
      <c r="AF13" s="25">
        <v>13</v>
      </c>
      <c r="AG13" s="25">
        <v>4</v>
      </c>
      <c r="AH13" s="25">
        <v>6</v>
      </c>
      <c r="AI13" s="25">
        <v>35</v>
      </c>
      <c r="AJ13" s="25">
        <v>27</v>
      </c>
      <c r="AK13" s="25">
        <v>6</v>
      </c>
      <c r="AL13" s="25">
        <v>9</v>
      </c>
      <c r="AM13" s="25">
        <v>15</v>
      </c>
      <c r="AN13" s="25">
        <v>13</v>
      </c>
      <c r="AO13" s="25">
        <v>8</v>
      </c>
      <c r="AP13" s="25">
        <v>10</v>
      </c>
      <c r="AQ13" s="25">
        <v>0</v>
      </c>
      <c r="AR13" s="25">
        <v>11</v>
      </c>
      <c r="AS13" s="25">
        <v>15</v>
      </c>
      <c r="AT13" s="25">
        <v>12</v>
      </c>
      <c r="AU13" s="25">
        <v>12</v>
      </c>
      <c r="AV13" s="25">
        <v>11</v>
      </c>
      <c r="AW13" s="25">
        <v>12</v>
      </c>
      <c r="AX13" s="25">
        <v>11</v>
      </c>
      <c r="AY13" s="25">
        <v>0</v>
      </c>
      <c r="AZ13" s="25">
        <v>11</v>
      </c>
      <c r="BA13" s="25">
        <v>0</v>
      </c>
      <c r="BB13" s="25">
        <v>11</v>
      </c>
      <c r="BC13" s="25">
        <v>0</v>
      </c>
      <c r="BD13" s="25">
        <v>11</v>
      </c>
      <c r="BE13" s="25">
        <v>0</v>
      </c>
      <c r="BF13" s="25">
        <v>11</v>
      </c>
      <c r="BG13" s="25">
        <v>3</v>
      </c>
      <c r="BH13" s="25">
        <v>5</v>
      </c>
      <c r="BI13" s="25">
        <v>0</v>
      </c>
      <c r="BJ13" s="25">
        <v>11</v>
      </c>
      <c r="BK13" s="25">
        <v>0</v>
      </c>
      <c r="BL13" s="25">
        <v>11</v>
      </c>
      <c r="BM13" s="25">
        <v>2</v>
      </c>
      <c r="BN13" s="25">
        <v>4</v>
      </c>
      <c r="BO13" s="25">
        <v>2</v>
      </c>
      <c r="BP13" s="25">
        <v>4</v>
      </c>
      <c r="BQ13" s="25">
        <v>2</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119</v>
      </c>
      <c r="CH13" s="25">
        <v>88</v>
      </c>
      <c r="CI13" s="25">
        <v>117</v>
      </c>
      <c r="CJ13" s="25">
        <v>88</v>
      </c>
      <c r="CK13" s="25">
        <v>117</v>
      </c>
      <c r="CL13" s="25">
        <v>88</v>
      </c>
      <c r="CM13" s="25">
        <v>0</v>
      </c>
      <c r="CN13" s="25">
        <v>11</v>
      </c>
      <c r="CO13" s="25">
        <v>0</v>
      </c>
      <c r="CP13" s="25">
        <v>11</v>
      </c>
      <c r="CQ13" s="25">
        <v>0</v>
      </c>
      <c r="CR13" s="25">
        <v>11</v>
      </c>
      <c r="CS13" s="25">
        <v>0</v>
      </c>
      <c r="CT13" s="25">
        <v>11</v>
      </c>
      <c r="CU13" s="25">
        <v>2</v>
      </c>
      <c r="CV13" s="25">
        <v>4</v>
      </c>
      <c r="CW13" s="25">
        <v>0</v>
      </c>
      <c r="CX13" s="25">
        <v>11</v>
      </c>
      <c r="CY13" s="25">
        <v>0</v>
      </c>
      <c r="CZ13" s="25">
        <v>11</v>
      </c>
      <c r="DA13" s="25">
        <v>0</v>
      </c>
      <c r="DB13" s="25">
        <v>11</v>
      </c>
      <c r="DC13" s="25">
        <v>0</v>
      </c>
      <c r="DD13" s="25">
        <v>11</v>
      </c>
      <c r="DE13" s="25">
        <v>0</v>
      </c>
      <c r="DF13" s="25">
        <v>11</v>
      </c>
      <c r="DG13" s="25">
        <v>0</v>
      </c>
      <c r="DH13" s="25">
        <v>11</v>
      </c>
      <c r="DI13" s="25">
        <v>0</v>
      </c>
      <c r="DJ13" s="25">
        <v>11</v>
      </c>
      <c r="DK13" s="25">
        <v>0</v>
      </c>
      <c r="DL13" s="25">
        <v>11</v>
      </c>
      <c r="DM13" s="25">
        <v>0</v>
      </c>
      <c r="DN13" s="25">
        <v>11</v>
      </c>
      <c r="DO13" s="25">
        <v>0</v>
      </c>
      <c r="DP13" s="25">
        <v>11</v>
      </c>
      <c r="DQ13" s="25">
        <v>0</v>
      </c>
      <c r="DR13" s="25">
        <v>11</v>
      </c>
      <c r="DS13" s="25">
        <v>0</v>
      </c>
      <c r="DT13" s="25">
        <v>11</v>
      </c>
      <c r="DU13" s="25">
        <v>13</v>
      </c>
      <c r="DV13" s="25">
        <v>18</v>
      </c>
      <c r="DW13" s="25">
        <v>13</v>
      </c>
      <c r="DX13" s="25">
        <v>18</v>
      </c>
      <c r="DY13" s="25">
        <v>0</v>
      </c>
      <c r="DZ13" s="25">
        <v>11</v>
      </c>
      <c r="EA13" s="25">
        <v>13</v>
      </c>
      <c r="EB13" s="25">
        <v>18</v>
      </c>
      <c r="EC13" s="25">
        <v>0</v>
      </c>
      <c r="ED13" s="25">
        <v>11</v>
      </c>
      <c r="EE13" s="25">
        <v>0</v>
      </c>
      <c r="EF13" s="25">
        <v>11</v>
      </c>
      <c r="EG13" s="25">
        <v>0</v>
      </c>
      <c r="EH13" s="25">
        <v>11</v>
      </c>
      <c r="EI13" s="25">
        <v>0</v>
      </c>
      <c r="EJ13" s="25">
        <v>11</v>
      </c>
      <c r="EK13" s="25">
        <v>0</v>
      </c>
      <c r="EL13" s="25">
        <v>11</v>
      </c>
      <c r="EM13" s="25">
        <v>0</v>
      </c>
      <c r="EN13" s="25">
        <v>11</v>
      </c>
    </row>
    <row r="14" spans="1:144" x14ac:dyDescent="0.25">
      <c r="A14" s="19">
        <f t="shared" si="8"/>
        <v>11</v>
      </c>
      <c r="B14" s="20" t="str">
        <f t="shared" si="9"/>
        <v>Davis</v>
      </c>
      <c r="C14" s="24" t="s">
        <v>298</v>
      </c>
      <c r="D14" s="24" t="s">
        <v>299</v>
      </c>
      <c r="E14" s="25">
        <v>164394</v>
      </c>
      <c r="F14" s="25">
        <v>1402</v>
      </c>
      <c r="G14" s="25">
        <v>116864</v>
      </c>
      <c r="H14" s="25">
        <v>1601</v>
      </c>
      <c r="I14" s="25">
        <v>110581</v>
      </c>
      <c r="J14" s="25">
        <v>1587</v>
      </c>
      <c r="K14" s="25">
        <v>6283</v>
      </c>
      <c r="L14" s="25">
        <v>448</v>
      </c>
      <c r="M14" s="25">
        <v>11496</v>
      </c>
      <c r="N14" s="25">
        <v>607</v>
      </c>
      <c r="O14" s="25">
        <v>9944</v>
      </c>
      <c r="P14" s="25">
        <v>773</v>
      </c>
      <c r="Q14" s="25">
        <v>7085</v>
      </c>
      <c r="R14" s="25">
        <v>610</v>
      </c>
      <c r="S14" s="25">
        <v>12484</v>
      </c>
      <c r="T14" s="25">
        <v>657</v>
      </c>
      <c r="U14" s="25">
        <v>6389</v>
      </c>
      <c r="V14" s="25">
        <v>607</v>
      </c>
      <c r="W14" s="25">
        <v>132</v>
      </c>
      <c r="X14" s="25">
        <v>79</v>
      </c>
      <c r="Y14" s="25">
        <v>132363</v>
      </c>
      <c r="Z14" s="25">
        <v>1599</v>
      </c>
      <c r="AA14" s="25">
        <v>94618</v>
      </c>
      <c r="AB14" s="25">
        <v>1609</v>
      </c>
      <c r="AC14" s="25">
        <v>90719</v>
      </c>
      <c r="AD14" s="25">
        <v>1606</v>
      </c>
      <c r="AE14" s="25">
        <v>3899</v>
      </c>
      <c r="AF14" s="25">
        <v>388</v>
      </c>
      <c r="AG14" s="25">
        <v>9342</v>
      </c>
      <c r="AH14" s="25">
        <v>574</v>
      </c>
      <c r="AI14" s="25">
        <v>8460</v>
      </c>
      <c r="AJ14" s="25">
        <v>741</v>
      </c>
      <c r="AK14" s="25">
        <v>5540</v>
      </c>
      <c r="AL14" s="25">
        <v>572</v>
      </c>
      <c r="AM14" s="25">
        <v>10789</v>
      </c>
      <c r="AN14" s="25">
        <v>610</v>
      </c>
      <c r="AO14" s="25">
        <v>3547</v>
      </c>
      <c r="AP14" s="25">
        <v>396</v>
      </c>
      <c r="AQ14" s="25">
        <v>67</v>
      </c>
      <c r="AR14" s="25">
        <v>44</v>
      </c>
      <c r="AS14" s="25">
        <v>14927</v>
      </c>
      <c r="AT14" s="25">
        <v>921</v>
      </c>
      <c r="AU14" s="25">
        <v>10897</v>
      </c>
      <c r="AV14" s="25">
        <v>828</v>
      </c>
      <c r="AW14" s="25">
        <v>10416</v>
      </c>
      <c r="AX14" s="25">
        <v>794</v>
      </c>
      <c r="AY14" s="25">
        <v>481</v>
      </c>
      <c r="AZ14" s="25">
        <v>147</v>
      </c>
      <c r="BA14" s="25">
        <v>983</v>
      </c>
      <c r="BB14" s="25">
        <v>206</v>
      </c>
      <c r="BC14" s="25">
        <v>770</v>
      </c>
      <c r="BD14" s="25">
        <v>178</v>
      </c>
      <c r="BE14" s="25">
        <v>705</v>
      </c>
      <c r="BF14" s="25">
        <v>168</v>
      </c>
      <c r="BG14" s="25">
        <v>1012</v>
      </c>
      <c r="BH14" s="25">
        <v>207</v>
      </c>
      <c r="BI14" s="25">
        <v>560</v>
      </c>
      <c r="BJ14" s="25">
        <v>172</v>
      </c>
      <c r="BK14" s="25">
        <v>0</v>
      </c>
      <c r="BL14" s="25">
        <v>27</v>
      </c>
      <c r="BM14" s="25">
        <v>3335</v>
      </c>
      <c r="BN14" s="25">
        <v>389</v>
      </c>
      <c r="BO14" s="25">
        <v>1958</v>
      </c>
      <c r="BP14" s="25">
        <v>317</v>
      </c>
      <c r="BQ14" s="25">
        <v>1875</v>
      </c>
      <c r="BR14" s="25">
        <v>314</v>
      </c>
      <c r="BS14" s="25">
        <v>83</v>
      </c>
      <c r="BT14" s="25">
        <v>61</v>
      </c>
      <c r="BU14" s="25">
        <v>545</v>
      </c>
      <c r="BV14" s="25">
        <v>137</v>
      </c>
      <c r="BW14" s="25">
        <v>168</v>
      </c>
      <c r="BX14" s="25">
        <v>76</v>
      </c>
      <c r="BY14" s="25">
        <v>436</v>
      </c>
      <c r="BZ14" s="25">
        <v>145</v>
      </c>
      <c r="CA14" s="25">
        <v>153</v>
      </c>
      <c r="CB14" s="25">
        <v>79</v>
      </c>
      <c r="CC14" s="25">
        <v>75</v>
      </c>
      <c r="CD14" s="25">
        <v>69</v>
      </c>
      <c r="CE14" s="25">
        <v>0</v>
      </c>
      <c r="CF14" s="25">
        <v>27</v>
      </c>
      <c r="CG14" s="25">
        <v>2112</v>
      </c>
      <c r="CH14" s="25">
        <v>346</v>
      </c>
      <c r="CI14" s="25">
        <v>1342</v>
      </c>
      <c r="CJ14" s="25">
        <v>265</v>
      </c>
      <c r="CK14" s="25">
        <v>1236</v>
      </c>
      <c r="CL14" s="25">
        <v>258</v>
      </c>
      <c r="CM14" s="25">
        <v>106</v>
      </c>
      <c r="CN14" s="25">
        <v>57</v>
      </c>
      <c r="CO14" s="25">
        <v>181</v>
      </c>
      <c r="CP14" s="25">
        <v>84</v>
      </c>
      <c r="CQ14" s="25">
        <v>192</v>
      </c>
      <c r="CR14" s="25">
        <v>84</v>
      </c>
      <c r="CS14" s="25">
        <v>105</v>
      </c>
      <c r="CT14" s="25">
        <v>66</v>
      </c>
      <c r="CU14" s="25">
        <v>176</v>
      </c>
      <c r="CV14" s="25">
        <v>97</v>
      </c>
      <c r="CW14" s="25">
        <v>109</v>
      </c>
      <c r="CX14" s="25">
        <v>58</v>
      </c>
      <c r="CY14" s="25">
        <v>7</v>
      </c>
      <c r="CZ14" s="25">
        <v>14</v>
      </c>
      <c r="DA14" s="25">
        <v>1981</v>
      </c>
      <c r="DB14" s="25">
        <v>387</v>
      </c>
      <c r="DC14" s="25">
        <v>1481</v>
      </c>
      <c r="DD14" s="25">
        <v>320</v>
      </c>
      <c r="DE14" s="25">
        <v>1393</v>
      </c>
      <c r="DF14" s="25">
        <v>303</v>
      </c>
      <c r="DG14" s="25">
        <v>88</v>
      </c>
      <c r="DH14" s="25">
        <v>60</v>
      </c>
      <c r="DI14" s="25">
        <v>78</v>
      </c>
      <c r="DJ14" s="25">
        <v>61</v>
      </c>
      <c r="DK14" s="25">
        <v>199</v>
      </c>
      <c r="DL14" s="25">
        <v>130</v>
      </c>
      <c r="DM14" s="25">
        <v>115</v>
      </c>
      <c r="DN14" s="25">
        <v>52</v>
      </c>
      <c r="DO14" s="25">
        <v>68</v>
      </c>
      <c r="DP14" s="25">
        <v>42</v>
      </c>
      <c r="DQ14" s="25">
        <v>40</v>
      </c>
      <c r="DR14" s="25">
        <v>32</v>
      </c>
      <c r="DS14" s="25">
        <v>0</v>
      </c>
      <c r="DT14" s="25">
        <v>27</v>
      </c>
      <c r="DU14" s="25">
        <v>9676</v>
      </c>
      <c r="DV14" s="25">
        <v>711</v>
      </c>
      <c r="DW14" s="25">
        <v>6568</v>
      </c>
      <c r="DX14" s="25">
        <v>553</v>
      </c>
      <c r="DY14" s="25">
        <v>4942</v>
      </c>
      <c r="DZ14" s="25">
        <v>468</v>
      </c>
      <c r="EA14" s="25">
        <v>1626</v>
      </c>
      <c r="EB14" s="25">
        <v>264</v>
      </c>
      <c r="EC14" s="25">
        <v>367</v>
      </c>
      <c r="ED14" s="25">
        <v>107</v>
      </c>
      <c r="EE14" s="25">
        <v>155</v>
      </c>
      <c r="EF14" s="25">
        <v>83</v>
      </c>
      <c r="EG14" s="25">
        <v>184</v>
      </c>
      <c r="EH14" s="25">
        <v>83</v>
      </c>
      <c r="EI14" s="25">
        <v>286</v>
      </c>
      <c r="EJ14" s="25">
        <v>111</v>
      </c>
      <c r="EK14" s="25">
        <v>2058</v>
      </c>
      <c r="EL14" s="25">
        <v>326</v>
      </c>
      <c r="EM14" s="25">
        <v>58</v>
      </c>
      <c r="EN14" s="25">
        <v>64</v>
      </c>
    </row>
    <row r="15" spans="1:144" x14ac:dyDescent="0.25">
      <c r="A15" s="19">
        <f t="shared" si="8"/>
        <v>13</v>
      </c>
      <c r="B15" s="20" t="str">
        <f t="shared" si="9"/>
        <v>Duchesne</v>
      </c>
      <c r="C15" s="24" t="s">
        <v>300</v>
      </c>
      <c r="D15" s="24" t="s">
        <v>301</v>
      </c>
      <c r="E15" s="25">
        <v>7931</v>
      </c>
      <c r="F15" s="25">
        <v>233</v>
      </c>
      <c r="G15" s="25">
        <v>5355</v>
      </c>
      <c r="H15" s="25">
        <v>238</v>
      </c>
      <c r="I15" s="25">
        <v>4745</v>
      </c>
      <c r="J15" s="25">
        <v>235</v>
      </c>
      <c r="K15" s="25">
        <v>610</v>
      </c>
      <c r="L15" s="25">
        <v>94</v>
      </c>
      <c r="M15" s="25">
        <v>513</v>
      </c>
      <c r="N15" s="25">
        <v>87</v>
      </c>
      <c r="O15" s="25">
        <v>1103</v>
      </c>
      <c r="P15" s="25">
        <v>121</v>
      </c>
      <c r="Q15" s="25">
        <v>191</v>
      </c>
      <c r="R15" s="25">
        <v>59</v>
      </c>
      <c r="S15" s="25">
        <v>220</v>
      </c>
      <c r="T15" s="25">
        <v>57</v>
      </c>
      <c r="U15" s="25">
        <v>505</v>
      </c>
      <c r="V15" s="25">
        <v>87</v>
      </c>
      <c r="W15" s="25">
        <v>44</v>
      </c>
      <c r="X15" s="25">
        <v>26</v>
      </c>
      <c r="Y15" s="25">
        <v>6285</v>
      </c>
      <c r="Z15" s="25">
        <v>221</v>
      </c>
      <c r="AA15" s="25">
        <v>4284</v>
      </c>
      <c r="AB15" s="25">
        <v>216</v>
      </c>
      <c r="AC15" s="25">
        <v>3919</v>
      </c>
      <c r="AD15" s="25">
        <v>202</v>
      </c>
      <c r="AE15" s="25">
        <v>365</v>
      </c>
      <c r="AF15" s="25">
        <v>75</v>
      </c>
      <c r="AG15" s="25">
        <v>467</v>
      </c>
      <c r="AH15" s="25">
        <v>80</v>
      </c>
      <c r="AI15" s="25">
        <v>954</v>
      </c>
      <c r="AJ15" s="25">
        <v>112</v>
      </c>
      <c r="AK15" s="25">
        <v>161</v>
      </c>
      <c r="AL15" s="25">
        <v>52</v>
      </c>
      <c r="AM15" s="25">
        <v>217</v>
      </c>
      <c r="AN15" s="25">
        <v>57</v>
      </c>
      <c r="AO15" s="25">
        <v>184</v>
      </c>
      <c r="AP15" s="25">
        <v>46</v>
      </c>
      <c r="AQ15" s="25">
        <v>18</v>
      </c>
      <c r="AR15" s="25">
        <v>19</v>
      </c>
      <c r="AS15" s="25">
        <v>582</v>
      </c>
      <c r="AT15" s="25">
        <v>105</v>
      </c>
      <c r="AU15" s="25">
        <v>417</v>
      </c>
      <c r="AV15" s="25">
        <v>83</v>
      </c>
      <c r="AW15" s="25">
        <v>368</v>
      </c>
      <c r="AX15" s="25">
        <v>79</v>
      </c>
      <c r="AY15" s="25">
        <v>49</v>
      </c>
      <c r="AZ15" s="25">
        <v>32</v>
      </c>
      <c r="BA15" s="25">
        <v>27</v>
      </c>
      <c r="BB15" s="25">
        <v>22</v>
      </c>
      <c r="BC15" s="25">
        <v>93</v>
      </c>
      <c r="BD15" s="25">
        <v>40</v>
      </c>
      <c r="BE15" s="25">
        <v>18</v>
      </c>
      <c r="BF15" s="25">
        <v>15</v>
      </c>
      <c r="BG15" s="25">
        <v>0</v>
      </c>
      <c r="BH15" s="25">
        <v>21</v>
      </c>
      <c r="BI15" s="25">
        <v>27</v>
      </c>
      <c r="BJ15" s="25">
        <v>22</v>
      </c>
      <c r="BK15" s="25">
        <v>0</v>
      </c>
      <c r="BL15" s="25">
        <v>21</v>
      </c>
      <c r="BM15" s="25">
        <v>30</v>
      </c>
      <c r="BN15" s="25">
        <v>21</v>
      </c>
      <c r="BO15" s="25">
        <v>8</v>
      </c>
      <c r="BP15" s="25">
        <v>10</v>
      </c>
      <c r="BQ15" s="25">
        <v>8</v>
      </c>
      <c r="BR15" s="25">
        <v>10</v>
      </c>
      <c r="BS15" s="25">
        <v>0</v>
      </c>
      <c r="BT15" s="25">
        <v>21</v>
      </c>
      <c r="BU15" s="25">
        <v>6</v>
      </c>
      <c r="BV15" s="25">
        <v>10</v>
      </c>
      <c r="BW15" s="25">
        <v>16</v>
      </c>
      <c r="BX15" s="25">
        <v>15</v>
      </c>
      <c r="BY15" s="25">
        <v>0</v>
      </c>
      <c r="BZ15" s="25">
        <v>21</v>
      </c>
      <c r="CA15" s="25">
        <v>0</v>
      </c>
      <c r="CB15" s="25">
        <v>21</v>
      </c>
      <c r="CC15" s="25">
        <v>0</v>
      </c>
      <c r="CD15" s="25">
        <v>21</v>
      </c>
      <c r="CE15" s="25">
        <v>0</v>
      </c>
      <c r="CF15" s="25">
        <v>21</v>
      </c>
      <c r="CG15" s="25">
        <v>167</v>
      </c>
      <c r="CH15" s="25">
        <v>61</v>
      </c>
      <c r="CI15" s="25">
        <v>129</v>
      </c>
      <c r="CJ15" s="25">
        <v>55</v>
      </c>
      <c r="CK15" s="25">
        <v>129</v>
      </c>
      <c r="CL15" s="25">
        <v>55</v>
      </c>
      <c r="CM15" s="25">
        <v>0</v>
      </c>
      <c r="CN15" s="25">
        <v>21</v>
      </c>
      <c r="CO15" s="25">
        <v>0</v>
      </c>
      <c r="CP15" s="25">
        <v>21</v>
      </c>
      <c r="CQ15" s="25">
        <v>20</v>
      </c>
      <c r="CR15" s="25">
        <v>16</v>
      </c>
      <c r="CS15" s="25">
        <v>4</v>
      </c>
      <c r="CT15" s="25">
        <v>6</v>
      </c>
      <c r="CU15" s="25">
        <v>3</v>
      </c>
      <c r="CV15" s="25">
        <v>4</v>
      </c>
      <c r="CW15" s="25">
        <v>7</v>
      </c>
      <c r="CX15" s="25">
        <v>9</v>
      </c>
      <c r="CY15" s="25">
        <v>4</v>
      </c>
      <c r="CZ15" s="25">
        <v>7</v>
      </c>
      <c r="DA15" s="25">
        <v>83</v>
      </c>
      <c r="DB15" s="25">
        <v>38</v>
      </c>
      <c r="DC15" s="25">
        <v>62</v>
      </c>
      <c r="DD15" s="25">
        <v>32</v>
      </c>
      <c r="DE15" s="25">
        <v>62</v>
      </c>
      <c r="DF15" s="25">
        <v>32</v>
      </c>
      <c r="DG15" s="25">
        <v>0</v>
      </c>
      <c r="DH15" s="25">
        <v>21</v>
      </c>
      <c r="DI15" s="25">
        <v>5</v>
      </c>
      <c r="DJ15" s="25">
        <v>7</v>
      </c>
      <c r="DK15" s="25">
        <v>16</v>
      </c>
      <c r="DL15" s="25">
        <v>15</v>
      </c>
      <c r="DM15" s="25">
        <v>0</v>
      </c>
      <c r="DN15" s="25">
        <v>21</v>
      </c>
      <c r="DO15" s="25">
        <v>0</v>
      </c>
      <c r="DP15" s="25">
        <v>21</v>
      </c>
      <c r="DQ15" s="25">
        <v>0</v>
      </c>
      <c r="DR15" s="25">
        <v>21</v>
      </c>
      <c r="DS15" s="25">
        <v>0</v>
      </c>
      <c r="DT15" s="25">
        <v>21</v>
      </c>
      <c r="DU15" s="25">
        <v>784</v>
      </c>
      <c r="DV15" s="25">
        <v>107</v>
      </c>
      <c r="DW15" s="25">
        <v>455</v>
      </c>
      <c r="DX15" s="25">
        <v>95</v>
      </c>
      <c r="DY15" s="25">
        <v>259</v>
      </c>
      <c r="DZ15" s="25">
        <v>71</v>
      </c>
      <c r="EA15" s="25">
        <v>196</v>
      </c>
      <c r="EB15" s="25">
        <v>56</v>
      </c>
      <c r="EC15" s="25">
        <v>8</v>
      </c>
      <c r="ED15" s="25">
        <v>9</v>
      </c>
      <c r="EE15" s="25">
        <v>4</v>
      </c>
      <c r="EF15" s="25">
        <v>7</v>
      </c>
      <c r="EG15" s="25">
        <v>8</v>
      </c>
      <c r="EH15" s="25">
        <v>10</v>
      </c>
      <c r="EI15" s="25">
        <v>0</v>
      </c>
      <c r="EJ15" s="25">
        <v>21</v>
      </c>
      <c r="EK15" s="25">
        <v>287</v>
      </c>
      <c r="EL15" s="25">
        <v>63</v>
      </c>
      <c r="EM15" s="25">
        <v>22</v>
      </c>
      <c r="EN15" s="25">
        <v>17</v>
      </c>
    </row>
    <row r="16" spans="1:144" x14ac:dyDescent="0.25">
      <c r="A16" s="19">
        <f t="shared" si="8"/>
        <v>15</v>
      </c>
      <c r="B16" s="20" t="str">
        <f t="shared" si="9"/>
        <v>Emery</v>
      </c>
      <c r="C16" s="24" t="s">
        <v>302</v>
      </c>
      <c r="D16" s="24" t="s">
        <v>303</v>
      </c>
      <c r="E16" s="25">
        <v>3886</v>
      </c>
      <c r="F16" s="25">
        <v>181</v>
      </c>
      <c r="G16" s="25">
        <v>2424</v>
      </c>
      <c r="H16" s="25">
        <v>175</v>
      </c>
      <c r="I16" s="25">
        <v>2319</v>
      </c>
      <c r="J16" s="25">
        <v>189</v>
      </c>
      <c r="K16" s="25">
        <v>105</v>
      </c>
      <c r="L16" s="25">
        <v>48</v>
      </c>
      <c r="M16" s="25">
        <v>123</v>
      </c>
      <c r="N16" s="25">
        <v>61</v>
      </c>
      <c r="O16" s="25">
        <v>602</v>
      </c>
      <c r="P16" s="25">
        <v>137</v>
      </c>
      <c r="Q16" s="25">
        <v>360</v>
      </c>
      <c r="R16" s="25">
        <v>85</v>
      </c>
      <c r="S16" s="25">
        <v>109</v>
      </c>
      <c r="T16" s="25">
        <v>58</v>
      </c>
      <c r="U16" s="25">
        <v>267</v>
      </c>
      <c r="V16" s="25">
        <v>72</v>
      </c>
      <c r="W16" s="25">
        <v>1</v>
      </c>
      <c r="X16" s="25">
        <v>3</v>
      </c>
      <c r="Y16" s="25">
        <v>3093</v>
      </c>
      <c r="Z16" s="25">
        <v>166</v>
      </c>
      <c r="AA16" s="25">
        <v>1954</v>
      </c>
      <c r="AB16" s="25">
        <v>154</v>
      </c>
      <c r="AC16" s="25">
        <v>1896</v>
      </c>
      <c r="AD16" s="25">
        <v>164</v>
      </c>
      <c r="AE16" s="25">
        <v>58</v>
      </c>
      <c r="AF16" s="25">
        <v>40</v>
      </c>
      <c r="AG16" s="25">
        <v>106</v>
      </c>
      <c r="AH16" s="25">
        <v>55</v>
      </c>
      <c r="AI16" s="25">
        <v>562</v>
      </c>
      <c r="AJ16" s="25">
        <v>131</v>
      </c>
      <c r="AK16" s="25">
        <v>308</v>
      </c>
      <c r="AL16" s="25">
        <v>72</v>
      </c>
      <c r="AM16" s="25">
        <v>77</v>
      </c>
      <c r="AN16" s="25">
        <v>42</v>
      </c>
      <c r="AO16" s="25">
        <v>85</v>
      </c>
      <c r="AP16" s="25">
        <v>38</v>
      </c>
      <c r="AQ16" s="25">
        <v>1</v>
      </c>
      <c r="AR16" s="25">
        <v>3</v>
      </c>
      <c r="AS16" s="25">
        <v>379</v>
      </c>
      <c r="AT16" s="25">
        <v>93</v>
      </c>
      <c r="AU16" s="25">
        <v>289</v>
      </c>
      <c r="AV16" s="25">
        <v>83</v>
      </c>
      <c r="AW16" s="25">
        <v>283</v>
      </c>
      <c r="AX16" s="25">
        <v>83</v>
      </c>
      <c r="AY16" s="25">
        <v>6</v>
      </c>
      <c r="AZ16" s="25">
        <v>8</v>
      </c>
      <c r="BA16" s="25">
        <v>8</v>
      </c>
      <c r="BB16" s="25">
        <v>10</v>
      </c>
      <c r="BC16" s="25">
        <v>22</v>
      </c>
      <c r="BD16" s="25">
        <v>18</v>
      </c>
      <c r="BE16" s="25">
        <v>37</v>
      </c>
      <c r="BF16" s="25">
        <v>29</v>
      </c>
      <c r="BG16" s="25">
        <v>22</v>
      </c>
      <c r="BH16" s="25">
        <v>31</v>
      </c>
      <c r="BI16" s="25">
        <v>1</v>
      </c>
      <c r="BJ16" s="25">
        <v>3</v>
      </c>
      <c r="BK16" s="25">
        <v>0</v>
      </c>
      <c r="BL16" s="25">
        <v>18</v>
      </c>
      <c r="BM16" s="25">
        <v>15</v>
      </c>
      <c r="BN16" s="25">
        <v>15</v>
      </c>
      <c r="BO16" s="25">
        <v>4</v>
      </c>
      <c r="BP16" s="25">
        <v>8</v>
      </c>
      <c r="BQ16" s="25">
        <v>4</v>
      </c>
      <c r="BR16" s="25">
        <v>8</v>
      </c>
      <c r="BS16" s="25">
        <v>0</v>
      </c>
      <c r="BT16" s="25">
        <v>18</v>
      </c>
      <c r="BU16" s="25">
        <v>0</v>
      </c>
      <c r="BV16" s="25">
        <v>18</v>
      </c>
      <c r="BW16" s="25">
        <v>11</v>
      </c>
      <c r="BX16" s="25">
        <v>13</v>
      </c>
      <c r="BY16" s="25">
        <v>0</v>
      </c>
      <c r="BZ16" s="25">
        <v>18</v>
      </c>
      <c r="CA16" s="25">
        <v>0</v>
      </c>
      <c r="CB16" s="25">
        <v>18</v>
      </c>
      <c r="CC16" s="25">
        <v>0</v>
      </c>
      <c r="CD16" s="25">
        <v>18</v>
      </c>
      <c r="CE16" s="25">
        <v>0</v>
      </c>
      <c r="CF16" s="25">
        <v>18</v>
      </c>
      <c r="CG16" s="25">
        <v>53</v>
      </c>
      <c r="CH16" s="25">
        <v>26</v>
      </c>
      <c r="CI16" s="25">
        <v>38</v>
      </c>
      <c r="CJ16" s="25">
        <v>25</v>
      </c>
      <c r="CK16" s="25">
        <v>38</v>
      </c>
      <c r="CL16" s="25">
        <v>25</v>
      </c>
      <c r="CM16" s="25">
        <v>0</v>
      </c>
      <c r="CN16" s="25">
        <v>18</v>
      </c>
      <c r="CO16" s="25">
        <v>0</v>
      </c>
      <c r="CP16" s="25">
        <v>18</v>
      </c>
      <c r="CQ16" s="25">
        <v>4</v>
      </c>
      <c r="CR16" s="25">
        <v>5</v>
      </c>
      <c r="CS16" s="25">
        <v>5</v>
      </c>
      <c r="CT16" s="25">
        <v>7</v>
      </c>
      <c r="CU16" s="25">
        <v>2</v>
      </c>
      <c r="CV16" s="25">
        <v>5</v>
      </c>
      <c r="CW16" s="25">
        <v>4</v>
      </c>
      <c r="CX16" s="25">
        <v>7</v>
      </c>
      <c r="CY16" s="25">
        <v>0</v>
      </c>
      <c r="CZ16" s="25">
        <v>18</v>
      </c>
      <c r="DA16" s="25">
        <v>33</v>
      </c>
      <c r="DB16" s="25">
        <v>25</v>
      </c>
      <c r="DC16" s="25">
        <v>19</v>
      </c>
      <c r="DD16" s="25">
        <v>20</v>
      </c>
      <c r="DE16" s="25">
        <v>19</v>
      </c>
      <c r="DF16" s="25">
        <v>20</v>
      </c>
      <c r="DG16" s="25">
        <v>0</v>
      </c>
      <c r="DH16" s="25">
        <v>18</v>
      </c>
      <c r="DI16" s="25">
        <v>7</v>
      </c>
      <c r="DJ16" s="25">
        <v>10</v>
      </c>
      <c r="DK16" s="25">
        <v>3</v>
      </c>
      <c r="DL16" s="25">
        <v>4</v>
      </c>
      <c r="DM16" s="25">
        <v>0</v>
      </c>
      <c r="DN16" s="25">
        <v>18</v>
      </c>
      <c r="DO16" s="25">
        <v>0</v>
      </c>
      <c r="DP16" s="25">
        <v>18</v>
      </c>
      <c r="DQ16" s="25">
        <v>4</v>
      </c>
      <c r="DR16" s="25">
        <v>7</v>
      </c>
      <c r="DS16" s="25">
        <v>0</v>
      </c>
      <c r="DT16" s="25">
        <v>18</v>
      </c>
      <c r="DU16" s="25">
        <v>313</v>
      </c>
      <c r="DV16" s="25">
        <v>82</v>
      </c>
      <c r="DW16" s="25">
        <v>120</v>
      </c>
      <c r="DX16" s="25">
        <v>54</v>
      </c>
      <c r="DY16" s="25">
        <v>79</v>
      </c>
      <c r="DZ16" s="25">
        <v>41</v>
      </c>
      <c r="EA16" s="25">
        <v>41</v>
      </c>
      <c r="EB16" s="25">
        <v>34</v>
      </c>
      <c r="EC16" s="25">
        <v>2</v>
      </c>
      <c r="ED16" s="25">
        <v>3</v>
      </c>
      <c r="EE16" s="25">
        <v>0</v>
      </c>
      <c r="EF16" s="25">
        <v>18</v>
      </c>
      <c r="EG16" s="25">
        <v>10</v>
      </c>
      <c r="EH16" s="25">
        <v>12</v>
      </c>
      <c r="EI16" s="25">
        <v>8</v>
      </c>
      <c r="EJ16" s="25">
        <v>13</v>
      </c>
      <c r="EK16" s="25">
        <v>173</v>
      </c>
      <c r="EL16" s="25">
        <v>60</v>
      </c>
      <c r="EM16" s="25">
        <v>0</v>
      </c>
      <c r="EN16" s="25">
        <v>18</v>
      </c>
    </row>
    <row r="17" spans="1:144" x14ac:dyDescent="0.25">
      <c r="A17" s="19">
        <f t="shared" si="8"/>
        <v>17</v>
      </c>
      <c r="B17" s="20" t="str">
        <f t="shared" si="9"/>
        <v>Garfield</v>
      </c>
      <c r="C17" s="24" t="s">
        <v>304</v>
      </c>
      <c r="D17" s="24" t="s">
        <v>305</v>
      </c>
      <c r="E17" s="25">
        <v>2172</v>
      </c>
      <c r="F17" s="25">
        <v>171</v>
      </c>
      <c r="G17" s="25">
        <v>1414</v>
      </c>
      <c r="H17" s="25">
        <v>180</v>
      </c>
      <c r="I17" s="25">
        <v>1292</v>
      </c>
      <c r="J17" s="25">
        <v>181</v>
      </c>
      <c r="K17" s="25">
        <v>122</v>
      </c>
      <c r="L17" s="25">
        <v>50</v>
      </c>
      <c r="M17" s="25">
        <v>141</v>
      </c>
      <c r="N17" s="25">
        <v>61</v>
      </c>
      <c r="O17" s="25">
        <v>197</v>
      </c>
      <c r="P17" s="25">
        <v>56</v>
      </c>
      <c r="Q17" s="25">
        <v>128</v>
      </c>
      <c r="R17" s="25">
        <v>47</v>
      </c>
      <c r="S17" s="25">
        <v>181</v>
      </c>
      <c r="T17" s="25">
        <v>68</v>
      </c>
      <c r="U17" s="25">
        <v>111</v>
      </c>
      <c r="V17" s="25">
        <v>42</v>
      </c>
      <c r="W17" s="25">
        <v>0</v>
      </c>
      <c r="X17" s="25">
        <v>11</v>
      </c>
      <c r="Y17" s="25">
        <v>1572</v>
      </c>
      <c r="Z17" s="25">
        <v>136</v>
      </c>
      <c r="AA17" s="25">
        <v>973</v>
      </c>
      <c r="AB17" s="25">
        <v>142</v>
      </c>
      <c r="AC17" s="25">
        <v>907</v>
      </c>
      <c r="AD17" s="25">
        <v>142</v>
      </c>
      <c r="AE17" s="25">
        <v>66</v>
      </c>
      <c r="AF17" s="25">
        <v>37</v>
      </c>
      <c r="AG17" s="25">
        <v>93</v>
      </c>
      <c r="AH17" s="25">
        <v>46</v>
      </c>
      <c r="AI17" s="25">
        <v>182</v>
      </c>
      <c r="AJ17" s="25">
        <v>56</v>
      </c>
      <c r="AK17" s="25">
        <v>95</v>
      </c>
      <c r="AL17" s="25">
        <v>38</v>
      </c>
      <c r="AM17" s="25">
        <v>169</v>
      </c>
      <c r="AN17" s="25">
        <v>67</v>
      </c>
      <c r="AO17" s="25">
        <v>60</v>
      </c>
      <c r="AP17" s="25">
        <v>34</v>
      </c>
      <c r="AQ17" s="25">
        <v>0</v>
      </c>
      <c r="AR17" s="25">
        <v>11</v>
      </c>
      <c r="AS17" s="25">
        <v>230</v>
      </c>
      <c r="AT17" s="25">
        <v>63</v>
      </c>
      <c r="AU17" s="25">
        <v>163</v>
      </c>
      <c r="AV17" s="25">
        <v>55</v>
      </c>
      <c r="AW17" s="25">
        <v>160</v>
      </c>
      <c r="AX17" s="25">
        <v>55</v>
      </c>
      <c r="AY17" s="25">
        <v>3</v>
      </c>
      <c r="AZ17" s="25">
        <v>4</v>
      </c>
      <c r="BA17" s="25">
        <v>17</v>
      </c>
      <c r="BB17" s="25">
        <v>21</v>
      </c>
      <c r="BC17" s="25">
        <v>4</v>
      </c>
      <c r="BD17" s="25">
        <v>6</v>
      </c>
      <c r="BE17" s="25">
        <v>29</v>
      </c>
      <c r="BF17" s="25">
        <v>29</v>
      </c>
      <c r="BG17" s="25">
        <v>11</v>
      </c>
      <c r="BH17" s="25">
        <v>9</v>
      </c>
      <c r="BI17" s="25">
        <v>6</v>
      </c>
      <c r="BJ17" s="25">
        <v>7</v>
      </c>
      <c r="BK17" s="25">
        <v>0</v>
      </c>
      <c r="BL17" s="25">
        <v>11</v>
      </c>
      <c r="BM17" s="25">
        <v>0</v>
      </c>
      <c r="BN17" s="25">
        <v>11</v>
      </c>
      <c r="BO17" s="25">
        <v>0</v>
      </c>
      <c r="BP17" s="25">
        <v>11</v>
      </c>
      <c r="BQ17" s="25">
        <v>0</v>
      </c>
      <c r="BR17" s="25">
        <v>11</v>
      </c>
      <c r="BS17" s="25">
        <v>0</v>
      </c>
      <c r="BT17" s="25">
        <v>11</v>
      </c>
      <c r="BU17" s="25">
        <v>0</v>
      </c>
      <c r="BV17" s="25">
        <v>11</v>
      </c>
      <c r="BW17" s="25">
        <v>0</v>
      </c>
      <c r="BX17" s="25">
        <v>11</v>
      </c>
      <c r="BY17" s="25">
        <v>0</v>
      </c>
      <c r="BZ17" s="25">
        <v>11</v>
      </c>
      <c r="CA17" s="25">
        <v>0</v>
      </c>
      <c r="CB17" s="25">
        <v>11</v>
      </c>
      <c r="CC17" s="25">
        <v>0</v>
      </c>
      <c r="CD17" s="25">
        <v>11</v>
      </c>
      <c r="CE17" s="25">
        <v>0</v>
      </c>
      <c r="CF17" s="25">
        <v>11</v>
      </c>
      <c r="CG17" s="25">
        <v>133</v>
      </c>
      <c r="CH17" s="25">
        <v>87</v>
      </c>
      <c r="CI17" s="25">
        <v>125</v>
      </c>
      <c r="CJ17" s="25">
        <v>87</v>
      </c>
      <c r="CK17" s="25">
        <v>116</v>
      </c>
      <c r="CL17" s="25">
        <v>86</v>
      </c>
      <c r="CM17" s="25">
        <v>9</v>
      </c>
      <c r="CN17" s="25">
        <v>11</v>
      </c>
      <c r="CO17" s="25">
        <v>0</v>
      </c>
      <c r="CP17" s="25">
        <v>11</v>
      </c>
      <c r="CQ17" s="25">
        <v>4</v>
      </c>
      <c r="CR17" s="25">
        <v>4</v>
      </c>
      <c r="CS17" s="25">
        <v>2</v>
      </c>
      <c r="CT17" s="25">
        <v>6</v>
      </c>
      <c r="CU17" s="25">
        <v>1</v>
      </c>
      <c r="CV17" s="25">
        <v>2</v>
      </c>
      <c r="CW17" s="25">
        <v>1</v>
      </c>
      <c r="CX17" s="25">
        <v>4</v>
      </c>
      <c r="CY17" s="25">
        <v>0</v>
      </c>
      <c r="CZ17" s="25">
        <v>11</v>
      </c>
      <c r="DA17" s="25">
        <v>60</v>
      </c>
      <c r="DB17" s="25">
        <v>38</v>
      </c>
      <c r="DC17" s="25">
        <v>45</v>
      </c>
      <c r="DD17" s="25">
        <v>36</v>
      </c>
      <c r="DE17" s="25">
        <v>32</v>
      </c>
      <c r="DF17" s="25">
        <v>28</v>
      </c>
      <c r="DG17" s="25">
        <v>13</v>
      </c>
      <c r="DH17" s="25">
        <v>21</v>
      </c>
      <c r="DI17" s="25">
        <v>6</v>
      </c>
      <c r="DJ17" s="25">
        <v>10</v>
      </c>
      <c r="DK17" s="25">
        <v>6</v>
      </c>
      <c r="DL17" s="25">
        <v>7</v>
      </c>
      <c r="DM17" s="25">
        <v>0</v>
      </c>
      <c r="DN17" s="25">
        <v>11</v>
      </c>
      <c r="DO17" s="25">
        <v>0</v>
      </c>
      <c r="DP17" s="25">
        <v>11</v>
      </c>
      <c r="DQ17" s="25">
        <v>3</v>
      </c>
      <c r="DR17" s="25">
        <v>5</v>
      </c>
      <c r="DS17" s="25">
        <v>0</v>
      </c>
      <c r="DT17" s="25">
        <v>11</v>
      </c>
      <c r="DU17" s="25">
        <v>177</v>
      </c>
      <c r="DV17" s="25">
        <v>64</v>
      </c>
      <c r="DW17" s="25">
        <v>108</v>
      </c>
      <c r="DX17" s="25">
        <v>53</v>
      </c>
      <c r="DY17" s="25">
        <v>77</v>
      </c>
      <c r="DZ17" s="25">
        <v>51</v>
      </c>
      <c r="EA17" s="25">
        <v>31</v>
      </c>
      <c r="EB17" s="25">
        <v>23</v>
      </c>
      <c r="EC17" s="25">
        <v>25</v>
      </c>
      <c r="ED17" s="25">
        <v>24</v>
      </c>
      <c r="EE17" s="25">
        <v>1</v>
      </c>
      <c r="EF17" s="25">
        <v>2</v>
      </c>
      <c r="EG17" s="25">
        <v>2</v>
      </c>
      <c r="EH17" s="25">
        <v>3</v>
      </c>
      <c r="EI17" s="25">
        <v>0</v>
      </c>
      <c r="EJ17" s="25">
        <v>11</v>
      </c>
      <c r="EK17" s="25">
        <v>41</v>
      </c>
      <c r="EL17" s="25">
        <v>27</v>
      </c>
      <c r="EM17" s="25">
        <v>0</v>
      </c>
      <c r="EN17" s="25">
        <v>11</v>
      </c>
    </row>
    <row r="18" spans="1:144" x14ac:dyDescent="0.25">
      <c r="A18" s="19">
        <f t="shared" si="8"/>
        <v>19</v>
      </c>
      <c r="B18" s="20" t="str">
        <f t="shared" si="9"/>
        <v>Grand</v>
      </c>
      <c r="C18" s="24" t="s">
        <v>306</v>
      </c>
      <c r="D18" s="24" t="s">
        <v>307</v>
      </c>
      <c r="E18" s="25">
        <v>4852</v>
      </c>
      <c r="F18" s="25">
        <v>320</v>
      </c>
      <c r="G18" s="25">
        <v>3621</v>
      </c>
      <c r="H18" s="25">
        <v>413</v>
      </c>
      <c r="I18" s="25">
        <v>3330</v>
      </c>
      <c r="J18" s="25">
        <v>387</v>
      </c>
      <c r="K18" s="25">
        <v>291</v>
      </c>
      <c r="L18" s="25">
        <v>142</v>
      </c>
      <c r="M18" s="25">
        <v>307</v>
      </c>
      <c r="N18" s="25">
        <v>124</v>
      </c>
      <c r="O18" s="25">
        <v>259</v>
      </c>
      <c r="P18" s="25">
        <v>147</v>
      </c>
      <c r="Q18" s="25">
        <v>122</v>
      </c>
      <c r="R18" s="25">
        <v>80</v>
      </c>
      <c r="S18" s="25">
        <v>224</v>
      </c>
      <c r="T18" s="25">
        <v>109</v>
      </c>
      <c r="U18" s="25">
        <v>319</v>
      </c>
      <c r="V18" s="25">
        <v>148</v>
      </c>
      <c r="W18" s="25">
        <v>0</v>
      </c>
      <c r="X18" s="25">
        <v>16</v>
      </c>
      <c r="Y18" s="25">
        <v>3614</v>
      </c>
      <c r="Z18" s="25">
        <v>308</v>
      </c>
      <c r="AA18" s="25">
        <v>2833</v>
      </c>
      <c r="AB18" s="25">
        <v>376</v>
      </c>
      <c r="AC18" s="25">
        <v>2668</v>
      </c>
      <c r="AD18" s="25">
        <v>322</v>
      </c>
      <c r="AE18" s="25">
        <v>165</v>
      </c>
      <c r="AF18" s="25">
        <v>112</v>
      </c>
      <c r="AG18" s="25">
        <v>227</v>
      </c>
      <c r="AH18" s="25">
        <v>113</v>
      </c>
      <c r="AI18" s="25">
        <v>190</v>
      </c>
      <c r="AJ18" s="25">
        <v>141</v>
      </c>
      <c r="AK18" s="25">
        <v>97</v>
      </c>
      <c r="AL18" s="25">
        <v>75</v>
      </c>
      <c r="AM18" s="25">
        <v>137</v>
      </c>
      <c r="AN18" s="25">
        <v>77</v>
      </c>
      <c r="AO18" s="25">
        <v>130</v>
      </c>
      <c r="AP18" s="25">
        <v>101</v>
      </c>
      <c r="AQ18" s="25">
        <v>0</v>
      </c>
      <c r="AR18" s="25">
        <v>16</v>
      </c>
      <c r="AS18" s="25">
        <v>260</v>
      </c>
      <c r="AT18" s="25">
        <v>183</v>
      </c>
      <c r="AU18" s="25">
        <v>203</v>
      </c>
      <c r="AV18" s="25">
        <v>168</v>
      </c>
      <c r="AW18" s="25">
        <v>175</v>
      </c>
      <c r="AX18" s="25">
        <v>158</v>
      </c>
      <c r="AY18" s="25">
        <v>28</v>
      </c>
      <c r="AZ18" s="25">
        <v>40</v>
      </c>
      <c r="BA18" s="25">
        <v>20</v>
      </c>
      <c r="BB18" s="25">
        <v>30</v>
      </c>
      <c r="BC18" s="25">
        <v>1</v>
      </c>
      <c r="BD18" s="25">
        <v>2</v>
      </c>
      <c r="BE18" s="25">
        <v>9</v>
      </c>
      <c r="BF18" s="25">
        <v>15</v>
      </c>
      <c r="BG18" s="25">
        <v>12</v>
      </c>
      <c r="BH18" s="25">
        <v>28</v>
      </c>
      <c r="BI18" s="25">
        <v>15</v>
      </c>
      <c r="BJ18" s="25">
        <v>24</v>
      </c>
      <c r="BK18" s="25">
        <v>0</v>
      </c>
      <c r="BL18" s="25">
        <v>16</v>
      </c>
      <c r="BM18" s="25">
        <v>3</v>
      </c>
      <c r="BN18" s="25">
        <v>6</v>
      </c>
      <c r="BO18" s="25">
        <v>0</v>
      </c>
      <c r="BP18" s="25">
        <v>16</v>
      </c>
      <c r="BQ18" s="25">
        <v>0</v>
      </c>
      <c r="BR18" s="25">
        <v>16</v>
      </c>
      <c r="BS18" s="25">
        <v>0</v>
      </c>
      <c r="BT18" s="25">
        <v>16</v>
      </c>
      <c r="BU18" s="25">
        <v>0</v>
      </c>
      <c r="BV18" s="25">
        <v>16</v>
      </c>
      <c r="BW18" s="25">
        <v>3</v>
      </c>
      <c r="BX18" s="25">
        <v>6</v>
      </c>
      <c r="BY18" s="25">
        <v>0</v>
      </c>
      <c r="BZ18" s="25">
        <v>16</v>
      </c>
      <c r="CA18" s="25">
        <v>0</v>
      </c>
      <c r="CB18" s="25">
        <v>16</v>
      </c>
      <c r="CC18" s="25">
        <v>0</v>
      </c>
      <c r="CD18" s="25">
        <v>16</v>
      </c>
      <c r="CE18" s="25">
        <v>0</v>
      </c>
      <c r="CF18" s="25">
        <v>16</v>
      </c>
      <c r="CG18" s="25">
        <v>225</v>
      </c>
      <c r="CH18" s="25">
        <v>105</v>
      </c>
      <c r="CI18" s="25">
        <v>215</v>
      </c>
      <c r="CJ18" s="25">
        <v>101</v>
      </c>
      <c r="CK18" s="25">
        <v>215</v>
      </c>
      <c r="CL18" s="25">
        <v>101</v>
      </c>
      <c r="CM18" s="25">
        <v>0</v>
      </c>
      <c r="CN18" s="25">
        <v>16</v>
      </c>
      <c r="CO18" s="25">
        <v>10</v>
      </c>
      <c r="CP18" s="25">
        <v>17</v>
      </c>
      <c r="CQ18" s="25">
        <v>0</v>
      </c>
      <c r="CR18" s="25">
        <v>16</v>
      </c>
      <c r="CS18" s="25">
        <v>0</v>
      </c>
      <c r="CT18" s="25">
        <v>16</v>
      </c>
      <c r="CU18" s="25">
        <v>0</v>
      </c>
      <c r="CV18" s="25">
        <v>16</v>
      </c>
      <c r="CW18" s="25">
        <v>0</v>
      </c>
      <c r="CX18" s="25">
        <v>16</v>
      </c>
      <c r="CY18" s="25">
        <v>0</v>
      </c>
      <c r="CZ18" s="25">
        <v>16</v>
      </c>
      <c r="DA18" s="25">
        <v>341</v>
      </c>
      <c r="DB18" s="25">
        <v>168</v>
      </c>
      <c r="DC18" s="25">
        <v>204</v>
      </c>
      <c r="DD18" s="25">
        <v>145</v>
      </c>
      <c r="DE18" s="25">
        <v>175</v>
      </c>
      <c r="DF18" s="25">
        <v>139</v>
      </c>
      <c r="DG18" s="25">
        <v>29</v>
      </c>
      <c r="DH18" s="25">
        <v>40</v>
      </c>
      <c r="DI18" s="25">
        <v>0</v>
      </c>
      <c r="DJ18" s="25">
        <v>16</v>
      </c>
      <c r="DK18" s="25">
        <v>53</v>
      </c>
      <c r="DL18" s="25">
        <v>60</v>
      </c>
      <c r="DM18" s="25">
        <v>0</v>
      </c>
      <c r="DN18" s="25">
        <v>16</v>
      </c>
      <c r="DO18" s="25">
        <v>55</v>
      </c>
      <c r="DP18" s="25">
        <v>65</v>
      </c>
      <c r="DQ18" s="25">
        <v>29</v>
      </c>
      <c r="DR18" s="25">
        <v>41</v>
      </c>
      <c r="DS18" s="25">
        <v>0</v>
      </c>
      <c r="DT18" s="25">
        <v>16</v>
      </c>
      <c r="DU18" s="25">
        <v>409</v>
      </c>
      <c r="DV18" s="25">
        <v>149</v>
      </c>
      <c r="DW18" s="25">
        <v>166</v>
      </c>
      <c r="DX18" s="25">
        <v>94</v>
      </c>
      <c r="DY18" s="25">
        <v>97</v>
      </c>
      <c r="DZ18" s="25">
        <v>78</v>
      </c>
      <c r="EA18" s="25">
        <v>69</v>
      </c>
      <c r="EB18" s="25">
        <v>68</v>
      </c>
      <c r="EC18" s="25">
        <v>50</v>
      </c>
      <c r="ED18" s="25">
        <v>43</v>
      </c>
      <c r="EE18" s="25">
        <v>12</v>
      </c>
      <c r="EF18" s="25">
        <v>23</v>
      </c>
      <c r="EG18" s="25">
        <v>16</v>
      </c>
      <c r="EH18" s="25">
        <v>20</v>
      </c>
      <c r="EI18" s="25">
        <v>20</v>
      </c>
      <c r="EJ18" s="25">
        <v>24</v>
      </c>
      <c r="EK18" s="25">
        <v>145</v>
      </c>
      <c r="EL18" s="25">
        <v>79</v>
      </c>
      <c r="EM18" s="25">
        <v>0</v>
      </c>
      <c r="EN18" s="25">
        <v>16</v>
      </c>
    </row>
    <row r="19" spans="1:144" x14ac:dyDescent="0.25">
      <c r="A19" s="19">
        <f t="shared" si="8"/>
        <v>21</v>
      </c>
      <c r="B19" s="20" t="str">
        <f t="shared" si="9"/>
        <v>Iron</v>
      </c>
      <c r="C19" s="24" t="s">
        <v>308</v>
      </c>
      <c r="D19" s="24" t="s">
        <v>309</v>
      </c>
      <c r="E19" s="25">
        <v>22364</v>
      </c>
      <c r="F19" s="25">
        <v>629</v>
      </c>
      <c r="G19" s="25">
        <v>15620</v>
      </c>
      <c r="H19" s="25">
        <v>679</v>
      </c>
      <c r="I19" s="25">
        <v>14426</v>
      </c>
      <c r="J19" s="25">
        <v>655</v>
      </c>
      <c r="K19" s="25">
        <v>1194</v>
      </c>
      <c r="L19" s="25">
        <v>256</v>
      </c>
      <c r="M19" s="25">
        <v>1351</v>
      </c>
      <c r="N19" s="25">
        <v>292</v>
      </c>
      <c r="O19" s="25">
        <v>1605</v>
      </c>
      <c r="P19" s="25">
        <v>304</v>
      </c>
      <c r="Q19" s="25">
        <v>1929</v>
      </c>
      <c r="R19" s="25">
        <v>403</v>
      </c>
      <c r="S19" s="25">
        <v>739</v>
      </c>
      <c r="T19" s="25">
        <v>255</v>
      </c>
      <c r="U19" s="25">
        <v>1061</v>
      </c>
      <c r="V19" s="25">
        <v>257</v>
      </c>
      <c r="W19" s="25">
        <v>59</v>
      </c>
      <c r="X19" s="25">
        <v>69</v>
      </c>
      <c r="Y19" s="25">
        <v>17001</v>
      </c>
      <c r="Z19" s="25">
        <v>773</v>
      </c>
      <c r="AA19" s="25">
        <v>11835</v>
      </c>
      <c r="AB19" s="25">
        <v>742</v>
      </c>
      <c r="AC19" s="25">
        <v>11092</v>
      </c>
      <c r="AD19" s="25">
        <v>703</v>
      </c>
      <c r="AE19" s="25">
        <v>743</v>
      </c>
      <c r="AF19" s="25">
        <v>216</v>
      </c>
      <c r="AG19" s="25">
        <v>1006</v>
      </c>
      <c r="AH19" s="25">
        <v>257</v>
      </c>
      <c r="AI19" s="25">
        <v>1407</v>
      </c>
      <c r="AJ19" s="25">
        <v>277</v>
      </c>
      <c r="AK19" s="25">
        <v>1541</v>
      </c>
      <c r="AL19" s="25">
        <v>282</v>
      </c>
      <c r="AM19" s="25">
        <v>590</v>
      </c>
      <c r="AN19" s="25">
        <v>226</v>
      </c>
      <c r="AO19" s="25">
        <v>579</v>
      </c>
      <c r="AP19" s="25">
        <v>167</v>
      </c>
      <c r="AQ19" s="25">
        <v>43</v>
      </c>
      <c r="AR19" s="25">
        <v>63</v>
      </c>
      <c r="AS19" s="25">
        <v>2874</v>
      </c>
      <c r="AT19" s="25">
        <v>530</v>
      </c>
      <c r="AU19" s="25">
        <v>2272</v>
      </c>
      <c r="AV19" s="25">
        <v>446</v>
      </c>
      <c r="AW19" s="25">
        <v>2244</v>
      </c>
      <c r="AX19" s="25">
        <v>445</v>
      </c>
      <c r="AY19" s="25">
        <v>28</v>
      </c>
      <c r="AZ19" s="25">
        <v>24</v>
      </c>
      <c r="BA19" s="25">
        <v>143</v>
      </c>
      <c r="BB19" s="25">
        <v>88</v>
      </c>
      <c r="BC19" s="25">
        <v>152</v>
      </c>
      <c r="BD19" s="25">
        <v>95</v>
      </c>
      <c r="BE19" s="25">
        <v>140</v>
      </c>
      <c r="BF19" s="25">
        <v>105</v>
      </c>
      <c r="BG19" s="25">
        <v>91</v>
      </c>
      <c r="BH19" s="25">
        <v>84</v>
      </c>
      <c r="BI19" s="25">
        <v>60</v>
      </c>
      <c r="BJ19" s="25">
        <v>45</v>
      </c>
      <c r="BK19" s="25">
        <v>16</v>
      </c>
      <c r="BL19" s="25">
        <v>25</v>
      </c>
      <c r="BM19" s="25">
        <v>18</v>
      </c>
      <c r="BN19" s="25">
        <v>31</v>
      </c>
      <c r="BO19" s="25">
        <v>0</v>
      </c>
      <c r="BP19" s="25">
        <v>27</v>
      </c>
      <c r="BQ19" s="25">
        <v>0</v>
      </c>
      <c r="BR19" s="25">
        <v>27</v>
      </c>
      <c r="BS19" s="25">
        <v>0</v>
      </c>
      <c r="BT19" s="25">
        <v>27</v>
      </c>
      <c r="BU19" s="25">
        <v>0</v>
      </c>
      <c r="BV19" s="25">
        <v>27</v>
      </c>
      <c r="BW19" s="25">
        <v>0</v>
      </c>
      <c r="BX19" s="25">
        <v>27</v>
      </c>
      <c r="BY19" s="25">
        <v>0</v>
      </c>
      <c r="BZ19" s="25">
        <v>27</v>
      </c>
      <c r="CA19" s="25">
        <v>18</v>
      </c>
      <c r="CB19" s="25">
        <v>31</v>
      </c>
      <c r="CC19" s="25">
        <v>0</v>
      </c>
      <c r="CD19" s="25">
        <v>27</v>
      </c>
      <c r="CE19" s="25">
        <v>0</v>
      </c>
      <c r="CF19" s="25">
        <v>27</v>
      </c>
      <c r="CG19" s="25">
        <v>727</v>
      </c>
      <c r="CH19" s="25">
        <v>232</v>
      </c>
      <c r="CI19" s="25">
        <v>486</v>
      </c>
      <c r="CJ19" s="25">
        <v>188</v>
      </c>
      <c r="CK19" s="25">
        <v>454</v>
      </c>
      <c r="CL19" s="25">
        <v>188</v>
      </c>
      <c r="CM19" s="25">
        <v>32</v>
      </c>
      <c r="CN19" s="25">
        <v>24</v>
      </c>
      <c r="CO19" s="25">
        <v>142</v>
      </c>
      <c r="CP19" s="25">
        <v>101</v>
      </c>
      <c r="CQ19" s="25">
        <v>15</v>
      </c>
      <c r="CR19" s="25">
        <v>17</v>
      </c>
      <c r="CS19" s="25">
        <v>44</v>
      </c>
      <c r="CT19" s="25">
        <v>37</v>
      </c>
      <c r="CU19" s="25">
        <v>0</v>
      </c>
      <c r="CV19" s="25">
        <v>27</v>
      </c>
      <c r="CW19" s="25">
        <v>40</v>
      </c>
      <c r="CX19" s="25">
        <v>44</v>
      </c>
      <c r="CY19" s="25">
        <v>0</v>
      </c>
      <c r="CZ19" s="25">
        <v>27</v>
      </c>
      <c r="DA19" s="25">
        <v>310</v>
      </c>
      <c r="DB19" s="25">
        <v>143</v>
      </c>
      <c r="DC19" s="25">
        <v>94</v>
      </c>
      <c r="DD19" s="25">
        <v>60</v>
      </c>
      <c r="DE19" s="25">
        <v>78</v>
      </c>
      <c r="DF19" s="25">
        <v>59</v>
      </c>
      <c r="DG19" s="25">
        <v>16</v>
      </c>
      <c r="DH19" s="25">
        <v>19</v>
      </c>
      <c r="DI19" s="25">
        <v>22</v>
      </c>
      <c r="DJ19" s="25">
        <v>35</v>
      </c>
      <c r="DK19" s="25">
        <v>0</v>
      </c>
      <c r="DL19" s="25">
        <v>27</v>
      </c>
      <c r="DM19" s="25">
        <v>117</v>
      </c>
      <c r="DN19" s="25">
        <v>116</v>
      </c>
      <c r="DO19" s="25">
        <v>26</v>
      </c>
      <c r="DP19" s="25">
        <v>40</v>
      </c>
      <c r="DQ19" s="25">
        <v>51</v>
      </c>
      <c r="DR19" s="25">
        <v>64</v>
      </c>
      <c r="DS19" s="25">
        <v>0</v>
      </c>
      <c r="DT19" s="25">
        <v>27</v>
      </c>
      <c r="DU19" s="25">
        <v>1434</v>
      </c>
      <c r="DV19" s="25">
        <v>274</v>
      </c>
      <c r="DW19" s="25">
        <v>933</v>
      </c>
      <c r="DX19" s="25">
        <v>236</v>
      </c>
      <c r="DY19" s="25">
        <v>558</v>
      </c>
      <c r="DZ19" s="25">
        <v>171</v>
      </c>
      <c r="EA19" s="25">
        <v>375</v>
      </c>
      <c r="EB19" s="25">
        <v>160</v>
      </c>
      <c r="EC19" s="25">
        <v>38</v>
      </c>
      <c r="ED19" s="25">
        <v>61</v>
      </c>
      <c r="EE19" s="25">
        <v>31</v>
      </c>
      <c r="EF19" s="25">
        <v>27</v>
      </c>
      <c r="EG19" s="25">
        <v>87</v>
      </c>
      <c r="EH19" s="25">
        <v>65</v>
      </c>
      <c r="EI19" s="25">
        <v>14</v>
      </c>
      <c r="EJ19" s="25">
        <v>17</v>
      </c>
      <c r="EK19" s="25">
        <v>331</v>
      </c>
      <c r="EL19" s="25">
        <v>146</v>
      </c>
      <c r="EM19" s="25">
        <v>0</v>
      </c>
      <c r="EN19" s="25">
        <v>27</v>
      </c>
    </row>
    <row r="20" spans="1:144" x14ac:dyDescent="0.25">
      <c r="A20" s="19">
        <f t="shared" si="8"/>
        <v>23</v>
      </c>
      <c r="B20" s="20" t="str">
        <f t="shared" si="9"/>
        <v>Juab</v>
      </c>
      <c r="C20" s="24" t="s">
        <v>310</v>
      </c>
      <c r="D20" s="24" t="s">
        <v>311</v>
      </c>
      <c r="E20" s="25">
        <v>4978</v>
      </c>
      <c r="F20" s="25">
        <v>187</v>
      </c>
      <c r="G20" s="25">
        <v>3459</v>
      </c>
      <c r="H20" s="25">
        <v>235</v>
      </c>
      <c r="I20" s="25">
        <v>3278</v>
      </c>
      <c r="J20" s="25">
        <v>233</v>
      </c>
      <c r="K20" s="25">
        <v>181</v>
      </c>
      <c r="L20" s="25">
        <v>82</v>
      </c>
      <c r="M20" s="25">
        <v>342</v>
      </c>
      <c r="N20" s="25">
        <v>108</v>
      </c>
      <c r="O20" s="25">
        <v>467</v>
      </c>
      <c r="P20" s="25">
        <v>107</v>
      </c>
      <c r="Q20" s="25">
        <v>370</v>
      </c>
      <c r="R20" s="25">
        <v>104</v>
      </c>
      <c r="S20" s="25">
        <v>33</v>
      </c>
      <c r="T20" s="25">
        <v>27</v>
      </c>
      <c r="U20" s="25">
        <v>307</v>
      </c>
      <c r="V20" s="25">
        <v>107</v>
      </c>
      <c r="W20" s="25">
        <v>0</v>
      </c>
      <c r="X20" s="25">
        <v>18</v>
      </c>
      <c r="Y20" s="25">
        <v>3801</v>
      </c>
      <c r="Z20" s="25">
        <v>234</v>
      </c>
      <c r="AA20" s="25">
        <v>2635</v>
      </c>
      <c r="AB20" s="25">
        <v>260</v>
      </c>
      <c r="AC20" s="25">
        <v>2487</v>
      </c>
      <c r="AD20" s="25">
        <v>264</v>
      </c>
      <c r="AE20" s="25">
        <v>148</v>
      </c>
      <c r="AF20" s="25">
        <v>77</v>
      </c>
      <c r="AG20" s="25">
        <v>269</v>
      </c>
      <c r="AH20" s="25">
        <v>92</v>
      </c>
      <c r="AI20" s="25">
        <v>405</v>
      </c>
      <c r="AJ20" s="25">
        <v>98</v>
      </c>
      <c r="AK20" s="25">
        <v>311</v>
      </c>
      <c r="AL20" s="25">
        <v>106</v>
      </c>
      <c r="AM20" s="25">
        <v>26</v>
      </c>
      <c r="AN20" s="25">
        <v>25</v>
      </c>
      <c r="AO20" s="25">
        <v>155</v>
      </c>
      <c r="AP20" s="25">
        <v>73</v>
      </c>
      <c r="AQ20" s="25">
        <v>0</v>
      </c>
      <c r="AR20" s="25">
        <v>18</v>
      </c>
      <c r="AS20" s="25">
        <v>668</v>
      </c>
      <c r="AT20" s="25">
        <v>153</v>
      </c>
      <c r="AU20" s="25">
        <v>532</v>
      </c>
      <c r="AV20" s="25">
        <v>141</v>
      </c>
      <c r="AW20" s="25">
        <v>523</v>
      </c>
      <c r="AX20" s="25">
        <v>136</v>
      </c>
      <c r="AY20" s="25">
        <v>9</v>
      </c>
      <c r="AZ20" s="25">
        <v>14</v>
      </c>
      <c r="BA20" s="25">
        <v>45</v>
      </c>
      <c r="BB20" s="25">
        <v>42</v>
      </c>
      <c r="BC20" s="25">
        <v>26</v>
      </c>
      <c r="BD20" s="25">
        <v>30</v>
      </c>
      <c r="BE20" s="25">
        <v>42</v>
      </c>
      <c r="BF20" s="25">
        <v>28</v>
      </c>
      <c r="BG20" s="25">
        <v>3</v>
      </c>
      <c r="BH20" s="25">
        <v>5</v>
      </c>
      <c r="BI20" s="25">
        <v>20</v>
      </c>
      <c r="BJ20" s="25">
        <v>23</v>
      </c>
      <c r="BK20" s="25">
        <v>0</v>
      </c>
      <c r="BL20" s="25">
        <v>18</v>
      </c>
      <c r="BM20" s="25">
        <v>8</v>
      </c>
      <c r="BN20" s="25">
        <v>12</v>
      </c>
      <c r="BO20" s="25">
        <v>6</v>
      </c>
      <c r="BP20" s="25">
        <v>10</v>
      </c>
      <c r="BQ20" s="25">
        <v>6</v>
      </c>
      <c r="BR20" s="25">
        <v>10</v>
      </c>
      <c r="BS20" s="25">
        <v>0</v>
      </c>
      <c r="BT20" s="25">
        <v>18</v>
      </c>
      <c r="BU20" s="25">
        <v>0</v>
      </c>
      <c r="BV20" s="25">
        <v>18</v>
      </c>
      <c r="BW20" s="25">
        <v>0</v>
      </c>
      <c r="BX20" s="25">
        <v>18</v>
      </c>
      <c r="BY20" s="25">
        <v>2</v>
      </c>
      <c r="BZ20" s="25">
        <v>4</v>
      </c>
      <c r="CA20" s="25">
        <v>0</v>
      </c>
      <c r="CB20" s="25">
        <v>18</v>
      </c>
      <c r="CC20" s="25">
        <v>0</v>
      </c>
      <c r="CD20" s="25">
        <v>18</v>
      </c>
      <c r="CE20" s="25">
        <v>0</v>
      </c>
      <c r="CF20" s="25">
        <v>18</v>
      </c>
      <c r="CG20" s="25">
        <v>172</v>
      </c>
      <c r="CH20" s="25">
        <v>50</v>
      </c>
      <c r="CI20" s="25">
        <v>114</v>
      </c>
      <c r="CJ20" s="25">
        <v>48</v>
      </c>
      <c r="CK20" s="25">
        <v>114</v>
      </c>
      <c r="CL20" s="25">
        <v>48</v>
      </c>
      <c r="CM20" s="25">
        <v>0</v>
      </c>
      <c r="CN20" s="25">
        <v>18</v>
      </c>
      <c r="CO20" s="25">
        <v>24</v>
      </c>
      <c r="CP20" s="25">
        <v>22</v>
      </c>
      <c r="CQ20" s="25">
        <v>19</v>
      </c>
      <c r="CR20" s="25">
        <v>16</v>
      </c>
      <c r="CS20" s="25">
        <v>12</v>
      </c>
      <c r="CT20" s="25">
        <v>18</v>
      </c>
      <c r="CU20" s="25">
        <v>1</v>
      </c>
      <c r="CV20" s="25">
        <v>3</v>
      </c>
      <c r="CW20" s="25">
        <v>2</v>
      </c>
      <c r="CX20" s="25">
        <v>3</v>
      </c>
      <c r="CY20" s="25">
        <v>0</v>
      </c>
      <c r="CZ20" s="25">
        <v>18</v>
      </c>
      <c r="DA20" s="25">
        <v>19</v>
      </c>
      <c r="DB20" s="25">
        <v>12</v>
      </c>
      <c r="DC20" s="25">
        <v>15</v>
      </c>
      <c r="DD20" s="25">
        <v>12</v>
      </c>
      <c r="DE20" s="25">
        <v>15</v>
      </c>
      <c r="DF20" s="25">
        <v>12</v>
      </c>
      <c r="DG20" s="25">
        <v>0</v>
      </c>
      <c r="DH20" s="25">
        <v>18</v>
      </c>
      <c r="DI20" s="25">
        <v>4</v>
      </c>
      <c r="DJ20" s="25">
        <v>4</v>
      </c>
      <c r="DK20" s="25">
        <v>0</v>
      </c>
      <c r="DL20" s="25">
        <v>18</v>
      </c>
      <c r="DM20" s="25">
        <v>0</v>
      </c>
      <c r="DN20" s="25">
        <v>18</v>
      </c>
      <c r="DO20" s="25">
        <v>0</v>
      </c>
      <c r="DP20" s="25">
        <v>18</v>
      </c>
      <c r="DQ20" s="25">
        <v>0</v>
      </c>
      <c r="DR20" s="25">
        <v>18</v>
      </c>
      <c r="DS20" s="25">
        <v>0</v>
      </c>
      <c r="DT20" s="25">
        <v>18</v>
      </c>
      <c r="DU20" s="25">
        <v>310</v>
      </c>
      <c r="DV20" s="25">
        <v>113</v>
      </c>
      <c r="DW20" s="25">
        <v>157</v>
      </c>
      <c r="DX20" s="25">
        <v>86</v>
      </c>
      <c r="DY20" s="25">
        <v>133</v>
      </c>
      <c r="DZ20" s="25">
        <v>84</v>
      </c>
      <c r="EA20" s="25">
        <v>24</v>
      </c>
      <c r="EB20" s="25">
        <v>21</v>
      </c>
      <c r="EC20" s="25">
        <v>0</v>
      </c>
      <c r="ED20" s="25">
        <v>18</v>
      </c>
      <c r="EE20" s="25">
        <v>17</v>
      </c>
      <c r="EF20" s="25">
        <v>16</v>
      </c>
      <c r="EG20" s="25">
        <v>3</v>
      </c>
      <c r="EH20" s="25">
        <v>7</v>
      </c>
      <c r="EI20" s="25">
        <v>3</v>
      </c>
      <c r="EJ20" s="25">
        <v>5</v>
      </c>
      <c r="EK20" s="25">
        <v>130</v>
      </c>
      <c r="EL20" s="25">
        <v>71</v>
      </c>
      <c r="EM20" s="25">
        <v>0</v>
      </c>
      <c r="EN20" s="25">
        <v>18</v>
      </c>
    </row>
    <row r="21" spans="1:144" x14ac:dyDescent="0.25">
      <c r="A21" s="19">
        <f t="shared" si="8"/>
        <v>25</v>
      </c>
      <c r="B21" s="20" t="str">
        <f t="shared" si="9"/>
        <v>Kane</v>
      </c>
      <c r="C21" s="24" t="s">
        <v>312</v>
      </c>
      <c r="D21" s="24" t="s">
        <v>313</v>
      </c>
      <c r="E21" s="25">
        <v>3257</v>
      </c>
      <c r="F21" s="25">
        <v>238</v>
      </c>
      <c r="G21" s="25">
        <v>1919</v>
      </c>
      <c r="H21" s="25">
        <v>271</v>
      </c>
      <c r="I21" s="25">
        <v>1759</v>
      </c>
      <c r="J21" s="25">
        <v>264</v>
      </c>
      <c r="K21" s="25">
        <v>160</v>
      </c>
      <c r="L21" s="25">
        <v>75</v>
      </c>
      <c r="M21" s="25">
        <v>514</v>
      </c>
      <c r="N21" s="25">
        <v>175</v>
      </c>
      <c r="O21" s="25">
        <v>301</v>
      </c>
      <c r="P21" s="25">
        <v>113</v>
      </c>
      <c r="Q21" s="25">
        <v>192</v>
      </c>
      <c r="R21" s="25">
        <v>93</v>
      </c>
      <c r="S21" s="25">
        <v>208</v>
      </c>
      <c r="T21" s="25">
        <v>91</v>
      </c>
      <c r="U21" s="25">
        <v>120</v>
      </c>
      <c r="V21" s="25">
        <v>54</v>
      </c>
      <c r="W21" s="25">
        <v>3</v>
      </c>
      <c r="X21" s="25">
        <v>5</v>
      </c>
      <c r="Y21" s="25">
        <v>2531</v>
      </c>
      <c r="Z21" s="25">
        <v>262</v>
      </c>
      <c r="AA21" s="25">
        <v>1324</v>
      </c>
      <c r="AB21" s="25">
        <v>234</v>
      </c>
      <c r="AC21" s="25">
        <v>1215</v>
      </c>
      <c r="AD21" s="25">
        <v>212</v>
      </c>
      <c r="AE21" s="25">
        <v>109</v>
      </c>
      <c r="AF21" s="25">
        <v>64</v>
      </c>
      <c r="AG21" s="25">
        <v>507</v>
      </c>
      <c r="AH21" s="25">
        <v>178</v>
      </c>
      <c r="AI21" s="25">
        <v>274</v>
      </c>
      <c r="AJ21" s="25">
        <v>112</v>
      </c>
      <c r="AK21" s="25">
        <v>175</v>
      </c>
      <c r="AL21" s="25">
        <v>97</v>
      </c>
      <c r="AM21" s="25">
        <v>166</v>
      </c>
      <c r="AN21" s="25">
        <v>80</v>
      </c>
      <c r="AO21" s="25">
        <v>85</v>
      </c>
      <c r="AP21" s="25">
        <v>52</v>
      </c>
      <c r="AQ21" s="25">
        <v>0</v>
      </c>
      <c r="AR21" s="25">
        <v>16</v>
      </c>
      <c r="AS21" s="25">
        <v>328</v>
      </c>
      <c r="AT21" s="25">
        <v>156</v>
      </c>
      <c r="AU21" s="25">
        <v>298</v>
      </c>
      <c r="AV21" s="25">
        <v>148</v>
      </c>
      <c r="AW21" s="25">
        <v>292</v>
      </c>
      <c r="AX21" s="25">
        <v>148</v>
      </c>
      <c r="AY21" s="25">
        <v>6</v>
      </c>
      <c r="AZ21" s="25">
        <v>5</v>
      </c>
      <c r="BA21" s="25">
        <v>6</v>
      </c>
      <c r="BB21" s="25">
        <v>9</v>
      </c>
      <c r="BC21" s="25">
        <v>21</v>
      </c>
      <c r="BD21" s="25">
        <v>22</v>
      </c>
      <c r="BE21" s="25">
        <v>0</v>
      </c>
      <c r="BF21" s="25">
        <v>16</v>
      </c>
      <c r="BG21" s="25">
        <v>0</v>
      </c>
      <c r="BH21" s="25">
        <v>16</v>
      </c>
      <c r="BI21" s="25">
        <v>0</v>
      </c>
      <c r="BJ21" s="25">
        <v>16</v>
      </c>
      <c r="BK21" s="25">
        <v>3</v>
      </c>
      <c r="BL21" s="25">
        <v>5</v>
      </c>
      <c r="BM21" s="25">
        <v>2</v>
      </c>
      <c r="BN21" s="25">
        <v>3</v>
      </c>
      <c r="BO21" s="25">
        <v>0</v>
      </c>
      <c r="BP21" s="25">
        <v>16</v>
      </c>
      <c r="BQ21" s="25">
        <v>0</v>
      </c>
      <c r="BR21" s="25">
        <v>16</v>
      </c>
      <c r="BS21" s="25">
        <v>0</v>
      </c>
      <c r="BT21" s="25">
        <v>16</v>
      </c>
      <c r="BU21" s="25">
        <v>0</v>
      </c>
      <c r="BV21" s="25">
        <v>16</v>
      </c>
      <c r="BW21" s="25">
        <v>0</v>
      </c>
      <c r="BX21" s="25">
        <v>16</v>
      </c>
      <c r="BY21" s="25">
        <v>0</v>
      </c>
      <c r="BZ21" s="25">
        <v>16</v>
      </c>
      <c r="CA21" s="25">
        <v>0</v>
      </c>
      <c r="CB21" s="25">
        <v>16</v>
      </c>
      <c r="CC21" s="25">
        <v>2</v>
      </c>
      <c r="CD21" s="25">
        <v>3</v>
      </c>
      <c r="CE21" s="25">
        <v>0</v>
      </c>
      <c r="CF21" s="25">
        <v>16</v>
      </c>
      <c r="CG21" s="25">
        <v>193</v>
      </c>
      <c r="CH21" s="25">
        <v>138</v>
      </c>
      <c r="CI21" s="25">
        <v>127</v>
      </c>
      <c r="CJ21" s="25">
        <v>127</v>
      </c>
      <c r="CK21" s="25">
        <v>121</v>
      </c>
      <c r="CL21" s="25">
        <v>126</v>
      </c>
      <c r="CM21" s="25">
        <v>6</v>
      </c>
      <c r="CN21" s="25">
        <v>10</v>
      </c>
      <c r="CO21" s="25">
        <v>0</v>
      </c>
      <c r="CP21" s="25">
        <v>16</v>
      </c>
      <c r="CQ21" s="25">
        <v>4</v>
      </c>
      <c r="CR21" s="25">
        <v>5</v>
      </c>
      <c r="CS21" s="25">
        <v>17</v>
      </c>
      <c r="CT21" s="25">
        <v>27</v>
      </c>
      <c r="CU21" s="25">
        <v>28</v>
      </c>
      <c r="CV21" s="25">
        <v>37</v>
      </c>
      <c r="CW21" s="25">
        <v>17</v>
      </c>
      <c r="CX21" s="25">
        <v>22</v>
      </c>
      <c r="CY21" s="25">
        <v>0</v>
      </c>
      <c r="CZ21" s="25">
        <v>16</v>
      </c>
      <c r="DA21" s="25">
        <v>31</v>
      </c>
      <c r="DB21" s="25">
        <v>35</v>
      </c>
      <c r="DC21" s="25">
        <v>18</v>
      </c>
      <c r="DD21" s="25">
        <v>28</v>
      </c>
      <c r="DE21" s="25">
        <v>18</v>
      </c>
      <c r="DF21" s="25">
        <v>28</v>
      </c>
      <c r="DG21" s="25">
        <v>0</v>
      </c>
      <c r="DH21" s="25">
        <v>16</v>
      </c>
      <c r="DI21" s="25">
        <v>0</v>
      </c>
      <c r="DJ21" s="25">
        <v>16</v>
      </c>
      <c r="DK21" s="25">
        <v>0</v>
      </c>
      <c r="DL21" s="25">
        <v>16</v>
      </c>
      <c r="DM21" s="25">
        <v>0</v>
      </c>
      <c r="DN21" s="25">
        <v>16</v>
      </c>
      <c r="DO21" s="25">
        <v>13</v>
      </c>
      <c r="DP21" s="25">
        <v>21</v>
      </c>
      <c r="DQ21" s="25">
        <v>0</v>
      </c>
      <c r="DR21" s="25">
        <v>16</v>
      </c>
      <c r="DS21" s="25">
        <v>0</v>
      </c>
      <c r="DT21" s="25">
        <v>16</v>
      </c>
      <c r="DU21" s="25">
        <v>172</v>
      </c>
      <c r="DV21" s="25">
        <v>95</v>
      </c>
      <c r="DW21" s="25">
        <v>152</v>
      </c>
      <c r="DX21" s="25">
        <v>89</v>
      </c>
      <c r="DY21" s="25">
        <v>113</v>
      </c>
      <c r="DZ21" s="25">
        <v>81</v>
      </c>
      <c r="EA21" s="25">
        <v>39</v>
      </c>
      <c r="EB21" s="25">
        <v>32</v>
      </c>
      <c r="EC21" s="25">
        <v>1</v>
      </c>
      <c r="ED21" s="25">
        <v>3</v>
      </c>
      <c r="EE21" s="25">
        <v>2</v>
      </c>
      <c r="EF21" s="25">
        <v>3</v>
      </c>
      <c r="EG21" s="25">
        <v>0</v>
      </c>
      <c r="EH21" s="25">
        <v>16</v>
      </c>
      <c r="EI21" s="25">
        <v>1</v>
      </c>
      <c r="EJ21" s="25">
        <v>3</v>
      </c>
      <c r="EK21" s="25">
        <v>16</v>
      </c>
      <c r="EL21" s="25">
        <v>12</v>
      </c>
      <c r="EM21" s="25">
        <v>0</v>
      </c>
      <c r="EN21" s="25">
        <v>16</v>
      </c>
    </row>
    <row r="22" spans="1:144" x14ac:dyDescent="0.25">
      <c r="A22" s="19">
        <f t="shared" si="8"/>
        <v>27</v>
      </c>
      <c r="B22" s="20" t="str">
        <f t="shared" si="9"/>
        <v>Millard</v>
      </c>
      <c r="C22" s="24" t="s">
        <v>314</v>
      </c>
      <c r="D22" s="24" t="s">
        <v>315</v>
      </c>
      <c r="E22" s="25">
        <v>5345</v>
      </c>
      <c r="F22" s="25">
        <v>210</v>
      </c>
      <c r="G22" s="25">
        <v>3610</v>
      </c>
      <c r="H22" s="25">
        <v>238</v>
      </c>
      <c r="I22" s="25">
        <v>3424</v>
      </c>
      <c r="J22" s="25">
        <v>248</v>
      </c>
      <c r="K22" s="25">
        <v>186</v>
      </c>
      <c r="L22" s="25">
        <v>77</v>
      </c>
      <c r="M22" s="25">
        <v>312</v>
      </c>
      <c r="N22" s="25">
        <v>101</v>
      </c>
      <c r="O22" s="25">
        <v>489</v>
      </c>
      <c r="P22" s="25">
        <v>91</v>
      </c>
      <c r="Q22" s="25">
        <v>364</v>
      </c>
      <c r="R22" s="25">
        <v>86</v>
      </c>
      <c r="S22" s="25">
        <v>134</v>
      </c>
      <c r="T22" s="25">
        <v>47</v>
      </c>
      <c r="U22" s="25">
        <v>405</v>
      </c>
      <c r="V22" s="25">
        <v>127</v>
      </c>
      <c r="W22" s="25">
        <v>31</v>
      </c>
      <c r="X22" s="25">
        <v>25</v>
      </c>
      <c r="Y22" s="25">
        <v>3916</v>
      </c>
      <c r="Z22" s="25">
        <v>249</v>
      </c>
      <c r="AA22" s="25">
        <v>2728</v>
      </c>
      <c r="AB22" s="25">
        <v>272</v>
      </c>
      <c r="AC22" s="25">
        <v>2634</v>
      </c>
      <c r="AD22" s="25">
        <v>269</v>
      </c>
      <c r="AE22" s="25">
        <v>94</v>
      </c>
      <c r="AF22" s="25">
        <v>32</v>
      </c>
      <c r="AG22" s="25">
        <v>207</v>
      </c>
      <c r="AH22" s="25">
        <v>66</v>
      </c>
      <c r="AI22" s="25">
        <v>367</v>
      </c>
      <c r="AJ22" s="25">
        <v>82</v>
      </c>
      <c r="AK22" s="25">
        <v>241</v>
      </c>
      <c r="AL22" s="25">
        <v>57</v>
      </c>
      <c r="AM22" s="25">
        <v>112</v>
      </c>
      <c r="AN22" s="25">
        <v>43</v>
      </c>
      <c r="AO22" s="25">
        <v>254</v>
      </c>
      <c r="AP22" s="25">
        <v>77</v>
      </c>
      <c r="AQ22" s="25">
        <v>7</v>
      </c>
      <c r="AR22" s="25">
        <v>7</v>
      </c>
      <c r="AS22" s="25">
        <v>886</v>
      </c>
      <c r="AT22" s="25">
        <v>186</v>
      </c>
      <c r="AU22" s="25">
        <v>624</v>
      </c>
      <c r="AV22" s="25">
        <v>143</v>
      </c>
      <c r="AW22" s="25">
        <v>606</v>
      </c>
      <c r="AX22" s="25">
        <v>142</v>
      </c>
      <c r="AY22" s="25">
        <v>18</v>
      </c>
      <c r="AZ22" s="25">
        <v>14</v>
      </c>
      <c r="BA22" s="25">
        <v>52</v>
      </c>
      <c r="BB22" s="25">
        <v>45</v>
      </c>
      <c r="BC22" s="25">
        <v>69</v>
      </c>
      <c r="BD22" s="25">
        <v>34</v>
      </c>
      <c r="BE22" s="25">
        <v>114</v>
      </c>
      <c r="BF22" s="25">
        <v>69</v>
      </c>
      <c r="BG22" s="25">
        <v>14</v>
      </c>
      <c r="BH22" s="25">
        <v>15</v>
      </c>
      <c r="BI22" s="25">
        <v>4</v>
      </c>
      <c r="BJ22" s="25">
        <v>5</v>
      </c>
      <c r="BK22" s="25">
        <v>9</v>
      </c>
      <c r="BL22" s="25">
        <v>13</v>
      </c>
      <c r="BM22" s="25">
        <v>16</v>
      </c>
      <c r="BN22" s="25">
        <v>21</v>
      </c>
      <c r="BO22" s="25">
        <v>16</v>
      </c>
      <c r="BP22" s="25">
        <v>21</v>
      </c>
      <c r="BQ22" s="25">
        <v>16</v>
      </c>
      <c r="BR22" s="25">
        <v>21</v>
      </c>
      <c r="BS22" s="25">
        <v>0</v>
      </c>
      <c r="BT22" s="25">
        <v>18</v>
      </c>
      <c r="BU22" s="25">
        <v>0</v>
      </c>
      <c r="BV22" s="25">
        <v>18</v>
      </c>
      <c r="BW22" s="25">
        <v>0</v>
      </c>
      <c r="BX22" s="25">
        <v>18</v>
      </c>
      <c r="BY22" s="25">
        <v>0</v>
      </c>
      <c r="BZ22" s="25">
        <v>18</v>
      </c>
      <c r="CA22" s="25">
        <v>0</v>
      </c>
      <c r="CB22" s="25">
        <v>18</v>
      </c>
      <c r="CC22" s="25">
        <v>0</v>
      </c>
      <c r="CD22" s="25">
        <v>18</v>
      </c>
      <c r="CE22" s="25">
        <v>0</v>
      </c>
      <c r="CF22" s="25">
        <v>18</v>
      </c>
      <c r="CG22" s="25">
        <v>179</v>
      </c>
      <c r="CH22" s="25">
        <v>77</v>
      </c>
      <c r="CI22" s="25">
        <v>93</v>
      </c>
      <c r="CJ22" s="25">
        <v>68</v>
      </c>
      <c r="CK22" s="25">
        <v>93</v>
      </c>
      <c r="CL22" s="25">
        <v>68</v>
      </c>
      <c r="CM22" s="25">
        <v>0</v>
      </c>
      <c r="CN22" s="25">
        <v>18</v>
      </c>
      <c r="CO22" s="25">
        <v>15</v>
      </c>
      <c r="CP22" s="25">
        <v>16</v>
      </c>
      <c r="CQ22" s="25">
        <v>36</v>
      </c>
      <c r="CR22" s="25">
        <v>27</v>
      </c>
      <c r="CS22" s="25">
        <v>9</v>
      </c>
      <c r="CT22" s="25">
        <v>13</v>
      </c>
      <c r="CU22" s="25">
        <v>8</v>
      </c>
      <c r="CV22" s="25">
        <v>9</v>
      </c>
      <c r="CW22" s="25">
        <v>4</v>
      </c>
      <c r="CX22" s="25">
        <v>5</v>
      </c>
      <c r="CY22" s="25">
        <v>14</v>
      </c>
      <c r="CZ22" s="25">
        <v>19</v>
      </c>
      <c r="DA22" s="25">
        <v>59</v>
      </c>
      <c r="DB22" s="25">
        <v>38</v>
      </c>
      <c r="DC22" s="25">
        <v>45</v>
      </c>
      <c r="DD22" s="25">
        <v>36</v>
      </c>
      <c r="DE22" s="25">
        <v>45</v>
      </c>
      <c r="DF22" s="25">
        <v>36</v>
      </c>
      <c r="DG22" s="25">
        <v>0</v>
      </c>
      <c r="DH22" s="25">
        <v>18</v>
      </c>
      <c r="DI22" s="25">
        <v>2</v>
      </c>
      <c r="DJ22" s="25">
        <v>3</v>
      </c>
      <c r="DK22" s="25">
        <v>9</v>
      </c>
      <c r="DL22" s="25">
        <v>11</v>
      </c>
      <c r="DM22" s="25">
        <v>0</v>
      </c>
      <c r="DN22" s="25">
        <v>18</v>
      </c>
      <c r="DO22" s="25">
        <v>0</v>
      </c>
      <c r="DP22" s="25">
        <v>18</v>
      </c>
      <c r="DQ22" s="25">
        <v>3</v>
      </c>
      <c r="DR22" s="25">
        <v>5</v>
      </c>
      <c r="DS22" s="25">
        <v>0</v>
      </c>
      <c r="DT22" s="25">
        <v>18</v>
      </c>
      <c r="DU22" s="25">
        <v>289</v>
      </c>
      <c r="DV22" s="25">
        <v>115</v>
      </c>
      <c r="DW22" s="25">
        <v>104</v>
      </c>
      <c r="DX22" s="25">
        <v>73</v>
      </c>
      <c r="DY22" s="25">
        <v>30</v>
      </c>
      <c r="DZ22" s="25">
        <v>17</v>
      </c>
      <c r="EA22" s="25">
        <v>74</v>
      </c>
      <c r="EB22" s="25">
        <v>71</v>
      </c>
      <c r="EC22" s="25">
        <v>36</v>
      </c>
      <c r="ED22" s="25">
        <v>52</v>
      </c>
      <c r="EE22" s="25">
        <v>8</v>
      </c>
      <c r="EF22" s="25">
        <v>9</v>
      </c>
      <c r="EG22" s="25">
        <v>0</v>
      </c>
      <c r="EH22" s="25">
        <v>18</v>
      </c>
      <c r="EI22" s="25">
        <v>0</v>
      </c>
      <c r="EJ22" s="25">
        <v>18</v>
      </c>
      <c r="EK22" s="25">
        <v>140</v>
      </c>
      <c r="EL22" s="25">
        <v>83</v>
      </c>
      <c r="EM22" s="25">
        <v>1</v>
      </c>
      <c r="EN22" s="25">
        <v>2</v>
      </c>
    </row>
    <row r="23" spans="1:144" x14ac:dyDescent="0.25">
      <c r="A23" s="19">
        <f t="shared" si="8"/>
        <v>29</v>
      </c>
      <c r="B23" s="20" t="str">
        <f t="shared" si="9"/>
        <v>Morgan</v>
      </c>
      <c r="C23" s="24" t="s">
        <v>316</v>
      </c>
      <c r="D23" s="24" t="s">
        <v>317</v>
      </c>
      <c r="E23" s="25">
        <v>4778</v>
      </c>
      <c r="F23" s="25">
        <v>222</v>
      </c>
      <c r="G23" s="25">
        <v>3584</v>
      </c>
      <c r="H23" s="25">
        <v>239</v>
      </c>
      <c r="I23" s="25">
        <v>3193</v>
      </c>
      <c r="J23" s="25">
        <v>237</v>
      </c>
      <c r="K23" s="25">
        <v>391</v>
      </c>
      <c r="L23" s="25">
        <v>112</v>
      </c>
      <c r="M23" s="25">
        <v>253</v>
      </c>
      <c r="N23" s="25">
        <v>110</v>
      </c>
      <c r="O23" s="25">
        <v>324</v>
      </c>
      <c r="P23" s="25">
        <v>89</v>
      </c>
      <c r="Q23" s="25">
        <v>179</v>
      </c>
      <c r="R23" s="25">
        <v>83</v>
      </c>
      <c r="S23" s="25">
        <v>280</v>
      </c>
      <c r="T23" s="25">
        <v>83</v>
      </c>
      <c r="U23" s="25">
        <v>148</v>
      </c>
      <c r="V23" s="25">
        <v>60</v>
      </c>
      <c r="W23" s="25">
        <v>10</v>
      </c>
      <c r="X23" s="25">
        <v>17</v>
      </c>
      <c r="Y23" s="25">
        <v>4055</v>
      </c>
      <c r="Z23" s="25">
        <v>240</v>
      </c>
      <c r="AA23" s="25">
        <v>3040</v>
      </c>
      <c r="AB23" s="25">
        <v>247</v>
      </c>
      <c r="AC23" s="25">
        <v>2734</v>
      </c>
      <c r="AD23" s="25">
        <v>236</v>
      </c>
      <c r="AE23" s="25">
        <v>306</v>
      </c>
      <c r="AF23" s="25">
        <v>96</v>
      </c>
      <c r="AG23" s="25">
        <v>211</v>
      </c>
      <c r="AH23" s="25">
        <v>96</v>
      </c>
      <c r="AI23" s="25">
        <v>294</v>
      </c>
      <c r="AJ23" s="25">
        <v>80</v>
      </c>
      <c r="AK23" s="25">
        <v>153</v>
      </c>
      <c r="AL23" s="25">
        <v>72</v>
      </c>
      <c r="AM23" s="25">
        <v>264</v>
      </c>
      <c r="AN23" s="25">
        <v>80</v>
      </c>
      <c r="AO23" s="25">
        <v>83</v>
      </c>
      <c r="AP23" s="25">
        <v>51</v>
      </c>
      <c r="AQ23" s="25">
        <v>10</v>
      </c>
      <c r="AR23" s="25">
        <v>17</v>
      </c>
      <c r="AS23" s="25">
        <v>379</v>
      </c>
      <c r="AT23" s="25">
        <v>118</v>
      </c>
      <c r="AU23" s="25">
        <v>283</v>
      </c>
      <c r="AV23" s="25">
        <v>98</v>
      </c>
      <c r="AW23" s="25">
        <v>231</v>
      </c>
      <c r="AX23" s="25">
        <v>98</v>
      </c>
      <c r="AY23" s="25">
        <v>52</v>
      </c>
      <c r="AZ23" s="25">
        <v>42</v>
      </c>
      <c r="BA23" s="25">
        <v>21</v>
      </c>
      <c r="BB23" s="25">
        <v>28</v>
      </c>
      <c r="BC23" s="25">
        <v>19</v>
      </c>
      <c r="BD23" s="25">
        <v>21</v>
      </c>
      <c r="BE23" s="25">
        <v>20</v>
      </c>
      <c r="BF23" s="25">
        <v>24</v>
      </c>
      <c r="BG23" s="25">
        <v>16</v>
      </c>
      <c r="BH23" s="25">
        <v>15</v>
      </c>
      <c r="BI23" s="25">
        <v>20</v>
      </c>
      <c r="BJ23" s="25">
        <v>26</v>
      </c>
      <c r="BK23" s="25">
        <v>0</v>
      </c>
      <c r="BL23" s="25">
        <v>18</v>
      </c>
      <c r="BM23" s="25">
        <v>19</v>
      </c>
      <c r="BN23" s="25">
        <v>25</v>
      </c>
      <c r="BO23" s="25">
        <v>0</v>
      </c>
      <c r="BP23" s="25">
        <v>18</v>
      </c>
      <c r="BQ23" s="25">
        <v>0</v>
      </c>
      <c r="BR23" s="25">
        <v>18</v>
      </c>
      <c r="BS23" s="25">
        <v>0</v>
      </c>
      <c r="BT23" s="25">
        <v>18</v>
      </c>
      <c r="BU23" s="25">
        <v>13</v>
      </c>
      <c r="BV23" s="25">
        <v>22</v>
      </c>
      <c r="BW23" s="25">
        <v>0</v>
      </c>
      <c r="BX23" s="25">
        <v>18</v>
      </c>
      <c r="BY23" s="25">
        <v>6</v>
      </c>
      <c r="BZ23" s="25">
        <v>12</v>
      </c>
      <c r="CA23" s="25">
        <v>0</v>
      </c>
      <c r="CB23" s="25">
        <v>18</v>
      </c>
      <c r="CC23" s="25">
        <v>0</v>
      </c>
      <c r="CD23" s="25">
        <v>18</v>
      </c>
      <c r="CE23" s="25">
        <v>0</v>
      </c>
      <c r="CF23" s="25">
        <v>18</v>
      </c>
      <c r="CG23" s="25">
        <v>44</v>
      </c>
      <c r="CH23" s="25">
        <v>33</v>
      </c>
      <c r="CI23" s="25">
        <v>38</v>
      </c>
      <c r="CJ23" s="25">
        <v>28</v>
      </c>
      <c r="CK23" s="25">
        <v>33</v>
      </c>
      <c r="CL23" s="25">
        <v>28</v>
      </c>
      <c r="CM23" s="25">
        <v>5</v>
      </c>
      <c r="CN23" s="25">
        <v>7</v>
      </c>
      <c r="CO23" s="25">
        <v>0</v>
      </c>
      <c r="CP23" s="25">
        <v>18</v>
      </c>
      <c r="CQ23" s="25">
        <v>0</v>
      </c>
      <c r="CR23" s="25">
        <v>18</v>
      </c>
      <c r="CS23" s="25">
        <v>0</v>
      </c>
      <c r="CT23" s="25">
        <v>18</v>
      </c>
      <c r="CU23" s="25">
        <v>0</v>
      </c>
      <c r="CV23" s="25">
        <v>18</v>
      </c>
      <c r="CW23" s="25">
        <v>6</v>
      </c>
      <c r="CX23" s="25">
        <v>11</v>
      </c>
      <c r="CY23" s="25">
        <v>0</v>
      </c>
      <c r="CZ23" s="25">
        <v>18</v>
      </c>
      <c r="DA23" s="25">
        <v>94</v>
      </c>
      <c r="DB23" s="25">
        <v>62</v>
      </c>
      <c r="DC23" s="25">
        <v>94</v>
      </c>
      <c r="DD23" s="25">
        <v>62</v>
      </c>
      <c r="DE23" s="25">
        <v>94</v>
      </c>
      <c r="DF23" s="25">
        <v>62</v>
      </c>
      <c r="DG23" s="25">
        <v>0</v>
      </c>
      <c r="DH23" s="25">
        <v>18</v>
      </c>
      <c r="DI23" s="25">
        <v>0</v>
      </c>
      <c r="DJ23" s="25">
        <v>18</v>
      </c>
      <c r="DK23" s="25">
        <v>0</v>
      </c>
      <c r="DL23" s="25">
        <v>18</v>
      </c>
      <c r="DM23" s="25">
        <v>0</v>
      </c>
      <c r="DN23" s="25">
        <v>18</v>
      </c>
      <c r="DO23" s="25">
        <v>0</v>
      </c>
      <c r="DP23" s="25">
        <v>18</v>
      </c>
      <c r="DQ23" s="25">
        <v>0</v>
      </c>
      <c r="DR23" s="25">
        <v>18</v>
      </c>
      <c r="DS23" s="25">
        <v>0</v>
      </c>
      <c r="DT23" s="25">
        <v>18</v>
      </c>
      <c r="DU23" s="25">
        <v>187</v>
      </c>
      <c r="DV23" s="25">
        <v>74</v>
      </c>
      <c r="DW23" s="25">
        <v>129</v>
      </c>
      <c r="DX23" s="25">
        <v>57</v>
      </c>
      <c r="DY23" s="25">
        <v>101</v>
      </c>
      <c r="DZ23" s="25">
        <v>51</v>
      </c>
      <c r="EA23" s="25">
        <v>28</v>
      </c>
      <c r="EB23" s="25">
        <v>24</v>
      </c>
      <c r="EC23" s="25">
        <v>8</v>
      </c>
      <c r="ED23" s="25">
        <v>10</v>
      </c>
      <c r="EE23" s="25">
        <v>11</v>
      </c>
      <c r="EF23" s="25">
        <v>19</v>
      </c>
      <c r="EG23" s="25">
        <v>0</v>
      </c>
      <c r="EH23" s="25">
        <v>18</v>
      </c>
      <c r="EI23" s="25">
        <v>0</v>
      </c>
      <c r="EJ23" s="25">
        <v>18</v>
      </c>
      <c r="EK23" s="25">
        <v>39</v>
      </c>
      <c r="EL23" s="25">
        <v>33</v>
      </c>
      <c r="EM23" s="25">
        <v>0</v>
      </c>
      <c r="EN23" s="25">
        <v>18</v>
      </c>
    </row>
    <row r="24" spans="1:144" x14ac:dyDescent="0.25">
      <c r="A24" s="19">
        <f t="shared" si="8"/>
        <v>31</v>
      </c>
      <c r="B24" s="20" t="str">
        <f t="shared" si="9"/>
        <v>Piute</v>
      </c>
      <c r="C24" s="24" t="s">
        <v>318</v>
      </c>
      <c r="D24" s="24" t="s">
        <v>319</v>
      </c>
      <c r="E24" s="25">
        <v>595</v>
      </c>
      <c r="F24" s="25">
        <v>96</v>
      </c>
      <c r="G24" s="25">
        <v>371</v>
      </c>
      <c r="H24" s="25">
        <v>84</v>
      </c>
      <c r="I24" s="25">
        <v>338</v>
      </c>
      <c r="J24" s="25">
        <v>86</v>
      </c>
      <c r="K24" s="25">
        <v>33</v>
      </c>
      <c r="L24" s="25">
        <v>17</v>
      </c>
      <c r="M24" s="25">
        <v>19</v>
      </c>
      <c r="N24" s="25">
        <v>12</v>
      </c>
      <c r="O24" s="25">
        <v>63</v>
      </c>
      <c r="P24" s="25">
        <v>29</v>
      </c>
      <c r="Q24" s="25">
        <v>93</v>
      </c>
      <c r="R24" s="25">
        <v>59</v>
      </c>
      <c r="S24" s="25">
        <v>4</v>
      </c>
      <c r="T24" s="25">
        <v>8</v>
      </c>
      <c r="U24" s="25">
        <v>40</v>
      </c>
      <c r="V24" s="25">
        <v>20</v>
      </c>
      <c r="W24" s="25">
        <v>5</v>
      </c>
      <c r="X24" s="25">
        <v>7</v>
      </c>
      <c r="Y24" s="25">
        <v>463</v>
      </c>
      <c r="Z24" s="25">
        <v>90</v>
      </c>
      <c r="AA24" s="25">
        <v>260</v>
      </c>
      <c r="AB24" s="25">
        <v>61</v>
      </c>
      <c r="AC24" s="25">
        <v>234</v>
      </c>
      <c r="AD24" s="25">
        <v>62</v>
      </c>
      <c r="AE24" s="25">
        <v>26</v>
      </c>
      <c r="AF24" s="25">
        <v>14</v>
      </c>
      <c r="AG24" s="25">
        <v>19</v>
      </c>
      <c r="AH24" s="25">
        <v>12</v>
      </c>
      <c r="AI24" s="25">
        <v>58</v>
      </c>
      <c r="AJ24" s="25">
        <v>28</v>
      </c>
      <c r="AK24" s="25">
        <v>85</v>
      </c>
      <c r="AL24" s="25">
        <v>58</v>
      </c>
      <c r="AM24" s="25">
        <v>4</v>
      </c>
      <c r="AN24" s="25">
        <v>8</v>
      </c>
      <c r="AO24" s="25">
        <v>32</v>
      </c>
      <c r="AP24" s="25">
        <v>17</v>
      </c>
      <c r="AQ24" s="25">
        <v>5</v>
      </c>
      <c r="AR24" s="25">
        <v>7</v>
      </c>
      <c r="AS24" s="25">
        <v>96</v>
      </c>
      <c r="AT24" s="25">
        <v>63</v>
      </c>
      <c r="AU24" s="25">
        <v>89</v>
      </c>
      <c r="AV24" s="25">
        <v>64</v>
      </c>
      <c r="AW24" s="25">
        <v>89</v>
      </c>
      <c r="AX24" s="25">
        <v>64</v>
      </c>
      <c r="AY24" s="25">
        <v>0</v>
      </c>
      <c r="AZ24" s="25">
        <v>11</v>
      </c>
      <c r="BA24" s="25">
        <v>0</v>
      </c>
      <c r="BB24" s="25">
        <v>11</v>
      </c>
      <c r="BC24" s="25">
        <v>5</v>
      </c>
      <c r="BD24" s="25">
        <v>7</v>
      </c>
      <c r="BE24" s="25">
        <v>0</v>
      </c>
      <c r="BF24" s="25">
        <v>11</v>
      </c>
      <c r="BG24" s="25">
        <v>0</v>
      </c>
      <c r="BH24" s="25">
        <v>11</v>
      </c>
      <c r="BI24" s="25">
        <v>2</v>
      </c>
      <c r="BJ24" s="25">
        <v>3</v>
      </c>
      <c r="BK24" s="25">
        <v>0</v>
      </c>
      <c r="BL24" s="25">
        <v>11</v>
      </c>
      <c r="BM24" s="25">
        <v>7</v>
      </c>
      <c r="BN24" s="25">
        <v>11</v>
      </c>
      <c r="BO24" s="25">
        <v>7</v>
      </c>
      <c r="BP24" s="25">
        <v>11</v>
      </c>
      <c r="BQ24" s="25">
        <v>7</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17</v>
      </c>
      <c r="CH24" s="25">
        <v>13</v>
      </c>
      <c r="CI24" s="25">
        <v>6</v>
      </c>
      <c r="CJ24" s="25">
        <v>7</v>
      </c>
      <c r="CK24" s="25">
        <v>5</v>
      </c>
      <c r="CL24" s="25">
        <v>5</v>
      </c>
      <c r="CM24" s="25">
        <v>1</v>
      </c>
      <c r="CN24" s="25">
        <v>4</v>
      </c>
      <c r="CO24" s="25">
        <v>0</v>
      </c>
      <c r="CP24" s="25">
        <v>11</v>
      </c>
      <c r="CQ24" s="25">
        <v>0</v>
      </c>
      <c r="CR24" s="25">
        <v>11</v>
      </c>
      <c r="CS24" s="25">
        <v>6</v>
      </c>
      <c r="CT24" s="25">
        <v>8</v>
      </c>
      <c r="CU24" s="25">
        <v>0</v>
      </c>
      <c r="CV24" s="25">
        <v>11</v>
      </c>
      <c r="CW24" s="25">
        <v>5</v>
      </c>
      <c r="CX24" s="25">
        <v>9</v>
      </c>
      <c r="CY24" s="25">
        <v>0</v>
      </c>
      <c r="CZ24" s="25">
        <v>11</v>
      </c>
      <c r="DA24" s="25">
        <v>3</v>
      </c>
      <c r="DB24" s="25">
        <v>4</v>
      </c>
      <c r="DC24" s="25">
        <v>2</v>
      </c>
      <c r="DD24" s="25">
        <v>4</v>
      </c>
      <c r="DE24" s="25">
        <v>2</v>
      </c>
      <c r="DF24" s="25">
        <v>4</v>
      </c>
      <c r="DG24" s="25">
        <v>0</v>
      </c>
      <c r="DH24" s="25">
        <v>11</v>
      </c>
      <c r="DI24" s="25">
        <v>0</v>
      </c>
      <c r="DJ24" s="25">
        <v>11</v>
      </c>
      <c r="DK24" s="25">
        <v>0</v>
      </c>
      <c r="DL24" s="25">
        <v>11</v>
      </c>
      <c r="DM24" s="25">
        <v>0</v>
      </c>
      <c r="DN24" s="25">
        <v>11</v>
      </c>
      <c r="DO24" s="25">
        <v>0</v>
      </c>
      <c r="DP24" s="25">
        <v>11</v>
      </c>
      <c r="DQ24" s="25">
        <v>1</v>
      </c>
      <c r="DR24" s="25">
        <v>3</v>
      </c>
      <c r="DS24" s="25">
        <v>0</v>
      </c>
      <c r="DT24" s="25">
        <v>11</v>
      </c>
      <c r="DU24" s="25">
        <v>9</v>
      </c>
      <c r="DV24" s="25">
        <v>9</v>
      </c>
      <c r="DW24" s="25">
        <v>7</v>
      </c>
      <c r="DX24" s="25">
        <v>8</v>
      </c>
      <c r="DY24" s="25">
        <v>1</v>
      </c>
      <c r="DZ24" s="25">
        <v>3</v>
      </c>
      <c r="EA24" s="25">
        <v>6</v>
      </c>
      <c r="EB24" s="25">
        <v>8</v>
      </c>
      <c r="EC24" s="25">
        <v>0</v>
      </c>
      <c r="ED24" s="25">
        <v>11</v>
      </c>
      <c r="EE24" s="25">
        <v>0</v>
      </c>
      <c r="EF24" s="25">
        <v>11</v>
      </c>
      <c r="EG24" s="25">
        <v>2</v>
      </c>
      <c r="EH24" s="25">
        <v>3</v>
      </c>
      <c r="EI24" s="25">
        <v>0</v>
      </c>
      <c r="EJ24" s="25">
        <v>11</v>
      </c>
      <c r="EK24" s="25">
        <v>0</v>
      </c>
      <c r="EL24" s="25">
        <v>11</v>
      </c>
      <c r="EM24" s="25">
        <v>0</v>
      </c>
      <c r="EN24" s="25">
        <v>11</v>
      </c>
    </row>
    <row r="25" spans="1:144" x14ac:dyDescent="0.25">
      <c r="A25" s="19">
        <f t="shared" si="8"/>
        <v>33</v>
      </c>
      <c r="B25" s="20" t="str">
        <f t="shared" si="9"/>
        <v>Rich</v>
      </c>
      <c r="C25" s="24" t="s">
        <v>320</v>
      </c>
      <c r="D25" s="24" t="s">
        <v>321</v>
      </c>
      <c r="E25" s="25">
        <v>754</v>
      </c>
      <c r="F25" s="25">
        <v>88</v>
      </c>
      <c r="G25" s="25">
        <v>580</v>
      </c>
      <c r="H25" s="25">
        <v>92</v>
      </c>
      <c r="I25" s="25">
        <v>477</v>
      </c>
      <c r="J25" s="25">
        <v>79</v>
      </c>
      <c r="K25" s="25">
        <v>103</v>
      </c>
      <c r="L25" s="25">
        <v>43</v>
      </c>
      <c r="M25" s="25">
        <v>27</v>
      </c>
      <c r="N25" s="25">
        <v>23</v>
      </c>
      <c r="O25" s="25">
        <v>92</v>
      </c>
      <c r="P25" s="25">
        <v>33</v>
      </c>
      <c r="Q25" s="25">
        <v>21</v>
      </c>
      <c r="R25" s="25">
        <v>15</v>
      </c>
      <c r="S25" s="25">
        <v>0</v>
      </c>
      <c r="T25" s="25">
        <v>11</v>
      </c>
      <c r="U25" s="25">
        <v>34</v>
      </c>
      <c r="V25" s="25">
        <v>24</v>
      </c>
      <c r="W25" s="25">
        <v>0</v>
      </c>
      <c r="X25" s="25">
        <v>11</v>
      </c>
      <c r="Y25" s="25">
        <v>550</v>
      </c>
      <c r="Z25" s="25">
        <v>79</v>
      </c>
      <c r="AA25" s="25">
        <v>424</v>
      </c>
      <c r="AB25" s="25">
        <v>88</v>
      </c>
      <c r="AC25" s="25">
        <v>388</v>
      </c>
      <c r="AD25" s="25">
        <v>85</v>
      </c>
      <c r="AE25" s="25">
        <v>36</v>
      </c>
      <c r="AF25" s="25">
        <v>27</v>
      </c>
      <c r="AG25" s="25">
        <v>6</v>
      </c>
      <c r="AH25" s="25">
        <v>6</v>
      </c>
      <c r="AI25" s="25">
        <v>87</v>
      </c>
      <c r="AJ25" s="25">
        <v>30</v>
      </c>
      <c r="AK25" s="25">
        <v>15</v>
      </c>
      <c r="AL25" s="25">
        <v>12</v>
      </c>
      <c r="AM25" s="25">
        <v>0</v>
      </c>
      <c r="AN25" s="25">
        <v>11</v>
      </c>
      <c r="AO25" s="25">
        <v>18</v>
      </c>
      <c r="AP25" s="25">
        <v>16</v>
      </c>
      <c r="AQ25" s="25">
        <v>0</v>
      </c>
      <c r="AR25" s="25">
        <v>11</v>
      </c>
      <c r="AS25" s="25">
        <v>65</v>
      </c>
      <c r="AT25" s="25">
        <v>33</v>
      </c>
      <c r="AU25" s="25">
        <v>43</v>
      </c>
      <c r="AV25" s="25">
        <v>25</v>
      </c>
      <c r="AW25" s="25">
        <v>40</v>
      </c>
      <c r="AX25" s="25">
        <v>24</v>
      </c>
      <c r="AY25" s="25">
        <v>3</v>
      </c>
      <c r="AZ25" s="25">
        <v>5</v>
      </c>
      <c r="BA25" s="25">
        <v>21</v>
      </c>
      <c r="BB25" s="25">
        <v>22</v>
      </c>
      <c r="BC25" s="25">
        <v>0</v>
      </c>
      <c r="BD25" s="25">
        <v>11</v>
      </c>
      <c r="BE25" s="25">
        <v>1</v>
      </c>
      <c r="BF25" s="25">
        <v>3</v>
      </c>
      <c r="BG25" s="25">
        <v>0</v>
      </c>
      <c r="BH25" s="25">
        <v>11</v>
      </c>
      <c r="BI25" s="25">
        <v>0</v>
      </c>
      <c r="BJ25" s="25">
        <v>11</v>
      </c>
      <c r="BK25" s="25">
        <v>0</v>
      </c>
      <c r="BL25" s="25">
        <v>11</v>
      </c>
      <c r="BM25" s="25">
        <v>21</v>
      </c>
      <c r="BN25" s="25">
        <v>29</v>
      </c>
      <c r="BO25" s="25">
        <v>21</v>
      </c>
      <c r="BP25" s="25">
        <v>29</v>
      </c>
      <c r="BQ25" s="25">
        <v>21</v>
      </c>
      <c r="BR25" s="25">
        <v>29</v>
      </c>
      <c r="BS25" s="25">
        <v>0</v>
      </c>
      <c r="BT25" s="25">
        <v>11</v>
      </c>
      <c r="BU25" s="25">
        <v>0</v>
      </c>
      <c r="BV25" s="25">
        <v>11</v>
      </c>
      <c r="BW25" s="25">
        <v>0</v>
      </c>
      <c r="BX25" s="25">
        <v>11</v>
      </c>
      <c r="BY25" s="25">
        <v>0</v>
      </c>
      <c r="BZ25" s="25">
        <v>11</v>
      </c>
      <c r="CA25" s="25">
        <v>0</v>
      </c>
      <c r="CB25" s="25">
        <v>11</v>
      </c>
      <c r="CC25" s="25">
        <v>0</v>
      </c>
      <c r="CD25" s="25">
        <v>11</v>
      </c>
      <c r="CE25" s="25">
        <v>0</v>
      </c>
      <c r="CF25" s="25">
        <v>11</v>
      </c>
      <c r="CG25" s="25">
        <v>22</v>
      </c>
      <c r="CH25" s="25">
        <v>16</v>
      </c>
      <c r="CI25" s="25">
        <v>12</v>
      </c>
      <c r="CJ25" s="25">
        <v>12</v>
      </c>
      <c r="CK25" s="25">
        <v>6</v>
      </c>
      <c r="CL25" s="25">
        <v>8</v>
      </c>
      <c r="CM25" s="25">
        <v>6</v>
      </c>
      <c r="CN25" s="25">
        <v>9</v>
      </c>
      <c r="CO25" s="25">
        <v>0</v>
      </c>
      <c r="CP25" s="25">
        <v>11</v>
      </c>
      <c r="CQ25" s="25">
        <v>5</v>
      </c>
      <c r="CR25" s="25">
        <v>10</v>
      </c>
      <c r="CS25" s="25">
        <v>4</v>
      </c>
      <c r="CT25" s="25">
        <v>5</v>
      </c>
      <c r="CU25" s="25">
        <v>0</v>
      </c>
      <c r="CV25" s="25">
        <v>11</v>
      </c>
      <c r="CW25" s="25">
        <v>1</v>
      </c>
      <c r="CX25" s="25">
        <v>3</v>
      </c>
      <c r="CY25" s="25">
        <v>0</v>
      </c>
      <c r="CZ25" s="25">
        <v>11</v>
      </c>
      <c r="DA25" s="25">
        <v>0</v>
      </c>
      <c r="DB25" s="25">
        <v>11</v>
      </c>
      <c r="DC25" s="25">
        <v>0</v>
      </c>
      <c r="DD25" s="25">
        <v>11</v>
      </c>
      <c r="DE25" s="25">
        <v>0</v>
      </c>
      <c r="DF25" s="25">
        <v>11</v>
      </c>
      <c r="DG25" s="25">
        <v>0</v>
      </c>
      <c r="DH25" s="25">
        <v>11</v>
      </c>
      <c r="DI25" s="25">
        <v>0</v>
      </c>
      <c r="DJ25" s="25">
        <v>11</v>
      </c>
      <c r="DK25" s="25">
        <v>0</v>
      </c>
      <c r="DL25" s="25">
        <v>11</v>
      </c>
      <c r="DM25" s="25">
        <v>0</v>
      </c>
      <c r="DN25" s="25">
        <v>11</v>
      </c>
      <c r="DO25" s="25">
        <v>0</v>
      </c>
      <c r="DP25" s="25">
        <v>11</v>
      </c>
      <c r="DQ25" s="25">
        <v>0</v>
      </c>
      <c r="DR25" s="25">
        <v>11</v>
      </c>
      <c r="DS25" s="25">
        <v>0</v>
      </c>
      <c r="DT25" s="25">
        <v>11</v>
      </c>
      <c r="DU25" s="25">
        <v>96</v>
      </c>
      <c r="DV25" s="25">
        <v>45</v>
      </c>
      <c r="DW25" s="25">
        <v>80</v>
      </c>
      <c r="DX25" s="25">
        <v>43</v>
      </c>
      <c r="DY25" s="25">
        <v>22</v>
      </c>
      <c r="DZ25" s="25">
        <v>26</v>
      </c>
      <c r="EA25" s="25">
        <v>58</v>
      </c>
      <c r="EB25" s="25">
        <v>28</v>
      </c>
      <c r="EC25" s="25">
        <v>0</v>
      </c>
      <c r="ED25" s="25">
        <v>11</v>
      </c>
      <c r="EE25" s="25">
        <v>0</v>
      </c>
      <c r="EF25" s="25">
        <v>11</v>
      </c>
      <c r="EG25" s="25">
        <v>1</v>
      </c>
      <c r="EH25" s="25">
        <v>3</v>
      </c>
      <c r="EI25" s="25">
        <v>0</v>
      </c>
      <c r="EJ25" s="25">
        <v>11</v>
      </c>
      <c r="EK25" s="25">
        <v>15</v>
      </c>
      <c r="EL25" s="25">
        <v>13</v>
      </c>
      <c r="EM25" s="25">
        <v>0</v>
      </c>
      <c r="EN25" s="25">
        <v>11</v>
      </c>
    </row>
    <row r="26" spans="1:144" x14ac:dyDescent="0.25">
      <c r="A26" s="19">
        <f t="shared" si="8"/>
        <v>35</v>
      </c>
      <c r="B26" s="20" t="str">
        <f t="shared" si="9"/>
        <v>Salt Lake</v>
      </c>
      <c r="C26" s="24" t="s">
        <v>322</v>
      </c>
      <c r="D26" s="24" t="s">
        <v>323</v>
      </c>
      <c r="E26" s="25">
        <v>582982</v>
      </c>
      <c r="F26" s="25">
        <v>2886</v>
      </c>
      <c r="G26" s="25">
        <v>435061</v>
      </c>
      <c r="H26" s="25">
        <v>3260</v>
      </c>
      <c r="I26" s="25">
        <v>412312</v>
      </c>
      <c r="J26" s="25">
        <v>3223</v>
      </c>
      <c r="K26" s="25">
        <v>22749</v>
      </c>
      <c r="L26" s="25">
        <v>1084</v>
      </c>
      <c r="M26" s="25">
        <v>42330</v>
      </c>
      <c r="N26" s="25">
        <v>1530</v>
      </c>
      <c r="O26" s="25">
        <v>29034</v>
      </c>
      <c r="P26" s="25">
        <v>1183</v>
      </c>
      <c r="Q26" s="25">
        <v>36179</v>
      </c>
      <c r="R26" s="25">
        <v>1264</v>
      </c>
      <c r="S26" s="25">
        <v>11801</v>
      </c>
      <c r="T26" s="25">
        <v>915</v>
      </c>
      <c r="U26" s="25">
        <v>27737</v>
      </c>
      <c r="V26" s="25">
        <v>1005</v>
      </c>
      <c r="W26" s="25">
        <v>840</v>
      </c>
      <c r="X26" s="25">
        <v>231</v>
      </c>
      <c r="Y26" s="25">
        <v>439421</v>
      </c>
      <c r="Z26" s="25">
        <v>3580</v>
      </c>
      <c r="AA26" s="25">
        <v>333622</v>
      </c>
      <c r="AB26" s="25">
        <v>3537</v>
      </c>
      <c r="AC26" s="25">
        <v>319093</v>
      </c>
      <c r="AD26" s="25">
        <v>3418</v>
      </c>
      <c r="AE26" s="25">
        <v>14529</v>
      </c>
      <c r="AF26" s="25">
        <v>767</v>
      </c>
      <c r="AG26" s="25">
        <v>32404</v>
      </c>
      <c r="AH26" s="25">
        <v>1271</v>
      </c>
      <c r="AI26" s="25">
        <v>23497</v>
      </c>
      <c r="AJ26" s="25">
        <v>1075</v>
      </c>
      <c r="AK26" s="25">
        <v>26499</v>
      </c>
      <c r="AL26" s="25">
        <v>1003</v>
      </c>
      <c r="AM26" s="25">
        <v>9217</v>
      </c>
      <c r="AN26" s="25">
        <v>781</v>
      </c>
      <c r="AO26" s="25">
        <v>13752</v>
      </c>
      <c r="AP26" s="25">
        <v>823</v>
      </c>
      <c r="AQ26" s="25">
        <v>430</v>
      </c>
      <c r="AR26" s="25">
        <v>121</v>
      </c>
      <c r="AS26" s="25">
        <v>63606</v>
      </c>
      <c r="AT26" s="25">
        <v>2016</v>
      </c>
      <c r="AU26" s="25">
        <v>49241</v>
      </c>
      <c r="AV26" s="25">
        <v>1899</v>
      </c>
      <c r="AW26" s="25">
        <v>47402</v>
      </c>
      <c r="AX26" s="25">
        <v>1885</v>
      </c>
      <c r="AY26" s="25">
        <v>1839</v>
      </c>
      <c r="AZ26" s="25">
        <v>319</v>
      </c>
      <c r="BA26" s="25">
        <v>3893</v>
      </c>
      <c r="BB26" s="25">
        <v>417</v>
      </c>
      <c r="BC26" s="25">
        <v>3006</v>
      </c>
      <c r="BD26" s="25">
        <v>413</v>
      </c>
      <c r="BE26" s="25">
        <v>3800</v>
      </c>
      <c r="BF26" s="25">
        <v>465</v>
      </c>
      <c r="BG26" s="25">
        <v>1295</v>
      </c>
      <c r="BH26" s="25">
        <v>293</v>
      </c>
      <c r="BI26" s="25">
        <v>2305</v>
      </c>
      <c r="BJ26" s="25">
        <v>381</v>
      </c>
      <c r="BK26" s="25">
        <v>66</v>
      </c>
      <c r="BL26" s="25">
        <v>61</v>
      </c>
      <c r="BM26" s="25">
        <v>21435</v>
      </c>
      <c r="BN26" s="25">
        <v>1248</v>
      </c>
      <c r="BO26" s="25">
        <v>13266</v>
      </c>
      <c r="BP26" s="25">
        <v>892</v>
      </c>
      <c r="BQ26" s="25">
        <v>13140</v>
      </c>
      <c r="BR26" s="25">
        <v>890</v>
      </c>
      <c r="BS26" s="25">
        <v>126</v>
      </c>
      <c r="BT26" s="25">
        <v>68</v>
      </c>
      <c r="BU26" s="25">
        <v>2785</v>
      </c>
      <c r="BV26" s="25">
        <v>328</v>
      </c>
      <c r="BW26" s="25">
        <v>1111</v>
      </c>
      <c r="BX26" s="25">
        <v>249</v>
      </c>
      <c r="BY26" s="25">
        <v>3141</v>
      </c>
      <c r="BZ26" s="25">
        <v>367</v>
      </c>
      <c r="CA26" s="25">
        <v>716</v>
      </c>
      <c r="CB26" s="25">
        <v>236</v>
      </c>
      <c r="CC26" s="25">
        <v>321</v>
      </c>
      <c r="CD26" s="25">
        <v>131</v>
      </c>
      <c r="CE26" s="25">
        <v>95</v>
      </c>
      <c r="CF26" s="25">
        <v>115</v>
      </c>
      <c r="CG26" s="25">
        <v>12653</v>
      </c>
      <c r="CH26" s="25">
        <v>1010</v>
      </c>
      <c r="CI26" s="25">
        <v>9376</v>
      </c>
      <c r="CJ26" s="25">
        <v>953</v>
      </c>
      <c r="CK26" s="25">
        <v>9039</v>
      </c>
      <c r="CL26" s="25">
        <v>940</v>
      </c>
      <c r="CM26" s="25">
        <v>337</v>
      </c>
      <c r="CN26" s="25">
        <v>111</v>
      </c>
      <c r="CO26" s="25">
        <v>925</v>
      </c>
      <c r="CP26" s="25">
        <v>203</v>
      </c>
      <c r="CQ26" s="25">
        <v>535</v>
      </c>
      <c r="CR26" s="25">
        <v>161</v>
      </c>
      <c r="CS26" s="25">
        <v>1153</v>
      </c>
      <c r="CT26" s="25">
        <v>297</v>
      </c>
      <c r="CU26" s="25">
        <v>113</v>
      </c>
      <c r="CV26" s="25">
        <v>58</v>
      </c>
      <c r="CW26" s="25">
        <v>523</v>
      </c>
      <c r="CX26" s="25">
        <v>140</v>
      </c>
      <c r="CY26" s="25">
        <v>28</v>
      </c>
      <c r="CZ26" s="25">
        <v>33</v>
      </c>
      <c r="DA26" s="25">
        <v>9688</v>
      </c>
      <c r="DB26" s="25">
        <v>737</v>
      </c>
      <c r="DC26" s="25">
        <v>6920</v>
      </c>
      <c r="DD26" s="25">
        <v>643</v>
      </c>
      <c r="DE26" s="25">
        <v>6567</v>
      </c>
      <c r="DF26" s="25">
        <v>617</v>
      </c>
      <c r="DG26" s="25">
        <v>353</v>
      </c>
      <c r="DH26" s="25">
        <v>178</v>
      </c>
      <c r="DI26" s="25">
        <v>826</v>
      </c>
      <c r="DJ26" s="25">
        <v>199</v>
      </c>
      <c r="DK26" s="25">
        <v>405</v>
      </c>
      <c r="DL26" s="25">
        <v>153</v>
      </c>
      <c r="DM26" s="25">
        <v>773</v>
      </c>
      <c r="DN26" s="25">
        <v>175</v>
      </c>
      <c r="DO26" s="25">
        <v>206</v>
      </c>
      <c r="DP26" s="25">
        <v>108</v>
      </c>
      <c r="DQ26" s="25">
        <v>558</v>
      </c>
      <c r="DR26" s="25">
        <v>204</v>
      </c>
      <c r="DS26" s="25">
        <v>0</v>
      </c>
      <c r="DT26" s="25">
        <v>27</v>
      </c>
      <c r="DU26" s="25">
        <v>36179</v>
      </c>
      <c r="DV26" s="25">
        <v>1660</v>
      </c>
      <c r="DW26" s="25">
        <v>22636</v>
      </c>
      <c r="DX26" s="25">
        <v>1257</v>
      </c>
      <c r="DY26" s="25">
        <v>17071</v>
      </c>
      <c r="DZ26" s="25">
        <v>1070</v>
      </c>
      <c r="EA26" s="25">
        <v>5565</v>
      </c>
      <c r="EB26" s="25">
        <v>621</v>
      </c>
      <c r="EC26" s="25">
        <v>1497</v>
      </c>
      <c r="ED26" s="25">
        <v>230</v>
      </c>
      <c r="EE26" s="25">
        <v>480</v>
      </c>
      <c r="EF26" s="25">
        <v>130</v>
      </c>
      <c r="EG26" s="25">
        <v>813</v>
      </c>
      <c r="EH26" s="25">
        <v>183</v>
      </c>
      <c r="EI26" s="25">
        <v>254</v>
      </c>
      <c r="EJ26" s="25">
        <v>104</v>
      </c>
      <c r="EK26" s="25">
        <v>10278</v>
      </c>
      <c r="EL26" s="25">
        <v>735</v>
      </c>
      <c r="EM26" s="25">
        <v>221</v>
      </c>
      <c r="EN26" s="25">
        <v>99</v>
      </c>
    </row>
    <row r="27" spans="1:144" x14ac:dyDescent="0.25">
      <c r="A27" s="19">
        <f t="shared" si="8"/>
        <v>37</v>
      </c>
      <c r="B27" s="20" t="str">
        <f t="shared" si="9"/>
        <v>San Juan</v>
      </c>
      <c r="C27" s="24" t="s">
        <v>324</v>
      </c>
      <c r="D27" s="24" t="s">
        <v>325</v>
      </c>
      <c r="E27" s="25">
        <v>5604</v>
      </c>
      <c r="F27" s="25">
        <v>255</v>
      </c>
      <c r="G27" s="25">
        <v>3194</v>
      </c>
      <c r="H27" s="25">
        <v>253</v>
      </c>
      <c r="I27" s="25">
        <v>3033</v>
      </c>
      <c r="J27" s="25">
        <v>268</v>
      </c>
      <c r="K27" s="25">
        <v>161</v>
      </c>
      <c r="L27" s="25">
        <v>69</v>
      </c>
      <c r="M27" s="25">
        <v>424</v>
      </c>
      <c r="N27" s="25">
        <v>133</v>
      </c>
      <c r="O27" s="25">
        <v>619</v>
      </c>
      <c r="P27" s="25">
        <v>124</v>
      </c>
      <c r="Q27" s="25">
        <v>588</v>
      </c>
      <c r="R27" s="25">
        <v>115</v>
      </c>
      <c r="S27" s="25">
        <v>264</v>
      </c>
      <c r="T27" s="25">
        <v>76</v>
      </c>
      <c r="U27" s="25">
        <v>495</v>
      </c>
      <c r="V27" s="25">
        <v>181</v>
      </c>
      <c r="W27" s="25">
        <v>20</v>
      </c>
      <c r="X27" s="25">
        <v>33</v>
      </c>
      <c r="Y27" s="25">
        <v>4291</v>
      </c>
      <c r="Z27" s="25">
        <v>248</v>
      </c>
      <c r="AA27" s="25">
        <v>2452</v>
      </c>
      <c r="AB27" s="25">
        <v>232</v>
      </c>
      <c r="AC27" s="25">
        <v>2372</v>
      </c>
      <c r="AD27" s="25">
        <v>240</v>
      </c>
      <c r="AE27" s="25">
        <v>80</v>
      </c>
      <c r="AF27" s="25">
        <v>46</v>
      </c>
      <c r="AG27" s="25">
        <v>381</v>
      </c>
      <c r="AH27" s="25">
        <v>127</v>
      </c>
      <c r="AI27" s="25">
        <v>540</v>
      </c>
      <c r="AJ27" s="25">
        <v>119</v>
      </c>
      <c r="AK27" s="25">
        <v>485</v>
      </c>
      <c r="AL27" s="25">
        <v>104</v>
      </c>
      <c r="AM27" s="25">
        <v>233</v>
      </c>
      <c r="AN27" s="25">
        <v>72</v>
      </c>
      <c r="AO27" s="25">
        <v>180</v>
      </c>
      <c r="AP27" s="25">
        <v>87</v>
      </c>
      <c r="AQ27" s="25">
        <v>20</v>
      </c>
      <c r="AR27" s="25">
        <v>33</v>
      </c>
      <c r="AS27" s="25">
        <v>373</v>
      </c>
      <c r="AT27" s="25">
        <v>78</v>
      </c>
      <c r="AU27" s="25">
        <v>260</v>
      </c>
      <c r="AV27" s="25">
        <v>59</v>
      </c>
      <c r="AW27" s="25">
        <v>260</v>
      </c>
      <c r="AX27" s="25">
        <v>59</v>
      </c>
      <c r="AY27" s="25">
        <v>0</v>
      </c>
      <c r="AZ27" s="25">
        <v>18</v>
      </c>
      <c r="BA27" s="25">
        <v>20</v>
      </c>
      <c r="BB27" s="25">
        <v>16</v>
      </c>
      <c r="BC27" s="25">
        <v>5</v>
      </c>
      <c r="BD27" s="25">
        <v>7</v>
      </c>
      <c r="BE27" s="25">
        <v>75</v>
      </c>
      <c r="BF27" s="25">
        <v>44</v>
      </c>
      <c r="BG27" s="25">
        <v>11</v>
      </c>
      <c r="BH27" s="25">
        <v>11</v>
      </c>
      <c r="BI27" s="25">
        <v>2</v>
      </c>
      <c r="BJ27" s="25">
        <v>4</v>
      </c>
      <c r="BK27" s="25">
        <v>0</v>
      </c>
      <c r="BL27" s="25">
        <v>18</v>
      </c>
      <c r="BM27" s="25">
        <v>39</v>
      </c>
      <c r="BN27" s="25">
        <v>24</v>
      </c>
      <c r="BO27" s="25">
        <v>12</v>
      </c>
      <c r="BP27" s="25">
        <v>14</v>
      </c>
      <c r="BQ27" s="25">
        <v>12</v>
      </c>
      <c r="BR27" s="25">
        <v>14</v>
      </c>
      <c r="BS27" s="25">
        <v>0</v>
      </c>
      <c r="BT27" s="25">
        <v>18</v>
      </c>
      <c r="BU27" s="25">
        <v>0</v>
      </c>
      <c r="BV27" s="25">
        <v>18</v>
      </c>
      <c r="BW27" s="25">
        <v>10</v>
      </c>
      <c r="BX27" s="25">
        <v>12</v>
      </c>
      <c r="BY27" s="25">
        <v>12</v>
      </c>
      <c r="BZ27" s="25">
        <v>11</v>
      </c>
      <c r="CA27" s="25">
        <v>5</v>
      </c>
      <c r="CB27" s="25">
        <v>6</v>
      </c>
      <c r="CC27" s="25">
        <v>0</v>
      </c>
      <c r="CD27" s="25">
        <v>18</v>
      </c>
      <c r="CE27" s="25">
        <v>0</v>
      </c>
      <c r="CF27" s="25">
        <v>18</v>
      </c>
      <c r="CG27" s="25">
        <v>258</v>
      </c>
      <c r="CH27" s="25">
        <v>116</v>
      </c>
      <c r="CI27" s="25">
        <v>178</v>
      </c>
      <c r="CJ27" s="25">
        <v>107</v>
      </c>
      <c r="CK27" s="25">
        <v>178</v>
      </c>
      <c r="CL27" s="25">
        <v>107</v>
      </c>
      <c r="CM27" s="25">
        <v>0</v>
      </c>
      <c r="CN27" s="25">
        <v>18</v>
      </c>
      <c r="CO27" s="25">
        <v>15</v>
      </c>
      <c r="CP27" s="25">
        <v>11</v>
      </c>
      <c r="CQ27" s="25">
        <v>35</v>
      </c>
      <c r="CR27" s="25">
        <v>25</v>
      </c>
      <c r="CS27" s="25">
        <v>12</v>
      </c>
      <c r="CT27" s="25">
        <v>8</v>
      </c>
      <c r="CU27" s="25">
        <v>13</v>
      </c>
      <c r="CV27" s="25">
        <v>15</v>
      </c>
      <c r="CW27" s="25">
        <v>5</v>
      </c>
      <c r="CX27" s="25">
        <v>8</v>
      </c>
      <c r="CY27" s="25">
        <v>0</v>
      </c>
      <c r="CZ27" s="25">
        <v>18</v>
      </c>
      <c r="DA27" s="25">
        <v>100</v>
      </c>
      <c r="DB27" s="25">
        <v>54</v>
      </c>
      <c r="DC27" s="25">
        <v>88</v>
      </c>
      <c r="DD27" s="25">
        <v>51</v>
      </c>
      <c r="DE27" s="25">
        <v>88</v>
      </c>
      <c r="DF27" s="25">
        <v>51</v>
      </c>
      <c r="DG27" s="25">
        <v>0</v>
      </c>
      <c r="DH27" s="25">
        <v>18</v>
      </c>
      <c r="DI27" s="25">
        <v>0</v>
      </c>
      <c r="DJ27" s="25">
        <v>18</v>
      </c>
      <c r="DK27" s="25">
        <v>6</v>
      </c>
      <c r="DL27" s="25">
        <v>9</v>
      </c>
      <c r="DM27" s="25">
        <v>4</v>
      </c>
      <c r="DN27" s="25">
        <v>6</v>
      </c>
      <c r="DO27" s="25">
        <v>2</v>
      </c>
      <c r="DP27" s="25">
        <v>4</v>
      </c>
      <c r="DQ27" s="25">
        <v>0</v>
      </c>
      <c r="DR27" s="25">
        <v>18</v>
      </c>
      <c r="DS27" s="25">
        <v>0</v>
      </c>
      <c r="DT27" s="25">
        <v>18</v>
      </c>
      <c r="DU27" s="25">
        <v>543</v>
      </c>
      <c r="DV27" s="25">
        <v>181</v>
      </c>
      <c r="DW27" s="25">
        <v>204</v>
      </c>
      <c r="DX27" s="25">
        <v>103</v>
      </c>
      <c r="DY27" s="25">
        <v>123</v>
      </c>
      <c r="DZ27" s="25">
        <v>91</v>
      </c>
      <c r="EA27" s="25">
        <v>81</v>
      </c>
      <c r="EB27" s="25">
        <v>54</v>
      </c>
      <c r="EC27" s="25">
        <v>8</v>
      </c>
      <c r="ED27" s="25">
        <v>11</v>
      </c>
      <c r="EE27" s="25">
        <v>23</v>
      </c>
      <c r="EF27" s="25">
        <v>20</v>
      </c>
      <c r="EG27" s="25">
        <v>0</v>
      </c>
      <c r="EH27" s="25">
        <v>18</v>
      </c>
      <c r="EI27" s="25">
        <v>0</v>
      </c>
      <c r="EJ27" s="25">
        <v>18</v>
      </c>
      <c r="EK27" s="25">
        <v>308</v>
      </c>
      <c r="EL27" s="25">
        <v>165</v>
      </c>
      <c r="EM27" s="25">
        <v>0</v>
      </c>
      <c r="EN27" s="25">
        <v>18</v>
      </c>
    </row>
    <row r="28" spans="1:144" x14ac:dyDescent="0.25">
      <c r="A28" s="19">
        <f t="shared" si="8"/>
        <v>39</v>
      </c>
      <c r="B28" s="20" t="str">
        <f t="shared" si="9"/>
        <v>Sanpete</v>
      </c>
      <c r="C28" s="24" t="s">
        <v>326</v>
      </c>
      <c r="D28" s="24" t="s">
        <v>327</v>
      </c>
      <c r="E28" s="25">
        <v>11648</v>
      </c>
      <c r="F28" s="25">
        <v>555</v>
      </c>
      <c r="G28" s="25">
        <v>7996</v>
      </c>
      <c r="H28" s="25">
        <v>479</v>
      </c>
      <c r="I28" s="25">
        <v>7413</v>
      </c>
      <c r="J28" s="25">
        <v>476</v>
      </c>
      <c r="K28" s="25">
        <v>583</v>
      </c>
      <c r="L28" s="25">
        <v>145</v>
      </c>
      <c r="M28" s="25">
        <v>732</v>
      </c>
      <c r="N28" s="25">
        <v>197</v>
      </c>
      <c r="O28" s="25">
        <v>543</v>
      </c>
      <c r="P28" s="25">
        <v>113</v>
      </c>
      <c r="Q28" s="25">
        <v>1336</v>
      </c>
      <c r="R28" s="25">
        <v>218</v>
      </c>
      <c r="S28" s="25">
        <v>118</v>
      </c>
      <c r="T28" s="25">
        <v>54</v>
      </c>
      <c r="U28" s="25">
        <v>921</v>
      </c>
      <c r="V28" s="25">
        <v>216</v>
      </c>
      <c r="W28" s="25">
        <v>2</v>
      </c>
      <c r="X28" s="25">
        <v>4</v>
      </c>
      <c r="Y28" s="25">
        <v>8414</v>
      </c>
      <c r="Z28" s="25">
        <v>542</v>
      </c>
      <c r="AA28" s="25">
        <v>5726</v>
      </c>
      <c r="AB28" s="25">
        <v>414</v>
      </c>
      <c r="AC28" s="25">
        <v>5422</v>
      </c>
      <c r="AD28" s="25">
        <v>419</v>
      </c>
      <c r="AE28" s="25">
        <v>304</v>
      </c>
      <c r="AF28" s="25">
        <v>76</v>
      </c>
      <c r="AG28" s="25">
        <v>559</v>
      </c>
      <c r="AH28" s="25">
        <v>176</v>
      </c>
      <c r="AI28" s="25">
        <v>423</v>
      </c>
      <c r="AJ28" s="25">
        <v>98</v>
      </c>
      <c r="AK28" s="25">
        <v>1097</v>
      </c>
      <c r="AL28" s="25">
        <v>201</v>
      </c>
      <c r="AM28" s="25">
        <v>111</v>
      </c>
      <c r="AN28" s="25">
        <v>54</v>
      </c>
      <c r="AO28" s="25">
        <v>498</v>
      </c>
      <c r="AP28" s="25">
        <v>167</v>
      </c>
      <c r="AQ28" s="25">
        <v>0</v>
      </c>
      <c r="AR28" s="25">
        <v>21</v>
      </c>
      <c r="AS28" s="25">
        <v>1597</v>
      </c>
      <c r="AT28" s="25">
        <v>236</v>
      </c>
      <c r="AU28" s="25">
        <v>1296</v>
      </c>
      <c r="AV28" s="25">
        <v>231</v>
      </c>
      <c r="AW28" s="25">
        <v>1264</v>
      </c>
      <c r="AX28" s="25">
        <v>230</v>
      </c>
      <c r="AY28" s="25">
        <v>32</v>
      </c>
      <c r="AZ28" s="25">
        <v>27</v>
      </c>
      <c r="BA28" s="25">
        <v>62</v>
      </c>
      <c r="BB28" s="25">
        <v>32</v>
      </c>
      <c r="BC28" s="25">
        <v>66</v>
      </c>
      <c r="BD28" s="25">
        <v>37</v>
      </c>
      <c r="BE28" s="25">
        <v>142</v>
      </c>
      <c r="BF28" s="25">
        <v>61</v>
      </c>
      <c r="BG28" s="25">
        <v>4</v>
      </c>
      <c r="BH28" s="25">
        <v>5</v>
      </c>
      <c r="BI28" s="25">
        <v>27</v>
      </c>
      <c r="BJ28" s="25">
        <v>35</v>
      </c>
      <c r="BK28" s="25">
        <v>0</v>
      </c>
      <c r="BL28" s="25">
        <v>21</v>
      </c>
      <c r="BM28" s="25">
        <v>58</v>
      </c>
      <c r="BN28" s="25">
        <v>62</v>
      </c>
      <c r="BO28" s="25">
        <v>58</v>
      </c>
      <c r="BP28" s="25">
        <v>62</v>
      </c>
      <c r="BQ28" s="25">
        <v>58</v>
      </c>
      <c r="BR28" s="25">
        <v>62</v>
      </c>
      <c r="BS28" s="25">
        <v>0</v>
      </c>
      <c r="BT28" s="25">
        <v>21</v>
      </c>
      <c r="BU28" s="25">
        <v>0</v>
      </c>
      <c r="BV28" s="25">
        <v>21</v>
      </c>
      <c r="BW28" s="25">
        <v>0</v>
      </c>
      <c r="BX28" s="25">
        <v>21</v>
      </c>
      <c r="BY28" s="25">
        <v>0</v>
      </c>
      <c r="BZ28" s="25">
        <v>21</v>
      </c>
      <c r="CA28" s="25">
        <v>0</v>
      </c>
      <c r="CB28" s="25">
        <v>21</v>
      </c>
      <c r="CC28" s="25">
        <v>0</v>
      </c>
      <c r="CD28" s="25">
        <v>21</v>
      </c>
      <c r="CE28" s="25">
        <v>0</v>
      </c>
      <c r="CF28" s="25">
        <v>21</v>
      </c>
      <c r="CG28" s="25">
        <v>556</v>
      </c>
      <c r="CH28" s="25">
        <v>157</v>
      </c>
      <c r="CI28" s="25">
        <v>399</v>
      </c>
      <c r="CJ28" s="25">
        <v>144</v>
      </c>
      <c r="CK28" s="25">
        <v>349</v>
      </c>
      <c r="CL28" s="25">
        <v>136</v>
      </c>
      <c r="CM28" s="25">
        <v>50</v>
      </c>
      <c r="CN28" s="25">
        <v>41</v>
      </c>
      <c r="CO28" s="25">
        <v>26</v>
      </c>
      <c r="CP28" s="25">
        <v>28</v>
      </c>
      <c r="CQ28" s="25">
        <v>30</v>
      </c>
      <c r="CR28" s="25">
        <v>29</v>
      </c>
      <c r="CS28" s="25">
        <v>67</v>
      </c>
      <c r="CT28" s="25">
        <v>39</v>
      </c>
      <c r="CU28" s="25">
        <v>0</v>
      </c>
      <c r="CV28" s="25">
        <v>21</v>
      </c>
      <c r="CW28" s="25">
        <v>32</v>
      </c>
      <c r="CX28" s="25">
        <v>26</v>
      </c>
      <c r="CY28" s="25">
        <v>2</v>
      </c>
      <c r="CZ28" s="25">
        <v>4</v>
      </c>
      <c r="DA28" s="25">
        <v>99</v>
      </c>
      <c r="DB28" s="25">
        <v>48</v>
      </c>
      <c r="DC28" s="25">
        <v>70</v>
      </c>
      <c r="DD28" s="25">
        <v>41</v>
      </c>
      <c r="DE28" s="25">
        <v>62</v>
      </c>
      <c r="DF28" s="25">
        <v>38</v>
      </c>
      <c r="DG28" s="25">
        <v>8</v>
      </c>
      <c r="DH28" s="25">
        <v>13</v>
      </c>
      <c r="DI28" s="25">
        <v>13</v>
      </c>
      <c r="DJ28" s="25">
        <v>17</v>
      </c>
      <c r="DK28" s="25">
        <v>0</v>
      </c>
      <c r="DL28" s="25">
        <v>21</v>
      </c>
      <c r="DM28" s="25">
        <v>6</v>
      </c>
      <c r="DN28" s="25">
        <v>7</v>
      </c>
      <c r="DO28" s="25">
        <v>0</v>
      </c>
      <c r="DP28" s="25">
        <v>21</v>
      </c>
      <c r="DQ28" s="25">
        <v>10</v>
      </c>
      <c r="DR28" s="25">
        <v>16</v>
      </c>
      <c r="DS28" s="25">
        <v>0</v>
      </c>
      <c r="DT28" s="25">
        <v>21</v>
      </c>
      <c r="DU28" s="25">
        <v>924</v>
      </c>
      <c r="DV28" s="25">
        <v>238</v>
      </c>
      <c r="DW28" s="25">
        <v>447</v>
      </c>
      <c r="DX28" s="25">
        <v>146</v>
      </c>
      <c r="DY28" s="25">
        <v>258</v>
      </c>
      <c r="DZ28" s="25">
        <v>100</v>
      </c>
      <c r="EA28" s="25">
        <v>189</v>
      </c>
      <c r="EB28" s="25">
        <v>106</v>
      </c>
      <c r="EC28" s="25">
        <v>72</v>
      </c>
      <c r="ED28" s="25">
        <v>66</v>
      </c>
      <c r="EE28" s="25">
        <v>24</v>
      </c>
      <c r="EF28" s="25">
        <v>25</v>
      </c>
      <c r="EG28" s="25">
        <v>24</v>
      </c>
      <c r="EH28" s="25">
        <v>26</v>
      </c>
      <c r="EI28" s="25">
        <v>3</v>
      </c>
      <c r="EJ28" s="25">
        <v>5</v>
      </c>
      <c r="EK28" s="25">
        <v>354</v>
      </c>
      <c r="EL28" s="25">
        <v>140</v>
      </c>
      <c r="EM28" s="25">
        <v>0</v>
      </c>
      <c r="EN28" s="25">
        <v>21</v>
      </c>
    </row>
    <row r="29" spans="1:144" x14ac:dyDescent="0.25">
      <c r="A29" s="19">
        <f t="shared" si="8"/>
        <v>41</v>
      </c>
      <c r="B29" s="20" t="str">
        <f t="shared" si="9"/>
        <v>Sevier</v>
      </c>
      <c r="C29" s="24" t="s">
        <v>328</v>
      </c>
      <c r="D29" s="24" t="s">
        <v>329</v>
      </c>
      <c r="E29" s="25">
        <v>8934</v>
      </c>
      <c r="F29" s="25">
        <v>324</v>
      </c>
      <c r="G29" s="25">
        <v>5858</v>
      </c>
      <c r="H29" s="25">
        <v>322</v>
      </c>
      <c r="I29" s="25">
        <v>5489</v>
      </c>
      <c r="J29" s="25">
        <v>327</v>
      </c>
      <c r="K29" s="25">
        <v>369</v>
      </c>
      <c r="L29" s="25">
        <v>92</v>
      </c>
      <c r="M29" s="25">
        <v>379</v>
      </c>
      <c r="N29" s="25">
        <v>84</v>
      </c>
      <c r="O29" s="25">
        <v>783</v>
      </c>
      <c r="P29" s="25">
        <v>130</v>
      </c>
      <c r="Q29" s="25">
        <v>1044</v>
      </c>
      <c r="R29" s="25">
        <v>142</v>
      </c>
      <c r="S29" s="25">
        <v>189</v>
      </c>
      <c r="T29" s="25">
        <v>60</v>
      </c>
      <c r="U29" s="25">
        <v>670</v>
      </c>
      <c r="V29" s="25">
        <v>136</v>
      </c>
      <c r="W29" s="25">
        <v>11</v>
      </c>
      <c r="X29" s="25">
        <v>12</v>
      </c>
      <c r="Y29" s="25">
        <v>7124</v>
      </c>
      <c r="Z29" s="25">
        <v>315</v>
      </c>
      <c r="AA29" s="25">
        <v>4887</v>
      </c>
      <c r="AB29" s="25">
        <v>334</v>
      </c>
      <c r="AC29" s="25">
        <v>4643</v>
      </c>
      <c r="AD29" s="25">
        <v>333</v>
      </c>
      <c r="AE29" s="25">
        <v>244</v>
      </c>
      <c r="AF29" s="25">
        <v>69</v>
      </c>
      <c r="AG29" s="25">
        <v>288</v>
      </c>
      <c r="AH29" s="25">
        <v>82</v>
      </c>
      <c r="AI29" s="25">
        <v>637</v>
      </c>
      <c r="AJ29" s="25">
        <v>105</v>
      </c>
      <c r="AK29" s="25">
        <v>885</v>
      </c>
      <c r="AL29" s="25">
        <v>133</v>
      </c>
      <c r="AM29" s="25">
        <v>156</v>
      </c>
      <c r="AN29" s="25">
        <v>57</v>
      </c>
      <c r="AO29" s="25">
        <v>265</v>
      </c>
      <c r="AP29" s="25">
        <v>72</v>
      </c>
      <c r="AQ29" s="25">
        <v>6</v>
      </c>
      <c r="AR29" s="25">
        <v>9</v>
      </c>
      <c r="AS29" s="25">
        <v>873</v>
      </c>
      <c r="AT29" s="25">
        <v>155</v>
      </c>
      <c r="AU29" s="25">
        <v>490</v>
      </c>
      <c r="AV29" s="25">
        <v>120</v>
      </c>
      <c r="AW29" s="25">
        <v>465</v>
      </c>
      <c r="AX29" s="25">
        <v>115</v>
      </c>
      <c r="AY29" s="25">
        <v>25</v>
      </c>
      <c r="AZ29" s="25">
        <v>26</v>
      </c>
      <c r="BA29" s="25">
        <v>69</v>
      </c>
      <c r="BB29" s="25">
        <v>50</v>
      </c>
      <c r="BC29" s="25">
        <v>88</v>
      </c>
      <c r="BD29" s="25">
        <v>48</v>
      </c>
      <c r="BE29" s="25">
        <v>118</v>
      </c>
      <c r="BF29" s="25">
        <v>45</v>
      </c>
      <c r="BG29" s="25">
        <v>26</v>
      </c>
      <c r="BH29" s="25">
        <v>20</v>
      </c>
      <c r="BI29" s="25">
        <v>82</v>
      </c>
      <c r="BJ29" s="25">
        <v>46</v>
      </c>
      <c r="BK29" s="25">
        <v>0</v>
      </c>
      <c r="BL29" s="25">
        <v>21</v>
      </c>
      <c r="BM29" s="25">
        <v>39</v>
      </c>
      <c r="BN29" s="25">
        <v>39</v>
      </c>
      <c r="BO29" s="25">
        <v>13</v>
      </c>
      <c r="BP29" s="25">
        <v>12</v>
      </c>
      <c r="BQ29" s="25">
        <v>13</v>
      </c>
      <c r="BR29" s="25">
        <v>12</v>
      </c>
      <c r="BS29" s="25">
        <v>0</v>
      </c>
      <c r="BT29" s="25">
        <v>21</v>
      </c>
      <c r="BU29" s="25">
        <v>0</v>
      </c>
      <c r="BV29" s="25">
        <v>21</v>
      </c>
      <c r="BW29" s="25">
        <v>26</v>
      </c>
      <c r="BX29" s="25">
        <v>37</v>
      </c>
      <c r="BY29" s="25">
        <v>0</v>
      </c>
      <c r="BZ29" s="25">
        <v>21</v>
      </c>
      <c r="CA29" s="25">
        <v>0</v>
      </c>
      <c r="CB29" s="25">
        <v>21</v>
      </c>
      <c r="CC29" s="25">
        <v>0</v>
      </c>
      <c r="CD29" s="25">
        <v>21</v>
      </c>
      <c r="CE29" s="25">
        <v>0</v>
      </c>
      <c r="CF29" s="25">
        <v>21</v>
      </c>
      <c r="CG29" s="25">
        <v>217</v>
      </c>
      <c r="CH29" s="25">
        <v>71</v>
      </c>
      <c r="CI29" s="25">
        <v>154</v>
      </c>
      <c r="CJ29" s="25">
        <v>67</v>
      </c>
      <c r="CK29" s="25">
        <v>116</v>
      </c>
      <c r="CL29" s="25">
        <v>67</v>
      </c>
      <c r="CM29" s="25">
        <v>38</v>
      </c>
      <c r="CN29" s="25">
        <v>34</v>
      </c>
      <c r="CO29" s="25">
        <v>1</v>
      </c>
      <c r="CP29" s="25">
        <v>2</v>
      </c>
      <c r="CQ29" s="25">
        <v>6</v>
      </c>
      <c r="CR29" s="25">
        <v>9</v>
      </c>
      <c r="CS29" s="25">
        <v>24</v>
      </c>
      <c r="CT29" s="25">
        <v>22</v>
      </c>
      <c r="CU29" s="25">
        <v>0</v>
      </c>
      <c r="CV29" s="25">
        <v>21</v>
      </c>
      <c r="CW29" s="25">
        <v>32</v>
      </c>
      <c r="CX29" s="25">
        <v>23</v>
      </c>
      <c r="CY29" s="25">
        <v>0</v>
      </c>
      <c r="CZ29" s="25">
        <v>21</v>
      </c>
      <c r="DA29" s="25">
        <v>101</v>
      </c>
      <c r="DB29" s="25">
        <v>56</v>
      </c>
      <c r="DC29" s="25">
        <v>68</v>
      </c>
      <c r="DD29" s="25">
        <v>48</v>
      </c>
      <c r="DE29" s="25">
        <v>66</v>
      </c>
      <c r="DF29" s="25">
        <v>47</v>
      </c>
      <c r="DG29" s="25">
        <v>2</v>
      </c>
      <c r="DH29" s="25">
        <v>3</v>
      </c>
      <c r="DI29" s="25">
        <v>9</v>
      </c>
      <c r="DJ29" s="25">
        <v>14</v>
      </c>
      <c r="DK29" s="25">
        <v>10</v>
      </c>
      <c r="DL29" s="25">
        <v>14</v>
      </c>
      <c r="DM29" s="25">
        <v>0</v>
      </c>
      <c r="DN29" s="25">
        <v>21</v>
      </c>
      <c r="DO29" s="25">
        <v>0</v>
      </c>
      <c r="DP29" s="25">
        <v>21</v>
      </c>
      <c r="DQ29" s="25">
        <v>14</v>
      </c>
      <c r="DR29" s="25">
        <v>13</v>
      </c>
      <c r="DS29" s="25">
        <v>0</v>
      </c>
      <c r="DT29" s="25">
        <v>21</v>
      </c>
      <c r="DU29" s="25">
        <v>580</v>
      </c>
      <c r="DV29" s="25">
        <v>136</v>
      </c>
      <c r="DW29" s="25">
        <v>246</v>
      </c>
      <c r="DX29" s="25">
        <v>87</v>
      </c>
      <c r="DY29" s="25">
        <v>186</v>
      </c>
      <c r="DZ29" s="25">
        <v>75</v>
      </c>
      <c r="EA29" s="25">
        <v>60</v>
      </c>
      <c r="EB29" s="25">
        <v>43</v>
      </c>
      <c r="EC29" s="25">
        <v>12</v>
      </c>
      <c r="ED29" s="25">
        <v>15</v>
      </c>
      <c r="EE29" s="25">
        <v>16</v>
      </c>
      <c r="EF29" s="25">
        <v>17</v>
      </c>
      <c r="EG29" s="25">
        <v>17</v>
      </c>
      <c r="EH29" s="25">
        <v>14</v>
      </c>
      <c r="EI29" s="25">
        <v>7</v>
      </c>
      <c r="EJ29" s="25">
        <v>8</v>
      </c>
      <c r="EK29" s="25">
        <v>277</v>
      </c>
      <c r="EL29" s="25">
        <v>99</v>
      </c>
      <c r="EM29" s="25">
        <v>5</v>
      </c>
      <c r="EN29" s="25">
        <v>8</v>
      </c>
    </row>
    <row r="30" spans="1:144" x14ac:dyDescent="0.25">
      <c r="A30" s="19">
        <f t="shared" si="8"/>
        <v>43</v>
      </c>
      <c r="B30" s="20" t="str">
        <f t="shared" si="9"/>
        <v>Summit</v>
      </c>
      <c r="C30" s="24" t="s">
        <v>330</v>
      </c>
      <c r="D30" s="24" t="s">
        <v>331</v>
      </c>
      <c r="E30" s="25">
        <v>22408</v>
      </c>
      <c r="F30" s="25">
        <v>416</v>
      </c>
      <c r="G30" s="25">
        <v>16224</v>
      </c>
      <c r="H30" s="25">
        <v>572</v>
      </c>
      <c r="I30" s="25">
        <v>14161</v>
      </c>
      <c r="J30" s="25">
        <v>540</v>
      </c>
      <c r="K30" s="25">
        <v>2063</v>
      </c>
      <c r="L30" s="25">
        <v>296</v>
      </c>
      <c r="M30" s="25">
        <v>1708</v>
      </c>
      <c r="N30" s="25">
        <v>274</v>
      </c>
      <c r="O30" s="25">
        <v>1452</v>
      </c>
      <c r="P30" s="25">
        <v>239</v>
      </c>
      <c r="Q30" s="25">
        <v>1049</v>
      </c>
      <c r="R30" s="25">
        <v>177</v>
      </c>
      <c r="S30" s="25">
        <v>287</v>
      </c>
      <c r="T30" s="25">
        <v>121</v>
      </c>
      <c r="U30" s="25">
        <v>1655</v>
      </c>
      <c r="V30" s="25">
        <v>252</v>
      </c>
      <c r="W30" s="25">
        <v>33</v>
      </c>
      <c r="X30" s="25">
        <v>23</v>
      </c>
      <c r="Y30" s="25">
        <v>15871</v>
      </c>
      <c r="Z30" s="25">
        <v>608</v>
      </c>
      <c r="AA30" s="25">
        <v>11367</v>
      </c>
      <c r="AB30" s="25">
        <v>686</v>
      </c>
      <c r="AC30" s="25">
        <v>10157</v>
      </c>
      <c r="AD30" s="25">
        <v>646</v>
      </c>
      <c r="AE30" s="25">
        <v>1210</v>
      </c>
      <c r="AF30" s="25">
        <v>211</v>
      </c>
      <c r="AG30" s="25">
        <v>1380</v>
      </c>
      <c r="AH30" s="25">
        <v>253</v>
      </c>
      <c r="AI30" s="25">
        <v>1236</v>
      </c>
      <c r="AJ30" s="25">
        <v>220</v>
      </c>
      <c r="AK30" s="25">
        <v>839</v>
      </c>
      <c r="AL30" s="25">
        <v>157</v>
      </c>
      <c r="AM30" s="25">
        <v>220</v>
      </c>
      <c r="AN30" s="25">
        <v>109</v>
      </c>
      <c r="AO30" s="25">
        <v>803</v>
      </c>
      <c r="AP30" s="25">
        <v>169</v>
      </c>
      <c r="AQ30" s="25">
        <v>26</v>
      </c>
      <c r="AR30" s="25">
        <v>22</v>
      </c>
      <c r="AS30" s="25">
        <v>1759</v>
      </c>
      <c r="AT30" s="25">
        <v>384</v>
      </c>
      <c r="AU30" s="25">
        <v>1358</v>
      </c>
      <c r="AV30" s="25">
        <v>338</v>
      </c>
      <c r="AW30" s="25">
        <v>1264</v>
      </c>
      <c r="AX30" s="25">
        <v>338</v>
      </c>
      <c r="AY30" s="25">
        <v>94</v>
      </c>
      <c r="AZ30" s="25">
        <v>48</v>
      </c>
      <c r="BA30" s="25">
        <v>91</v>
      </c>
      <c r="BB30" s="25">
        <v>55</v>
      </c>
      <c r="BC30" s="25">
        <v>126</v>
      </c>
      <c r="BD30" s="25">
        <v>90</v>
      </c>
      <c r="BE30" s="25">
        <v>108</v>
      </c>
      <c r="BF30" s="25">
        <v>58</v>
      </c>
      <c r="BG30" s="25">
        <v>17</v>
      </c>
      <c r="BH30" s="25">
        <v>24</v>
      </c>
      <c r="BI30" s="25">
        <v>59</v>
      </c>
      <c r="BJ30" s="25">
        <v>58</v>
      </c>
      <c r="BK30" s="25">
        <v>0</v>
      </c>
      <c r="BL30" s="25">
        <v>24</v>
      </c>
      <c r="BM30" s="25">
        <v>468</v>
      </c>
      <c r="BN30" s="25">
        <v>239</v>
      </c>
      <c r="BO30" s="25">
        <v>457</v>
      </c>
      <c r="BP30" s="25">
        <v>237</v>
      </c>
      <c r="BQ30" s="25">
        <v>448</v>
      </c>
      <c r="BR30" s="25">
        <v>236</v>
      </c>
      <c r="BS30" s="25">
        <v>9</v>
      </c>
      <c r="BT30" s="25">
        <v>14</v>
      </c>
      <c r="BU30" s="25">
        <v>7</v>
      </c>
      <c r="BV30" s="25">
        <v>12</v>
      </c>
      <c r="BW30" s="25">
        <v>0</v>
      </c>
      <c r="BX30" s="25">
        <v>24</v>
      </c>
      <c r="BY30" s="25">
        <v>4</v>
      </c>
      <c r="BZ30" s="25">
        <v>6</v>
      </c>
      <c r="CA30" s="25">
        <v>0</v>
      </c>
      <c r="CB30" s="25">
        <v>24</v>
      </c>
      <c r="CC30" s="25">
        <v>0</v>
      </c>
      <c r="CD30" s="25">
        <v>24</v>
      </c>
      <c r="CE30" s="25">
        <v>0</v>
      </c>
      <c r="CF30" s="25">
        <v>24</v>
      </c>
      <c r="CG30" s="25">
        <v>600</v>
      </c>
      <c r="CH30" s="25">
        <v>186</v>
      </c>
      <c r="CI30" s="25">
        <v>451</v>
      </c>
      <c r="CJ30" s="25">
        <v>171</v>
      </c>
      <c r="CK30" s="25">
        <v>415</v>
      </c>
      <c r="CL30" s="25">
        <v>166</v>
      </c>
      <c r="CM30" s="25">
        <v>36</v>
      </c>
      <c r="CN30" s="25">
        <v>32</v>
      </c>
      <c r="CO30" s="25">
        <v>40</v>
      </c>
      <c r="CP30" s="25">
        <v>27</v>
      </c>
      <c r="CQ30" s="25">
        <v>12</v>
      </c>
      <c r="CR30" s="25">
        <v>18</v>
      </c>
      <c r="CS30" s="25">
        <v>0</v>
      </c>
      <c r="CT30" s="25">
        <v>24</v>
      </c>
      <c r="CU30" s="25">
        <v>19</v>
      </c>
      <c r="CV30" s="25">
        <v>31</v>
      </c>
      <c r="CW30" s="25">
        <v>78</v>
      </c>
      <c r="CX30" s="25">
        <v>51</v>
      </c>
      <c r="CY30" s="25">
        <v>0</v>
      </c>
      <c r="CZ30" s="25">
        <v>24</v>
      </c>
      <c r="DA30" s="25">
        <v>643</v>
      </c>
      <c r="DB30" s="25">
        <v>164</v>
      </c>
      <c r="DC30" s="25">
        <v>411</v>
      </c>
      <c r="DD30" s="25">
        <v>110</v>
      </c>
      <c r="DE30" s="25">
        <v>369</v>
      </c>
      <c r="DF30" s="25">
        <v>103</v>
      </c>
      <c r="DG30" s="25">
        <v>42</v>
      </c>
      <c r="DH30" s="25">
        <v>38</v>
      </c>
      <c r="DI30" s="25">
        <v>68</v>
      </c>
      <c r="DJ30" s="25">
        <v>75</v>
      </c>
      <c r="DK30" s="25">
        <v>51</v>
      </c>
      <c r="DL30" s="25">
        <v>40</v>
      </c>
      <c r="DM30" s="25">
        <v>23</v>
      </c>
      <c r="DN30" s="25">
        <v>21</v>
      </c>
      <c r="DO30" s="25">
        <v>0</v>
      </c>
      <c r="DP30" s="25">
        <v>24</v>
      </c>
      <c r="DQ30" s="25">
        <v>90</v>
      </c>
      <c r="DR30" s="25">
        <v>84</v>
      </c>
      <c r="DS30" s="25">
        <v>0</v>
      </c>
      <c r="DT30" s="25">
        <v>24</v>
      </c>
      <c r="DU30" s="25">
        <v>3067</v>
      </c>
      <c r="DV30" s="25">
        <v>331</v>
      </c>
      <c r="DW30" s="25">
        <v>2180</v>
      </c>
      <c r="DX30" s="25">
        <v>274</v>
      </c>
      <c r="DY30" s="25">
        <v>1508</v>
      </c>
      <c r="DZ30" s="25">
        <v>250</v>
      </c>
      <c r="EA30" s="25">
        <v>672</v>
      </c>
      <c r="EB30" s="25">
        <v>142</v>
      </c>
      <c r="EC30" s="25">
        <v>122</v>
      </c>
      <c r="ED30" s="25">
        <v>74</v>
      </c>
      <c r="EE30" s="25">
        <v>27</v>
      </c>
      <c r="EF30" s="25">
        <v>27</v>
      </c>
      <c r="EG30" s="25">
        <v>75</v>
      </c>
      <c r="EH30" s="25">
        <v>55</v>
      </c>
      <c r="EI30" s="25">
        <v>31</v>
      </c>
      <c r="EJ30" s="25">
        <v>28</v>
      </c>
      <c r="EK30" s="25">
        <v>625</v>
      </c>
      <c r="EL30" s="25">
        <v>164</v>
      </c>
      <c r="EM30" s="25">
        <v>7</v>
      </c>
      <c r="EN30" s="25">
        <v>8</v>
      </c>
    </row>
    <row r="31" spans="1:144" x14ac:dyDescent="0.25">
      <c r="A31" s="19">
        <f t="shared" si="8"/>
        <v>45</v>
      </c>
      <c r="B31" s="20" t="str">
        <f t="shared" si="9"/>
        <v>Tooele</v>
      </c>
      <c r="C31" s="24" t="s">
        <v>332</v>
      </c>
      <c r="D31" s="24" t="s">
        <v>333</v>
      </c>
      <c r="E31" s="25">
        <v>30446</v>
      </c>
      <c r="F31" s="25">
        <v>795</v>
      </c>
      <c r="G31" s="25">
        <v>22218</v>
      </c>
      <c r="H31" s="25">
        <v>819</v>
      </c>
      <c r="I31" s="25">
        <v>21623</v>
      </c>
      <c r="J31" s="25">
        <v>806</v>
      </c>
      <c r="K31" s="25">
        <v>595</v>
      </c>
      <c r="L31" s="25">
        <v>239</v>
      </c>
      <c r="M31" s="25">
        <v>1029</v>
      </c>
      <c r="N31" s="25">
        <v>245</v>
      </c>
      <c r="O31" s="25">
        <v>2782</v>
      </c>
      <c r="P31" s="25">
        <v>443</v>
      </c>
      <c r="Q31" s="25">
        <v>1212</v>
      </c>
      <c r="R31" s="25">
        <v>275</v>
      </c>
      <c r="S31" s="25">
        <v>1869</v>
      </c>
      <c r="T31" s="25">
        <v>350</v>
      </c>
      <c r="U31" s="25">
        <v>1316</v>
      </c>
      <c r="V31" s="25">
        <v>279</v>
      </c>
      <c r="W31" s="25">
        <v>20</v>
      </c>
      <c r="X31" s="25">
        <v>24</v>
      </c>
      <c r="Y31" s="25">
        <v>22868</v>
      </c>
      <c r="Z31" s="25">
        <v>940</v>
      </c>
      <c r="AA31" s="25">
        <v>17163</v>
      </c>
      <c r="AB31" s="25">
        <v>919</v>
      </c>
      <c r="AC31" s="25">
        <v>16658</v>
      </c>
      <c r="AD31" s="25">
        <v>885</v>
      </c>
      <c r="AE31" s="25">
        <v>505</v>
      </c>
      <c r="AF31" s="25">
        <v>231</v>
      </c>
      <c r="AG31" s="25">
        <v>796</v>
      </c>
      <c r="AH31" s="25">
        <v>217</v>
      </c>
      <c r="AI31" s="25">
        <v>2311</v>
      </c>
      <c r="AJ31" s="25">
        <v>437</v>
      </c>
      <c r="AK31" s="25">
        <v>886</v>
      </c>
      <c r="AL31" s="25">
        <v>252</v>
      </c>
      <c r="AM31" s="25">
        <v>1158</v>
      </c>
      <c r="AN31" s="25">
        <v>291</v>
      </c>
      <c r="AO31" s="25">
        <v>554</v>
      </c>
      <c r="AP31" s="25">
        <v>184</v>
      </c>
      <c r="AQ31" s="25">
        <v>0</v>
      </c>
      <c r="AR31" s="25">
        <v>27</v>
      </c>
      <c r="AS31" s="25">
        <v>4763</v>
      </c>
      <c r="AT31" s="25">
        <v>646</v>
      </c>
      <c r="AU31" s="25">
        <v>3400</v>
      </c>
      <c r="AV31" s="25">
        <v>548</v>
      </c>
      <c r="AW31" s="25">
        <v>3396</v>
      </c>
      <c r="AX31" s="25">
        <v>548</v>
      </c>
      <c r="AY31" s="25">
        <v>4</v>
      </c>
      <c r="AZ31" s="25">
        <v>7</v>
      </c>
      <c r="BA31" s="25">
        <v>156</v>
      </c>
      <c r="BB31" s="25">
        <v>92</v>
      </c>
      <c r="BC31" s="25">
        <v>250</v>
      </c>
      <c r="BD31" s="25">
        <v>128</v>
      </c>
      <c r="BE31" s="25">
        <v>260</v>
      </c>
      <c r="BF31" s="25">
        <v>170</v>
      </c>
      <c r="BG31" s="25">
        <v>603</v>
      </c>
      <c r="BH31" s="25">
        <v>206</v>
      </c>
      <c r="BI31" s="25">
        <v>94</v>
      </c>
      <c r="BJ31" s="25">
        <v>104</v>
      </c>
      <c r="BK31" s="25">
        <v>0</v>
      </c>
      <c r="BL31" s="25">
        <v>27</v>
      </c>
      <c r="BM31" s="25">
        <v>403</v>
      </c>
      <c r="BN31" s="25">
        <v>128</v>
      </c>
      <c r="BO31" s="25">
        <v>278</v>
      </c>
      <c r="BP31" s="25">
        <v>109</v>
      </c>
      <c r="BQ31" s="25">
        <v>273</v>
      </c>
      <c r="BR31" s="25">
        <v>108</v>
      </c>
      <c r="BS31" s="25">
        <v>5</v>
      </c>
      <c r="BT31" s="25">
        <v>9</v>
      </c>
      <c r="BU31" s="25">
        <v>37</v>
      </c>
      <c r="BV31" s="25">
        <v>29</v>
      </c>
      <c r="BW31" s="25">
        <v>75</v>
      </c>
      <c r="BX31" s="25">
        <v>50</v>
      </c>
      <c r="BY31" s="25">
        <v>13</v>
      </c>
      <c r="BZ31" s="25">
        <v>22</v>
      </c>
      <c r="CA31" s="25">
        <v>0</v>
      </c>
      <c r="CB31" s="25">
        <v>27</v>
      </c>
      <c r="CC31" s="25">
        <v>0</v>
      </c>
      <c r="CD31" s="25">
        <v>27</v>
      </c>
      <c r="CE31" s="25">
        <v>0</v>
      </c>
      <c r="CF31" s="25">
        <v>27</v>
      </c>
      <c r="CG31" s="25">
        <v>511</v>
      </c>
      <c r="CH31" s="25">
        <v>154</v>
      </c>
      <c r="CI31" s="25">
        <v>333</v>
      </c>
      <c r="CJ31" s="25">
        <v>117</v>
      </c>
      <c r="CK31" s="25">
        <v>333</v>
      </c>
      <c r="CL31" s="25">
        <v>117</v>
      </c>
      <c r="CM31" s="25">
        <v>0</v>
      </c>
      <c r="CN31" s="25">
        <v>27</v>
      </c>
      <c r="CO31" s="25">
        <v>0</v>
      </c>
      <c r="CP31" s="25">
        <v>27</v>
      </c>
      <c r="CQ31" s="25">
        <v>111</v>
      </c>
      <c r="CR31" s="25">
        <v>80</v>
      </c>
      <c r="CS31" s="25">
        <v>7</v>
      </c>
      <c r="CT31" s="25">
        <v>11</v>
      </c>
      <c r="CU31" s="25">
        <v>50</v>
      </c>
      <c r="CV31" s="25">
        <v>39</v>
      </c>
      <c r="CW31" s="25">
        <v>10</v>
      </c>
      <c r="CX31" s="25">
        <v>18</v>
      </c>
      <c r="CY31" s="25">
        <v>0</v>
      </c>
      <c r="CZ31" s="25">
        <v>27</v>
      </c>
      <c r="DA31" s="25">
        <v>297</v>
      </c>
      <c r="DB31" s="25">
        <v>131</v>
      </c>
      <c r="DC31" s="25">
        <v>198</v>
      </c>
      <c r="DD31" s="25">
        <v>107</v>
      </c>
      <c r="DE31" s="25">
        <v>193</v>
      </c>
      <c r="DF31" s="25">
        <v>107</v>
      </c>
      <c r="DG31" s="25">
        <v>5</v>
      </c>
      <c r="DH31" s="25">
        <v>6</v>
      </c>
      <c r="DI31" s="25">
        <v>0</v>
      </c>
      <c r="DJ31" s="25">
        <v>27</v>
      </c>
      <c r="DK31" s="25">
        <v>4</v>
      </c>
      <c r="DL31" s="25">
        <v>7</v>
      </c>
      <c r="DM31" s="25">
        <v>14</v>
      </c>
      <c r="DN31" s="25">
        <v>21</v>
      </c>
      <c r="DO31" s="25">
        <v>16</v>
      </c>
      <c r="DP31" s="25">
        <v>25</v>
      </c>
      <c r="DQ31" s="25">
        <v>65</v>
      </c>
      <c r="DR31" s="25">
        <v>56</v>
      </c>
      <c r="DS31" s="25">
        <v>0</v>
      </c>
      <c r="DT31" s="25">
        <v>27</v>
      </c>
      <c r="DU31" s="25">
        <v>1604</v>
      </c>
      <c r="DV31" s="25">
        <v>304</v>
      </c>
      <c r="DW31" s="25">
        <v>846</v>
      </c>
      <c r="DX31" s="25">
        <v>244</v>
      </c>
      <c r="DY31" s="25">
        <v>770</v>
      </c>
      <c r="DZ31" s="25">
        <v>241</v>
      </c>
      <c r="EA31" s="25">
        <v>76</v>
      </c>
      <c r="EB31" s="25">
        <v>54</v>
      </c>
      <c r="EC31" s="25">
        <v>40</v>
      </c>
      <c r="ED31" s="25">
        <v>41</v>
      </c>
      <c r="EE31" s="25">
        <v>31</v>
      </c>
      <c r="EF31" s="25">
        <v>36</v>
      </c>
      <c r="EG31" s="25">
        <v>32</v>
      </c>
      <c r="EH31" s="25">
        <v>45</v>
      </c>
      <c r="EI31" s="25">
        <v>42</v>
      </c>
      <c r="EJ31" s="25">
        <v>37</v>
      </c>
      <c r="EK31" s="25">
        <v>593</v>
      </c>
      <c r="EL31" s="25">
        <v>165</v>
      </c>
      <c r="EM31" s="25">
        <v>20</v>
      </c>
      <c r="EN31" s="25">
        <v>24</v>
      </c>
    </row>
    <row r="32" spans="1:144" x14ac:dyDescent="0.25">
      <c r="A32" s="19">
        <f t="shared" si="8"/>
        <v>47</v>
      </c>
      <c r="B32" s="20" t="str">
        <f t="shared" si="9"/>
        <v>Uintah</v>
      </c>
      <c r="C32" s="24" t="s">
        <v>334</v>
      </c>
      <c r="D32" s="24" t="s">
        <v>335</v>
      </c>
      <c r="E32" s="25">
        <v>14657</v>
      </c>
      <c r="F32" s="25">
        <v>567</v>
      </c>
      <c r="G32" s="25">
        <v>10599</v>
      </c>
      <c r="H32" s="25">
        <v>551</v>
      </c>
      <c r="I32" s="25">
        <v>9570</v>
      </c>
      <c r="J32" s="25">
        <v>538</v>
      </c>
      <c r="K32" s="25">
        <v>1029</v>
      </c>
      <c r="L32" s="25">
        <v>252</v>
      </c>
      <c r="M32" s="25">
        <v>581</v>
      </c>
      <c r="N32" s="25">
        <v>175</v>
      </c>
      <c r="O32" s="25">
        <v>1375</v>
      </c>
      <c r="P32" s="25">
        <v>253</v>
      </c>
      <c r="Q32" s="25">
        <v>808</v>
      </c>
      <c r="R32" s="25">
        <v>176</v>
      </c>
      <c r="S32" s="25">
        <v>732</v>
      </c>
      <c r="T32" s="25">
        <v>179</v>
      </c>
      <c r="U32" s="25">
        <v>528</v>
      </c>
      <c r="V32" s="25">
        <v>135</v>
      </c>
      <c r="W32" s="25">
        <v>34</v>
      </c>
      <c r="X32" s="25">
        <v>35</v>
      </c>
      <c r="Y32" s="25">
        <v>11309</v>
      </c>
      <c r="Z32" s="25">
        <v>528</v>
      </c>
      <c r="AA32" s="25">
        <v>8202</v>
      </c>
      <c r="AB32" s="25">
        <v>448</v>
      </c>
      <c r="AC32" s="25">
        <v>7470</v>
      </c>
      <c r="AD32" s="25">
        <v>430</v>
      </c>
      <c r="AE32" s="25">
        <v>732</v>
      </c>
      <c r="AF32" s="25">
        <v>192</v>
      </c>
      <c r="AG32" s="25">
        <v>442</v>
      </c>
      <c r="AH32" s="25">
        <v>130</v>
      </c>
      <c r="AI32" s="25">
        <v>1107</v>
      </c>
      <c r="AJ32" s="25">
        <v>219</v>
      </c>
      <c r="AK32" s="25">
        <v>691</v>
      </c>
      <c r="AL32" s="25">
        <v>159</v>
      </c>
      <c r="AM32" s="25">
        <v>597</v>
      </c>
      <c r="AN32" s="25">
        <v>142</v>
      </c>
      <c r="AO32" s="25">
        <v>248</v>
      </c>
      <c r="AP32" s="25">
        <v>87</v>
      </c>
      <c r="AQ32" s="25">
        <v>22</v>
      </c>
      <c r="AR32" s="25">
        <v>33</v>
      </c>
      <c r="AS32" s="25">
        <v>2274</v>
      </c>
      <c r="AT32" s="25">
        <v>424</v>
      </c>
      <c r="AU32" s="25">
        <v>1678</v>
      </c>
      <c r="AV32" s="25">
        <v>341</v>
      </c>
      <c r="AW32" s="25">
        <v>1623</v>
      </c>
      <c r="AX32" s="25">
        <v>344</v>
      </c>
      <c r="AY32" s="25">
        <v>55</v>
      </c>
      <c r="AZ32" s="25">
        <v>40</v>
      </c>
      <c r="BA32" s="25">
        <v>125</v>
      </c>
      <c r="BB32" s="25">
        <v>104</v>
      </c>
      <c r="BC32" s="25">
        <v>224</v>
      </c>
      <c r="BD32" s="25">
        <v>112</v>
      </c>
      <c r="BE32" s="25">
        <v>86</v>
      </c>
      <c r="BF32" s="25">
        <v>69</v>
      </c>
      <c r="BG32" s="25">
        <v>79</v>
      </c>
      <c r="BH32" s="25">
        <v>76</v>
      </c>
      <c r="BI32" s="25">
        <v>82</v>
      </c>
      <c r="BJ32" s="25">
        <v>58</v>
      </c>
      <c r="BK32" s="25">
        <v>0</v>
      </c>
      <c r="BL32" s="25">
        <v>24</v>
      </c>
      <c r="BM32" s="25">
        <v>54</v>
      </c>
      <c r="BN32" s="25">
        <v>51</v>
      </c>
      <c r="BO32" s="25">
        <v>42</v>
      </c>
      <c r="BP32" s="25">
        <v>49</v>
      </c>
      <c r="BQ32" s="25">
        <v>42</v>
      </c>
      <c r="BR32" s="25">
        <v>49</v>
      </c>
      <c r="BS32" s="25">
        <v>0</v>
      </c>
      <c r="BT32" s="25">
        <v>24</v>
      </c>
      <c r="BU32" s="25">
        <v>0</v>
      </c>
      <c r="BV32" s="25">
        <v>24</v>
      </c>
      <c r="BW32" s="25">
        <v>0</v>
      </c>
      <c r="BX32" s="25">
        <v>24</v>
      </c>
      <c r="BY32" s="25">
        <v>12</v>
      </c>
      <c r="BZ32" s="25">
        <v>18</v>
      </c>
      <c r="CA32" s="25">
        <v>0</v>
      </c>
      <c r="CB32" s="25">
        <v>24</v>
      </c>
      <c r="CC32" s="25">
        <v>0</v>
      </c>
      <c r="CD32" s="25">
        <v>24</v>
      </c>
      <c r="CE32" s="25">
        <v>0</v>
      </c>
      <c r="CF32" s="25">
        <v>24</v>
      </c>
      <c r="CG32" s="25">
        <v>305</v>
      </c>
      <c r="CH32" s="25">
        <v>129</v>
      </c>
      <c r="CI32" s="25">
        <v>200</v>
      </c>
      <c r="CJ32" s="25">
        <v>104</v>
      </c>
      <c r="CK32" s="25">
        <v>188</v>
      </c>
      <c r="CL32" s="25">
        <v>104</v>
      </c>
      <c r="CM32" s="25">
        <v>12</v>
      </c>
      <c r="CN32" s="25">
        <v>12</v>
      </c>
      <c r="CO32" s="25">
        <v>14</v>
      </c>
      <c r="CP32" s="25">
        <v>16</v>
      </c>
      <c r="CQ32" s="25">
        <v>14</v>
      </c>
      <c r="CR32" s="25">
        <v>23</v>
      </c>
      <c r="CS32" s="25">
        <v>5</v>
      </c>
      <c r="CT32" s="25">
        <v>6</v>
      </c>
      <c r="CU32" s="25">
        <v>36</v>
      </c>
      <c r="CV32" s="25">
        <v>37</v>
      </c>
      <c r="CW32" s="25">
        <v>36</v>
      </c>
      <c r="CX32" s="25">
        <v>39</v>
      </c>
      <c r="CY32" s="25">
        <v>0</v>
      </c>
      <c r="CZ32" s="25">
        <v>24</v>
      </c>
      <c r="DA32" s="25">
        <v>154</v>
      </c>
      <c r="DB32" s="25">
        <v>77</v>
      </c>
      <c r="DC32" s="25">
        <v>107</v>
      </c>
      <c r="DD32" s="25">
        <v>62</v>
      </c>
      <c r="DE32" s="25">
        <v>107</v>
      </c>
      <c r="DF32" s="25">
        <v>62</v>
      </c>
      <c r="DG32" s="25">
        <v>0</v>
      </c>
      <c r="DH32" s="25">
        <v>24</v>
      </c>
      <c r="DI32" s="25">
        <v>0</v>
      </c>
      <c r="DJ32" s="25">
        <v>24</v>
      </c>
      <c r="DK32" s="25">
        <v>27</v>
      </c>
      <c r="DL32" s="25">
        <v>32</v>
      </c>
      <c r="DM32" s="25">
        <v>0</v>
      </c>
      <c r="DN32" s="25">
        <v>24</v>
      </c>
      <c r="DO32" s="25">
        <v>20</v>
      </c>
      <c r="DP32" s="25">
        <v>22</v>
      </c>
      <c r="DQ32" s="25">
        <v>0</v>
      </c>
      <c r="DR32" s="25">
        <v>24</v>
      </c>
      <c r="DS32" s="25">
        <v>0</v>
      </c>
      <c r="DT32" s="25">
        <v>24</v>
      </c>
      <c r="DU32" s="25">
        <v>561</v>
      </c>
      <c r="DV32" s="25">
        <v>160</v>
      </c>
      <c r="DW32" s="25">
        <v>370</v>
      </c>
      <c r="DX32" s="25">
        <v>144</v>
      </c>
      <c r="DY32" s="25">
        <v>140</v>
      </c>
      <c r="DZ32" s="25">
        <v>74</v>
      </c>
      <c r="EA32" s="25">
        <v>230</v>
      </c>
      <c r="EB32" s="25">
        <v>127</v>
      </c>
      <c r="EC32" s="25">
        <v>0</v>
      </c>
      <c r="ED32" s="25">
        <v>24</v>
      </c>
      <c r="EE32" s="25">
        <v>3</v>
      </c>
      <c r="EF32" s="25">
        <v>5</v>
      </c>
      <c r="EG32" s="25">
        <v>14</v>
      </c>
      <c r="EH32" s="25">
        <v>22</v>
      </c>
      <c r="EI32" s="25">
        <v>0</v>
      </c>
      <c r="EJ32" s="25">
        <v>24</v>
      </c>
      <c r="EK32" s="25">
        <v>162</v>
      </c>
      <c r="EL32" s="25">
        <v>78</v>
      </c>
      <c r="EM32" s="25">
        <v>12</v>
      </c>
      <c r="EN32" s="25">
        <v>13</v>
      </c>
    </row>
    <row r="33" spans="1:144" x14ac:dyDescent="0.25">
      <c r="A33" s="19">
        <f t="shared" si="8"/>
        <v>49</v>
      </c>
      <c r="B33" s="20" t="str">
        <f t="shared" si="9"/>
        <v>Utah</v>
      </c>
      <c r="C33" s="24" t="s">
        <v>336</v>
      </c>
      <c r="D33" s="24" t="s">
        <v>337</v>
      </c>
      <c r="E33" s="25">
        <v>276471</v>
      </c>
      <c r="F33" s="25">
        <v>1657</v>
      </c>
      <c r="G33" s="25">
        <v>207832</v>
      </c>
      <c r="H33" s="25">
        <v>1928</v>
      </c>
      <c r="I33" s="25">
        <v>195825</v>
      </c>
      <c r="J33" s="25">
        <v>1855</v>
      </c>
      <c r="K33" s="25">
        <v>12007</v>
      </c>
      <c r="L33" s="25">
        <v>679</v>
      </c>
      <c r="M33" s="25">
        <v>24344</v>
      </c>
      <c r="N33" s="25">
        <v>1089</v>
      </c>
      <c r="O33" s="25">
        <v>15689</v>
      </c>
      <c r="P33" s="25">
        <v>774</v>
      </c>
      <c r="Q33" s="25">
        <v>12181</v>
      </c>
      <c r="R33" s="25">
        <v>580</v>
      </c>
      <c r="S33" s="25">
        <v>3257</v>
      </c>
      <c r="T33" s="25">
        <v>394</v>
      </c>
      <c r="U33" s="25">
        <v>12595</v>
      </c>
      <c r="V33" s="25">
        <v>621</v>
      </c>
      <c r="W33" s="25">
        <v>573</v>
      </c>
      <c r="X33" s="25">
        <v>171</v>
      </c>
      <c r="Y33" s="25">
        <v>201911</v>
      </c>
      <c r="Z33" s="25">
        <v>1829</v>
      </c>
      <c r="AA33" s="25">
        <v>154739</v>
      </c>
      <c r="AB33" s="25">
        <v>2000</v>
      </c>
      <c r="AC33" s="25">
        <v>147388</v>
      </c>
      <c r="AD33" s="25">
        <v>2021</v>
      </c>
      <c r="AE33" s="25">
        <v>7351</v>
      </c>
      <c r="AF33" s="25">
        <v>553</v>
      </c>
      <c r="AG33" s="25">
        <v>16118</v>
      </c>
      <c r="AH33" s="25">
        <v>694</v>
      </c>
      <c r="AI33" s="25">
        <v>12466</v>
      </c>
      <c r="AJ33" s="25">
        <v>625</v>
      </c>
      <c r="AK33" s="25">
        <v>9809</v>
      </c>
      <c r="AL33" s="25">
        <v>511</v>
      </c>
      <c r="AM33" s="25">
        <v>2597</v>
      </c>
      <c r="AN33" s="25">
        <v>310</v>
      </c>
      <c r="AO33" s="25">
        <v>6004</v>
      </c>
      <c r="AP33" s="25">
        <v>461</v>
      </c>
      <c r="AQ33" s="25">
        <v>178</v>
      </c>
      <c r="AR33" s="25">
        <v>72</v>
      </c>
      <c r="AS33" s="25">
        <v>31411</v>
      </c>
      <c r="AT33" s="25">
        <v>1304</v>
      </c>
      <c r="AU33" s="25">
        <v>24108</v>
      </c>
      <c r="AV33" s="25">
        <v>1207</v>
      </c>
      <c r="AW33" s="25">
        <v>23178</v>
      </c>
      <c r="AX33" s="25">
        <v>1181</v>
      </c>
      <c r="AY33" s="25">
        <v>930</v>
      </c>
      <c r="AZ33" s="25">
        <v>257</v>
      </c>
      <c r="BA33" s="25">
        <v>2649</v>
      </c>
      <c r="BB33" s="25">
        <v>305</v>
      </c>
      <c r="BC33" s="25">
        <v>2018</v>
      </c>
      <c r="BD33" s="25">
        <v>234</v>
      </c>
      <c r="BE33" s="25">
        <v>1239</v>
      </c>
      <c r="BF33" s="25">
        <v>222</v>
      </c>
      <c r="BG33" s="25">
        <v>255</v>
      </c>
      <c r="BH33" s="25">
        <v>97</v>
      </c>
      <c r="BI33" s="25">
        <v>961</v>
      </c>
      <c r="BJ33" s="25">
        <v>202</v>
      </c>
      <c r="BK33" s="25">
        <v>181</v>
      </c>
      <c r="BL33" s="25">
        <v>107</v>
      </c>
      <c r="BM33" s="25">
        <v>6187</v>
      </c>
      <c r="BN33" s="25">
        <v>454</v>
      </c>
      <c r="BO33" s="25">
        <v>3993</v>
      </c>
      <c r="BP33" s="25">
        <v>387</v>
      </c>
      <c r="BQ33" s="25">
        <v>3931</v>
      </c>
      <c r="BR33" s="25">
        <v>382</v>
      </c>
      <c r="BS33" s="25">
        <v>62</v>
      </c>
      <c r="BT33" s="25">
        <v>55</v>
      </c>
      <c r="BU33" s="25">
        <v>1174</v>
      </c>
      <c r="BV33" s="25">
        <v>207</v>
      </c>
      <c r="BW33" s="25">
        <v>288</v>
      </c>
      <c r="BX33" s="25">
        <v>110</v>
      </c>
      <c r="BY33" s="25">
        <v>436</v>
      </c>
      <c r="BZ33" s="25">
        <v>130</v>
      </c>
      <c r="CA33" s="25">
        <v>169</v>
      </c>
      <c r="CB33" s="25">
        <v>80</v>
      </c>
      <c r="CC33" s="25">
        <v>127</v>
      </c>
      <c r="CD33" s="25">
        <v>97</v>
      </c>
      <c r="CE33" s="25">
        <v>0</v>
      </c>
      <c r="CF33" s="25">
        <v>27</v>
      </c>
      <c r="CG33" s="25">
        <v>11355</v>
      </c>
      <c r="CH33" s="25">
        <v>909</v>
      </c>
      <c r="CI33" s="25">
        <v>7601</v>
      </c>
      <c r="CJ33" s="25">
        <v>683</v>
      </c>
      <c r="CK33" s="25">
        <v>7375</v>
      </c>
      <c r="CL33" s="25">
        <v>678</v>
      </c>
      <c r="CM33" s="25">
        <v>226</v>
      </c>
      <c r="CN33" s="25">
        <v>79</v>
      </c>
      <c r="CO33" s="25">
        <v>2579</v>
      </c>
      <c r="CP33" s="25">
        <v>573</v>
      </c>
      <c r="CQ33" s="25">
        <v>500</v>
      </c>
      <c r="CR33" s="25">
        <v>156</v>
      </c>
      <c r="CS33" s="25">
        <v>328</v>
      </c>
      <c r="CT33" s="25">
        <v>103</v>
      </c>
      <c r="CU33" s="25">
        <v>49</v>
      </c>
      <c r="CV33" s="25">
        <v>35</v>
      </c>
      <c r="CW33" s="25">
        <v>298</v>
      </c>
      <c r="CX33" s="25">
        <v>93</v>
      </c>
      <c r="CY33" s="25">
        <v>0</v>
      </c>
      <c r="CZ33" s="25">
        <v>27</v>
      </c>
      <c r="DA33" s="25">
        <v>5723</v>
      </c>
      <c r="DB33" s="25">
        <v>514</v>
      </c>
      <c r="DC33" s="25">
        <v>4269</v>
      </c>
      <c r="DD33" s="25">
        <v>487</v>
      </c>
      <c r="DE33" s="25">
        <v>4096</v>
      </c>
      <c r="DF33" s="25">
        <v>475</v>
      </c>
      <c r="DG33" s="25">
        <v>173</v>
      </c>
      <c r="DH33" s="25">
        <v>62</v>
      </c>
      <c r="DI33" s="25">
        <v>989</v>
      </c>
      <c r="DJ33" s="25">
        <v>293</v>
      </c>
      <c r="DK33" s="25">
        <v>108</v>
      </c>
      <c r="DL33" s="25">
        <v>50</v>
      </c>
      <c r="DM33" s="25">
        <v>97</v>
      </c>
      <c r="DN33" s="25">
        <v>47</v>
      </c>
      <c r="DO33" s="25">
        <v>13</v>
      </c>
      <c r="DP33" s="25">
        <v>15</v>
      </c>
      <c r="DQ33" s="25">
        <v>228</v>
      </c>
      <c r="DR33" s="25">
        <v>87</v>
      </c>
      <c r="DS33" s="25">
        <v>19</v>
      </c>
      <c r="DT33" s="25">
        <v>25</v>
      </c>
      <c r="DU33" s="25">
        <v>19884</v>
      </c>
      <c r="DV33" s="25">
        <v>904</v>
      </c>
      <c r="DW33" s="25">
        <v>13122</v>
      </c>
      <c r="DX33" s="25">
        <v>750</v>
      </c>
      <c r="DY33" s="25">
        <v>9857</v>
      </c>
      <c r="DZ33" s="25">
        <v>548</v>
      </c>
      <c r="EA33" s="25">
        <v>3265</v>
      </c>
      <c r="EB33" s="25">
        <v>425</v>
      </c>
      <c r="EC33" s="25">
        <v>835</v>
      </c>
      <c r="ED33" s="25">
        <v>160</v>
      </c>
      <c r="EE33" s="25">
        <v>309</v>
      </c>
      <c r="EF33" s="25">
        <v>98</v>
      </c>
      <c r="EG33" s="25">
        <v>272</v>
      </c>
      <c r="EH33" s="25">
        <v>106</v>
      </c>
      <c r="EI33" s="25">
        <v>174</v>
      </c>
      <c r="EJ33" s="25">
        <v>80</v>
      </c>
      <c r="EK33" s="25">
        <v>4977</v>
      </c>
      <c r="EL33" s="25">
        <v>417</v>
      </c>
      <c r="EM33" s="25">
        <v>195</v>
      </c>
      <c r="EN33" s="25">
        <v>111</v>
      </c>
    </row>
    <row r="34" spans="1:144" x14ac:dyDescent="0.25">
      <c r="A34" s="19">
        <f t="shared" si="8"/>
        <v>51</v>
      </c>
      <c r="B34" s="20" t="str">
        <f t="shared" si="9"/>
        <v>Wasatch</v>
      </c>
      <c r="C34" s="24" t="s">
        <v>338</v>
      </c>
      <c r="D34" s="24" t="s">
        <v>339</v>
      </c>
      <c r="E34" s="25">
        <v>15455</v>
      </c>
      <c r="F34" s="25">
        <v>545</v>
      </c>
      <c r="G34" s="25">
        <v>11138</v>
      </c>
      <c r="H34" s="25">
        <v>551</v>
      </c>
      <c r="I34" s="25">
        <v>10159</v>
      </c>
      <c r="J34" s="25">
        <v>526</v>
      </c>
      <c r="K34" s="25">
        <v>979</v>
      </c>
      <c r="L34" s="25">
        <v>218</v>
      </c>
      <c r="M34" s="25">
        <v>1110</v>
      </c>
      <c r="N34" s="25">
        <v>245</v>
      </c>
      <c r="O34" s="25">
        <v>1268</v>
      </c>
      <c r="P34" s="25">
        <v>284</v>
      </c>
      <c r="Q34" s="25">
        <v>589</v>
      </c>
      <c r="R34" s="25">
        <v>163</v>
      </c>
      <c r="S34" s="25">
        <v>229</v>
      </c>
      <c r="T34" s="25">
        <v>95</v>
      </c>
      <c r="U34" s="25">
        <v>1102</v>
      </c>
      <c r="V34" s="25">
        <v>278</v>
      </c>
      <c r="W34" s="25">
        <v>19</v>
      </c>
      <c r="X34" s="25">
        <v>24</v>
      </c>
      <c r="Y34" s="25">
        <v>12055</v>
      </c>
      <c r="Z34" s="25">
        <v>513</v>
      </c>
      <c r="AA34" s="25">
        <v>8617</v>
      </c>
      <c r="AB34" s="25">
        <v>553</v>
      </c>
      <c r="AC34" s="25">
        <v>7874</v>
      </c>
      <c r="AD34" s="25">
        <v>512</v>
      </c>
      <c r="AE34" s="25">
        <v>743</v>
      </c>
      <c r="AF34" s="25">
        <v>198</v>
      </c>
      <c r="AG34" s="25">
        <v>944</v>
      </c>
      <c r="AH34" s="25">
        <v>225</v>
      </c>
      <c r="AI34" s="25">
        <v>1179</v>
      </c>
      <c r="AJ34" s="25">
        <v>276</v>
      </c>
      <c r="AK34" s="25">
        <v>496</v>
      </c>
      <c r="AL34" s="25">
        <v>133</v>
      </c>
      <c r="AM34" s="25">
        <v>194</v>
      </c>
      <c r="AN34" s="25">
        <v>91</v>
      </c>
      <c r="AO34" s="25">
        <v>606</v>
      </c>
      <c r="AP34" s="25">
        <v>192</v>
      </c>
      <c r="AQ34" s="25">
        <v>19</v>
      </c>
      <c r="AR34" s="25">
        <v>24</v>
      </c>
      <c r="AS34" s="25">
        <v>1732</v>
      </c>
      <c r="AT34" s="25">
        <v>342</v>
      </c>
      <c r="AU34" s="25">
        <v>1491</v>
      </c>
      <c r="AV34" s="25">
        <v>336</v>
      </c>
      <c r="AW34" s="25">
        <v>1395</v>
      </c>
      <c r="AX34" s="25">
        <v>335</v>
      </c>
      <c r="AY34" s="25">
        <v>96</v>
      </c>
      <c r="AZ34" s="25">
        <v>68</v>
      </c>
      <c r="BA34" s="25">
        <v>71</v>
      </c>
      <c r="BB34" s="25">
        <v>51</v>
      </c>
      <c r="BC34" s="25">
        <v>68</v>
      </c>
      <c r="BD34" s="25">
        <v>47</v>
      </c>
      <c r="BE34" s="25">
        <v>54</v>
      </c>
      <c r="BF34" s="25">
        <v>43</v>
      </c>
      <c r="BG34" s="25">
        <v>11</v>
      </c>
      <c r="BH34" s="25">
        <v>22</v>
      </c>
      <c r="BI34" s="25">
        <v>37</v>
      </c>
      <c r="BJ34" s="25">
        <v>40</v>
      </c>
      <c r="BK34" s="25">
        <v>0</v>
      </c>
      <c r="BL34" s="25">
        <v>24</v>
      </c>
      <c r="BM34" s="25">
        <v>34</v>
      </c>
      <c r="BN34" s="25">
        <v>32</v>
      </c>
      <c r="BO34" s="25">
        <v>29</v>
      </c>
      <c r="BP34" s="25">
        <v>30</v>
      </c>
      <c r="BQ34" s="25">
        <v>29</v>
      </c>
      <c r="BR34" s="25">
        <v>30</v>
      </c>
      <c r="BS34" s="25">
        <v>0</v>
      </c>
      <c r="BT34" s="25">
        <v>24</v>
      </c>
      <c r="BU34" s="25">
        <v>0</v>
      </c>
      <c r="BV34" s="25">
        <v>24</v>
      </c>
      <c r="BW34" s="25">
        <v>0</v>
      </c>
      <c r="BX34" s="25">
        <v>24</v>
      </c>
      <c r="BY34" s="25">
        <v>0</v>
      </c>
      <c r="BZ34" s="25">
        <v>24</v>
      </c>
      <c r="CA34" s="25">
        <v>5</v>
      </c>
      <c r="CB34" s="25">
        <v>9</v>
      </c>
      <c r="CC34" s="25">
        <v>0</v>
      </c>
      <c r="CD34" s="25">
        <v>24</v>
      </c>
      <c r="CE34" s="25">
        <v>0</v>
      </c>
      <c r="CF34" s="25">
        <v>24</v>
      </c>
      <c r="CG34" s="25">
        <v>338</v>
      </c>
      <c r="CH34" s="25">
        <v>177</v>
      </c>
      <c r="CI34" s="25">
        <v>285</v>
      </c>
      <c r="CJ34" s="25">
        <v>174</v>
      </c>
      <c r="CK34" s="25">
        <v>273</v>
      </c>
      <c r="CL34" s="25">
        <v>173</v>
      </c>
      <c r="CM34" s="25">
        <v>12</v>
      </c>
      <c r="CN34" s="25">
        <v>20</v>
      </c>
      <c r="CO34" s="25">
        <v>35</v>
      </c>
      <c r="CP34" s="25">
        <v>42</v>
      </c>
      <c r="CQ34" s="25">
        <v>9</v>
      </c>
      <c r="CR34" s="25">
        <v>13</v>
      </c>
      <c r="CS34" s="25">
        <v>0</v>
      </c>
      <c r="CT34" s="25">
        <v>24</v>
      </c>
      <c r="CU34" s="25">
        <v>0</v>
      </c>
      <c r="CV34" s="25">
        <v>24</v>
      </c>
      <c r="CW34" s="25">
        <v>9</v>
      </c>
      <c r="CX34" s="25">
        <v>11</v>
      </c>
      <c r="CY34" s="25">
        <v>0</v>
      </c>
      <c r="CZ34" s="25">
        <v>24</v>
      </c>
      <c r="DA34" s="25">
        <v>140</v>
      </c>
      <c r="DB34" s="25">
        <v>91</v>
      </c>
      <c r="DC34" s="25">
        <v>95</v>
      </c>
      <c r="DD34" s="25">
        <v>82</v>
      </c>
      <c r="DE34" s="25">
        <v>91</v>
      </c>
      <c r="DF34" s="25">
        <v>81</v>
      </c>
      <c r="DG34" s="25">
        <v>4</v>
      </c>
      <c r="DH34" s="25">
        <v>6</v>
      </c>
      <c r="DI34" s="25">
        <v>0</v>
      </c>
      <c r="DJ34" s="25">
        <v>24</v>
      </c>
      <c r="DK34" s="25">
        <v>0</v>
      </c>
      <c r="DL34" s="25">
        <v>24</v>
      </c>
      <c r="DM34" s="25">
        <v>15</v>
      </c>
      <c r="DN34" s="25">
        <v>23</v>
      </c>
      <c r="DO34" s="25">
        <v>0</v>
      </c>
      <c r="DP34" s="25">
        <v>24</v>
      </c>
      <c r="DQ34" s="25">
        <v>30</v>
      </c>
      <c r="DR34" s="25">
        <v>33</v>
      </c>
      <c r="DS34" s="25">
        <v>0</v>
      </c>
      <c r="DT34" s="25">
        <v>24</v>
      </c>
      <c r="DU34" s="25">
        <v>1156</v>
      </c>
      <c r="DV34" s="25">
        <v>230</v>
      </c>
      <c r="DW34" s="25">
        <v>621</v>
      </c>
      <c r="DX34" s="25">
        <v>156</v>
      </c>
      <c r="DY34" s="25">
        <v>497</v>
      </c>
      <c r="DZ34" s="25">
        <v>147</v>
      </c>
      <c r="EA34" s="25">
        <v>124</v>
      </c>
      <c r="EB34" s="25">
        <v>55</v>
      </c>
      <c r="EC34" s="25">
        <v>60</v>
      </c>
      <c r="ED34" s="25">
        <v>53</v>
      </c>
      <c r="EE34" s="25">
        <v>12</v>
      </c>
      <c r="EF34" s="25">
        <v>16</v>
      </c>
      <c r="EG34" s="25">
        <v>24</v>
      </c>
      <c r="EH34" s="25">
        <v>27</v>
      </c>
      <c r="EI34" s="25">
        <v>19</v>
      </c>
      <c r="EJ34" s="25">
        <v>29</v>
      </c>
      <c r="EK34" s="25">
        <v>420</v>
      </c>
      <c r="EL34" s="25">
        <v>171</v>
      </c>
      <c r="EM34" s="25">
        <v>0</v>
      </c>
      <c r="EN34" s="25">
        <v>24</v>
      </c>
    </row>
    <row r="35" spans="1:144" x14ac:dyDescent="0.25">
      <c r="A35" s="19">
        <f t="shared" si="8"/>
        <v>53</v>
      </c>
      <c r="B35" s="20" t="str">
        <f t="shared" si="9"/>
        <v>Washington</v>
      </c>
      <c r="C35" s="24" t="s">
        <v>340</v>
      </c>
      <c r="D35" s="24" t="s">
        <v>341</v>
      </c>
      <c r="E35" s="25">
        <v>67912</v>
      </c>
      <c r="F35" s="25">
        <v>1469</v>
      </c>
      <c r="G35" s="25">
        <v>51535</v>
      </c>
      <c r="H35" s="25">
        <v>1575</v>
      </c>
      <c r="I35" s="25">
        <v>46299</v>
      </c>
      <c r="J35" s="25">
        <v>1534</v>
      </c>
      <c r="K35" s="25">
        <v>5236</v>
      </c>
      <c r="L35" s="25">
        <v>659</v>
      </c>
      <c r="M35" s="25">
        <v>4014</v>
      </c>
      <c r="N35" s="25">
        <v>446</v>
      </c>
      <c r="O35" s="25">
        <v>4690</v>
      </c>
      <c r="P35" s="25">
        <v>564</v>
      </c>
      <c r="Q35" s="25">
        <v>2523</v>
      </c>
      <c r="R35" s="25">
        <v>400</v>
      </c>
      <c r="S35" s="25">
        <v>964</v>
      </c>
      <c r="T35" s="25">
        <v>264</v>
      </c>
      <c r="U35" s="25">
        <v>4085</v>
      </c>
      <c r="V35" s="25">
        <v>596</v>
      </c>
      <c r="W35" s="25">
        <v>101</v>
      </c>
      <c r="X35" s="25">
        <v>64</v>
      </c>
      <c r="Y35" s="25">
        <v>52167</v>
      </c>
      <c r="Z35" s="25">
        <v>1510</v>
      </c>
      <c r="AA35" s="25">
        <v>39829</v>
      </c>
      <c r="AB35" s="25">
        <v>1545</v>
      </c>
      <c r="AC35" s="25">
        <v>36895</v>
      </c>
      <c r="AD35" s="25">
        <v>1481</v>
      </c>
      <c r="AE35" s="25">
        <v>2934</v>
      </c>
      <c r="AF35" s="25">
        <v>418</v>
      </c>
      <c r="AG35" s="25">
        <v>3147</v>
      </c>
      <c r="AH35" s="25">
        <v>420</v>
      </c>
      <c r="AI35" s="25">
        <v>3926</v>
      </c>
      <c r="AJ35" s="25">
        <v>511</v>
      </c>
      <c r="AK35" s="25">
        <v>2099</v>
      </c>
      <c r="AL35" s="25">
        <v>356</v>
      </c>
      <c r="AM35" s="25">
        <v>814</v>
      </c>
      <c r="AN35" s="25">
        <v>246</v>
      </c>
      <c r="AO35" s="25">
        <v>2298</v>
      </c>
      <c r="AP35" s="25">
        <v>468</v>
      </c>
      <c r="AQ35" s="25">
        <v>54</v>
      </c>
      <c r="AR35" s="25">
        <v>47</v>
      </c>
      <c r="AS35" s="25">
        <v>6648</v>
      </c>
      <c r="AT35" s="25">
        <v>752</v>
      </c>
      <c r="AU35" s="25">
        <v>5051</v>
      </c>
      <c r="AV35" s="25">
        <v>622</v>
      </c>
      <c r="AW35" s="25">
        <v>4555</v>
      </c>
      <c r="AX35" s="25">
        <v>612</v>
      </c>
      <c r="AY35" s="25">
        <v>496</v>
      </c>
      <c r="AZ35" s="25">
        <v>220</v>
      </c>
      <c r="BA35" s="25">
        <v>516</v>
      </c>
      <c r="BB35" s="25">
        <v>178</v>
      </c>
      <c r="BC35" s="25">
        <v>499</v>
      </c>
      <c r="BD35" s="25">
        <v>165</v>
      </c>
      <c r="BE35" s="25">
        <v>274</v>
      </c>
      <c r="BF35" s="25">
        <v>127</v>
      </c>
      <c r="BG35" s="25">
        <v>93</v>
      </c>
      <c r="BH35" s="25">
        <v>85</v>
      </c>
      <c r="BI35" s="25">
        <v>196</v>
      </c>
      <c r="BJ35" s="25">
        <v>101</v>
      </c>
      <c r="BK35" s="25">
        <v>19</v>
      </c>
      <c r="BL35" s="25">
        <v>35</v>
      </c>
      <c r="BM35" s="25">
        <v>361</v>
      </c>
      <c r="BN35" s="25">
        <v>184</v>
      </c>
      <c r="BO35" s="25">
        <v>262</v>
      </c>
      <c r="BP35" s="25">
        <v>155</v>
      </c>
      <c r="BQ35" s="25">
        <v>244</v>
      </c>
      <c r="BR35" s="25">
        <v>149</v>
      </c>
      <c r="BS35" s="25">
        <v>18</v>
      </c>
      <c r="BT35" s="25">
        <v>31</v>
      </c>
      <c r="BU35" s="25">
        <v>41</v>
      </c>
      <c r="BV35" s="25">
        <v>44</v>
      </c>
      <c r="BW35" s="25">
        <v>31</v>
      </c>
      <c r="BX35" s="25">
        <v>48</v>
      </c>
      <c r="BY35" s="25">
        <v>10</v>
      </c>
      <c r="BZ35" s="25">
        <v>17</v>
      </c>
      <c r="CA35" s="25">
        <v>0</v>
      </c>
      <c r="CB35" s="25">
        <v>27</v>
      </c>
      <c r="CC35" s="25">
        <v>17</v>
      </c>
      <c r="CD35" s="25">
        <v>26</v>
      </c>
      <c r="CE35" s="25">
        <v>0</v>
      </c>
      <c r="CF35" s="25">
        <v>27</v>
      </c>
      <c r="CG35" s="25">
        <v>859</v>
      </c>
      <c r="CH35" s="25">
        <v>284</v>
      </c>
      <c r="CI35" s="25">
        <v>602</v>
      </c>
      <c r="CJ35" s="25">
        <v>253</v>
      </c>
      <c r="CK35" s="25">
        <v>600</v>
      </c>
      <c r="CL35" s="25">
        <v>253</v>
      </c>
      <c r="CM35" s="25">
        <v>2</v>
      </c>
      <c r="CN35" s="25">
        <v>4</v>
      </c>
      <c r="CO35" s="25">
        <v>107</v>
      </c>
      <c r="CP35" s="25">
        <v>91</v>
      </c>
      <c r="CQ35" s="25">
        <v>51</v>
      </c>
      <c r="CR35" s="25">
        <v>55</v>
      </c>
      <c r="CS35" s="25">
        <v>46</v>
      </c>
      <c r="CT35" s="25">
        <v>42</v>
      </c>
      <c r="CU35" s="25">
        <v>0</v>
      </c>
      <c r="CV35" s="25">
        <v>27</v>
      </c>
      <c r="CW35" s="25">
        <v>53</v>
      </c>
      <c r="CX35" s="25">
        <v>47</v>
      </c>
      <c r="CY35" s="25">
        <v>0</v>
      </c>
      <c r="CZ35" s="25">
        <v>27</v>
      </c>
      <c r="DA35" s="25">
        <v>1372</v>
      </c>
      <c r="DB35" s="25">
        <v>368</v>
      </c>
      <c r="DC35" s="25">
        <v>1148</v>
      </c>
      <c r="DD35" s="25">
        <v>353</v>
      </c>
      <c r="DE35" s="25">
        <v>1034</v>
      </c>
      <c r="DF35" s="25">
        <v>309</v>
      </c>
      <c r="DG35" s="25">
        <v>114</v>
      </c>
      <c r="DH35" s="25">
        <v>117</v>
      </c>
      <c r="DI35" s="25">
        <v>56</v>
      </c>
      <c r="DJ35" s="25">
        <v>56</v>
      </c>
      <c r="DK35" s="25">
        <v>14</v>
      </c>
      <c r="DL35" s="25">
        <v>17</v>
      </c>
      <c r="DM35" s="25">
        <v>9</v>
      </c>
      <c r="DN35" s="25">
        <v>15</v>
      </c>
      <c r="DO35" s="25">
        <v>11</v>
      </c>
      <c r="DP35" s="25">
        <v>17</v>
      </c>
      <c r="DQ35" s="25">
        <v>134</v>
      </c>
      <c r="DR35" s="25">
        <v>112</v>
      </c>
      <c r="DS35" s="25">
        <v>0</v>
      </c>
      <c r="DT35" s="25">
        <v>27</v>
      </c>
      <c r="DU35" s="25">
        <v>6505</v>
      </c>
      <c r="DV35" s="25">
        <v>812</v>
      </c>
      <c r="DW35" s="25">
        <v>4643</v>
      </c>
      <c r="DX35" s="25">
        <v>714</v>
      </c>
      <c r="DY35" s="25">
        <v>2971</v>
      </c>
      <c r="DZ35" s="25">
        <v>472</v>
      </c>
      <c r="EA35" s="25">
        <v>1672</v>
      </c>
      <c r="EB35" s="25">
        <v>415</v>
      </c>
      <c r="EC35" s="25">
        <v>147</v>
      </c>
      <c r="ED35" s="25">
        <v>95</v>
      </c>
      <c r="EE35" s="25">
        <v>169</v>
      </c>
      <c r="EF35" s="25">
        <v>108</v>
      </c>
      <c r="EG35" s="25">
        <v>85</v>
      </c>
      <c r="EH35" s="25">
        <v>72</v>
      </c>
      <c r="EI35" s="25">
        <v>46</v>
      </c>
      <c r="EJ35" s="25">
        <v>42</v>
      </c>
      <c r="EK35" s="25">
        <v>1387</v>
      </c>
      <c r="EL35" s="25">
        <v>329</v>
      </c>
      <c r="EM35" s="25">
        <v>28</v>
      </c>
      <c r="EN35" s="25">
        <v>26</v>
      </c>
    </row>
    <row r="36" spans="1:144" x14ac:dyDescent="0.25">
      <c r="A36" s="19">
        <f t="shared" si="8"/>
        <v>55</v>
      </c>
      <c r="B36" s="20" t="str">
        <f t="shared" si="9"/>
        <v>Wayne</v>
      </c>
      <c r="C36" s="24" t="s">
        <v>342</v>
      </c>
      <c r="D36" s="24" t="s">
        <v>343</v>
      </c>
      <c r="E36" s="25">
        <v>1165</v>
      </c>
      <c r="F36" s="25">
        <v>100</v>
      </c>
      <c r="G36" s="25">
        <v>647</v>
      </c>
      <c r="H36" s="25">
        <v>107</v>
      </c>
      <c r="I36" s="25">
        <v>554</v>
      </c>
      <c r="J36" s="25">
        <v>101</v>
      </c>
      <c r="K36" s="25">
        <v>93</v>
      </c>
      <c r="L36" s="25">
        <v>44</v>
      </c>
      <c r="M36" s="25">
        <v>44</v>
      </c>
      <c r="N36" s="25">
        <v>21</v>
      </c>
      <c r="O36" s="25">
        <v>90</v>
      </c>
      <c r="P36" s="25">
        <v>40</v>
      </c>
      <c r="Q36" s="25">
        <v>91</v>
      </c>
      <c r="R36" s="25">
        <v>41</v>
      </c>
      <c r="S36" s="25">
        <v>71</v>
      </c>
      <c r="T36" s="25">
        <v>31</v>
      </c>
      <c r="U36" s="25">
        <v>215</v>
      </c>
      <c r="V36" s="25">
        <v>88</v>
      </c>
      <c r="W36" s="25">
        <v>7</v>
      </c>
      <c r="X36" s="25">
        <v>9</v>
      </c>
      <c r="Y36" s="25">
        <v>851</v>
      </c>
      <c r="Z36" s="25">
        <v>99</v>
      </c>
      <c r="AA36" s="25">
        <v>474</v>
      </c>
      <c r="AB36" s="25">
        <v>96</v>
      </c>
      <c r="AC36" s="25">
        <v>419</v>
      </c>
      <c r="AD36" s="25">
        <v>94</v>
      </c>
      <c r="AE36" s="25">
        <v>55</v>
      </c>
      <c r="AF36" s="25">
        <v>31</v>
      </c>
      <c r="AG36" s="25">
        <v>30</v>
      </c>
      <c r="AH36" s="25">
        <v>20</v>
      </c>
      <c r="AI36" s="25">
        <v>84</v>
      </c>
      <c r="AJ36" s="25">
        <v>40</v>
      </c>
      <c r="AK36" s="25">
        <v>88</v>
      </c>
      <c r="AL36" s="25">
        <v>41</v>
      </c>
      <c r="AM36" s="25">
        <v>34</v>
      </c>
      <c r="AN36" s="25">
        <v>23</v>
      </c>
      <c r="AO36" s="25">
        <v>134</v>
      </c>
      <c r="AP36" s="25">
        <v>69</v>
      </c>
      <c r="AQ36" s="25">
        <v>7</v>
      </c>
      <c r="AR36" s="25">
        <v>9</v>
      </c>
      <c r="AS36" s="25">
        <v>78</v>
      </c>
      <c r="AT36" s="25">
        <v>41</v>
      </c>
      <c r="AU36" s="25">
        <v>48</v>
      </c>
      <c r="AV36" s="25">
        <v>31</v>
      </c>
      <c r="AW36" s="25">
        <v>42</v>
      </c>
      <c r="AX36" s="25">
        <v>25</v>
      </c>
      <c r="AY36" s="25">
        <v>6</v>
      </c>
      <c r="AZ36" s="25">
        <v>10</v>
      </c>
      <c r="BA36" s="25">
        <v>7</v>
      </c>
      <c r="BB36" s="25">
        <v>10</v>
      </c>
      <c r="BC36" s="25">
        <v>4</v>
      </c>
      <c r="BD36" s="25">
        <v>5</v>
      </c>
      <c r="BE36" s="25">
        <v>0</v>
      </c>
      <c r="BF36" s="25">
        <v>11</v>
      </c>
      <c r="BG36" s="25">
        <v>14</v>
      </c>
      <c r="BH36" s="25">
        <v>16</v>
      </c>
      <c r="BI36" s="25">
        <v>5</v>
      </c>
      <c r="BJ36" s="25">
        <v>5</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111</v>
      </c>
      <c r="CH36" s="25">
        <v>60</v>
      </c>
      <c r="CI36" s="25">
        <v>48</v>
      </c>
      <c r="CJ36" s="25">
        <v>24</v>
      </c>
      <c r="CK36" s="25">
        <v>45</v>
      </c>
      <c r="CL36" s="25">
        <v>23</v>
      </c>
      <c r="CM36" s="25">
        <v>3</v>
      </c>
      <c r="CN36" s="25">
        <v>5</v>
      </c>
      <c r="CO36" s="25">
        <v>0</v>
      </c>
      <c r="CP36" s="25">
        <v>11</v>
      </c>
      <c r="CQ36" s="25">
        <v>0</v>
      </c>
      <c r="CR36" s="25">
        <v>11</v>
      </c>
      <c r="CS36" s="25">
        <v>3</v>
      </c>
      <c r="CT36" s="25">
        <v>4</v>
      </c>
      <c r="CU36" s="25">
        <v>9</v>
      </c>
      <c r="CV36" s="25">
        <v>10</v>
      </c>
      <c r="CW36" s="25">
        <v>51</v>
      </c>
      <c r="CX36" s="25">
        <v>54</v>
      </c>
      <c r="CY36" s="25">
        <v>0</v>
      </c>
      <c r="CZ36" s="25">
        <v>11</v>
      </c>
      <c r="DA36" s="25">
        <v>18</v>
      </c>
      <c r="DB36" s="25">
        <v>16</v>
      </c>
      <c r="DC36" s="25">
        <v>9</v>
      </c>
      <c r="DD36" s="25">
        <v>13</v>
      </c>
      <c r="DE36" s="25">
        <v>9</v>
      </c>
      <c r="DF36" s="25">
        <v>13</v>
      </c>
      <c r="DG36" s="25">
        <v>0</v>
      </c>
      <c r="DH36" s="25">
        <v>11</v>
      </c>
      <c r="DI36" s="25">
        <v>0</v>
      </c>
      <c r="DJ36" s="25">
        <v>11</v>
      </c>
      <c r="DK36" s="25">
        <v>0</v>
      </c>
      <c r="DL36" s="25">
        <v>11</v>
      </c>
      <c r="DM36" s="25">
        <v>0</v>
      </c>
      <c r="DN36" s="25">
        <v>11</v>
      </c>
      <c r="DO36" s="25">
        <v>9</v>
      </c>
      <c r="DP36" s="25">
        <v>10</v>
      </c>
      <c r="DQ36" s="25">
        <v>0</v>
      </c>
      <c r="DR36" s="25">
        <v>11</v>
      </c>
      <c r="DS36" s="25">
        <v>0</v>
      </c>
      <c r="DT36" s="25">
        <v>11</v>
      </c>
      <c r="DU36" s="25">
        <v>107</v>
      </c>
      <c r="DV36" s="25">
        <v>50</v>
      </c>
      <c r="DW36" s="25">
        <v>68</v>
      </c>
      <c r="DX36" s="25">
        <v>43</v>
      </c>
      <c r="DY36" s="25">
        <v>39</v>
      </c>
      <c r="DZ36" s="25">
        <v>31</v>
      </c>
      <c r="EA36" s="25">
        <v>29</v>
      </c>
      <c r="EB36" s="25">
        <v>25</v>
      </c>
      <c r="EC36" s="25">
        <v>7</v>
      </c>
      <c r="ED36" s="25">
        <v>8</v>
      </c>
      <c r="EE36" s="25">
        <v>2</v>
      </c>
      <c r="EF36" s="25">
        <v>4</v>
      </c>
      <c r="EG36" s="25">
        <v>0</v>
      </c>
      <c r="EH36" s="25">
        <v>11</v>
      </c>
      <c r="EI36" s="25">
        <v>5</v>
      </c>
      <c r="EJ36" s="25">
        <v>8</v>
      </c>
      <c r="EK36" s="25">
        <v>25</v>
      </c>
      <c r="EL36" s="25">
        <v>16</v>
      </c>
      <c r="EM36" s="25">
        <v>0</v>
      </c>
      <c r="EN36" s="25">
        <v>11</v>
      </c>
    </row>
    <row r="37" spans="1:144" x14ac:dyDescent="0.25">
      <c r="A37" s="19">
        <f t="shared" si="8"/>
        <v>57</v>
      </c>
      <c r="B37" s="20" t="str">
        <f t="shared" si="9"/>
        <v>Weber</v>
      </c>
      <c r="C37" s="24" t="s">
        <v>344</v>
      </c>
      <c r="D37" s="24" t="s">
        <v>345</v>
      </c>
      <c r="E37" s="25">
        <v>121331</v>
      </c>
      <c r="F37" s="25">
        <v>1376</v>
      </c>
      <c r="G37" s="25">
        <v>86782</v>
      </c>
      <c r="H37" s="25">
        <v>1589</v>
      </c>
      <c r="I37" s="25">
        <v>82423</v>
      </c>
      <c r="J37" s="25">
        <v>1619</v>
      </c>
      <c r="K37" s="25">
        <v>4359</v>
      </c>
      <c r="L37" s="25">
        <v>520</v>
      </c>
      <c r="M37" s="25">
        <v>7781</v>
      </c>
      <c r="N37" s="25">
        <v>643</v>
      </c>
      <c r="O37" s="25">
        <v>6364</v>
      </c>
      <c r="P37" s="25">
        <v>488</v>
      </c>
      <c r="Q37" s="25">
        <v>5413</v>
      </c>
      <c r="R37" s="25">
        <v>584</v>
      </c>
      <c r="S37" s="25">
        <v>10082</v>
      </c>
      <c r="T37" s="25">
        <v>695</v>
      </c>
      <c r="U37" s="25">
        <v>4675</v>
      </c>
      <c r="V37" s="25">
        <v>576</v>
      </c>
      <c r="W37" s="25">
        <v>234</v>
      </c>
      <c r="X37" s="25">
        <v>96</v>
      </c>
      <c r="Y37" s="25">
        <v>97352</v>
      </c>
      <c r="Z37" s="25">
        <v>1680</v>
      </c>
      <c r="AA37" s="25">
        <v>69787</v>
      </c>
      <c r="AB37" s="25">
        <v>1690</v>
      </c>
      <c r="AC37" s="25">
        <v>67122</v>
      </c>
      <c r="AD37" s="25">
        <v>1701</v>
      </c>
      <c r="AE37" s="25">
        <v>2665</v>
      </c>
      <c r="AF37" s="25">
        <v>369</v>
      </c>
      <c r="AG37" s="25">
        <v>6195</v>
      </c>
      <c r="AH37" s="25">
        <v>604</v>
      </c>
      <c r="AI37" s="25">
        <v>5481</v>
      </c>
      <c r="AJ37" s="25">
        <v>431</v>
      </c>
      <c r="AK37" s="25">
        <v>4442</v>
      </c>
      <c r="AL37" s="25">
        <v>538</v>
      </c>
      <c r="AM37" s="25">
        <v>8657</v>
      </c>
      <c r="AN37" s="25">
        <v>699</v>
      </c>
      <c r="AO37" s="25">
        <v>2589</v>
      </c>
      <c r="AP37" s="25">
        <v>447</v>
      </c>
      <c r="AQ37" s="25">
        <v>201</v>
      </c>
      <c r="AR37" s="25">
        <v>92</v>
      </c>
      <c r="AS37" s="25">
        <v>11787</v>
      </c>
      <c r="AT37" s="25">
        <v>658</v>
      </c>
      <c r="AU37" s="25">
        <v>8546</v>
      </c>
      <c r="AV37" s="25">
        <v>590</v>
      </c>
      <c r="AW37" s="25">
        <v>8235</v>
      </c>
      <c r="AX37" s="25">
        <v>592</v>
      </c>
      <c r="AY37" s="25">
        <v>311</v>
      </c>
      <c r="AZ37" s="25">
        <v>99</v>
      </c>
      <c r="BA37" s="25">
        <v>754</v>
      </c>
      <c r="BB37" s="25">
        <v>161</v>
      </c>
      <c r="BC37" s="25">
        <v>562</v>
      </c>
      <c r="BD37" s="25">
        <v>158</v>
      </c>
      <c r="BE37" s="25">
        <v>494</v>
      </c>
      <c r="BF37" s="25">
        <v>168</v>
      </c>
      <c r="BG37" s="25">
        <v>968</v>
      </c>
      <c r="BH37" s="25">
        <v>233</v>
      </c>
      <c r="BI37" s="25">
        <v>463</v>
      </c>
      <c r="BJ37" s="25">
        <v>183</v>
      </c>
      <c r="BK37" s="25">
        <v>0</v>
      </c>
      <c r="BL37" s="25">
        <v>27</v>
      </c>
      <c r="BM37" s="25">
        <v>2032</v>
      </c>
      <c r="BN37" s="25">
        <v>332</v>
      </c>
      <c r="BO37" s="25">
        <v>1291</v>
      </c>
      <c r="BP37" s="25">
        <v>267</v>
      </c>
      <c r="BQ37" s="25">
        <v>1269</v>
      </c>
      <c r="BR37" s="25">
        <v>263</v>
      </c>
      <c r="BS37" s="25">
        <v>22</v>
      </c>
      <c r="BT37" s="25">
        <v>35</v>
      </c>
      <c r="BU37" s="25">
        <v>375</v>
      </c>
      <c r="BV37" s="25">
        <v>141</v>
      </c>
      <c r="BW37" s="25">
        <v>104</v>
      </c>
      <c r="BX37" s="25">
        <v>65</v>
      </c>
      <c r="BY37" s="25">
        <v>155</v>
      </c>
      <c r="BZ37" s="25">
        <v>69</v>
      </c>
      <c r="CA37" s="25">
        <v>80</v>
      </c>
      <c r="CB37" s="25">
        <v>69</v>
      </c>
      <c r="CC37" s="25">
        <v>27</v>
      </c>
      <c r="CD37" s="25">
        <v>35</v>
      </c>
      <c r="CE37" s="25">
        <v>0</v>
      </c>
      <c r="CF37" s="25">
        <v>27</v>
      </c>
      <c r="CG37" s="25">
        <v>1542</v>
      </c>
      <c r="CH37" s="25">
        <v>280</v>
      </c>
      <c r="CI37" s="25">
        <v>1071</v>
      </c>
      <c r="CJ37" s="25">
        <v>202</v>
      </c>
      <c r="CK37" s="25">
        <v>1041</v>
      </c>
      <c r="CL37" s="25">
        <v>202</v>
      </c>
      <c r="CM37" s="25">
        <v>30</v>
      </c>
      <c r="CN37" s="25">
        <v>32</v>
      </c>
      <c r="CO37" s="25">
        <v>91</v>
      </c>
      <c r="CP37" s="25">
        <v>43</v>
      </c>
      <c r="CQ37" s="25">
        <v>125</v>
      </c>
      <c r="CR37" s="25">
        <v>71</v>
      </c>
      <c r="CS37" s="25">
        <v>143</v>
      </c>
      <c r="CT37" s="25">
        <v>103</v>
      </c>
      <c r="CU37" s="25">
        <v>36</v>
      </c>
      <c r="CV37" s="25">
        <v>32</v>
      </c>
      <c r="CW37" s="25">
        <v>76</v>
      </c>
      <c r="CX37" s="25">
        <v>69</v>
      </c>
      <c r="CY37" s="25">
        <v>0</v>
      </c>
      <c r="CZ37" s="25">
        <v>27</v>
      </c>
      <c r="DA37" s="25">
        <v>2026</v>
      </c>
      <c r="DB37" s="25">
        <v>369</v>
      </c>
      <c r="DC37" s="25">
        <v>1652</v>
      </c>
      <c r="DD37" s="25">
        <v>317</v>
      </c>
      <c r="DE37" s="25">
        <v>1645</v>
      </c>
      <c r="DF37" s="25">
        <v>319</v>
      </c>
      <c r="DG37" s="25">
        <v>7</v>
      </c>
      <c r="DH37" s="25">
        <v>12</v>
      </c>
      <c r="DI37" s="25">
        <v>133</v>
      </c>
      <c r="DJ37" s="25">
        <v>83</v>
      </c>
      <c r="DK37" s="25">
        <v>24</v>
      </c>
      <c r="DL37" s="25">
        <v>23</v>
      </c>
      <c r="DM37" s="25">
        <v>56</v>
      </c>
      <c r="DN37" s="25">
        <v>68</v>
      </c>
      <c r="DO37" s="25">
        <v>81</v>
      </c>
      <c r="DP37" s="25">
        <v>61</v>
      </c>
      <c r="DQ37" s="25">
        <v>75</v>
      </c>
      <c r="DR37" s="25">
        <v>50</v>
      </c>
      <c r="DS37" s="25">
        <v>5</v>
      </c>
      <c r="DT37" s="25">
        <v>8</v>
      </c>
      <c r="DU37" s="25">
        <v>6592</v>
      </c>
      <c r="DV37" s="25">
        <v>647</v>
      </c>
      <c r="DW37" s="25">
        <v>4435</v>
      </c>
      <c r="DX37" s="25">
        <v>487</v>
      </c>
      <c r="DY37" s="25">
        <v>3111</v>
      </c>
      <c r="DZ37" s="25">
        <v>378</v>
      </c>
      <c r="EA37" s="25">
        <v>1324</v>
      </c>
      <c r="EB37" s="25">
        <v>281</v>
      </c>
      <c r="EC37" s="25">
        <v>233</v>
      </c>
      <c r="ED37" s="25">
        <v>82</v>
      </c>
      <c r="EE37" s="25">
        <v>68</v>
      </c>
      <c r="EF37" s="25">
        <v>53</v>
      </c>
      <c r="EG37" s="25">
        <v>123</v>
      </c>
      <c r="EH37" s="25">
        <v>62</v>
      </c>
      <c r="EI37" s="25">
        <v>260</v>
      </c>
      <c r="EJ37" s="25">
        <v>109</v>
      </c>
      <c r="EK37" s="25">
        <v>1445</v>
      </c>
      <c r="EL37" s="25">
        <v>270</v>
      </c>
      <c r="EM37" s="25">
        <v>28</v>
      </c>
      <c r="EN37" s="25">
        <v>22</v>
      </c>
    </row>
    <row r="39" spans="1:144" x14ac:dyDescent="0.25">
      <c r="A39" s="19">
        <f>VLOOKUP($C39, lu_GEOID, 2, FALSE)</f>
        <v>101</v>
      </c>
      <c r="B39" s="20" t="str">
        <f>VLOOKUP($C39, lu_GEOID, 3, FALSE)</f>
        <v>Wasatch Front</v>
      </c>
      <c r="C39" s="17" t="s">
        <v>401</v>
      </c>
      <c r="D39" s="21" t="str">
        <f>B39</f>
        <v>Wasatch Front</v>
      </c>
      <c r="E39" s="22">
        <f>E14 + E26 + E33 + E37</f>
        <v>1145178</v>
      </c>
      <c r="F39" s="22">
        <f t="shared" ref="F39:BQ39" si="10">F14 + F26 + F33 + F37</f>
        <v>7321</v>
      </c>
      <c r="G39" s="22">
        <f t="shared" si="10"/>
        <v>846539</v>
      </c>
      <c r="H39" s="22">
        <f t="shared" si="10"/>
        <v>8378</v>
      </c>
      <c r="I39" s="22">
        <f t="shared" si="10"/>
        <v>801141</v>
      </c>
      <c r="J39" s="22">
        <f t="shared" si="10"/>
        <v>8284</v>
      </c>
      <c r="K39" s="22">
        <f t="shared" si="10"/>
        <v>45398</v>
      </c>
      <c r="L39" s="22">
        <f t="shared" si="10"/>
        <v>2731</v>
      </c>
      <c r="M39" s="22">
        <f t="shared" si="10"/>
        <v>85951</v>
      </c>
      <c r="N39" s="22">
        <f t="shared" si="10"/>
        <v>3869</v>
      </c>
      <c r="O39" s="22">
        <f t="shared" si="10"/>
        <v>61031</v>
      </c>
      <c r="P39" s="22">
        <f t="shared" si="10"/>
        <v>3218</v>
      </c>
      <c r="Q39" s="22">
        <f t="shared" si="10"/>
        <v>60858</v>
      </c>
      <c r="R39" s="22">
        <f t="shared" si="10"/>
        <v>3038</v>
      </c>
      <c r="S39" s="22">
        <f t="shared" si="10"/>
        <v>37624</v>
      </c>
      <c r="T39" s="22">
        <f t="shared" si="10"/>
        <v>2661</v>
      </c>
      <c r="U39" s="22">
        <f t="shared" si="10"/>
        <v>51396</v>
      </c>
      <c r="V39" s="22">
        <f t="shared" si="10"/>
        <v>2809</v>
      </c>
      <c r="W39" s="22">
        <f t="shared" si="10"/>
        <v>1779</v>
      </c>
      <c r="X39" s="22">
        <f t="shared" si="10"/>
        <v>577</v>
      </c>
      <c r="Y39" s="22">
        <f t="shared" si="10"/>
        <v>871047</v>
      </c>
      <c r="Z39" s="22">
        <f t="shared" si="10"/>
        <v>8688</v>
      </c>
      <c r="AA39" s="22">
        <f t="shared" si="10"/>
        <v>652766</v>
      </c>
      <c r="AB39" s="22">
        <f t="shared" si="10"/>
        <v>8836</v>
      </c>
      <c r="AC39" s="22">
        <f t="shared" si="10"/>
        <v>624322</v>
      </c>
      <c r="AD39" s="22">
        <f t="shared" si="10"/>
        <v>8746</v>
      </c>
      <c r="AE39" s="22">
        <f t="shared" si="10"/>
        <v>28444</v>
      </c>
      <c r="AF39" s="22">
        <f t="shared" si="10"/>
        <v>2077</v>
      </c>
      <c r="AG39" s="22">
        <f t="shared" si="10"/>
        <v>64059</v>
      </c>
      <c r="AH39" s="22">
        <f t="shared" si="10"/>
        <v>3143</v>
      </c>
      <c r="AI39" s="22">
        <f t="shared" si="10"/>
        <v>49904</v>
      </c>
      <c r="AJ39" s="22">
        <f t="shared" si="10"/>
        <v>2872</v>
      </c>
      <c r="AK39" s="22">
        <f t="shared" si="10"/>
        <v>46290</v>
      </c>
      <c r="AL39" s="22">
        <f t="shared" si="10"/>
        <v>2624</v>
      </c>
      <c r="AM39" s="22">
        <f t="shared" si="10"/>
        <v>31260</v>
      </c>
      <c r="AN39" s="22">
        <f t="shared" si="10"/>
        <v>2400</v>
      </c>
      <c r="AO39" s="22">
        <f t="shared" si="10"/>
        <v>25892</v>
      </c>
      <c r="AP39" s="22">
        <f t="shared" si="10"/>
        <v>2127</v>
      </c>
      <c r="AQ39" s="22">
        <f t="shared" si="10"/>
        <v>876</v>
      </c>
      <c r="AR39" s="22">
        <f t="shared" si="10"/>
        <v>329</v>
      </c>
      <c r="AS39" s="22">
        <f t="shared" si="10"/>
        <v>121731</v>
      </c>
      <c r="AT39" s="22">
        <f t="shared" si="10"/>
        <v>4899</v>
      </c>
      <c r="AU39" s="22">
        <f t="shared" si="10"/>
        <v>92792</v>
      </c>
      <c r="AV39" s="22">
        <f t="shared" si="10"/>
        <v>4524</v>
      </c>
      <c r="AW39" s="22">
        <f t="shared" si="10"/>
        <v>89231</v>
      </c>
      <c r="AX39" s="22">
        <f t="shared" si="10"/>
        <v>4452</v>
      </c>
      <c r="AY39" s="22">
        <f t="shared" si="10"/>
        <v>3561</v>
      </c>
      <c r="AZ39" s="22">
        <f t="shared" si="10"/>
        <v>822</v>
      </c>
      <c r="BA39" s="22">
        <f t="shared" si="10"/>
        <v>8279</v>
      </c>
      <c r="BB39" s="22">
        <f t="shared" si="10"/>
        <v>1089</v>
      </c>
      <c r="BC39" s="22">
        <f t="shared" si="10"/>
        <v>6356</v>
      </c>
      <c r="BD39" s="22">
        <f t="shared" si="10"/>
        <v>983</v>
      </c>
      <c r="BE39" s="22">
        <f t="shared" si="10"/>
        <v>6238</v>
      </c>
      <c r="BF39" s="22">
        <f t="shared" si="10"/>
        <v>1023</v>
      </c>
      <c r="BG39" s="22">
        <f t="shared" si="10"/>
        <v>3530</v>
      </c>
      <c r="BH39" s="22">
        <f t="shared" si="10"/>
        <v>830</v>
      </c>
      <c r="BI39" s="22">
        <f t="shared" si="10"/>
        <v>4289</v>
      </c>
      <c r="BJ39" s="22">
        <f t="shared" si="10"/>
        <v>938</v>
      </c>
      <c r="BK39" s="22">
        <f t="shared" si="10"/>
        <v>247</v>
      </c>
      <c r="BL39" s="22">
        <f t="shared" si="10"/>
        <v>222</v>
      </c>
      <c r="BM39" s="22">
        <f t="shared" si="10"/>
        <v>32989</v>
      </c>
      <c r="BN39" s="22">
        <f t="shared" si="10"/>
        <v>2423</v>
      </c>
      <c r="BO39" s="22">
        <f t="shared" si="10"/>
        <v>20508</v>
      </c>
      <c r="BP39" s="22">
        <f t="shared" si="10"/>
        <v>1863</v>
      </c>
      <c r="BQ39" s="22">
        <f t="shared" si="10"/>
        <v>20215</v>
      </c>
      <c r="BR39" s="22">
        <f t="shared" ref="BR39:EC39" si="11">BR14 + BR26 + BR33 + BR37</f>
        <v>1849</v>
      </c>
      <c r="BS39" s="22">
        <f t="shared" si="11"/>
        <v>293</v>
      </c>
      <c r="BT39" s="22">
        <f t="shared" si="11"/>
        <v>219</v>
      </c>
      <c r="BU39" s="22">
        <f t="shared" si="11"/>
        <v>4879</v>
      </c>
      <c r="BV39" s="22">
        <f t="shared" si="11"/>
        <v>813</v>
      </c>
      <c r="BW39" s="22">
        <f t="shared" si="11"/>
        <v>1671</v>
      </c>
      <c r="BX39" s="22">
        <f t="shared" si="11"/>
        <v>500</v>
      </c>
      <c r="BY39" s="22">
        <f t="shared" si="11"/>
        <v>4168</v>
      </c>
      <c r="BZ39" s="22">
        <f t="shared" si="11"/>
        <v>711</v>
      </c>
      <c r="CA39" s="22">
        <f t="shared" si="11"/>
        <v>1118</v>
      </c>
      <c r="CB39" s="22">
        <f t="shared" si="11"/>
        <v>464</v>
      </c>
      <c r="CC39" s="22">
        <f t="shared" si="11"/>
        <v>550</v>
      </c>
      <c r="CD39" s="22">
        <f t="shared" si="11"/>
        <v>332</v>
      </c>
      <c r="CE39" s="22">
        <f t="shared" si="11"/>
        <v>95</v>
      </c>
      <c r="CF39" s="22">
        <f t="shared" si="11"/>
        <v>196</v>
      </c>
      <c r="CG39" s="22">
        <f t="shared" si="11"/>
        <v>27662</v>
      </c>
      <c r="CH39" s="22">
        <f t="shared" si="11"/>
        <v>2545</v>
      </c>
      <c r="CI39" s="22">
        <f t="shared" si="11"/>
        <v>19390</v>
      </c>
      <c r="CJ39" s="22">
        <f t="shared" si="11"/>
        <v>2103</v>
      </c>
      <c r="CK39" s="22">
        <f t="shared" si="11"/>
        <v>18691</v>
      </c>
      <c r="CL39" s="22">
        <f t="shared" si="11"/>
        <v>2078</v>
      </c>
      <c r="CM39" s="22">
        <f t="shared" si="11"/>
        <v>699</v>
      </c>
      <c r="CN39" s="22">
        <f t="shared" si="11"/>
        <v>279</v>
      </c>
      <c r="CO39" s="22">
        <f t="shared" si="11"/>
        <v>3776</v>
      </c>
      <c r="CP39" s="22">
        <f t="shared" si="11"/>
        <v>903</v>
      </c>
      <c r="CQ39" s="22">
        <f t="shared" si="11"/>
        <v>1352</v>
      </c>
      <c r="CR39" s="22">
        <f t="shared" si="11"/>
        <v>472</v>
      </c>
      <c r="CS39" s="22">
        <f t="shared" si="11"/>
        <v>1729</v>
      </c>
      <c r="CT39" s="22">
        <f t="shared" si="11"/>
        <v>569</v>
      </c>
      <c r="CU39" s="22">
        <f t="shared" si="11"/>
        <v>374</v>
      </c>
      <c r="CV39" s="22">
        <f t="shared" si="11"/>
        <v>222</v>
      </c>
      <c r="CW39" s="22">
        <f t="shared" si="11"/>
        <v>1006</v>
      </c>
      <c r="CX39" s="22">
        <f t="shared" si="11"/>
        <v>360</v>
      </c>
      <c r="CY39" s="22">
        <f t="shared" si="11"/>
        <v>35</v>
      </c>
      <c r="CZ39" s="22">
        <f t="shared" si="11"/>
        <v>101</v>
      </c>
      <c r="DA39" s="22">
        <f t="shared" si="11"/>
        <v>19418</v>
      </c>
      <c r="DB39" s="22">
        <f t="shared" si="11"/>
        <v>2007</v>
      </c>
      <c r="DC39" s="22">
        <f t="shared" si="11"/>
        <v>14322</v>
      </c>
      <c r="DD39" s="22">
        <f t="shared" si="11"/>
        <v>1767</v>
      </c>
      <c r="DE39" s="22">
        <f t="shared" si="11"/>
        <v>13701</v>
      </c>
      <c r="DF39" s="22">
        <f t="shared" si="11"/>
        <v>1714</v>
      </c>
      <c r="DG39" s="22">
        <f t="shared" si="11"/>
        <v>621</v>
      </c>
      <c r="DH39" s="22">
        <f t="shared" si="11"/>
        <v>312</v>
      </c>
      <c r="DI39" s="22">
        <f t="shared" si="11"/>
        <v>2026</v>
      </c>
      <c r="DJ39" s="22">
        <f t="shared" si="11"/>
        <v>636</v>
      </c>
      <c r="DK39" s="22">
        <f t="shared" si="11"/>
        <v>736</v>
      </c>
      <c r="DL39" s="22">
        <f t="shared" si="11"/>
        <v>356</v>
      </c>
      <c r="DM39" s="22">
        <f t="shared" si="11"/>
        <v>1041</v>
      </c>
      <c r="DN39" s="22">
        <f t="shared" si="11"/>
        <v>342</v>
      </c>
      <c r="DO39" s="22">
        <f t="shared" si="11"/>
        <v>368</v>
      </c>
      <c r="DP39" s="22">
        <f t="shared" si="11"/>
        <v>226</v>
      </c>
      <c r="DQ39" s="22">
        <f t="shared" si="11"/>
        <v>901</v>
      </c>
      <c r="DR39" s="22">
        <f t="shared" si="11"/>
        <v>373</v>
      </c>
      <c r="DS39" s="22">
        <f t="shared" si="11"/>
        <v>24</v>
      </c>
      <c r="DT39" s="22">
        <f t="shared" si="11"/>
        <v>87</v>
      </c>
      <c r="DU39" s="22">
        <f t="shared" si="11"/>
        <v>72331</v>
      </c>
      <c r="DV39" s="22">
        <f t="shared" si="11"/>
        <v>3922</v>
      </c>
      <c r="DW39" s="22">
        <f t="shared" si="11"/>
        <v>46761</v>
      </c>
      <c r="DX39" s="22">
        <f t="shared" si="11"/>
        <v>3047</v>
      </c>
      <c r="DY39" s="22">
        <f t="shared" si="11"/>
        <v>34981</v>
      </c>
      <c r="DZ39" s="22">
        <f t="shared" si="11"/>
        <v>2464</v>
      </c>
      <c r="EA39" s="22">
        <f t="shared" si="11"/>
        <v>11780</v>
      </c>
      <c r="EB39" s="22">
        <f t="shared" si="11"/>
        <v>1591</v>
      </c>
      <c r="EC39" s="22">
        <f t="shared" si="11"/>
        <v>2932</v>
      </c>
      <c r="ED39" s="22">
        <f t="shared" ref="ED39:EN39" si="12">ED14 + ED26 + ED33 + ED37</f>
        <v>579</v>
      </c>
      <c r="EE39" s="22">
        <f t="shared" si="12"/>
        <v>1012</v>
      </c>
      <c r="EF39" s="22">
        <f t="shared" si="12"/>
        <v>364</v>
      </c>
      <c r="EG39" s="22">
        <f t="shared" si="12"/>
        <v>1392</v>
      </c>
      <c r="EH39" s="22">
        <f t="shared" si="12"/>
        <v>434</v>
      </c>
      <c r="EI39" s="22">
        <f t="shared" si="12"/>
        <v>974</v>
      </c>
      <c r="EJ39" s="22">
        <f t="shared" si="12"/>
        <v>404</v>
      </c>
      <c r="EK39" s="22">
        <f t="shared" si="12"/>
        <v>18758</v>
      </c>
      <c r="EL39" s="22">
        <f t="shared" si="12"/>
        <v>1748</v>
      </c>
      <c r="EM39" s="22">
        <f t="shared" si="12"/>
        <v>502</v>
      </c>
      <c r="EN39" s="22">
        <f t="shared" si="12"/>
        <v>296</v>
      </c>
    </row>
  </sheetData>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3:K73"/>
  <sheetViews>
    <sheetView zoomScale="80" zoomScaleNormal="80" workbookViewId="0"/>
  </sheetViews>
  <sheetFormatPr defaultRowHeight="15" x14ac:dyDescent="0.25"/>
  <cols>
    <col min="1" max="1" width="17.5703125" style="1" customWidth="1"/>
    <col min="2" max="2" width="14.28515625" style="1" customWidth="1"/>
    <col min="3" max="3" width="22.42578125" style="1" customWidth="1"/>
    <col min="4" max="5" width="9.140625" style="1"/>
    <col min="6" max="6" width="16" style="1" bestFit="1" customWidth="1"/>
    <col min="7" max="7" width="60.28515625" style="1" bestFit="1" customWidth="1"/>
    <col min="8" max="11" width="14.5703125" style="1" customWidth="1"/>
    <col min="12" max="16384" width="9.140625" style="1"/>
  </cols>
  <sheetData>
    <row r="3" spans="1:11" x14ac:dyDescent="0.25">
      <c r="A3" s="2" t="s">
        <v>0</v>
      </c>
      <c r="B3" s="2" t="s">
        <v>356</v>
      </c>
      <c r="C3" s="2" t="s">
        <v>357</v>
      </c>
      <c r="F3" s="2" t="s">
        <v>358</v>
      </c>
      <c r="G3" s="2" t="s">
        <v>357</v>
      </c>
      <c r="H3" s="2" t="s">
        <v>399</v>
      </c>
      <c r="I3" s="2" t="s">
        <v>398</v>
      </c>
      <c r="J3" s="2" t="s">
        <v>396</v>
      </c>
      <c r="K3" s="2" t="s">
        <v>397</v>
      </c>
    </row>
    <row r="4" spans="1:11" x14ac:dyDescent="0.25">
      <c r="A4" s="3" t="s">
        <v>288</v>
      </c>
      <c r="B4" s="14">
        <v>1</v>
      </c>
      <c r="C4" s="16" t="s">
        <v>359</v>
      </c>
      <c r="F4" s="4">
        <v>100</v>
      </c>
      <c r="G4" s="5" t="s">
        <v>346</v>
      </c>
      <c r="H4" s="5" t="s">
        <v>2</v>
      </c>
      <c r="I4" s="11">
        <f t="shared" ref="I4:I35" si="0">$F4 + 0.1</f>
        <v>100.1</v>
      </c>
      <c r="J4" s="5" t="s">
        <v>3</v>
      </c>
      <c r="K4" s="11">
        <f t="shared" ref="K4:K35" si="1">$F4 + 0.2</f>
        <v>100.2</v>
      </c>
    </row>
    <row r="5" spans="1:11" x14ac:dyDescent="0.25">
      <c r="A5" s="10" t="s">
        <v>290</v>
      </c>
      <c r="B5" s="14">
        <v>3</v>
      </c>
      <c r="C5" s="16" t="s">
        <v>360</v>
      </c>
      <c r="F5" s="6">
        <f>F4 + 10</f>
        <v>110</v>
      </c>
      <c r="G5" s="7" t="s">
        <v>361</v>
      </c>
      <c r="H5" s="7" t="s">
        <v>4</v>
      </c>
      <c r="I5" s="12">
        <f t="shared" si="0"/>
        <v>110.1</v>
      </c>
      <c r="J5" s="7" t="s">
        <v>5</v>
      </c>
      <c r="K5" s="12">
        <f t="shared" si="1"/>
        <v>110.2</v>
      </c>
    </row>
    <row r="6" spans="1:11" x14ac:dyDescent="0.25">
      <c r="A6" s="10" t="s">
        <v>292</v>
      </c>
      <c r="B6" s="14">
        <v>5</v>
      </c>
      <c r="C6" s="16" t="s">
        <v>362</v>
      </c>
      <c r="F6" s="6">
        <f>F5 + 1</f>
        <v>111</v>
      </c>
      <c r="G6" s="7" t="s">
        <v>347</v>
      </c>
      <c r="H6" s="7" t="s">
        <v>6</v>
      </c>
      <c r="I6" s="12">
        <f t="shared" si="0"/>
        <v>111.1</v>
      </c>
      <c r="J6" s="7" t="s">
        <v>7</v>
      </c>
      <c r="K6" s="12">
        <f t="shared" si="1"/>
        <v>111.2</v>
      </c>
    </row>
    <row r="7" spans="1:11" x14ac:dyDescent="0.25">
      <c r="A7" s="10" t="s">
        <v>294</v>
      </c>
      <c r="B7" s="14">
        <v>7</v>
      </c>
      <c r="C7" s="16" t="s">
        <v>363</v>
      </c>
      <c r="F7" s="6">
        <f>F6 + 1</f>
        <v>112</v>
      </c>
      <c r="G7" s="7" t="s">
        <v>348</v>
      </c>
      <c r="H7" s="7" t="s">
        <v>8</v>
      </c>
      <c r="I7" s="12">
        <f t="shared" si="0"/>
        <v>112.1</v>
      </c>
      <c r="J7" s="7" t="s">
        <v>9</v>
      </c>
      <c r="K7" s="12">
        <f t="shared" si="1"/>
        <v>112.2</v>
      </c>
    </row>
    <row r="8" spans="1:11" x14ac:dyDescent="0.25">
      <c r="A8" s="10" t="s">
        <v>296</v>
      </c>
      <c r="B8" s="14">
        <v>9</v>
      </c>
      <c r="C8" s="16" t="s">
        <v>364</v>
      </c>
      <c r="F8" s="6">
        <f>F5 + 10</f>
        <v>120</v>
      </c>
      <c r="G8" s="7" t="s">
        <v>349</v>
      </c>
      <c r="H8" s="7" t="s">
        <v>10</v>
      </c>
      <c r="I8" s="12">
        <f t="shared" si="0"/>
        <v>120.1</v>
      </c>
      <c r="J8" s="7" t="s">
        <v>11</v>
      </c>
      <c r="K8" s="12">
        <f t="shared" si="1"/>
        <v>120.2</v>
      </c>
    </row>
    <row r="9" spans="1:11" x14ac:dyDescent="0.25">
      <c r="A9" s="10" t="s">
        <v>298</v>
      </c>
      <c r="B9" s="14">
        <v>11</v>
      </c>
      <c r="C9" s="16" t="s">
        <v>365</v>
      </c>
      <c r="F9" s="6">
        <f t="shared" ref="F9:F13" si="2">F8 + 10</f>
        <v>130</v>
      </c>
      <c r="G9" s="7" t="s">
        <v>350</v>
      </c>
      <c r="H9" s="7" t="s">
        <v>12</v>
      </c>
      <c r="I9" s="12">
        <f t="shared" si="0"/>
        <v>130.1</v>
      </c>
      <c r="J9" s="7" t="s">
        <v>13</v>
      </c>
      <c r="K9" s="12">
        <f t="shared" si="1"/>
        <v>130.19999999999999</v>
      </c>
    </row>
    <row r="10" spans="1:11" x14ac:dyDescent="0.25">
      <c r="A10" s="10" t="s">
        <v>300</v>
      </c>
      <c r="B10" s="14">
        <v>13</v>
      </c>
      <c r="C10" s="16" t="s">
        <v>366</v>
      </c>
      <c r="F10" s="6">
        <f t="shared" si="2"/>
        <v>140</v>
      </c>
      <c r="G10" s="7" t="s">
        <v>351</v>
      </c>
      <c r="H10" s="7" t="s">
        <v>14</v>
      </c>
      <c r="I10" s="12">
        <f t="shared" si="0"/>
        <v>140.1</v>
      </c>
      <c r="J10" s="7" t="s">
        <v>15</v>
      </c>
      <c r="K10" s="12">
        <f t="shared" si="1"/>
        <v>140.19999999999999</v>
      </c>
    </row>
    <row r="11" spans="1:11" x14ac:dyDescent="0.25">
      <c r="A11" s="10" t="s">
        <v>302</v>
      </c>
      <c r="B11" s="14">
        <v>15</v>
      </c>
      <c r="C11" s="16" t="s">
        <v>367</v>
      </c>
      <c r="F11" s="6">
        <f t="shared" si="2"/>
        <v>150</v>
      </c>
      <c r="G11" s="7" t="s">
        <v>352</v>
      </c>
      <c r="H11" s="7" t="s">
        <v>16</v>
      </c>
      <c r="I11" s="12">
        <f t="shared" si="0"/>
        <v>150.1</v>
      </c>
      <c r="J11" s="7" t="s">
        <v>17</v>
      </c>
      <c r="K11" s="12">
        <f t="shared" si="1"/>
        <v>150.19999999999999</v>
      </c>
    </row>
    <row r="12" spans="1:11" x14ac:dyDescent="0.25">
      <c r="A12" s="10" t="s">
        <v>304</v>
      </c>
      <c r="B12" s="14">
        <v>17</v>
      </c>
      <c r="C12" s="16" t="s">
        <v>368</v>
      </c>
      <c r="F12" s="6">
        <f t="shared" si="2"/>
        <v>160</v>
      </c>
      <c r="G12" s="7" t="s">
        <v>353</v>
      </c>
      <c r="H12" s="7" t="s">
        <v>18</v>
      </c>
      <c r="I12" s="12">
        <f t="shared" si="0"/>
        <v>160.1</v>
      </c>
      <c r="J12" s="7" t="s">
        <v>19</v>
      </c>
      <c r="K12" s="12">
        <f t="shared" si="1"/>
        <v>160.19999999999999</v>
      </c>
    </row>
    <row r="13" spans="1:11" x14ac:dyDescent="0.25">
      <c r="A13" s="10" t="s">
        <v>306</v>
      </c>
      <c r="B13" s="14">
        <v>19</v>
      </c>
      <c r="C13" s="16" t="s">
        <v>369</v>
      </c>
      <c r="F13" s="6">
        <f t="shared" si="2"/>
        <v>170</v>
      </c>
      <c r="G13" s="7" t="s">
        <v>354</v>
      </c>
      <c r="H13" s="7" t="s">
        <v>20</v>
      </c>
      <c r="I13" s="12">
        <f t="shared" si="0"/>
        <v>170.1</v>
      </c>
      <c r="J13" s="7" t="s">
        <v>21</v>
      </c>
      <c r="K13" s="12">
        <f t="shared" si="1"/>
        <v>170.2</v>
      </c>
    </row>
    <row r="14" spans="1:11" x14ac:dyDescent="0.25">
      <c r="A14" s="10" t="s">
        <v>308</v>
      </c>
      <c r="B14" s="14">
        <v>21</v>
      </c>
      <c r="C14" s="16" t="s">
        <v>370</v>
      </c>
      <c r="F14" s="8">
        <f>F4 + 100</f>
        <v>200</v>
      </c>
      <c r="G14" s="5" t="s">
        <v>371</v>
      </c>
      <c r="H14" s="5" t="s">
        <v>22</v>
      </c>
      <c r="I14" s="11">
        <f t="shared" si="0"/>
        <v>200.1</v>
      </c>
      <c r="J14" s="5" t="s">
        <v>23</v>
      </c>
      <c r="K14" s="11">
        <f t="shared" si="1"/>
        <v>200.2</v>
      </c>
    </row>
    <row r="15" spans="1:11" x14ac:dyDescent="0.25">
      <c r="A15" s="10" t="s">
        <v>310</v>
      </c>
      <c r="B15" s="14">
        <v>23</v>
      </c>
      <c r="C15" s="16" t="s">
        <v>372</v>
      </c>
      <c r="F15" s="6">
        <f>F14 + 10</f>
        <v>210</v>
      </c>
      <c r="G15" s="7" t="s">
        <v>361</v>
      </c>
      <c r="H15" s="7" t="s">
        <v>24</v>
      </c>
      <c r="I15" s="12">
        <f t="shared" si="0"/>
        <v>210.1</v>
      </c>
      <c r="J15" s="7" t="s">
        <v>25</v>
      </c>
      <c r="K15" s="12">
        <f t="shared" si="1"/>
        <v>210.2</v>
      </c>
    </row>
    <row r="16" spans="1:11" x14ac:dyDescent="0.25">
      <c r="A16" s="10" t="s">
        <v>312</v>
      </c>
      <c r="B16" s="14">
        <v>25</v>
      </c>
      <c r="C16" s="16" t="s">
        <v>373</v>
      </c>
      <c r="F16" s="6">
        <f>F15 + 1</f>
        <v>211</v>
      </c>
      <c r="G16" s="7" t="s">
        <v>347</v>
      </c>
      <c r="H16" s="7" t="s">
        <v>26</v>
      </c>
      <c r="I16" s="12">
        <f t="shared" si="0"/>
        <v>211.1</v>
      </c>
      <c r="J16" s="7" t="s">
        <v>27</v>
      </c>
      <c r="K16" s="12">
        <f t="shared" si="1"/>
        <v>211.2</v>
      </c>
    </row>
    <row r="17" spans="1:11" x14ac:dyDescent="0.25">
      <c r="A17" s="10" t="s">
        <v>314</v>
      </c>
      <c r="B17" s="14">
        <v>27</v>
      </c>
      <c r="C17" s="16" t="s">
        <v>374</v>
      </c>
      <c r="F17" s="6">
        <f>F16 + 1</f>
        <v>212</v>
      </c>
      <c r="G17" s="7" t="s">
        <v>348</v>
      </c>
      <c r="H17" s="7" t="s">
        <v>28</v>
      </c>
      <c r="I17" s="12">
        <f t="shared" si="0"/>
        <v>212.1</v>
      </c>
      <c r="J17" s="7" t="s">
        <v>29</v>
      </c>
      <c r="K17" s="12">
        <f t="shared" si="1"/>
        <v>212.2</v>
      </c>
    </row>
    <row r="18" spans="1:11" x14ac:dyDescent="0.25">
      <c r="A18" s="10" t="s">
        <v>316</v>
      </c>
      <c r="B18" s="14">
        <v>29</v>
      </c>
      <c r="C18" s="16" t="s">
        <v>375</v>
      </c>
      <c r="F18" s="6">
        <f>F15 + 10</f>
        <v>220</v>
      </c>
      <c r="G18" s="7" t="s">
        <v>349</v>
      </c>
      <c r="H18" s="7" t="s">
        <v>30</v>
      </c>
      <c r="I18" s="12">
        <f t="shared" si="0"/>
        <v>220.1</v>
      </c>
      <c r="J18" s="7" t="s">
        <v>31</v>
      </c>
      <c r="K18" s="12">
        <f t="shared" si="1"/>
        <v>220.2</v>
      </c>
    </row>
    <row r="19" spans="1:11" x14ac:dyDescent="0.25">
      <c r="A19" s="10" t="s">
        <v>318</v>
      </c>
      <c r="B19" s="14">
        <v>31</v>
      </c>
      <c r="C19" s="16" t="s">
        <v>376</v>
      </c>
      <c r="F19" s="6">
        <f t="shared" ref="F19:F23" si="3">F18 + 10</f>
        <v>230</v>
      </c>
      <c r="G19" s="7" t="s">
        <v>350</v>
      </c>
      <c r="H19" s="7" t="s">
        <v>32</v>
      </c>
      <c r="I19" s="12">
        <f t="shared" si="0"/>
        <v>230.1</v>
      </c>
      <c r="J19" s="7" t="s">
        <v>33</v>
      </c>
      <c r="K19" s="12">
        <f t="shared" si="1"/>
        <v>230.2</v>
      </c>
    </row>
    <row r="20" spans="1:11" x14ac:dyDescent="0.25">
      <c r="A20" s="10" t="s">
        <v>320</v>
      </c>
      <c r="B20" s="14">
        <v>33</v>
      </c>
      <c r="C20" s="16" t="s">
        <v>377</v>
      </c>
      <c r="F20" s="6">
        <f t="shared" si="3"/>
        <v>240</v>
      </c>
      <c r="G20" s="7" t="s">
        <v>351</v>
      </c>
      <c r="H20" s="7" t="s">
        <v>34</v>
      </c>
      <c r="I20" s="12">
        <f t="shared" si="0"/>
        <v>240.1</v>
      </c>
      <c r="J20" s="7" t="s">
        <v>35</v>
      </c>
      <c r="K20" s="12">
        <f t="shared" si="1"/>
        <v>240.2</v>
      </c>
    </row>
    <row r="21" spans="1:11" x14ac:dyDescent="0.25">
      <c r="A21" s="10" t="s">
        <v>322</v>
      </c>
      <c r="B21" s="14">
        <v>35</v>
      </c>
      <c r="C21" s="16" t="s">
        <v>378</v>
      </c>
      <c r="F21" s="6">
        <f t="shared" si="3"/>
        <v>250</v>
      </c>
      <c r="G21" s="7" t="s">
        <v>352</v>
      </c>
      <c r="H21" s="7" t="s">
        <v>36</v>
      </c>
      <c r="I21" s="12">
        <f t="shared" si="0"/>
        <v>250.1</v>
      </c>
      <c r="J21" s="7" t="s">
        <v>37</v>
      </c>
      <c r="K21" s="12">
        <f t="shared" si="1"/>
        <v>250.2</v>
      </c>
    </row>
    <row r="22" spans="1:11" x14ac:dyDescent="0.25">
      <c r="A22" s="10" t="s">
        <v>324</v>
      </c>
      <c r="B22" s="14">
        <v>37</v>
      </c>
      <c r="C22" s="16" t="s">
        <v>379</v>
      </c>
      <c r="F22" s="6">
        <f t="shared" si="3"/>
        <v>260</v>
      </c>
      <c r="G22" s="7" t="s">
        <v>353</v>
      </c>
      <c r="H22" s="7" t="s">
        <v>38</v>
      </c>
      <c r="I22" s="12">
        <f t="shared" si="0"/>
        <v>260.10000000000002</v>
      </c>
      <c r="J22" s="7" t="s">
        <v>39</v>
      </c>
      <c r="K22" s="12">
        <f t="shared" si="1"/>
        <v>260.2</v>
      </c>
    </row>
    <row r="23" spans="1:11" x14ac:dyDescent="0.25">
      <c r="A23" s="10" t="s">
        <v>326</v>
      </c>
      <c r="B23" s="14">
        <v>39</v>
      </c>
      <c r="C23" s="16" t="s">
        <v>380</v>
      </c>
      <c r="F23" s="6">
        <f t="shared" si="3"/>
        <v>270</v>
      </c>
      <c r="G23" s="7" t="s">
        <v>354</v>
      </c>
      <c r="H23" s="7" t="s">
        <v>40</v>
      </c>
      <c r="I23" s="12">
        <f t="shared" si="0"/>
        <v>270.10000000000002</v>
      </c>
      <c r="J23" s="7" t="s">
        <v>41</v>
      </c>
      <c r="K23" s="12">
        <f t="shared" si="1"/>
        <v>270.2</v>
      </c>
    </row>
    <row r="24" spans="1:11" x14ac:dyDescent="0.25">
      <c r="A24" s="10" t="s">
        <v>328</v>
      </c>
      <c r="B24" s="14">
        <v>41</v>
      </c>
      <c r="C24" s="16" t="s">
        <v>381</v>
      </c>
      <c r="F24" s="8">
        <f>F14 + 100</f>
        <v>300</v>
      </c>
      <c r="G24" s="5" t="s">
        <v>382</v>
      </c>
      <c r="H24" s="5" t="s">
        <v>42</v>
      </c>
      <c r="I24" s="11">
        <f t="shared" si="0"/>
        <v>300.10000000000002</v>
      </c>
      <c r="J24" s="5" t="s">
        <v>43</v>
      </c>
      <c r="K24" s="11">
        <f t="shared" si="1"/>
        <v>300.2</v>
      </c>
    </row>
    <row r="25" spans="1:11" x14ac:dyDescent="0.25">
      <c r="A25" s="10" t="s">
        <v>330</v>
      </c>
      <c r="B25" s="14">
        <v>43</v>
      </c>
      <c r="C25" s="16" t="s">
        <v>383</v>
      </c>
      <c r="F25" s="6">
        <f>F24 + 10</f>
        <v>310</v>
      </c>
      <c r="G25" s="7" t="s">
        <v>361</v>
      </c>
      <c r="H25" s="7" t="s">
        <v>44</v>
      </c>
      <c r="I25" s="12">
        <f t="shared" si="0"/>
        <v>310.10000000000002</v>
      </c>
      <c r="J25" s="7" t="s">
        <v>45</v>
      </c>
      <c r="K25" s="12">
        <f t="shared" si="1"/>
        <v>310.2</v>
      </c>
    </row>
    <row r="26" spans="1:11" x14ac:dyDescent="0.25">
      <c r="A26" s="10" t="s">
        <v>332</v>
      </c>
      <c r="B26" s="14">
        <v>45</v>
      </c>
      <c r="C26" s="16" t="s">
        <v>384</v>
      </c>
      <c r="F26" s="6">
        <f>F25 + 1</f>
        <v>311</v>
      </c>
      <c r="G26" s="7" t="s">
        <v>347</v>
      </c>
      <c r="H26" s="7" t="s">
        <v>46</v>
      </c>
      <c r="I26" s="12">
        <f t="shared" si="0"/>
        <v>311.10000000000002</v>
      </c>
      <c r="J26" s="7" t="s">
        <v>47</v>
      </c>
      <c r="K26" s="12">
        <f t="shared" si="1"/>
        <v>311.2</v>
      </c>
    </row>
    <row r="27" spans="1:11" x14ac:dyDescent="0.25">
      <c r="A27" s="10" t="s">
        <v>334</v>
      </c>
      <c r="B27" s="14">
        <v>47</v>
      </c>
      <c r="C27" s="16" t="s">
        <v>385</v>
      </c>
      <c r="F27" s="6">
        <f>F26 + 1</f>
        <v>312</v>
      </c>
      <c r="G27" s="7" t="s">
        <v>348</v>
      </c>
      <c r="H27" s="7" t="s">
        <v>48</v>
      </c>
      <c r="I27" s="12">
        <f t="shared" si="0"/>
        <v>312.10000000000002</v>
      </c>
      <c r="J27" s="7" t="s">
        <v>49</v>
      </c>
      <c r="K27" s="12">
        <f t="shared" si="1"/>
        <v>312.2</v>
      </c>
    </row>
    <row r="28" spans="1:11" x14ac:dyDescent="0.25">
      <c r="A28" s="10" t="s">
        <v>336</v>
      </c>
      <c r="B28" s="14">
        <v>49</v>
      </c>
      <c r="C28" s="16" t="s">
        <v>287</v>
      </c>
      <c r="F28" s="6">
        <f>F25 + 10</f>
        <v>320</v>
      </c>
      <c r="G28" s="7" t="s">
        <v>349</v>
      </c>
      <c r="H28" s="7" t="s">
        <v>50</v>
      </c>
      <c r="I28" s="12">
        <f t="shared" si="0"/>
        <v>320.10000000000002</v>
      </c>
      <c r="J28" s="7" t="s">
        <v>51</v>
      </c>
      <c r="K28" s="12">
        <f t="shared" si="1"/>
        <v>320.2</v>
      </c>
    </row>
    <row r="29" spans="1:11" x14ac:dyDescent="0.25">
      <c r="A29" s="10" t="s">
        <v>338</v>
      </c>
      <c r="B29" s="14">
        <v>51</v>
      </c>
      <c r="C29" s="16" t="s">
        <v>386</v>
      </c>
      <c r="F29" s="6">
        <f t="shared" ref="F29:F33" si="4">F28 + 10</f>
        <v>330</v>
      </c>
      <c r="G29" s="7" t="s">
        <v>350</v>
      </c>
      <c r="H29" s="7" t="s">
        <v>52</v>
      </c>
      <c r="I29" s="12">
        <f t="shared" si="0"/>
        <v>330.1</v>
      </c>
      <c r="J29" s="7" t="s">
        <v>53</v>
      </c>
      <c r="K29" s="12">
        <f t="shared" si="1"/>
        <v>330.2</v>
      </c>
    </row>
    <row r="30" spans="1:11" x14ac:dyDescent="0.25">
      <c r="A30" s="10" t="s">
        <v>340</v>
      </c>
      <c r="B30" s="14">
        <v>53</v>
      </c>
      <c r="C30" s="16" t="s">
        <v>387</v>
      </c>
      <c r="F30" s="6">
        <f t="shared" si="4"/>
        <v>340</v>
      </c>
      <c r="G30" s="7" t="s">
        <v>351</v>
      </c>
      <c r="H30" s="7" t="s">
        <v>54</v>
      </c>
      <c r="I30" s="12">
        <f t="shared" si="0"/>
        <v>340.1</v>
      </c>
      <c r="J30" s="7" t="s">
        <v>55</v>
      </c>
      <c r="K30" s="12">
        <f t="shared" si="1"/>
        <v>340.2</v>
      </c>
    </row>
    <row r="31" spans="1:11" x14ac:dyDescent="0.25">
      <c r="A31" s="10" t="s">
        <v>342</v>
      </c>
      <c r="B31" s="14">
        <v>55</v>
      </c>
      <c r="C31" s="16" t="s">
        <v>388</v>
      </c>
      <c r="F31" s="6">
        <f t="shared" si="4"/>
        <v>350</v>
      </c>
      <c r="G31" s="7" t="s">
        <v>352</v>
      </c>
      <c r="H31" s="7" t="s">
        <v>56</v>
      </c>
      <c r="I31" s="12">
        <f t="shared" si="0"/>
        <v>350.1</v>
      </c>
      <c r="J31" s="7" t="s">
        <v>57</v>
      </c>
      <c r="K31" s="12">
        <f t="shared" si="1"/>
        <v>350.2</v>
      </c>
    </row>
    <row r="32" spans="1:11" x14ac:dyDescent="0.25">
      <c r="A32" s="10" t="s">
        <v>344</v>
      </c>
      <c r="B32" s="14">
        <v>57</v>
      </c>
      <c r="C32" s="16" t="s">
        <v>389</v>
      </c>
      <c r="F32" s="6">
        <f t="shared" si="4"/>
        <v>360</v>
      </c>
      <c r="G32" s="7" t="s">
        <v>353</v>
      </c>
      <c r="H32" s="7" t="s">
        <v>58</v>
      </c>
      <c r="I32" s="12">
        <f t="shared" si="0"/>
        <v>360.1</v>
      </c>
      <c r="J32" s="7" t="s">
        <v>59</v>
      </c>
      <c r="K32" s="12">
        <f t="shared" si="1"/>
        <v>360.2</v>
      </c>
    </row>
    <row r="33" spans="1:11" x14ac:dyDescent="0.25">
      <c r="A33" s="10" t="s">
        <v>401</v>
      </c>
      <c r="B33" s="15">
        <v>101</v>
      </c>
      <c r="C33" s="17" t="s">
        <v>390</v>
      </c>
      <c r="F33" s="6">
        <f t="shared" si="4"/>
        <v>370</v>
      </c>
      <c r="G33" s="7" t="s">
        <v>354</v>
      </c>
      <c r="H33" s="7" t="s">
        <v>60</v>
      </c>
      <c r="I33" s="12">
        <f t="shared" si="0"/>
        <v>370.1</v>
      </c>
      <c r="J33" s="7" t="s">
        <v>61</v>
      </c>
      <c r="K33" s="12">
        <f t="shared" si="1"/>
        <v>370.2</v>
      </c>
    </row>
    <row r="34" spans="1:11" x14ac:dyDescent="0.25">
      <c r="A34" s="10" t="s">
        <v>286</v>
      </c>
      <c r="B34" s="15">
        <v>1049</v>
      </c>
      <c r="C34" s="18" t="s">
        <v>391</v>
      </c>
      <c r="F34" s="8">
        <f>F24 + 100</f>
        <v>400</v>
      </c>
      <c r="G34" s="5" t="s">
        <v>392</v>
      </c>
      <c r="H34" s="5" t="s">
        <v>62</v>
      </c>
      <c r="I34" s="11">
        <f t="shared" si="0"/>
        <v>400.1</v>
      </c>
      <c r="J34" s="5" t="s">
        <v>63</v>
      </c>
      <c r="K34" s="11">
        <f t="shared" si="1"/>
        <v>400.2</v>
      </c>
    </row>
    <row r="35" spans="1:11" x14ac:dyDescent="0.25">
      <c r="A35" s="10" t="s">
        <v>284</v>
      </c>
      <c r="B35" s="15">
        <v>1000</v>
      </c>
      <c r="C35" s="18" t="s">
        <v>285</v>
      </c>
      <c r="F35" s="6">
        <f>F34 + 10</f>
        <v>410</v>
      </c>
      <c r="G35" s="7" t="s">
        <v>361</v>
      </c>
      <c r="H35" s="7" t="s">
        <v>64</v>
      </c>
      <c r="I35" s="12">
        <f t="shared" si="0"/>
        <v>410.1</v>
      </c>
      <c r="J35" s="7" t="s">
        <v>65</v>
      </c>
      <c r="K35" s="12">
        <f t="shared" si="1"/>
        <v>410.2</v>
      </c>
    </row>
    <row r="36" spans="1:11" x14ac:dyDescent="0.25">
      <c r="F36" s="6">
        <f>F35 + 1</f>
        <v>411</v>
      </c>
      <c r="G36" s="7" t="s">
        <v>347</v>
      </c>
      <c r="H36" s="7" t="s">
        <v>66</v>
      </c>
      <c r="I36" s="12">
        <f t="shared" ref="I36:I67" si="5">$F36 + 0.1</f>
        <v>411.1</v>
      </c>
      <c r="J36" s="7" t="s">
        <v>67</v>
      </c>
      <c r="K36" s="12">
        <f t="shared" ref="K36:K67" si="6">$F36 + 0.2</f>
        <v>411.2</v>
      </c>
    </row>
    <row r="37" spans="1:11" x14ac:dyDescent="0.25">
      <c r="F37" s="6">
        <f>F36 + 1</f>
        <v>412</v>
      </c>
      <c r="G37" s="7" t="s">
        <v>348</v>
      </c>
      <c r="H37" s="7" t="s">
        <v>68</v>
      </c>
      <c r="I37" s="12">
        <f t="shared" si="5"/>
        <v>412.1</v>
      </c>
      <c r="J37" s="7" t="s">
        <v>69</v>
      </c>
      <c r="K37" s="12">
        <f t="shared" si="6"/>
        <v>412.2</v>
      </c>
    </row>
    <row r="38" spans="1:11" x14ac:dyDescent="0.25">
      <c r="F38" s="6">
        <f>F35 + 10</f>
        <v>420</v>
      </c>
      <c r="G38" s="7" t="s">
        <v>349</v>
      </c>
      <c r="H38" s="7" t="s">
        <v>70</v>
      </c>
      <c r="I38" s="12">
        <f t="shared" si="5"/>
        <v>420.1</v>
      </c>
      <c r="J38" s="7" t="s">
        <v>71</v>
      </c>
      <c r="K38" s="12">
        <f t="shared" si="6"/>
        <v>420.2</v>
      </c>
    </row>
    <row r="39" spans="1:11" x14ac:dyDescent="0.25">
      <c r="F39" s="6">
        <f t="shared" ref="F39:F43" si="7">F38 + 10</f>
        <v>430</v>
      </c>
      <c r="G39" s="7" t="s">
        <v>350</v>
      </c>
      <c r="H39" s="7" t="s">
        <v>72</v>
      </c>
      <c r="I39" s="12">
        <f t="shared" si="5"/>
        <v>430.1</v>
      </c>
      <c r="J39" s="7" t="s">
        <v>73</v>
      </c>
      <c r="K39" s="12">
        <f t="shared" si="6"/>
        <v>430.2</v>
      </c>
    </row>
    <row r="40" spans="1:11" x14ac:dyDescent="0.25">
      <c r="F40" s="6">
        <f t="shared" si="7"/>
        <v>440</v>
      </c>
      <c r="G40" s="7" t="s">
        <v>351</v>
      </c>
      <c r="H40" s="7" t="s">
        <v>74</v>
      </c>
      <c r="I40" s="12">
        <f t="shared" si="5"/>
        <v>440.1</v>
      </c>
      <c r="J40" s="7" t="s">
        <v>75</v>
      </c>
      <c r="K40" s="12">
        <f t="shared" si="6"/>
        <v>440.2</v>
      </c>
    </row>
    <row r="41" spans="1:11" x14ac:dyDescent="0.25">
      <c r="F41" s="6">
        <f t="shared" si="7"/>
        <v>450</v>
      </c>
      <c r="G41" s="7" t="s">
        <v>352</v>
      </c>
      <c r="H41" s="7" t="s">
        <v>76</v>
      </c>
      <c r="I41" s="12">
        <f t="shared" si="5"/>
        <v>450.1</v>
      </c>
      <c r="J41" s="7" t="s">
        <v>77</v>
      </c>
      <c r="K41" s="12">
        <f t="shared" si="6"/>
        <v>450.2</v>
      </c>
    </row>
    <row r="42" spans="1:11" x14ac:dyDescent="0.25">
      <c r="F42" s="6">
        <f t="shared" si="7"/>
        <v>460</v>
      </c>
      <c r="G42" s="7" t="s">
        <v>353</v>
      </c>
      <c r="H42" s="7" t="s">
        <v>78</v>
      </c>
      <c r="I42" s="12">
        <f t="shared" si="5"/>
        <v>460.1</v>
      </c>
      <c r="J42" s="7" t="s">
        <v>79</v>
      </c>
      <c r="K42" s="12">
        <f t="shared" si="6"/>
        <v>460.2</v>
      </c>
    </row>
    <row r="43" spans="1:11" x14ac:dyDescent="0.25">
      <c r="F43" s="6">
        <f t="shared" si="7"/>
        <v>470</v>
      </c>
      <c r="G43" s="7" t="s">
        <v>354</v>
      </c>
      <c r="H43" s="7" t="s">
        <v>80</v>
      </c>
      <c r="I43" s="12">
        <f t="shared" si="5"/>
        <v>470.1</v>
      </c>
      <c r="J43" s="7" t="s">
        <v>81</v>
      </c>
      <c r="K43" s="12">
        <f t="shared" si="6"/>
        <v>470.2</v>
      </c>
    </row>
    <row r="44" spans="1:11" x14ac:dyDescent="0.25">
      <c r="F44" s="8">
        <f>F34 + 100</f>
        <v>500</v>
      </c>
      <c r="G44" s="5" t="s">
        <v>393</v>
      </c>
      <c r="H44" s="5" t="s">
        <v>82</v>
      </c>
      <c r="I44" s="11">
        <f t="shared" si="5"/>
        <v>500.1</v>
      </c>
      <c r="J44" s="5" t="s">
        <v>83</v>
      </c>
      <c r="K44" s="11">
        <f t="shared" si="6"/>
        <v>500.2</v>
      </c>
    </row>
    <row r="45" spans="1:11" x14ac:dyDescent="0.25">
      <c r="F45" s="6">
        <f>F44 + 10</f>
        <v>510</v>
      </c>
      <c r="G45" s="7" t="s">
        <v>361</v>
      </c>
      <c r="H45" s="7" t="s">
        <v>84</v>
      </c>
      <c r="I45" s="12">
        <f t="shared" si="5"/>
        <v>510.1</v>
      </c>
      <c r="J45" s="7" t="s">
        <v>85</v>
      </c>
      <c r="K45" s="12">
        <f t="shared" si="6"/>
        <v>510.2</v>
      </c>
    </row>
    <row r="46" spans="1:11" x14ac:dyDescent="0.25">
      <c r="F46" s="6">
        <f>F45 + 1</f>
        <v>511</v>
      </c>
      <c r="G46" s="7" t="s">
        <v>347</v>
      </c>
      <c r="H46" s="7" t="s">
        <v>86</v>
      </c>
      <c r="I46" s="12">
        <f t="shared" si="5"/>
        <v>511.1</v>
      </c>
      <c r="J46" s="7" t="s">
        <v>87</v>
      </c>
      <c r="K46" s="12">
        <f t="shared" si="6"/>
        <v>511.2</v>
      </c>
    </row>
    <row r="47" spans="1:11" x14ac:dyDescent="0.25">
      <c r="F47" s="6">
        <f>F46 + 1</f>
        <v>512</v>
      </c>
      <c r="G47" s="7" t="s">
        <v>348</v>
      </c>
      <c r="H47" s="7" t="s">
        <v>88</v>
      </c>
      <c r="I47" s="12">
        <f t="shared" si="5"/>
        <v>512.1</v>
      </c>
      <c r="J47" s="7" t="s">
        <v>89</v>
      </c>
      <c r="K47" s="12">
        <f t="shared" si="6"/>
        <v>512.20000000000005</v>
      </c>
    </row>
    <row r="48" spans="1:11" x14ac:dyDescent="0.25">
      <c r="F48" s="6">
        <f>F45 + 10</f>
        <v>520</v>
      </c>
      <c r="G48" s="7" t="s">
        <v>349</v>
      </c>
      <c r="H48" s="7" t="s">
        <v>90</v>
      </c>
      <c r="I48" s="12">
        <f t="shared" si="5"/>
        <v>520.1</v>
      </c>
      <c r="J48" s="7" t="s">
        <v>91</v>
      </c>
      <c r="K48" s="12">
        <f t="shared" si="6"/>
        <v>520.20000000000005</v>
      </c>
    </row>
    <row r="49" spans="6:11" x14ac:dyDescent="0.25">
      <c r="F49" s="6">
        <f t="shared" ref="F49:F53" si="8">F48 + 10</f>
        <v>530</v>
      </c>
      <c r="G49" s="7" t="s">
        <v>350</v>
      </c>
      <c r="H49" s="7" t="s">
        <v>92</v>
      </c>
      <c r="I49" s="12">
        <f t="shared" si="5"/>
        <v>530.1</v>
      </c>
      <c r="J49" s="7" t="s">
        <v>93</v>
      </c>
      <c r="K49" s="12">
        <f t="shared" si="6"/>
        <v>530.20000000000005</v>
      </c>
    </row>
    <row r="50" spans="6:11" x14ac:dyDescent="0.25">
      <c r="F50" s="6">
        <f t="shared" si="8"/>
        <v>540</v>
      </c>
      <c r="G50" s="7" t="s">
        <v>351</v>
      </c>
      <c r="H50" s="7" t="s">
        <v>94</v>
      </c>
      <c r="I50" s="12">
        <f t="shared" si="5"/>
        <v>540.1</v>
      </c>
      <c r="J50" s="7" t="s">
        <v>95</v>
      </c>
      <c r="K50" s="12">
        <f t="shared" si="6"/>
        <v>540.20000000000005</v>
      </c>
    </row>
    <row r="51" spans="6:11" x14ac:dyDescent="0.25">
      <c r="F51" s="6">
        <f t="shared" si="8"/>
        <v>550</v>
      </c>
      <c r="G51" s="7" t="s">
        <v>352</v>
      </c>
      <c r="H51" s="7" t="s">
        <v>96</v>
      </c>
      <c r="I51" s="12">
        <f t="shared" si="5"/>
        <v>550.1</v>
      </c>
      <c r="J51" s="7" t="s">
        <v>97</v>
      </c>
      <c r="K51" s="12">
        <f t="shared" si="6"/>
        <v>550.20000000000005</v>
      </c>
    </row>
    <row r="52" spans="6:11" x14ac:dyDescent="0.25">
      <c r="F52" s="6">
        <f t="shared" si="8"/>
        <v>560</v>
      </c>
      <c r="G52" s="7" t="s">
        <v>353</v>
      </c>
      <c r="H52" s="7" t="s">
        <v>98</v>
      </c>
      <c r="I52" s="12">
        <f t="shared" si="5"/>
        <v>560.1</v>
      </c>
      <c r="J52" s="7" t="s">
        <v>99</v>
      </c>
      <c r="K52" s="12">
        <f t="shared" si="6"/>
        <v>560.20000000000005</v>
      </c>
    </row>
    <row r="53" spans="6:11" x14ac:dyDescent="0.25">
      <c r="F53" s="6">
        <f t="shared" si="8"/>
        <v>570</v>
      </c>
      <c r="G53" s="7" t="s">
        <v>354</v>
      </c>
      <c r="H53" s="7" t="s">
        <v>100</v>
      </c>
      <c r="I53" s="12">
        <f t="shared" si="5"/>
        <v>570.1</v>
      </c>
      <c r="J53" s="7" t="s">
        <v>101</v>
      </c>
      <c r="K53" s="12">
        <f t="shared" si="6"/>
        <v>570.20000000000005</v>
      </c>
    </row>
    <row r="54" spans="6:11" x14ac:dyDescent="0.25">
      <c r="F54" s="8">
        <f>F44 + 100</f>
        <v>600</v>
      </c>
      <c r="G54" s="5" t="s">
        <v>394</v>
      </c>
      <c r="H54" s="5" t="s">
        <v>102</v>
      </c>
      <c r="I54" s="11">
        <f t="shared" si="5"/>
        <v>600.1</v>
      </c>
      <c r="J54" s="5" t="s">
        <v>103</v>
      </c>
      <c r="K54" s="11">
        <f t="shared" si="6"/>
        <v>600.20000000000005</v>
      </c>
    </row>
    <row r="55" spans="6:11" x14ac:dyDescent="0.25">
      <c r="F55" s="6">
        <f>F54 + 10</f>
        <v>610</v>
      </c>
      <c r="G55" s="7" t="s">
        <v>361</v>
      </c>
      <c r="H55" s="7" t="s">
        <v>104</v>
      </c>
      <c r="I55" s="12">
        <f t="shared" si="5"/>
        <v>610.1</v>
      </c>
      <c r="J55" s="7" t="s">
        <v>105</v>
      </c>
      <c r="K55" s="12">
        <f t="shared" si="6"/>
        <v>610.20000000000005</v>
      </c>
    </row>
    <row r="56" spans="6:11" x14ac:dyDescent="0.25">
      <c r="F56" s="6">
        <f>F55 + 1</f>
        <v>611</v>
      </c>
      <c r="G56" s="7" t="s">
        <v>347</v>
      </c>
      <c r="H56" s="7" t="s">
        <v>106</v>
      </c>
      <c r="I56" s="12">
        <f t="shared" si="5"/>
        <v>611.1</v>
      </c>
      <c r="J56" s="7" t="s">
        <v>107</v>
      </c>
      <c r="K56" s="12">
        <f t="shared" si="6"/>
        <v>611.20000000000005</v>
      </c>
    </row>
    <row r="57" spans="6:11" x14ac:dyDescent="0.25">
      <c r="F57" s="6">
        <f>F56 + 1</f>
        <v>612</v>
      </c>
      <c r="G57" s="7" t="s">
        <v>348</v>
      </c>
      <c r="H57" s="7" t="s">
        <v>108</v>
      </c>
      <c r="I57" s="12">
        <f t="shared" si="5"/>
        <v>612.1</v>
      </c>
      <c r="J57" s="7" t="s">
        <v>109</v>
      </c>
      <c r="K57" s="12">
        <f t="shared" si="6"/>
        <v>612.20000000000005</v>
      </c>
    </row>
    <row r="58" spans="6:11" x14ac:dyDescent="0.25">
      <c r="F58" s="6">
        <f>F55 + 10</f>
        <v>620</v>
      </c>
      <c r="G58" s="7" t="s">
        <v>349</v>
      </c>
      <c r="H58" s="7" t="s">
        <v>110</v>
      </c>
      <c r="I58" s="12">
        <f t="shared" si="5"/>
        <v>620.1</v>
      </c>
      <c r="J58" s="7" t="s">
        <v>111</v>
      </c>
      <c r="K58" s="12">
        <f t="shared" si="6"/>
        <v>620.20000000000005</v>
      </c>
    </row>
    <row r="59" spans="6:11" x14ac:dyDescent="0.25">
      <c r="F59" s="6">
        <f t="shared" ref="F59:F63" si="9">F58 + 10</f>
        <v>630</v>
      </c>
      <c r="G59" s="7" t="s">
        <v>350</v>
      </c>
      <c r="H59" s="7" t="s">
        <v>112</v>
      </c>
      <c r="I59" s="12">
        <f t="shared" si="5"/>
        <v>630.1</v>
      </c>
      <c r="J59" s="7" t="s">
        <v>113</v>
      </c>
      <c r="K59" s="12">
        <f t="shared" si="6"/>
        <v>630.20000000000005</v>
      </c>
    </row>
    <row r="60" spans="6:11" x14ac:dyDescent="0.25">
      <c r="F60" s="6">
        <f t="shared" si="9"/>
        <v>640</v>
      </c>
      <c r="G60" s="7" t="s">
        <v>351</v>
      </c>
      <c r="H60" s="7" t="s">
        <v>114</v>
      </c>
      <c r="I60" s="12">
        <f t="shared" si="5"/>
        <v>640.1</v>
      </c>
      <c r="J60" s="7" t="s">
        <v>115</v>
      </c>
      <c r="K60" s="12">
        <f t="shared" si="6"/>
        <v>640.20000000000005</v>
      </c>
    </row>
    <row r="61" spans="6:11" x14ac:dyDescent="0.25">
      <c r="F61" s="6">
        <f t="shared" si="9"/>
        <v>650</v>
      </c>
      <c r="G61" s="7" t="s">
        <v>352</v>
      </c>
      <c r="H61" s="7" t="s">
        <v>116</v>
      </c>
      <c r="I61" s="12">
        <f t="shared" si="5"/>
        <v>650.1</v>
      </c>
      <c r="J61" s="7" t="s">
        <v>117</v>
      </c>
      <c r="K61" s="12">
        <f t="shared" si="6"/>
        <v>650.20000000000005</v>
      </c>
    </row>
    <row r="62" spans="6:11" x14ac:dyDescent="0.25">
      <c r="F62" s="6">
        <f t="shared" si="9"/>
        <v>660</v>
      </c>
      <c r="G62" s="7" t="s">
        <v>353</v>
      </c>
      <c r="H62" s="7" t="s">
        <v>118</v>
      </c>
      <c r="I62" s="12">
        <f t="shared" si="5"/>
        <v>660.1</v>
      </c>
      <c r="J62" s="7" t="s">
        <v>119</v>
      </c>
      <c r="K62" s="12">
        <f t="shared" si="6"/>
        <v>660.2</v>
      </c>
    </row>
    <row r="63" spans="6:11" x14ac:dyDescent="0.25">
      <c r="F63" s="6">
        <f t="shared" si="9"/>
        <v>670</v>
      </c>
      <c r="G63" s="7" t="s">
        <v>354</v>
      </c>
      <c r="H63" s="7" t="s">
        <v>120</v>
      </c>
      <c r="I63" s="12">
        <f t="shared" si="5"/>
        <v>670.1</v>
      </c>
      <c r="J63" s="7" t="s">
        <v>121</v>
      </c>
      <c r="K63" s="12">
        <f t="shared" si="6"/>
        <v>670.2</v>
      </c>
    </row>
    <row r="64" spans="6:11" x14ac:dyDescent="0.25">
      <c r="F64" s="8">
        <f>F54 + 100</f>
        <v>700</v>
      </c>
      <c r="G64" s="5" t="s">
        <v>395</v>
      </c>
      <c r="H64" s="5" t="s">
        <v>122</v>
      </c>
      <c r="I64" s="11">
        <f t="shared" si="5"/>
        <v>700.1</v>
      </c>
      <c r="J64" s="5" t="s">
        <v>123</v>
      </c>
      <c r="K64" s="11">
        <f t="shared" si="6"/>
        <v>700.2</v>
      </c>
    </row>
    <row r="65" spans="6:11" x14ac:dyDescent="0.25">
      <c r="F65" s="6">
        <f>F64 + 10</f>
        <v>710</v>
      </c>
      <c r="G65" s="7" t="s">
        <v>361</v>
      </c>
      <c r="H65" s="7" t="s">
        <v>124</v>
      </c>
      <c r="I65" s="12">
        <f t="shared" si="5"/>
        <v>710.1</v>
      </c>
      <c r="J65" s="7" t="s">
        <v>125</v>
      </c>
      <c r="K65" s="12">
        <f t="shared" si="6"/>
        <v>710.2</v>
      </c>
    </row>
    <row r="66" spans="6:11" x14ac:dyDescent="0.25">
      <c r="F66" s="6">
        <f>F65 + 1</f>
        <v>711</v>
      </c>
      <c r="G66" s="7" t="s">
        <v>347</v>
      </c>
      <c r="H66" s="7" t="s">
        <v>126</v>
      </c>
      <c r="I66" s="12">
        <f t="shared" si="5"/>
        <v>711.1</v>
      </c>
      <c r="J66" s="7" t="s">
        <v>127</v>
      </c>
      <c r="K66" s="12">
        <f t="shared" si="6"/>
        <v>711.2</v>
      </c>
    </row>
    <row r="67" spans="6:11" x14ac:dyDescent="0.25">
      <c r="F67" s="6">
        <f>F66 + 1</f>
        <v>712</v>
      </c>
      <c r="G67" s="7" t="s">
        <v>348</v>
      </c>
      <c r="H67" s="7" t="s">
        <v>128</v>
      </c>
      <c r="I67" s="12">
        <f t="shared" si="5"/>
        <v>712.1</v>
      </c>
      <c r="J67" s="7" t="s">
        <v>129</v>
      </c>
      <c r="K67" s="12">
        <f t="shared" si="6"/>
        <v>712.2</v>
      </c>
    </row>
    <row r="68" spans="6:11" x14ac:dyDescent="0.25">
      <c r="F68" s="6">
        <f>F65 + 10</f>
        <v>720</v>
      </c>
      <c r="G68" s="7" t="s">
        <v>349</v>
      </c>
      <c r="H68" s="7" t="s">
        <v>130</v>
      </c>
      <c r="I68" s="12">
        <f t="shared" ref="I68:I73" si="10">$F68 + 0.1</f>
        <v>720.1</v>
      </c>
      <c r="J68" s="7" t="s">
        <v>131</v>
      </c>
      <c r="K68" s="12">
        <f t="shared" ref="K68:K73" si="11">$F68 + 0.2</f>
        <v>720.2</v>
      </c>
    </row>
    <row r="69" spans="6:11" x14ac:dyDescent="0.25">
      <c r="F69" s="6">
        <f t="shared" ref="F69:F73" si="12">F68 + 10</f>
        <v>730</v>
      </c>
      <c r="G69" s="7" t="s">
        <v>350</v>
      </c>
      <c r="H69" s="7" t="s">
        <v>132</v>
      </c>
      <c r="I69" s="12">
        <f t="shared" si="10"/>
        <v>730.1</v>
      </c>
      <c r="J69" s="7" t="s">
        <v>133</v>
      </c>
      <c r="K69" s="12">
        <f t="shared" si="11"/>
        <v>730.2</v>
      </c>
    </row>
    <row r="70" spans="6:11" x14ac:dyDescent="0.25">
      <c r="F70" s="6">
        <f t="shared" si="12"/>
        <v>740</v>
      </c>
      <c r="G70" s="7" t="s">
        <v>351</v>
      </c>
      <c r="H70" s="7" t="s">
        <v>134</v>
      </c>
      <c r="I70" s="12">
        <f t="shared" si="10"/>
        <v>740.1</v>
      </c>
      <c r="J70" s="7" t="s">
        <v>135</v>
      </c>
      <c r="K70" s="12">
        <f t="shared" si="11"/>
        <v>740.2</v>
      </c>
    </row>
    <row r="71" spans="6:11" x14ac:dyDescent="0.25">
      <c r="F71" s="6">
        <f t="shared" si="12"/>
        <v>750</v>
      </c>
      <c r="G71" s="7" t="s">
        <v>352</v>
      </c>
      <c r="H71" s="7" t="s">
        <v>136</v>
      </c>
      <c r="I71" s="12">
        <f t="shared" si="10"/>
        <v>750.1</v>
      </c>
      <c r="J71" s="7" t="s">
        <v>137</v>
      </c>
      <c r="K71" s="12">
        <f t="shared" si="11"/>
        <v>750.2</v>
      </c>
    </row>
    <row r="72" spans="6:11" x14ac:dyDescent="0.25">
      <c r="F72" s="6">
        <f t="shared" si="12"/>
        <v>760</v>
      </c>
      <c r="G72" s="7" t="s">
        <v>353</v>
      </c>
      <c r="H72" s="7" t="s">
        <v>138</v>
      </c>
      <c r="I72" s="12">
        <f t="shared" si="10"/>
        <v>760.1</v>
      </c>
      <c r="J72" s="7" t="s">
        <v>139</v>
      </c>
      <c r="K72" s="12">
        <f t="shared" si="11"/>
        <v>760.2</v>
      </c>
    </row>
    <row r="73" spans="6:11" x14ac:dyDescent="0.25">
      <c r="F73" s="6">
        <f t="shared" si="12"/>
        <v>770</v>
      </c>
      <c r="G73" s="7" t="s">
        <v>354</v>
      </c>
      <c r="H73" s="7" t="s">
        <v>140</v>
      </c>
      <c r="I73" s="12">
        <f t="shared" si="10"/>
        <v>770.1</v>
      </c>
      <c r="J73" s="7" t="s">
        <v>141</v>
      </c>
      <c r="K73" s="12">
        <f t="shared" si="11"/>
        <v>770.2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pageSetUpPr fitToPage="1"/>
  </sheetPr>
  <dimension ref="A1:F39"/>
  <sheetViews>
    <sheetView zoomScale="80" zoomScaleNormal="80" workbookViewId="0">
      <selection activeCell="B33" sqref="B33:C33"/>
    </sheetView>
  </sheetViews>
  <sheetFormatPr defaultRowHeight="15" x14ac:dyDescent="0.25"/>
  <cols>
    <col min="1" max="1" width="25" style="29" customWidth="1"/>
    <col min="2" max="2" width="80" style="29" customWidth="1"/>
    <col min="3" max="3" width="20" style="1" customWidth="1"/>
    <col min="4" max="4" width="4.7109375" style="1" customWidth="1"/>
    <col min="5" max="5" width="9.140625" style="1"/>
    <col min="6" max="6" width="14.5703125" style="1" customWidth="1"/>
    <col min="7" max="16384" width="9.140625" style="1"/>
  </cols>
  <sheetData>
    <row r="1" spans="1:6" ht="60" customHeight="1" thickBot="1" x14ac:dyDescent="0.3">
      <c r="A1" s="144" t="s">
        <v>404</v>
      </c>
      <c r="B1" s="144"/>
      <c r="C1" s="26"/>
    </row>
    <row r="2" spans="1:6" x14ac:dyDescent="0.25">
      <c r="A2" s="141"/>
      <c r="B2" s="141"/>
      <c r="C2" s="141"/>
      <c r="E2" s="32" t="s">
        <v>546</v>
      </c>
      <c r="F2" s="10"/>
    </row>
    <row r="3" spans="1:6" x14ac:dyDescent="0.25">
      <c r="A3" s="145" t="s">
        <v>549</v>
      </c>
      <c r="B3" s="145"/>
      <c r="C3" s="145"/>
      <c r="E3" s="2" t="s">
        <v>547</v>
      </c>
      <c r="F3" s="2" t="s">
        <v>548</v>
      </c>
    </row>
    <row r="4" spans="1:6" x14ac:dyDescent="0.25">
      <c r="A4" s="141"/>
      <c r="B4" s="141"/>
      <c r="C4" s="141"/>
      <c r="E4" s="3">
        <v>2019</v>
      </c>
      <c r="F4" s="3" t="s">
        <v>550</v>
      </c>
    </row>
    <row r="5" spans="1:6" x14ac:dyDescent="0.25">
      <c r="A5" s="27" t="s">
        <v>552</v>
      </c>
      <c r="B5" s="141" t="s">
        <v>553</v>
      </c>
      <c r="C5" s="141"/>
      <c r="E5" s="3">
        <v>2018</v>
      </c>
      <c r="F5" s="3" t="s">
        <v>551</v>
      </c>
    </row>
    <row r="6" spans="1:6" x14ac:dyDescent="0.25">
      <c r="A6" s="30" t="s">
        <v>555</v>
      </c>
      <c r="B6" s="143" t="s">
        <v>556</v>
      </c>
      <c r="C6" s="143"/>
      <c r="E6" s="3">
        <v>2017</v>
      </c>
      <c r="F6" s="3" t="s">
        <v>554</v>
      </c>
    </row>
    <row r="7" spans="1:6" x14ac:dyDescent="0.25">
      <c r="A7" s="28" t="s">
        <v>558</v>
      </c>
      <c r="B7" s="141" t="s">
        <v>559</v>
      </c>
      <c r="C7" s="141"/>
      <c r="E7" s="3">
        <v>2016</v>
      </c>
      <c r="F7" s="3" t="s">
        <v>557</v>
      </c>
    </row>
    <row r="8" spans="1:6" x14ac:dyDescent="0.25">
      <c r="A8" s="28" t="s">
        <v>561</v>
      </c>
      <c r="B8" s="141" t="s">
        <v>562</v>
      </c>
      <c r="C8" s="141"/>
      <c r="E8" s="3">
        <v>2015</v>
      </c>
      <c r="F8" s="3" t="s">
        <v>560</v>
      </c>
    </row>
    <row r="9" spans="1:6" x14ac:dyDescent="0.25">
      <c r="A9" s="28" t="s">
        <v>564</v>
      </c>
      <c r="B9" s="141" t="s">
        <v>565</v>
      </c>
      <c r="C9" s="141"/>
      <c r="E9" s="3">
        <v>2014</v>
      </c>
      <c r="F9" s="3" t="s">
        <v>563</v>
      </c>
    </row>
    <row r="10" spans="1:6" x14ac:dyDescent="0.25">
      <c r="A10" s="30" t="s">
        <v>567</v>
      </c>
      <c r="B10" s="143" t="s">
        <v>568</v>
      </c>
      <c r="C10" s="143"/>
      <c r="E10" s="3">
        <v>2013</v>
      </c>
      <c r="F10" s="3" t="s">
        <v>566</v>
      </c>
    </row>
    <row r="11" spans="1:6" x14ac:dyDescent="0.25">
      <c r="A11" s="30" t="s">
        <v>570</v>
      </c>
      <c r="B11" s="143" t="s">
        <v>571</v>
      </c>
      <c r="C11" s="143"/>
      <c r="E11" s="3">
        <v>2012</v>
      </c>
      <c r="F11" s="3" t="s">
        <v>569</v>
      </c>
    </row>
    <row r="12" spans="1:6" x14ac:dyDescent="0.25">
      <c r="A12" s="28" t="s">
        <v>573</v>
      </c>
      <c r="B12" s="141" t="s">
        <v>574</v>
      </c>
      <c r="C12" s="141"/>
      <c r="E12" s="3">
        <v>2011</v>
      </c>
      <c r="F12" s="3" t="s">
        <v>572</v>
      </c>
    </row>
    <row r="13" spans="1:6" x14ac:dyDescent="0.25">
      <c r="A13" s="28" t="s">
        <v>576</v>
      </c>
      <c r="B13" s="141" t="s">
        <v>577</v>
      </c>
      <c r="C13" s="141"/>
      <c r="E13" s="3">
        <v>2010</v>
      </c>
      <c r="F13" s="3" t="s">
        <v>575</v>
      </c>
    </row>
    <row r="14" spans="1:6" x14ac:dyDescent="0.25">
      <c r="A14" s="28"/>
      <c r="B14" s="28"/>
      <c r="C14" s="28"/>
    </row>
    <row r="15" spans="1:6" x14ac:dyDescent="0.25">
      <c r="A15" s="27" t="s">
        <v>578</v>
      </c>
      <c r="B15" s="141" t="s">
        <v>553</v>
      </c>
      <c r="C15" s="141"/>
    </row>
    <row r="16" spans="1:6" x14ac:dyDescent="0.25">
      <c r="A16" s="30" t="s">
        <v>579</v>
      </c>
      <c r="B16" s="143" t="s">
        <v>580</v>
      </c>
      <c r="C16" s="143"/>
    </row>
    <row r="17" spans="1:3" x14ac:dyDescent="0.25">
      <c r="A17" s="30" t="s">
        <v>581</v>
      </c>
      <c r="B17" s="143" t="s">
        <v>582</v>
      </c>
      <c r="C17" s="143"/>
    </row>
    <row r="18" spans="1:3" x14ac:dyDescent="0.25">
      <c r="A18" s="30" t="s">
        <v>583</v>
      </c>
      <c r="B18" s="143" t="s">
        <v>568</v>
      </c>
      <c r="C18" s="143"/>
    </row>
    <row r="19" spans="1:3" x14ac:dyDescent="0.25">
      <c r="A19" s="141"/>
      <c r="B19" s="141"/>
      <c r="C19" s="141"/>
    </row>
    <row r="20" spans="1:3" x14ac:dyDescent="0.25">
      <c r="A20" s="27" t="s">
        <v>584</v>
      </c>
      <c r="B20" s="141" t="s">
        <v>574</v>
      </c>
      <c r="C20" s="141"/>
    </row>
    <row r="21" spans="1:3" x14ac:dyDescent="0.25">
      <c r="A21" s="141"/>
      <c r="B21" s="141"/>
      <c r="C21" s="141"/>
    </row>
    <row r="22" spans="1:3" x14ac:dyDescent="0.25">
      <c r="A22" s="27" t="s">
        <v>585</v>
      </c>
      <c r="B22" s="141" t="s">
        <v>574</v>
      </c>
      <c r="C22" s="141"/>
    </row>
    <row r="23" spans="1:3" x14ac:dyDescent="0.25">
      <c r="A23" s="141"/>
      <c r="B23" s="141"/>
      <c r="C23" s="141"/>
    </row>
    <row r="24" spans="1:3" x14ac:dyDescent="0.25">
      <c r="A24" s="27" t="s">
        <v>586</v>
      </c>
      <c r="B24" s="141" t="s">
        <v>574</v>
      </c>
      <c r="C24" s="141"/>
    </row>
    <row r="25" spans="1:3" x14ac:dyDescent="0.25">
      <c r="A25" s="28"/>
      <c r="B25" s="28"/>
      <c r="C25" s="28"/>
    </row>
    <row r="26" spans="1:3" ht="50.1" customHeight="1" x14ac:dyDescent="0.25">
      <c r="A26" s="31" t="s">
        <v>587</v>
      </c>
      <c r="B26" s="142" t="s">
        <v>588</v>
      </c>
      <c r="C26" s="143"/>
    </row>
    <row r="27" spans="1:3" x14ac:dyDescent="0.25">
      <c r="A27" s="28"/>
      <c r="B27" s="28"/>
      <c r="C27" s="28"/>
    </row>
    <row r="28" spans="1:3" ht="65.099999999999994" customHeight="1" x14ac:dyDescent="0.25">
      <c r="A28" s="27" t="s">
        <v>589</v>
      </c>
      <c r="B28" s="141" t="s">
        <v>590</v>
      </c>
      <c r="C28" s="141"/>
    </row>
    <row r="29" spans="1:3" ht="34.5" customHeight="1" x14ac:dyDescent="0.25">
      <c r="A29" s="28" t="s">
        <v>553</v>
      </c>
      <c r="B29" s="141" t="s">
        <v>591</v>
      </c>
      <c r="C29" s="141"/>
    </row>
    <row r="30" spans="1:3" x14ac:dyDescent="0.25">
      <c r="A30" s="28" t="s">
        <v>553</v>
      </c>
      <c r="B30" s="141" t="s">
        <v>592</v>
      </c>
      <c r="C30" s="141"/>
    </row>
    <row r="31" spans="1:3" x14ac:dyDescent="0.25">
      <c r="A31" s="28" t="s">
        <v>553</v>
      </c>
      <c r="B31" s="141" t="s">
        <v>593</v>
      </c>
      <c r="C31" s="141"/>
    </row>
    <row r="32" spans="1:3" ht="19.5" customHeight="1" x14ac:dyDescent="0.25">
      <c r="A32" s="28" t="s">
        <v>553</v>
      </c>
      <c r="B32" s="141" t="s">
        <v>594</v>
      </c>
      <c r="C32" s="141"/>
    </row>
    <row r="33" spans="1:3" ht="34.5" customHeight="1" x14ac:dyDescent="0.25">
      <c r="A33" s="28" t="s">
        <v>553</v>
      </c>
      <c r="B33" s="141" t="s">
        <v>595</v>
      </c>
      <c r="C33" s="141"/>
    </row>
    <row r="34" spans="1:3" ht="124.5" customHeight="1" x14ac:dyDescent="0.25">
      <c r="A34" s="28" t="s">
        <v>553</v>
      </c>
      <c r="B34" s="141" t="s">
        <v>596</v>
      </c>
      <c r="C34" s="141"/>
    </row>
    <row r="35" spans="1:3" ht="79.5" customHeight="1" x14ac:dyDescent="0.25">
      <c r="A35" s="28" t="s">
        <v>553</v>
      </c>
      <c r="B35" s="141" t="s">
        <v>597</v>
      </c>
      <c r="C35" s="141"/>
    </row>
    <row r="36" spans="1:3" ht="49.5" customHeight="1" x14ac:dyDescent="0.25">
      <c r="A36" s="28" t="s">
        <v>553</v>
      </c>
      <c r="B36" s="141" t="s">
        <v>598</v>
      </c>
      <c r="C36" s="141"/>
    </row>
    <row r="37" spans="1:3" ht="15" customHeight="1" x14ac:dyDescent="0.25">
      <c r="A37" s="28" t="s">
        <v>553</v>
      </c>
      <c r="B37" s="28" t="s">
        <v>599</v>
      </c>
      <c r="C37" s="28"/>
    </row>
    <row r="38" spans="1:3" x14ac:dyDescent="0.25">
      <c r="A38" s="27"/>
      <c r="B38" s="141"/>
      <c r="C38" s="141"/>
    </row>
    <row r="39" spans="1:3" x14ac:dyDescent="0.25">
      <c r="A39" s="28" t="s">
        <v>600</v>
      </c>
      <c r="B39" s="28" t="s">
        <v>574</v>
      </c>
      <c r="C39" s="28"/>
    </row>
  </sheetData>
  <mergeCells count="33">
    <mergeCell ref="B12:C12"/>
    <mergeCell ref="A1:B1"/>
    <mergeCell ref="A2:C2"/>
    <mergeCell ref="A3:C3"/>
    <mergeCell ref="A4:C4"/>
    <mergeCell ref="B5:C5"/>
    <mergeCell ref="B6:C6"/>
    <mergeCell ref="B7:C7"/>
    <mergeCell ref="B8:C8"/>
    <mergeCell ref="B9:C9"/>
    <mergeCell ref="B10:C10"/>
    <mergeCell ref="B11:C11"/>
    <mergeCell ref="B13:C13"/>
    <mergeCell ref="B15:C15"/>
    <mergeCell ref="B16:C16"/>
    <mergeCell ref="B17:C17"/>
    <mergeCell ref="B18:C18"/>
    <mergeCell ref="B26:C26"/>
    <mergeCell ref="B28:C28"/>
    <mergeCell ref="B29:C29"/>
    <mergeCell ref="B30:C31"/>
    <mergeCell ref="A19:C19"/>
    <mergeCell ref="B20:C20"/>
    <mergeCell ref="A21:C21"/>
    <mergeCell ref="B22:C22"/>
    <mergeCell ref="A23:C23"/>
    <mergeCell ref="B24:C24"/>
    <mergeCell ref="B38:C38"/>
    <mergeCell ref="B32:C32"/>
    <mergeCell ref="B33:C33"/>
    <mergeCell ref="B34:C34"/>
    <mergeCell ref="B35:C35"/>
    <mergeCell ref="B36:C36"/>
  </mergeCells>
  <hyperlinks>
    <hyperlink ref="B26" r:id="rId1" xr:uid="{00000000-0004-0000-0000-000000000000}"/>
  </hyperlinks>
  <printOptions gridLines="1"/>
  <pageMargins left="0.7" right="0.7" top="0.75" bottom="0.75" header="0.3" footer="0.3"/>
  <pageSetup fitToHeight="0" orientation="landscape"/>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vt:i4>
      </vt:variant>
    </vt:vector>
  </HeadingPairs>
  <TitlesOfParts>
    <vt:vector size="20" baseType="lpstr">
      <vt:lpstr>Forecast</vt:lpstr>
      <vt:lpstr>Forecast (r1)</vt:lpstr>
      <vt:lpstr>WAH_byCounty</vt:lpstr>
      <vt:lpstr>2010</vt:lpstr>
      <vt:lpstr>2011</vt:lpstr>
      <vt:lpstr>2012</vt:lpstr>
      <vt:lpstr>2013</vt:lpstr>
      <vt:lpstr>2014</vt:lpstr>
      <vt:lpstr>2015</vt:lpstr>
      <vt:lpstr>2016</vt:lpstr>
      <vt:lpstr>2017</vt:lpstr>
      <vt:lpstr>2018</vt:lpstr>
      <vt:lpstr>2019</vt:lpstr>
      <vt:lpstr>LookupIdx</vt:lpstr>
      <vt:lpstr>Information</vt:lpstr>
      <vt:lpstr>lu_CoName</vt:lpstr>
      <vt:lpstr>lu_GEOID</vt:lpstr>
      <vt:lpstr>lu_WrkType</vt:lpstr>
      <vt:lpstr>lu_WrkTypeID_Est</vt:lpstr>
      <vt:lpstr>lu_WrkTypeID_MOE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Chad Worthen</dc:creator>
  <cp:lastModifiedBy>Chad Worthen</cp:lastModifiedBy>
  <dcterms:created xsi:type="dcterms:W3CDTF">2021-09-03T22:47:17Z</dcterms:created>
  <dcterms:modified xsi:type="dcterms:W3CDTF">2021-09-16T18:11:06Z</dcterms:modified>
</cp:coreProperties>
</file>