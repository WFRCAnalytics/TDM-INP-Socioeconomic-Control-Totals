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worthen\Desktop\Coordination\1 - TDM Developmnet\1 - WF\2 - Sandbox\v8.3.2\Calib_Valid\00 - Telework Analysis\"/>
    </mc:Choice>
  </mc:AlternateContent>
  <xr:revisionPtr revIDLastSave="0" documentId="13_ncr:1_{576F33B5-5542-4DFA-8730-68762AED94F0}" xr6:coauthVersionLast="47" xr6:coauthVersionMax="47" xr10:uidLastSave="{00000000-0000-0000-0000-000000000000}"/>
  <bookViews>
    <workbookView xWindow="150" yWindow="135" windowWidth="21300" windowHeight="15315" firstSheet="1" activeTab="1" xr2:uid="{00000000-000D-0000-FFFF-FFFF00000000}"/>
  </bookViews>
  <sheets>
    <sheet name="Summary" sheetId="1" r:id="rId1"/>
    <sheet name="Summary by County" sheetId="2" r:id="rId2"/>
    <sheet name="2010" sheetId="3" r:id="rId3"/>
    <sheet name="2011" sheetId="4" r:id="rId4"/>
    <sheet name="2012" sheetId="5" r:id="rId5"/>
    <sheet name="2013" sheetId="6" r:id="rId6"/>
    <sheet name="2014" sheetId="7" r:id="rId7"/>
    <sheet name="2015" sheetId="8" r:id="rId8"/>
    <sheet name="2016" sheetId="9" r:id="rId9"/>
    <sheet name="2017" sheetId="10" r:id="rId10"/>
    <sheet name="2018" sheetId="11" r:id="rId11"/>
    <sheet name="2019" sheetId="12" r:id="rId12"/>
  </sheets>
  <calcPr calcId="191029"/>
</workbook>
</file>

<file path=xl/calcChain.xml><?xml version="1.0" encoding="utf-8"?>
<calcChain xmlns="http://schemas.openxmlformats.org/spreadsheetml/2006/main">
  <c r="K11" i="2" l="1"/>
  <c r="C11" i="2"/>
  <c r="E10" i="2"/>
  <c r="G9" i="2"/>
  <c r="I8" i="2"/>
  <c r="K7" i="2"/>
  <c r="C7" i="2"/>
  <c r="E6" i="2"/>
  <c r="G5" i="2"/>
  <c r="I4" i="2"/>
  <c r="K3" i="2"/>
  <c r="C3" i="2"/>
  <c r="E2" i="2"/>
  <c r="G3" i="1"/>
  <c r="I2" i="1"/>
  <c r="G8" i="2"/>
  <c r="I3" i="2"/>
  <c r="J11" i="2"/>
  <c r="B11" i="2"/>
  <c r="D10" i="2"/>
  <c r="F9" i="2"/>
  <c r="H8" i="2"/>
  <c r="J7" i="2"/>
  <c r="B7" i="2"/>
  <c r="D6" i="2"/>
  <c r="F5" i="2"/>
  <c r="H4" i="2"/>
  <c r="J3" i="2"/>
  <c r="B3" i="2"/>
  <c r="D2" i="2"/>
  <c r="F3" i="1"/>
  <c r="H2" i="1"/>
  <c r="H11" i="2"/>
  <c r="J10" i="2"/>
  <c r="B10" i="2"/>
  <c r="D9" i="2"/>
  <c r="F8" i="2"/>
  <c r="H7" i="2"/>
  <c r="J6" i="2"/>
  <c r="B6" i="2"/>
  <c r="D5" i="2"/>
  <c r="F4" i="2"/>
  <c r="H3" i="2"/>
  <c r="J2" i="2"/>
  <c r="B2" i="2"/>
  <c r="D3" i="1"/>
  <c r="F2" i="1"/>
  <c r="G11" i="2"/>
  <c r="I10" i="2"/>
  <c r="K9" i="2"/>
  <c r="C9" i="2"/>
  <c r="E8" i="2"/>
  <c r="G7" i="2"/>
  <c r="I6" i="2"/>
  <c r="K5" i="2"/>
  <c r="C5" i="2"/>
  <c r="E4" i="2"/>
  <c r="G3" i="2"/>
  <c r="I2" i="2"/>
  <c r="K3" i="1"/>
  <c r="C3" i="1"/>
  <c r="E2" i="1"/>
  <c r="I7" i="2"/>
  <c r="K2" i="2"/>
  <c r="F11" i="2"/>
  <c r="H10" i="2"/>
  <c r="J9" i="2"/>
  <c r="B9" i="2"/>
  <c r="D8" i="2"/>
  <c r="F7" i="2"/>
  <c r="H6" i="2"/>
  <c r="J5" i="2"/>
  <c r="B5" i="2"/>
  <c r="D4" i="2"/>
  <c r="F3" i="2"/>
  <c r="H2" i="2"/>
  <c r="J3" i="1"/>
  <c r="B3" i="1"/>
  <c r="D2" i="1"/>
  <c r="K10" i="2"/>
  <c r="E9" i="2"/>
  <c r="C6" i="2"/>
  <c r="G4" i="2"/>
  <c r="C2" i="2"/>
  <c r="E3" i="1"/>
  <c r="E11" i="2"/>
  <c r="G10" i="2"/>
  <c r="I9" i="2"/>
  <c r="K8" i="2"/>
  <c r="C8" i="2"/>
  <c r="E7" i="2"/>
  <c r="G6" i="2"/>
  <c r="I5" i="2"/>
  <c r="K4" i="2"/>
  <c r="C4" i="2"/>
  <c r="E3" i="2"/>
  <c r="G2" i="2"/>
  <c r="I3" i="1"/>
  <c r="K2" i="1"/>
  <c r="C2" i="1"/>
  <c r="D11" i="2"/>
  <c r="F10" i="2"/>
  <c r="H9" i="2"/>
  <c r="J8" i="2"/>
  <c r="B8" i="2"/>
  <c r="D7" i="2"/>
  <c r="F6" i="2"/>
  <c r="H5" i="2"/>
  <c r="J4" i="2"/>
  <c r="B4" i="2"/>
  <c r="D3" i="2"/>
  <c r="F2" i="2"/>
  <c r="H3" i="1"/>
  <c r="J2" i="1"/>
  <c r="B2" i="1"/>
  <c r="I11" i="2"/>
  <c r="C10" i="2"/>
  <c r="K6" i="2"/>
  <c r="E5" i="2"/>
  <c r="G2" i="1"/>
  <c r="B19" i="2" l="1"/>
  <c r="C19" i="2" s="1"/>
  <c r="C15" i="2"/>
  <c r="I16" i="2"/>
  <c r="H4" i="1"/>
  <c r="D12" i="2"/>
  <c r="B13" i="2"/>
  <c r="J13" i="2"/>
  <c r="H14" i="2"/>
  <c r="F15" i="2"/>
  <c r="D16" i="2"/>
  <c r="B7" i="1"/>
  <c r="C7" i="1" s="1"/>
  <c r="I4" i="1"/>
  <c r="E12" i="2"/>
  <c r="C13" i="2"/>
  <c r="K13" i="2"/>
  <c r="I14" i="2"/>
  <c r="G15" i="2"/>
  <c r="E16" i="2"/>
  <c r="E4" i="1"/>
  <c r="E14" i="2"/>
  <c r="K15" i="2"/>
  <c r="B4" i="1"/>
  <c r="J4" i="1"/>
  <c r="F12" i="2"/>
  <c r="D13" i="2"/>
  <c r="B14" i="2"/>
  <c r="J14" i="2"/>
  <c r="H15" i="2"/>
  <c r="F16" i="2"/>
  <c r="I12" i="2"/>
  <c r="C4" i="1"/>
  <c r="B8" i="1"/>
  <c r="C8" i="1" s="1"/>
  <c r="K4" i="1"/>
  <c r="G12" i="2"/>
  <c r="E13" i="2"/>
  <c r="C14" i="2"/>
  <c r="K14" i="2"/>
  <c r="I15" i="2"/>
  <c r="G16" i="2"/>
  <c r="D4" i="1"/>
  <c r="H12" i="2"/>
  <c r="F13" i="2"/>
  <c r="D14" i="2"/>
  <c r="B15" i="2"/>
  <c r="J15" i="2"/>
  <c r="H16" i="2"/>
  <c r="F4" i="1"/>
  <c r="B12" i="2"/>
  <c r="J12" i="2"/>
  <c r="H13" i="2"/>
  <c r="F14" i="2"/>
  <c r="D15" i="2"/>
  <c r="B16" i="2"/>
  <c r="J16" i="2"/>
  <c r="G13" i="2"/>
  <c r="G4" i="1"/>
  <c r="C12" i="2"/>
  <c r="K12" i="2"/>
  <c r="I13" i="2"/>
  <c r="G14" i="2"/>
  <c r="E15" i="2"/>
  <c r="C16" i="2"/>
  <c r="B20" i="2"/>
  <c r="C20" i="2" s="1"/>
  <c r="K16" i="2"/>
  <c r="B21" i="2" l="1"/>
  <c r="C21" i="2" s="1"/>
  <c r="B9" i="1"/>
  <c r="C9" i="1" s="1"/>
</calcChain>
</file>

<file path=xl/sharedStrings.xml><?xml version="1.0" encoding="utf-8"?>
<sst xmlns="http://schemas.openxmlformats.org/spreadsheetml/2006/main" count="2188" uniqueCount="331">
  <si>
    <t>Total Commuters</t>
  </si>
  <si>
    <t>Work from Home</t>
  </si>
  <si>
    <t>Percent WFH</t>
  </si>
  <si>
    <t>Decade</t>
  </si>
  <si>
    <t>Per year</t>
  </si>
  <si>
    <t>Population Growth</t>
  </si>
  <si>
    <t>WFH Growth</t>
  </si>
  <si>
    <t>WHF Percentage Growth</t>
  </si>
  <si>
    <t>Davis</t>
  </si>
  <si>
    <t>Salt Lake</t>
  </si>
  <si>
    <t xml:space="preserve">Utah </t>
  </si>
  <si>
    <t>Weber</t>
  </si>
  <si>
    <t>Growth of WFH Rate</t>
  </si>
  <si>
    <t>GEO_ID</t>
  </si>
  <si>
    <t>NAME</t>
  </si>
  <si>
    <t>B08006_001E</t>
  </si>
  <si>
    <t>B08006_001M</t>
  </si>
  <si>
    <t>B08006_002E</t>
  </si>
  <si>
    <t>B08006_002M</t>
  </si>
  <si>
    <t>B08006_003E</t>
  </si>
  <si>
    <t>B08006_003M</t>
  </si>
  <si>
    <t>B08006_004E</t>
  </si>
  <si>
    <t>B08006_004M</t>
  </si>
  <si>
    <t>B08006_005E</t>
  </si>
  <si>
    <t>B08006_005M</t>
  </si>
  <si>
    <t>B08006_006E</t>
  </si>
  <si>
    <t>B08006_006M</t>
  </si>
  <si>
    <t>B08006_007E</t>
  </si>
  <si>
    <t>B08006_007M</t>
  </si>
  <si>
    <t>B08006_008E</t>
  </si>
  <si>
    <t>B08006_008M</t>
  </si>
  <si>
    <t>B08006_009E</t>
  </si>
  <si>
    <t>B08006_009M</t>
  </si>
  <si>
    <t>B08006_010E</t>
  </si>
  <si>
    <t>B08006_010M</t>
  </si>
  <si>
    <t>B08006_011E</t>
  </si>
  <si>
    <t>B08006_011M</t>
  </si>
  <si>
    <t>B08006_012E</t>
  </si>
  <si>
    <t>B08006_012M</t>
  </si>
  <si>
    <t>B08006_013E</t>
  </si>
  <si>
    <t>B08006_013M</t>
  </si>
  <si>
    <t>B08006_014E</t>
  </si>
  <si>
    <t>B08006_014M</t>
  </si>
  <si>
    <t>B08006_015E</t>
  </si>
  <si>
    <t>B08006_015M</t>
  </si>
  <si>
    <t>B08006_016E</t>
  </si>
  <si>
    <t>B08006_016M</t>
  </si>
  <si>
    <t>B08006_017E</t>
  </si>
  <si>
    <t>B08006_017M</t>
  </si>
  <si>
    <t>B08006_018E</t>
  </si>
  <si>
    <t>B08006_018M</t>
  </si>
  <si>
    <t>B08006_019E</t>
  </si>
  <si>
    <t>B08006_019M</t>
  </si>
  <si>
    <t>B08006_020E</t>
  </si>
  <si>
    <t>B08006_020M</t>
  </si>
  <si>
    <t>B08006_021E</t>
  </si>
  <si>
    <t>B08006_021M</t>
  </si>
  <si>
    <t>B08006_022E</t>
  </si>
  <si>
    <t>B08006_022M</t>
  </si>
  <si>
    <t>B08006_023E</t>
  </si>
  <si>
    <t>B08006_023M</t>
  </si>
  <si>
    <t>B08006_024E</t>
  </si>
  <si>
    <t>B08006_024M</t>
  </si>
  <si>
    <t>B08006_025E</t>
  </si>
  <si>
    <t>B08006_025M</t>
  </si>
  <si>
    <t>B08006_026E</t>
  </si>
  <si>
    <t>B08006_026M</t>
  </si>
  <si>
    <t>B08006_027E</t>
  </si>
  <si>
    <t>B08006_027M</t>
  </si>
  <si>
    <t>B08006_028E</t>
  </si>
  <si>
    <t>B08006_028M</t>
  </si>
  <si>
    <t>B08006_029E</t>
  </si>
  <si>
    <t>B08006_029M</t>
  </si>
  <si>
    <t>B08006_030E</t>
  </si>
  <si>
    <t>B08006_030M</t>
  </si>
  <si>
    <t>B08006_031E</t>
  </si>
  <si>
    <t>B08006_031M</t>
  </si>
  <si>
    <t>B08006_032E</t>
  </si>
  <si>
    <t>B08006_032M</t>
  </si>
  <si>
    <t>B08006_033E</t>
  </si>
  <si>
    <t>B08006_033M</t>
  </si>
  <si>
    <t>B08006_034E</t>
  </si>
  <si>
    <t>B08006_034M</t>
  </si>
  <si>
    <t>B08006_035E</t>
  </si>
  <si>
    <t>B08006_035M</t>
  </si>
  <si>
    <t>B08006_036E</t>
  </si>
  <si>
    <t>B08006_036M</t>
  </si>
  <si>
    <t>B08006_037E</t>
  </si>
  <si>
    <t>B08006_037M</t>
  </si>
  <si>
    <t>B08006_038E</t>
  </si>
  <si>
    <t>B08006_038M</t>
  </si>
  <si>
    <t>B08006_039E</t>
  </si>
  <si>
    <t>B08006_039M</t>
  </si>
  <si>
    <t>B08006_040E</t>
  </si>
  <si>
    <t>B08006_040M</t>
  </si>
  <si>
    <t>B08006_041E</t>
  </si>
  <si>
    <t>B08006_041M</t>
  </si>
  <si>
    <t>B08006_042E</t>
  </si>
  <si>
    <t>B08006_042M</t>
  </si>
  <si>
    <t>B08006_043E</t>
  </si>
  <si>
    <t>B08006_043M</t>
  </si>
  <si>
    <t>B08006_044E</t>
  </si>
  <si>
    <t>B08006_044M</t>
  </si>
  <si>
    <t>B08006_045E</t>
  </si>
  <si>
    <t>B08006_045M</t>
  </si>
  <si>
    <t>B08006_046E</t>
  </si>
  <si>
    <t>B08006_046M</t>
  </si>
  <si>
    <t>B08006_047E</t>
  </si>
  <si>
    <t>B08006_047M</t>
  </si>
  <si>
    <t>B08006_048E</t>
  </si>
  <si>
    <t>B08006_048M</t>
  </si>
  <si>
    <t>B08006_049E</t>
  </si>
  <si>
    <t>B08006_049M</t>
  </si>
  <si>
    <t>B08006_050E</t>
  </si>
  <si>
    <t>B08006_050M</t>
  </si>
  <si>
    <t>B08006_051E</t>
  </si>
  <si>
    <t>B08006_051M</t>
  </si>
  <si>
    <t>id</t>
  </si>
  <si>
    <t>Geographic Area Name</t>
  </si>
  <si>
    <t>Estimate!!Total</t>
  </si>
  <si>
    <t>Margin of Error!!Total</t>
  </si>
  <si>
    <t>Estimate!!Total!!Car, truck, or van</t>
  </si>
  <si>
    <t>Margin of Error!!Total!!Car, truck, or van</t>
  </si>
  <si>
    <t>Estimate!!Total!!Car, truck, or van!!Drove alone</t>
  </si>
  <si>
    <t>Margin of Error!!Total!!Car, truck, or van!!Drove alone</t>
  </si>
  <si>
    <t>Estimate!!Total!!Car, truck, or van!!Carpooled</t>
  </si>
  <si>
    <t>Margin of Error!!Total!!Car, truck, or van!!Carpooled</t>
  </si>
  <si>
    <t>Estimate!!Total!!Car, truck, or van!!Carpooled!!In 2-person carpool</t>
  </si>
  <si>
    <t>Margin of Error!!Total!!Car, truck, or van!!Carpooled!!In 2-person carpool</t>
  </si>
  <si>
    <t>Estimate!!Total!!Car, truck, or van!!Carpooled!!In 3-person carpool</t>
  </si>
  <si>
    <t>Margin of Error!!Total!!Car, truck, or van!!Carpooled!!In 3-person carpool</t>
  </si>
  <si>
    <t>Estimate!!Total!!Car, truck, or van!!Carpooled!!In 4-or-more-person carpool</t>
  </si>
  <si>
    <t>Margin of Error!!Total!!Car, truck, or van!!Carpooled!!In 4-or-more-person carpool</t>
  </si>
  <si>
    <t>Estimate!!Total!!Public transportation (excluding taxicab)</t>
  </si>
  <si>
    <t>Margin of Error!!Total!!Public transportation (excluding taxicab)</t>
  </si>
  <si>
    <t>Estimate!!Total!!Public transportation (excluding taxicab)!!Bus or trolley bus</t>
  </si>
  <si>
    <t>Margin of Error!!Total!!Public transportation (excluding taxicab)!!Bus or trolley bus</t>
  </si>
  <si>
    <t>Estimate!!Total!!Public transportation (excluding taxicab)!!Streetcar or trolley car (carro publico in Puerto Rico)</t>
  </si>
  <si>
    <t>Margin of Error!!Total!!Public transportation (excluding taxicab)!!Streetcar or trolley car (carro publico in Puerto Rico)</t>
  </si>
  <si>
    <t>Estimate!!Total!!Public transportation (excluding taxicab)!!Subway or elevated</t>
  </si>
  <si>
    <t>Margin of Error!!Total!!Public transportation (excluding taxicab)!!Subway or elevated</t>
  </si>
  <si>
    <t>Estimate!!Total!!Public transportation (excluding taxicab)!!Railroad</t>
  </si>
  <si>
    <t>Margin of Error!!Total!!Public transportation (excluding taxicab)!!Railroad</t>
  </si>
  <si>
    <t>Estimate!!Total!!Public transportation (excluding taxicab)!!Ferryboat</t>
  </si>
  <si>
    <t>Margin of Error!!Total!!Public transportation (excluding taxicab)!!Ferryboat</t>
  </si>
  <si>
    <t>Estimate!!Total!!Bicycle</t>
  </si>
  <si>
    <t>Margin of Error!!Total!!Bicycle</t>
  </si>
  <si>
    <t>Estimate!!Total!!Walked</t>
  </si>
  <si>
    <t>Margin of Error!!Total!!Walked</t>
  </si>
  <si>
    <t>Estimate!!Total!!Taxicab, motorcycle, or other means</t>
  </si>
  <si>
    <t>Margin of Error!!Total!!Taxicab, motorcycle, or other means</t>
  </si>
  <si>
    <t>Estimate!!Total!!Worked at home</t>
  </si>
  <si>
    <t>Margin of Error!!Total!!Worked at home</t>
  </si>
  <si>
    <t>Estimate!!Total!!Male</t>
  </si>
  <si>
    <t>Margin of Error!!Total!!Male</t>
  </si>
  <si>
    <t>Estimate!!Total!!Male!!Car, truck, or van</t>
  </si>
  <si>
    <t>Margin of Error!!Total!!Male!!Car, truck, or van</t>
  </si>
  <si>
    <t>Estimate!!Total!!Male!!Car, truck, or van!!Drove alone</t>
  </si>
  <si>
    <t>Margin of Error!!Total!!Male!!Car, truck, or van!!Drove alone</t>
  </si>
  <si>
    <t>Estimate!!Total!!Male!!Car, truck, or van!!Carpooled</t>
  </si>
  <si>
    <t>Margin of Error!!Total!!Male!!Car, truck, or van!!Carpooled</t>
  </si>
  <si>
    <t>Estimate!!Total!!Male!!Car, truck, or van!!Carpooled!!In 2-person carpool</t>
  </si>
  <si>
    <t>Margin of Error!!Total!!Male!!Car, truck, or van!!Carpooled!!In 2-person carpool</t>
  </si>
  <si>
    <t>Estimate!!Total!!Male!!Car, truck, or van!!Carpooled!!In 3-person carpool</t>
  </si>
  <si>
    <t>Margin of Error!!Total!!Male!!Car, truck, or van!!Carpooled!!In 3-person carpool</t>
  </si>
  <si>
    <t>Estimate!!Total!!Male!!Car, truck, or van!!Carpooled!!In 4-or-more-person carpool</t>
  </si>
  <si>
    <t>Margin of Error!!Total!!Male!!Car, truck, or van!!Carpooled!!In 4-or-more-person carpool</t>
  </si>
  <si>
    <t>Estimate!!Total!!Male!!Public transportation (excluding taxicab)</t>
  </si>
  <si>
    <t>Margin of Error!!Total!!Male!!Public transportation (excluding taxicab)</t>
  </si>
  <si>
    <t>Estimate!!Total!!Male!!Public transportation (excluding taxicab)!!Bus or trolley bus</t>
  </si>
  <si>
    <t>Margin of Error!!Total!!Male!!Public transportation (excluding taxicab)!!Bus or trolley bus</t>
  </si>
  <si>
    <t>Estimate!!Total!!Male!!Public transportation (excluding taxicab)!!Streetcar or trolley car (carro publico in Puerto Rico)</t>
  </si>
  <si>
    <t>Margin of Error!!Total!!Male!!Public transportation (excluding taxicab)!!Streetcar or trolley car (carro publico in Puerto Rico)</t>
  </si>
  <si>
    <t>Estimate!!Total!!Male!!Public transportation (excluding taxicab)!!Subway or elevated</t>
  </si>
  <si>
    <t>Margin of Error!!Total!!Male!!Public transportation (excluding taxicab)!!Subway or elevated</t>
  </si>
  <si>
    <t>Estimate!!Total!!Male!!Public transportation (excluding taxicab)!!Railroad</t>
  </si>
  <si>
    <t>Margin of Error!!Total!!Male!!Public transportation (excluding taxicab)!!Railroad</t>
  </si>
  <si>
    <t>Estimate!!Total!!Male!!Public transportation (excluding taxicab)!!Ferryboat</t>
  </si>
  <si>
    <t>Margin of Error!!Total!!Male!!Public transportation (excluding taxicab)!!Ferryboat</t>
  </si>
  <si>
    <t>Estimate!!Total!!Male!!Bicycle</t>
  </si>
  <si>
    <t>Margin of Error!!Total!!Male!!Bicycle</t>
  </si>
  <si>
    <t>Estimate!!Total!!Male!!Walked</t>
  </si>
  <si>
    <t>Margin of Error!!Total!!Male!!Walked</t>
  </si>
  <si>
    <t>Estimate!!Total!!Male!!Taxicab, motorcycle, or other means</t>
  </si>
  <si>
    <t>Margin of Error!!Total!!Male!!Taxicab, motorcycle, or other means</t>
  </si>
  <si>
    <t>Estimate!!Total!!Male!!Worked at home</t>
  </si>
  <si>
    <t>Margin of Error!!Total!!Male!!Worked at home</t>
  </si>
  <si>
    <t>Estimate!!Total!!Female</t>
  </si>
  <si>
    <t>Margin of Error!!Total!!Female</t>
  </si>
  <si>
    <t>Estimate!!Total!!Female!!Car, truck, or van</t>
  </si>
  <si>
    <t>Margin of Error!!Total!!Female!!Car, truck, or van</t>
  </si>
  <si>
    <t>Estimate!!Total!!Female!!Car, truck, or van!!Drove alone</t>
  </si>
  <si>
    <t>Margin of Error!!Total!!Female!!Car, truck, or van!!Drove alone</t>
  </si>
  <si>
    <t>Estimate!!Total!!Female!!Car, truck, or van!!Carpooled</t>
  </si>
  <si>
    <t>Margin of Error!!Total!!Female!!Car, truck, or van!!Carpooled</t>
  </si>
  <si>
    <t>Estimate!!Total!!Female!!Car, truck, or van!!Carpooled!!In 2-person carpool</t>
  </si>
  <si>
    <t>Margin of Error!!Total!!Female!!Car, truck, or van!!Carpooled!!In 2-person carpool</t>
  </si>
  <si>
    <t>Estimate!!Total!!Female!!Car, truck, or van!!Carpooled!!In 3-person carpool</t>
  </si>
  <si>
    <t>Margin of Error!!Total!!Female!!Car, truck, or van!!Carpooled!!In 3-person carpool</t>
  </si>
  <si>
    <t>Estimate!!Total!!Female!!Car, truck, or van!!Carpooled!!In 4-or-more-person carpool</t>
  </si>
  <si>
    <t>Margin of Error!!Total!!Female!!Car, truck, or van!!Carpooled!!In 4-or-more-person carpool</t>
  </si>
  <si>
    <t>Estimate!!Total!!Female!!Public transportation (excluding taxicab)</t>
  </si>
  <si>
    <t>Margin of Error!!Total!!Female!!Public transportation (excluding taxicab)</t>
  </si>
  <si>
    <t>Estimate!!Total!!Female!!Public transportation (excluding taxicab)!!Bus or trolley bus</t>
  </si>
  <si>
    <t>Margin of Error!!Total!!Female!!Public transportation (excluding taxicab)!!Bus or trolley bus</t>
  </si>
  <si>
    <t>Estimate!!Total!!Female!!Public transportation (excluding taxicab)!!Streetcar or trolley car (carro publico in Puerto Rico)</t>
  </si>
  <si>
    <t>Margin of Error!!Total!!Female!!Public transportation (excluding taxicab)!!Streetcar or trolley car (carro publico in Puerto Rico)</t>
  </si>
  <si>
    <t>Estimate!!Total!!Female!!Public transportation (excluding taxicab)!!Subway or elevated</t>
  </si>
  <si>
    <t>Margin of Error!!Total!!Female!!Public transportation (excluding taxicab)!!Subway or elevated</t>
  </si>
  <si>
    <t>Estimate!!Total!!Female!!Public transportation (excluding taxicab)!!Railroad</t>
  </si>
  <si>
    <t>Margin of Error!!Total!!Female!!Public transportation (excluding taxicab)!!Railroad</t>
  </si>
  <si>
    <t>Estimate!!Total!!Female!!Public transportation (excluding taxicab)!!Ferryboat</t>
  </si>
  <si>
    <t>Margin of Error!!Total!!Female!!Public transportation (excluding taxicab)!!Ferryboat</t>
  </si>
  <si>
    <t>Estimate!!Total!!Female!!Bicycle</t>
  </si>
  <si>
    <t>Margin of Error!!Total!!Female!!Bicycle</t>
  </si>
  <si>
    <t>Estimate!!Total!!Female!!Walked</t>
  </si>
  <si>
    <t>Margin of Error!!Total!!Female!!Walked</t>
  </si>
  <si>
    <t>Estimate!!Total!!Female!!Taxicab, motorcycle, or other means</t>
  </si>
  <si>
    <t>Margin of Error!!Total!!Female!!Taxicab, motorcycle, or other means</t>
  </si>
  <si>
    <t>Estimate!!Total!!Female!!Worked at home</t>
  </si>
  <si>
    <t>Margin of Error!!Total!!Female!!Worked at home</t>
  </si>
  <si>
    <t>0500000US49011</t>
  </si>
  <si>
    <t>Davis County, Utah</t>
  </si>
  <si>
    <t>0500000US49035</t>
  </si>
  <si>
    <t>Salt Lake County, Utah</t>
  </si>
  <si>
    <t>0500000US49049</t>
  </si>
  <si>
    <t>Utah County, Utah</t>
  </si>
  <si>
    <t>0500000US49057</t>
  </si>
  <si>
    <t>Weber County, Utah</t>
  </si>
  <si>
    <t>Estimate!!Total:</t>
  </si>
  <si>
    <t>Margin of Error!!Total:</t>
  </si>
  <si>
    <t>Estimate!!Total:!!Car, truck, or van:</t>
  </si>
  <si>
    <t>Margin of Error!!Total:!!Car, truck, or van:</t>
  </si>
  <si>
    <t>Estimate!!Total:!!Car, truck, or van:!!Drove alone</t>
  </si>
  <si>
    <t>Margin of Error!!Total:!!Car, truck, or van:!!Drove alone</t>
  </si>
  <si>
    <t>Estimate!!Total:!!Car, truck, or van:!!Carpooled:</t>
  </si>
  <si>
    <t>Margin of Error!!Total:!!Car, truck, or van:!!Carpooled:</t>
  </si>
  <si>
    <t>Estimate!!Total:!!Car, truck, or van:!!Carpooled:!!In 2-person carpool</t>
  </si>
  <si>
    <t>Margin of Error!!Total:!!Car, truck, or van:!!Carpooled:!!In 2-person carpool</t>
  </si>
  <si>
    <t>Estimate!!Total:!!Car, truck, or van:!!Carpooled:!!In 3-person carpool</t>
  </si>
  <si>
    <t>Margin of Error!!Total:!!Car, truck, or van:!!Carpooled:!!In 3-person carpool</t>
  </si>
  <si>
    <t>Estimate!!Total:!!Car, truck, or van:!!Carpooled:!!In 4-or-more-person carpool</t>
  </si>
  <si>
    <t>Margin of Error!!Total:!!Car, truck, or van:!!Carpooled:!!In 4-or-more-person carpool</t>
  </si>
  <si>
    <t>Estimate!!Total:!!Public transportation (excluding taxicab):</t>
  </si>
  <si>
    <t>Margin of Error!!Total:!!Public transportation (excluding taxicab):</t>
  </si>
  <si>
    <t>Estimate!!Total:!!Public transportation (excluding taxicab):!!Bus</t>
  </si>
  <si>
    <t>Margin of Error!!Total:!!Public transportation (excluding taxicab):!!Bus</t>
  </si>
  <si>
    <t>Estimate!!Total:!!Public transportation (excluding taxicab):!!Subway or elevated rail</t>
  </si>
  <si>
    <t>Margin of Error!!Total:!!Public transportation (excluding taxicab):!!Subway or elevated rail</t>
  </si>
  <si>
    <t>Estimate!!Total:!!Public transportation (excluding taxicab):!!Long-distance train or commuter rail</t>
  </si>
  <si>
    <t>Margin of Error!!Total:!!Public transportation (excluding taxicab):!!Long-distance train or commuter rail</t>
  </si>
  <si>
    <t>Estimate!!Total:!!Public transportation (excluding taxicab):!!Light rail, streetcar or trolley (carro pÃºblico in Puerto Rico)</t>
  </si>
  <si>
    <t>Margin of Error!!Total:!!Public transportation (excluding taxicab):!!Light rail, streetcar or trolley (carro pÃºblico in Puerto Rico)</t>
  </si>
  <si>
    <t>Estimate!!Total:!!Public transportation (excluding taxicab):!!Ferryboat</t>
  </si>
  <si>
    <t>Margin of Error!!Total:!!Public transportation (excluding taxicab):!!Ferryboat</t>
  </si>
  <si>
    <t>Estimate!!Total:!!Bicycle</t>
  </si>
  <si>
    <t>Margin of Error!!Total:!!Bicycle</t>
  </si>
  <si>
    <t>Estimate!!Total:!!Walked</t>
  </si>
  <si>
    <t>Margin of Error!!Total:!!Walked</t>
  </si>
  <si>
    <t>Estimate!!Total:!!Taxicab, motorcycle, or other means</t>
  </si>
  <si>
    <t>Margin of Error!!Total:!!Taxicab, motorcycle, or other means</t>
  </si>
  <si>
    <t>Estimate!!Total:!!Worked from home</t>
  </si>
  <si>
    <t>Margin of Error!!Total:!!Worked from home</t>
  </si>
  <si>
    <t>Estimate!!Total:!!Male:</t>
  </si>
  <si>
    <t>Margin of Error!!Total:!!Male:</t>
  </si>
  <si>
    <t>Estimate!!Total:!!Male:!!Car, truck, or van:</t>
  </si>
  <si>
    <t>Margin of Error!!Total:!!Male:!!Car, truck, or van:</t>
  </si>
  <si>
    <t>Estimate!!Total:!!Male:!!Car, truck, or van:!!Drove alone</t>
  </si>
  <si>
    <t>Margin of Error!!Total:!!Male:!!Car, truck, or van:!!Drove alone</t>
  </si>
  <si>
    <t>Estimate!!Total:!!Male:!!Car, truck, or van:!!Carpooled:</t>
  </si>
  <si>
    <t>Margin of Error!!Total:!!Male:!!Car, truck, or van:!!Carpooled:</t>
  </si>
  <si>
    <t>Estimate!!Total:!!Male:!!Car, truck, or van:!!Carpooled:!!In 2-person carpool</t>
  </si>
  <si>
    <t>Margin of Error!!Total:!!Male:!!Car, truck, or van:!!Carpooled:!!In 2-person carpool</t>
  </si>
  <si>
    <t>Estimate!!Total:!!Male:!!Car, truck, or van:!!Carpooled:!!In 3-person carpool</t>
  </si>
  <si>
    <t>Margin of Error!!Total:!!Male:!!Car, truck, or van:!!Carpooled:!!In 3-person carpool</t>
  </si>
  <si>
    <t>Estimate!!Total:!!Male:!!Car, truck, or van:!!Carpooled:!!In 4-or-more-person carpool</t>
  </si>
  <si>
    <t>Margin of Error!!Total:!!Male:!!Car, truck, or van:!!Carpooled:!!In 4-or-more-person carpool</t>
  </si>
  <si>
    <t>Estimate!!Total:!!Male:!!Public transportation (excluding taxicab):</t>
  </si>
  <si>
    <t>Margin of Error!!Total:!!Male:!!Public transportation (excluding taxicab):</t>
  </si>
  <si>
    <t>Estimate!!Total:!!Male:!!Public transportation (excluding taxicab):!!Bus</t>
  </si>
  <si>
    <t>Margin of Error!!Total:!!Male:!!Public transportation (excluding taxicab):!!Bus</t>
  </si>
  <si>
    <t>Estimate!!Total:!!Male:!!Public transportation (excluding taxicab):!!Subway or elevated rail</t>
  </si>
  <si>
    <t>Margin of Error!!Total:!!Male:!!Public transportation (excluding taxicab):!!Subway or elevated rail</t>
  </si>
  <si>
    <t>Estimate!!Total:!!Male:!!Public transportation (excluding taxicab):!!Long-distance train or commuter rail</t>
  </si>
  <si>
    <t>Margin of Error!!Total:!!Male:!!Public transportation (excluding taxicab):!!Long-distance train or commuter rail</t>
  </si>
  <si>
    <t>Estimate!!Total:!!Male:!!Public transportation (excluding taxicab):!!Light rail, streetcar or trolley (carro pÃºblico in Puerto Rico)</t>
  </si>
  <si>
    <t>Margin of Error!!Total:!!Male:!!Public transportation (excluding taxicab):!!Light rail, streetcar or trolley (carro pÃºblico in Puerto Rico)</t>
  </si>
  <si>
    <t>Estimate!!Total:!!Male:!!Public transportation (excluding taxicab):!!Ferryboat</t>
  </si>
  <si>
    <t>Margin of Error!!Total:!!Male:!!Public transportation (excluding taxicab):!!Ferryboat</t>
  </si>
  <si>
    <t>Estimate!!Total:!!Male:!!Bicycle</t>
  </si>
  <si>
    <t>Margin of Error!!Total:!!Male:!!Bicycle</t>
  </si>
  <si>
    <t>Estimate!!Total:!!Male:!!Walked</t>
  </si>
  <si>
    <t>Margin of Error!!Total:!!Male:!!Walked</t>
  </si>
  <si>
    <t>Estimate!!Total:!!Male:!!Taxicab, motorcycle, or other means</t>
  </si>
  <si>
    <t>Margin of Error!!Total:!!Male:!!Taxicab, motorcycle, or other means</t>
  </si>
  <si>
    <t>Estimate!!Total:!!Male:!!Worked from home</t>
  </si>
  <si>
    <t>Margin of Error!!Total:!!Male:!!Worked from home</t>
  </si>
  <si>
    <t>Estimate!!Total:!!Female:</t>
  </si>
  <si>
    <t>Margin of Error!!Total:!!Female:</t>
  </si>
  <si>
    <t>Estimate!!Total:!!Female:!!Car, truck, or van:</t>
  </si>
  <si>
    <t>Margin of Error!!Total:!!Female:!!Car, truck, or van:</t>
  </si>
  <si>
    <t>Estimate!!Total:!!Female:!!Car, truck, or van:!!Drove alone</t>
  </si>
  <si>
    <t>Margin of Error!!Total:!!Female:!!Car, truck, or van:!!Drove alone</t>
  </si>
  <si>
    <t>Estimate!!Total:!!Female:!!Car, truck, or van:!!Carpooled:</t>
  </si>
  <si>
    <t>Margin of Error!!Total:!!Female:!!Car, truck, or van:!!Carpooled:</t>
  </si>
  <si>
    <t>Estimate!!Total:!!Female:!!Car, truck, or van:!!Carpooled:!!In 2-person carpool</t>
  </si>
  <si>
    <t>Margin of Error!!Total:!!Female:!!Car, truck, or van:!!Carpooled:!!In 2-person carpool</t>
  </si>
  <si>
    <t>Estimate!!Total:!!Female:!!Car, truck, or van:!!Carpooled:!!In 3-person carpool</t>
  </si>
  <si>
    <t>Margin of Error!!Total:!!Female:!!Car, truck, or van:!!Carpooled:!!In 3-person carpool</t>
  </si>
  <si>
    <t>Estimate!!Total:!!Female:!!Car, truck, or van:!!Carpooled:!!In 4-or-more-person carpool</t>
  </si>
  <si>
    <t>Margin of Error!!Total:!!Female:!!Car, truck, or van:!!Carpooled:!!In 4-or-more-person carpool</t>
  </si>
  <si>
    <t>Estimate!!Total:!!Female:!!Public transportation (excluding taxicab):</t>
  </si>
  <si>
    <t>Margin of Error!!Total:!!Female:!!Public transportation (excluding taxicab):</t>
  </si>
  <si>
    <t>Estimate!!Total:!!Female:!!Public transportation (excluding taxicab):!!Bus</t>
  </si>
  <si>
    <t>Margin of Error!!Total:!!Female:!!Public transportation (excluding taxicab):!!Bus</t>
  </si>
  <si>
    <t>Estimate!!Total:!!Female:!!Public transportation (excluding taxicab):!!Subway or elevated rail</t>
  </si>
  <si>
    <t>Margin of Error!!Total:!!Female:!!Public transportation (excluding taxicab):!!Subway or elevated rail</t>
  </si>
  <si>
    <t>Estimate!!Total:!!Female:!!Public transportation (excluding taxicab):!!Long-distance train or commuter rail</t>
  </si>
  <si>
    <t>Margin of Error!!Total:!!Female:!!Public transportation (excluding taxicab):!!Long-distance train or commuter rail</t>
  </si>
  <si>
    <t>Estimate!!Total:!!Female:!!Public transportation (excluding taxicab):!!Light rail, streetcar or trolley (carro pÃºblico in Puerto Rico)</t>
  </si>
  <si>
    <t>Margin of Error!!Total:!!Female:!!Public transportation (excluding taxicab):!!Light rail, streetcar or trolley (carro pÃºblico in Puerto Rico)</t>
  </si>
  <si>
    <t>Estimate!!Total:!!Female:!!Public transportation (excluding taxicab):!!Ferryboat</t>
  </si>
  <si>
    <t>Margin of Error!!Total:!!Female:!!Public transportation (excluding taxicab):!!Ferryboat</t>
  </si>
  <si>
    <t>Estimate!!Total:!!Female:!!Bicycle</t>
  </si>
  <si>
    <t>Margin of Error!!Total:!!Female:!!Bicycle</t>
  </si>
  <si>
    <t>Estimate!!Total:!!Female:!!Walked</t>
  </si>
  <si>
    <t>Margin of Error!!Total:!!Female:!!Walked</t>
  </si>
  <si>
    <t>Estimate!!Total:!!Female:!!Taxicab, motorcycle, or other means</t>
  </si>
  <si>
    <t>Margin of Error!!Total:!!Female:!!Taxicab, motorcycle, or other means</t>
  </si>
  <si>
    <t>Estimate!!Total:!!Female:!!Worked from home</t>
  </si>
  <si>
    <t>Margin of Error!!Total:!!Female:!!Worked from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</si>
</sst>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color rgb="FF000000"/>
      <name val="Arial"/>
    </font>
    <font>
      <b/>
      <sz val="10"/>
      <color theme="1"/>
      <name val="Roboto"/>
    </font>
    <font>
      <i/>
      <sz val="10"/>
      <color theme="1"/>
      <name val="Roboto"/>
    </font>
    <font>
      <sz val="10"/>
      <color theme="1"/>
      <name val="Roboto"/>
    </font>
    <font>
      <b/>
      <i/>
      <sz val="10"/>
      <color theme="1"/>
      <name val="Roboto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3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/>
    <xf numFmtId="10" fontId="3" fillId="0" borderId="0" xfId="0" applyNumberFormat="1" applyFont="1"/>
    <xf numFmtId="9" fontId="3" fillId="0" borderId="0" xfId="0" applyNumberFormat="1" applyFont="1"/>
    <xf numFmtId="0" fontId="3" fillId="3" borderId="0" xfId="0" applyFont="1" applyFill="1" applyAlignment="1"/>
    <xf numFmtId="0" fontId="4" fillId="3" borderId="0" xfId="0" applyFont="1" applyFill="1" applyAlignment="1"/>
    <xf numFmtId="3" fontId="1" fillId="0" borderId="0" xfId="0" applyNumberFormat="1" applyFont="1"/>
    <xf numFmtId="164" fontId="1" fillId="0" borderId="0" xfId="0" applyNumberFormat="1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mpd="sng">
              <a:solidFill>
                <a:srgbClr val="45818E"/>
              </a:solidFill>
              <a:prstDash val="sysDot"/>
            </a:ln>
          </c:spPr>
          <c:marker>
            <c:symbol val="none"/>
          </c:marker>
          <c:cat>
            <c:numRef>
              <c:f>Summary!$B$1:$K$1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Summary!$B$4:$K$4</c:f>
              <c:numCache>
                <c:formatCode>0.0%</c:formatCode>
                <c:ptCount val="10"/>
                <c:pt idx="0">
                  <c:v>4.2651351400785201E-2</c:v>
                </c:pt>
                <c:pt idx="1">
                  <c:v>4.7216211713403761E-2</c:v>
                </c:pt>
                <c:pt idx="2">
                  <c:v>4.7348698199900112E-2</c:v>
                </c:pt>
                <c:pt idx="3">
                  <c:v>5.1169945192380981E-2</c:v>
                </c:pt>
                <c:pt idx="4">
                  <c:v>5.6006561709863956E-2</c:v>
                </c:pt>
                <c:pt idx="5">
                  <c:v>5.6594396643872322E-2</c:v>
                </c:pt>
                <c:pt idx="6">
                  <c:v>5.7802637848178295E-2</c:v>
                </c:pt>
                <c:pt idx="7">
                  <c:v>6.6791542198274656E-2</c:v>
                </c:pt>
                <c:pt idx="8">
                  <c:v>6.4732826779457353E-2</c:v>
                </c:pt>
                <c:pt idx="9">
                  <c:v>7.0460042091079603E-2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F-42BA-9548-137515B8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18437"/>
        <c:axId val="1894565258"/>
      </c:lineChart>
      <c:catAx>
        <c:axId val="124018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en-US"/>
          </a:p>
        </c:txPr>
        <c:crossAx val="1894565258"/>
        <c:crosses val="autoZero"/>
        <c:auto val="1"/>
        <c:lblAlgn val="ctr"/>
        <c:lblOffset val="100"/>
        <c:noMultiLvlLbl val="1"/>
      </c:catAx>
      <c:valAx>
        <c:axId val="189456525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666666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666666"/>
                    </a:solidFill>
                    <a:latin typeface="Roboto"/>
                  </a:rPr>
                  <a:t>Percent Work-From-Home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en-US"/>
          </a:p>
        </c:txPr>
        <c:crossAx val="1240184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4</xdr:row>
      <xdr:rowOff>142875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1001"/>
  <sheetViews>
    <sheetView workbookViewId="0"/>
  </sheetViews>
  <sheetFormatPr defaultColWidth="14.42578125" defaultRowHeight="15.75" customHeight="1" x14ac:dyDescent="0.2"/>
  <cols>
    <col min="1" max="1" width="21.85546875" customWidth="1"/>
  </cols>
  <sheetData>
    <row r="1" spans="1:11" x14ac:dyDescent="0.2">
      <c r="A1" s="1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</row>
    <row r="2" spans="1:11" x14ac:dyDescent="0.2">
      <c r="A2" s="3" t="s">
        <v>0</v>
      </c>
      <c r="B2" s="4">
        <f t="shared" ref="B2:K2" ca="1" si="0">SUM(INDIRECT(B1&amp;"!$C$3:$C$6"))</f>
        <v>929443</v>
      </c>
      <c r="C2" s="4">
        <f t="shared" ca="1" si="0"/>
        <v>966363</v>
      </c>
      <c r="D2" s="4">
        <f t="shared" ca="1" si="0"/>
        <v>1003111</v>
      </c>
      <c r="E2" s="4">
        <f t="shared" ca="1" si="0"/>
        <v>1010261</v>
      </c>
      <c r="F2" s="4">
        <f t="shared" ca="1" si="0"/>
        <v>1047288</v>
      </c>
      <c r="G2" s="4">
        <f t="shared" ca="1" si="0"/>
        <v>1080531</v>
      </c>
      <c r="H2" s="4">
        <f t="shared" ca="1" si="0"/>
        <v>1120762</v>
      </c>
      <c r="I2" s="4">
        <f t="shared" ca="1" si="0"/>
        <v>1146208</v>
      </c>
      <c r="J2" s="4">
        <f t="shared" ca="1" si="0"/>
        <v>1168418</v>
      </c>
      <c r="K2" s="4">
        <f t="shared" ca="1" si="0"/>
        <v>1223062</v>
      </c>
    </row>
    <row r="3" spans="1:11" x14ac:dyDescent="0.2">
      <c r="A3" s="3" t="s">
        <v>1</v>
      </c>
      <c r="B3" s="4">
        <f t="shared" ref="B3:K3" ca="1" si="1">SUM(INDIRECT(B1&amp;"!$ai$3:$ai$6"))</f>
        <v>39642</v>
      </c>
      <c r="C3" s="4">
        <f t="shared" ca="1" si="1"/>
        <v>45628</v>
      </c>
      <c r="D3" s="4">
        <f t="shared" ca="1" si="1"/>
        <v>47496</v>
      </c>
      <c r="E3" s="4">
        <f t="shared" ca="1" si="1"/>
        <v>51695</v>
      </c>
      <c r="F3" s="4">
        <f t="shared" ca="1" si="1"/>
        <v>58655</v>
      </c>
      <c r="G3" s="4">
        <f t="shared" ca="1" si="1"/>
        <v>61152</v>
      </c>
      <c r="H3" s="4">
        <f t="shared" ca="1" si="1"/>
        <v>64783</v>
      </c>
      <c r="I3" s="4">
        <f t="shared" ca="1" si="1"/>
        <v>76557</v>
      </c>
      <c r="J3" s="4">
        <f t="shared" ca="1" si="1"/>
        <v>75635</v>
      </c>
      <c r="K3" s="4">
        <f t="shared" ca="1" si="1"/>
        <v>86177</v>
      </c>
    </row>
    <row r="4" spans="1:11" x14ac:dyDescent="0.2">
      <c r="A4" s="3" t="s">
        <v>2</v>
      </c>
      <c r="B4" s="5">
        <f t="shared" ref="B4:K4" ca="1" si="2">B3/B2</f>
        <v>4.2651351400785201E-2</v>
      </c>
      <c r="C4" s="5">
        <f t="shared" ca="1" si="2"/>
        <v>4.7216211713403761E-2</v>
      </c>
      <c r="D4" s="5">
        <f t="shared" ca="1" si="2"/>
        <v>4.7348698199900112E-2</v>
      </c>
      <c r="E4" s="5">
        <f t="shared" ca="1" si="2"/>
        <v>5.1169945192380981E-2</v>
      </c>
      <c r="F4" s="5">
        <f t="shared" ca="1" si="2"/>
        <v>5.6006561709863956E-2</v>
      </c>
      <c r="G4" s="5">
        <f t="shared" ca="1" si="2"/>
        <v>5.6594396643872322E-2</v>
      </c>
      <c r="H4" s="5">
        <f t="shared" ca="1" si="2"/>
        <v>5.7802637848178295E-2</v>
      </c>
      <c r="I4" s="5">
        <f t="shared" ca="1" si="2"/>
        <v>6.6791542198274656E-2</v>
      </c>
      <c r="J4" s="5">
        <f t="shared" ca="1" si="2"/>
        <v>6.4732826779457353E-2</v>
      </c>
      <c r="K4" s="5">
        <f t="shared" ca="1" si="2"/>
        <v>7.0460042091079603E-2</v>
      </c>
    </row>
    <row r="5" spans="1:11" x14ac:dyDescent="0.2">
      <c r="A5" s="6"/>
      <c r="B5" s="7"/>
      <c r="C5" s="7"/>
      <c r="D5" s="6"/>
      <c r="E5" s="6"/>
      <c r="F5" s="6"/>
      <c r="G5" s="6"/>
      <c r="H5" s="6"/>
      <c r="I5" s="6"/>
      <c r="J5" s="6"/>
      <c r="K5" s="6"/>
    </row>
    <row r="6" spans="1:11" x14ac:dyDescent="0.2">
      <c r="A6" s="8"/>
      <c r="B6" s="2" t="s">
        <v>3</v>
      </c>
      <c r="C6" s="2" t="s">
        <v>4</v>
      </c>
      <c r="D6" s="6"/>
      <c r="E6" s="6"/>
      <c r="F6" s="6"/>
      <c r="G6" s="6"/>
      <c r="H6" s="6"/>
      <c r="I6" s="6"/>
      <c r="J6" s="6"/>
      <c r="K6" s="6"/>
    </row>
    <row r="7" spans="1:11" x14ac:dyDescent="0.2">
      <c r="A7" s="3" t="s">
        <v>5</v>
      </c>
      <c r="B7" s="9">
        <f t="shared" ref="B7:B9" ca="1" si="3">(K2-B2)/B2</f>
        <v>0.31590856028825864</v>
      </c>
      <c r="C7" s="9">
        <f t="shared" ref="C7:C9" ca="1" si="4">B7/(2019-2010)</f>
        <v>3.5100951143139852E-2</v>
      </c>
      <c r="D7" s="6"/>
      <c r="E7" s="6"/>
      <c r="F7" s="6"/>
      <c r="G7" s="6"/>
      <c r="H7" s="6"/>
      <c r="I7" s="6"/>
      <c r="J7" s="6"/>
      <c r="K7" s="6"/>
    </row>
    <row r="8" spans="1:11" x14ac:dyDescent="0.2">
      <c r="A8" s="3" t="s">
        <v>6</v>
      </c>
      <c r="B8" s="9">
        <f t="shared" ca="1" si="3"/>
        <v>1.1738812370717926</v>
      </c>
      <c r="C8" s="9">
        <f t="shared" ca="1" si="4"/>
        <v>0.1304312485635325</v>
      </c>
      <c r="D8" s="6"/>
      <c r="E8" s="6"/>
      <c r="F8" s="6"/>
      <c r="G8" s="6"/>
      <c r="H8" s="6"/>
      <c r="I8" s="6"/>
      <c r="J8" s="6"/>
      <c r="K8" s="6"/>
    </row>
    <row r="9" spans="1:11" x14ac:dyDescent="0.2">
      <c r="A9" s="3" t="s">
        <v>7</v>
      </c>
      <c r="B9" s="10">
        <f t="shared" ca="1" si="3"/>
        <v>0.65200022454112561</v>
      </c>
      <c r="C9" s="9">
        <f t="shared" ca="1" si="4"/>
        <v>7.2444469393458402E-2</v>
      </c>
      <c r="D9" s="6"/>
      <c r="E9" s="6"/>
      <c r="F9" s="6"/>
      <c r="G9" s="6"/>
      <c r="H9" s="6"/>
      <c r="I9" s="6"/>
      <c r="J9" s="6"/>
      <c r="K9" s="6"/>
    </row>
    <row r="10" spans="1:1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spans="1:1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spans="1:1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spans="1:1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spans="1:1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spans="1:1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spans="1:1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spans="1:1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spans="1:1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spans="1:1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spans="1:1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spans="1:1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spans="1:1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spans="1:1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spans="1:1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spans="1:1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1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spans="1:1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spans="1:1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spans="1:1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spans="1:1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spans="1:1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spans="1:1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spans="1:1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spans="1:1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spans="1:1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spans="1:1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spans="1:1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spans="1:1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spans="1:1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spans="1:1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spans="1:1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spans="1:1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1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spans="1:1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spans="1:1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spans="1:1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spans="1:1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spans="1:1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spans="1:1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spans="1:1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spans="1:1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spans="1:1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spans="1:1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spans="1:1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spans="1:1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1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spans="1:1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spans="1:1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spans="1:1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spans="1:1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spans="1:1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spans="1:1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spans="1:1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spans="1:1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spans="1:1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spans="1:1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spans="1:1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spans="1:1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spans="1:1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spans="1:1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spans="1:1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spans="1:1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spans="1:1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spans="1:1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1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spans="1:1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spans="1:1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spans="1:1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spans="1:1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spans="1:1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spans="1:1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spans="1:1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spans="1:1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spans="1:1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spans="1:1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spans="1:1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spans="1:1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spans="1:1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spans="1:1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spans="1:1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spans="1:1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spans="1:1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spans="1:1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spans="1:1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spans="1:1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spans="1:1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spans="1:1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spans="1:1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spans="1:1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spans="1:1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spans="1:1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spans="1:1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spans="1:1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spans="1:1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spans="1:1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spans="1:1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spans="1:1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spans="1:1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1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spans="1:1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spans="1:1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spans="1:1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spans="1:1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spans="1:1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spans="1:1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spans="1:1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spans="1:1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spans="1:1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spans="1:1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spans="1:1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spans="1:1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spans="1:1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spans="1:1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spans="1:1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spans="1:1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1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spans="1:1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spans="1:1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spans="1:1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spans="1:1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spans="1:1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spans="1:1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spans="1:1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spans="1:1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spans="1:1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spans="1:1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spans="1:1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spans="1:1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spans="1:1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spans="1:1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spans="1:1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spans="1:1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spans="1:1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spans="1:1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1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spans="1:1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spans="1:1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spans="1:1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spans="1:1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spans="1:1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spans="1:1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spans="1:1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spans="1:1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spans="1:1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spans="1:1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spans="1:1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spans="1:1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spans="1:1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spans="1:1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spans="1:1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spans="1:1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spans="1:1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spans="1:1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spans="1:1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spans="1:1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spans="1:1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spans="1:1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spans="1:1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spans="1:1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spans="1:1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1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spans="1:1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spans="1:1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spans="1:1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spans="1:1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spans="1:1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spans="1:1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spans="1:1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spans="1:1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spans="1:1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spans="1:1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spans="1:1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spans="1:1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spans="1:1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spans="1:1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spans="1:1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spans="1:1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spans="1:1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spans="1:1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spans="1:1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spans="1:1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spans="1:1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spans="1:1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spans="1:1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spans="1:1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spans="1:1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spans="1:1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1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spans="1:1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spans="1:1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spans="1:1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spans="1:1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spans="1:1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spans="1:1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spans="1:1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spans="1:1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spans="1:1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spans="1:1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spans="1:1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spans="1:1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spans="1:1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spans="1:1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spans="1:1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spans="1:1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spans="1:1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spans="1:1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spans="1:1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spans="1:1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spans="1:1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spans="1:1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spans="1:1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spans="1:1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spans="1:1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spans="1:1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spans="1:1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spans="1:1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spans="1:1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spans="1:1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spans="1:1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spans="1:1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spans="1:1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spans="1:1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spans="1:1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spans="1:1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spans="1:1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spans="1:1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spans="1:1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spans="1:1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spans="1:1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spans="1:1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spans="1:1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spans="1:1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spans="1:1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spans="1:1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spans="1:1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spans="1:1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spans="1:1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spans="1:1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spans="1:1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spans="1:1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spans="1:1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spans="1:1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spans="1:1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spans="1:1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spans="1:1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spans="1:1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spans="1:1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spans="1:1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spans="1:1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spans="1:1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spans="1:1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spans="1:1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spans="1:1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spans="1:1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spans="1:1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spans="1:1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spans="1:1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spans="1:1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spans="1:1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spans="1:1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spans="1:1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spans="1:1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spans="1:1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spans="1:1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spans="1:1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spans="1:1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spans="1:1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spans="1:1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spans="1:1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spans="1:1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spans="1:1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spans="1:1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spans="1:1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spans="1:1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spans="1:1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spans="1:1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spans="1:1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spans="1:1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spans="1:1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spans="1:1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spans="1:1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spans="1:1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1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spans="1:1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spans="1:1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spans="1:1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spans="1:1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spans="1:1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spans="1:1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spans="1:1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spans="1:1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spans="1:1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spans="1:1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spans="1:1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spans="1:1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spans="1:1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spans="1:1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spans="1:1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spans="1:1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spans="1:1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spans="1:1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spans="1:1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spans="1:1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spans="1:1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spans="1:1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spans="1:1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spans="1:1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spans="1:1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spans="1:1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spans="1:1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1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spans="1:1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spans="1:1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spans="1:1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spans="1:1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spans="1:1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spans="1:1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spans="1:1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spans="1:1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spans="1:1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spans="1:1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spans="1:1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spans="1:1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spans="1:1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spans="1:1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spans="1:1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spans="1:1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spans="1:1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spans="1:1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spans="1:1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spans="1:1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spans="1:1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spans="1:1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spans="1:1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spans="1:1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spans="1:1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spans="1:1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spans="1:1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spans="1:1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spans="1:1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spans="1:1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spans="1:1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spans="1:1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spans="1:1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spans="1:1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spans="1:1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spans="1:1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spans="1:1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spans="1:1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spans="1:1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spans="1:1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spans="1:1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spans="1:1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spans="1:1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spans="1:1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spans="1:1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spans="1:1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spans="1:1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spans="1:1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1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spans="1:1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spans="1:1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spans="1:1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spans="1:1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spans="1:1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spans="1:1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spans="1:1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spans="1:1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spans="1:1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spans="1:1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spans="1:1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spans="1:1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spans="1:1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spans="1:1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spans="1:1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spans="1:1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spans="1:1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spans="1:1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spans="1:1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spans="1:1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spans="1:1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spans="1:1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spans="1:1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spans="1:1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spans="1:1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spans="1:1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spans="1:1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spans="1:1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spans="1:1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spans="1:1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spans="1:1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spans="1:1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spans="1:1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spans="1:1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spans="1:1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spans="1:1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spans="1:1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spans="1:1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spans="1:1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 spans="1:1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K1013"/>
  <sheetViews>
    <sheetView tabSelected="1" workbookViewId="0">
      <selection activeCell="E26" sqref="E26"/>
    </sheetView>
  </sheetViews>
  <sheetFormatPr defaultColWidth="14.42578125" defaultRowHeight="15.75" customHeight="1" x14ac:dyDescent="0.2"/>
  <cols>
    <col min="1" max="1" width="21.85546875" customWidth="1"/>
  </cols>
  <sheetData>
    <row r="1" spans="1:11" x14ac:dyDescent="0.2">
      <c r="A1" s="1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</row>
    <row r="2" spans="1:11" x14ac:dyDescent="0.2">
      <c r="A2" s="11" t="s">
        <v>8</v>
      </c>
      <c r="B2" s="4">
        <f t="shared" ref="B2:K2" ca="1" si="0">SUM(INDIRECT(B$1&amp;"!$C3"))</f>
        <v>134463</v>
      </c>
      <c r="C2" s="4">
        <f t="shared" ca="1" si="0"/>
        <v>141618</v>
      </c>
      <c r="D2" s="4">
        <f t="shared" ca="1" si="0"/>
        <v>145456</v>
      </c>
      <c r="E2" s="4">
        <f t="shared" ca="1" si="0"/>
        <v>147970</v>
      </c>
      <c r="F2" s="4">
        <f t="shared" ca="1" si="0"/>
        <v>149483</v>
      </c>
      <c r="G2" s="4">
        <f t="shared" ca="1" si="0"/>
        <v>157286</v>
      </c>
      <c r="H2" s="4">
        <f t="shared" ca="1" si="0"/>
        <v>161995</v>
      </c>
      <c r="I2" s="4">
        <f t="shared" ca="1" si="0"/>
        <v>164942</v>
      </c>
      <c r="J2" s="4">
        <f t="shared" ca="1" si="0"/>
        <v>164813</v>
      </c>
      <c r="K2" s="4">
        <f t="shared" ca="1" si="0"/>
        <v>174354</v>
      </c>
    </row>
    <row r="3" spans="1:11" x14ac:dyDescent="0.2">
      <c r="A3" s="11" t="s">
        <v>9</v>
      </c>
      <c r="B3" s="4">
        <f t="shared" ref="B3:K3" ca="1" si="1">SUM(INDIRECT(B$1&amp;"!$C4"))</f>
        <v>480853</v>
      </c>
      <c r="C3" s="4">
        <f t="shared" ca="1" si="1"/>
        <v>501972</v>
      </c>
      <c r="D3" s="4">
        <f t="shared" ca="1" si="1"/>
        <v>513309</v>
      </c>
      <c r="E3" s="4">
        <f t="shared" ca="1" si="1"/>
        <v>525030</v>
      </c>
      <c r="F3" s="4">
        <f t="shared" ca="1" si="1"/>
        <v>541756</v>
      </c>
      <c r="G3" s="4">
        <f t="shared" ca="1" si="1"/>
        <v>556252</v>
      </c>
      <c r="H3" s="4">
        <f t="shared" ca="1" si="1"/>
        <v>573972</v>
      </c>
      <c r="I3" s="4">
        <f t="shared" ca="1" si="1"/>
        <v>586230</v>
      </c>
      <c r="J3" s="4">
        <f t="shared" ca="1" si="1"/>
        <v>592292</v>
      </c>
      <c r="K3" s="4">
        <f t="shared" ca="1" si="1"/>
        <v>611513</v>
      </c>
    </row>
    <row r="4" spans="1:11" x14ac:dyDescent="0.2">
      <c r="A4" s="11" t="s">
        <v>10</v>
      </c>
      <c r="B4" s="4">
        <f t="shared" ref="B4:K4" ca="1" si="2">SUM(INDIRECT(B$1&amp;"!$C5"))</f>
        <v>209177</v>
      </c>
      <c r="C4" s="4">
        <f t="shared" ca="1" si="2"/>
        <v>218997</v>
      </c>
      <c r="D4" s="4">
        <f t="shared" ca="1" si="2"/>
        <v>236470</v>
      </c>
      <c r="E4" s="4">
        <f t="shared" ca="1" si="2"/>
        <v>229396</v>
      </c>
      <c r="F4" s="4">
        <f t="shared" ca="1" si="2"/>
        <v>243465</v>
      </c>
      <c r="G4" s="4">
        <f t="shared" ca="1" si="2"/>
        <v>254509</v>
      </c>
      <c r="H4" s="4">
        <f t="shared" ca="1" si="2"/>
        <v>117013</v>
      </c>
      <c r="I4" s="4">
        <f t="shared" ca="1" si="2"/>
        <v>274178</v>
      </c>
      <c r="J4" s="4">
        <f t="shared" ca="1" si="2"/>
        <v>285521</v>
      </c>
      <c r="K4" s="4">
        <f t="shared" ca="1" si="2"/>
        <v>304392</v>
      </c>
    </row>
    <row r="5" spans="1:11" x14ac:dyDescent="0.2">
      <c r="A5" s="11" t="s">
        <v>11</v>
      </c>
      <c r="B5" s="4">
        <f t="shared" ref="B5:K5" ca="1" si="3">SUM(INDIRECT(B$1&amp;"!$C6"))</f>
        <v>104950</v>
      </c>
      <c r="C5" s="4">
        <f t="shared" ca="1" si="3"/>
        <v>103776</v>
      </c>
      <c r="D5" s="4">
        <f t="shared" ca="1" si="3"/>
        <v>107876</v>
      </c>
      <c r="E5" s="4">
        <f t="shared" ca="1" si="3"/>
        <v>107865</v>
      </c>
      <c r="F5" s="4">
        <f t="shared" ca="1" si="3"/>
        <v>112584</v>
      </c>
      <c r="G5" s="4">
        <f t="shared" ca="1" si="3"/>
        <v>112484</v>
      </c>
      <c r="H5" s="4">
        <f t="shared" ca="1" si="3"/>
        <v>267782</v>
      </c>
      <c r="I5" s="4">
        <f t="shared" ca="1" si="3"/>
        <v>120858</v>
      </c>
      <c r="J5" s="4">
        <f t="shared" ca="1" si="3"/>
        <v>125792</v>
      </c>
      <c r="K5" s="4">
        <f t="shared" ca="1" si="3"/>
        <v>132803</v>
      </c>
    </row>
    <row r="6" spans="1:11" x14ac:dyDescent="0.2">
      <c r="A6" s="12" t="s">
        <v>0</v>
      </c>
      <c r="B6" s="13">
        <f t="shared" ref="B6:K6" ca="1" si="4">SUM(INDIRECT(B1&amp;"!$C$3:$C$6"))</f>
        <v>929443</v>
      </c>
      <c r="C6" s="13">
        <f t="shared" ca="1" si="4"/>
        <v>966363</v>
      </c>
      <c r="D6" s="13">
        <f t="shared" ca="1" si="4"/>
        <v>1003111</v>
      </c>
      <c r="E6" s="13">
        <f t="shared" ca="1" si="4"/>
        <v>1010261</v>
      </c>
      <c r="F6" s="13">
        <f t="shared" ca="1" si="4"/>
        <v>1047288</v>
      </c>
      <c r="G6" s="13">
        <f t="shared" ca="1" si="4"/>
        <v>1080531</v>
      </c>
      <c r="H6" s="13">
        <f t="shared" ca="1" si="4"/>
        <v>1120762</v>
      </c>
      <c r="I6" s="13">
        <f t="shared" ca="1" si="4"/>
        <v>1146208</v>
      </c>
      <c r="J6" s="13">
        <f t="shared" ca="1" si="4"/>
        <v>1168418</v>
      </c>
      <c r="K6" s="13">
        <f t="shared" ca="1" si="4"/>
        <v>1223062</v>
      </c>
    </row>
    <row r="7" spans="1:11" x14ac:dyDescent="0.2">
      <c r="A7" s="11" t="s">
        <v>8</v>
      </c>
      <c r="B7" s="4">
        <f t="shared" ref="B7:K7" ca="1" si="5">SUM(INDIRECT(B$1&amp;"!$ai3"))</f>
        <v>5310</v>
      </c>
      <c r="C7" s="4">
        <f t="shared" ca="1" si="5"/>
        <v>6683</v>
      </c>
      <c r="D7" s="4">
        <f t="shared" ca="1" si="5"/>
        <v>6700</v>
      </c>
      <c r="E7" s="4">
        <f t="shared" ca="1" si="5"/>
        <v>6718</v>
      </c>
      <c r="F7" s="4">
        <f t="shared" ca="1" si="5"/>
        <v>9842</v>
      </c>
      <c r="G7" s="4">
        <f t="shared" ca="1" si="5"/>
        <v>9348</v>
      </c>
      <c r="H7" s="4">
        <f t="shared" ca="1" si="5"/>
        <v>7556</v>
      </c>
      <c r="I7" s="4">
        <f t="shared" ca="1" si="5"/>
        <v>11108</v>
      </c>
      <c r="J7" s="4">
        <f t="shared" ca="1" si="5"/>
        <v>9123</v>
      </c>
      <c r="K7" s="4">
        <f t="shared" ca="1" si="5"/>
        <v>12691</v>
      </c>
    </row>
    <row r="8" spans="1:11" x14ac:dyDescent="0.2">
      <c r="A8" s="11" t="s">
        <v>9</v>
      </c>
      <c r="B8" s="4">
        <f t="shared" ref="B8:K8" ca="1" si="6">SUM(INDIRECT(B$1&amp;"!$ai4"))</f>
        <v>18178</v>
      </c>
      <c r="C8" s="4">
        <f t="shared" ca="1" si="6"/>
        <v>22393</v>
      </c>
      <c r="D8" s="4">
        <f t="shared" ca="1" si="6"/>
        <v>23275</v>
      </c>
      <c r="E8" s="4">
        <f t="shared" ca="1" si="6"/>
        <v>27351</v>
      </c>
      <c r="F8" s="4">
        <f t="shared" ca="1" si="6"/>
        <v>29264</v>
      </c>
      <c r="G8" s="4">
        <f t="shared" ca="1" si="6"/>
        <v>29139</v>
      </c>
      <c r="H8" s="4">
        <f t="shared" ca="1" si="6"/>
        <v>33188</v>
      </c>
      <c r="I8" s="4">
        <f t="shared" ca="1" si="6"/>
        <v>38898</v>
      </c>
      <c r="J8" s="4">
        <f t="shared" ca="1" si="6"/>
        <v>40426</v>
      </c>
      <c r="K8" s="4">
        <f t="shared" ca="1" si="6"/>
        <v>40433</v>
      </c>
    </row>
    <row r="9" spans="1:11" x14ac:dyDescent="0.2">
      <c r="A9" s="11" t="s">
        <v>10</v>
      </c>
      <c r="B9" s="4">
        <f t="shared" ref="B9:K9" ca="1" si="7">SUM(INDIRECT(B$1&amp;"!$ai5"))</f>
        <v>13182</v>
      </c>
      <c r="C9" s="4">
        <f t="shared" ca="1" si="7"/>
        <v>12579</v>
      </c>
      <c r="D9" s="4">
        <f t="shared" ca="1" si="7"/>
        <v>14236</v>
      </c>
      <c r="E9" s="4">
        <f t="shared" ca="1" si="7"/>
        <v>13689</v>
      </c>
      <c r="F9" s="4">
        <f t="shared" ca="1" si="7"/>
        <v>14789</v>
      </c>
      <c r="G9" s="4">
        <f t="shared" ca="1" si="7"/>
        <v>16766</v>
      </c>
      <c r="H9" s="4">
        <f t="shared" ca="1" si="7"/>
        <v>4612</v>
      </c>
      <c r="I9" s="4">
        <f t="shared" ca="1" si="7"/>
        <v>20326</v>
      </c>
      <c r="J9" s="4">
        <f t="shared" ca="1" si="7"/>
        <v>19551</v>
      </c>
      <c r="K9" s="4">
        <f t="shared" ca="1" si="7"/>
        <v>23487</v>
      </c>
    </row>
    <row r="10" spans="1:11" x14ac:dyDescent="0.2">
      <c r="A10" s="11" t="s">
        <v>11</v>
      </c>
      <c r="B10" s="4">
        <f t="shared" ref="B10:K10" ca="1" si="8">SUM(INDIRECT(B$1&amp;"!$ai6"))</f>
        <v>2972</v>
      </c>
      <c r="C10" s="4">
        <f t="shared" ca="1" si="8"/>
        <v>3973</v>
      </c>
      <c r="D10" s="4">
        <f t="shared" ca="1" si="8"/>
        <v>3285</v>
      </c>
      <c r="E10" s="4">
        <f t="shared" ca="1" si="8"/>
        <v>3937</v>
      </c>
      <c r="F10" s="4">
        <f t="shared" ca="1" si="8"/>
        <v>4760</v>
      </c>
      <c r="G10" s="4">
        <f t="shared" ca="1" si="8"/>
        <v>5899</v>
      </c>
      <c r="H10" s="4">
        <f t="shared" ca="1" si="8"/>
        <v>19427</v>
      </c>
      <c r="I10" s="4">
        <f t="shared" ca="1" si="8"/>
        <v>6225</v>
      </c>
      <c r="J10" s="4">
        <f t="shared" ca="1" si="8"/>
        <v>6535</v>
      </c>
      <c r="K10" s="4">
        <f t="shared" ca="1" si="8"/>
        <v>9566</v>
      </c>
    </row>
    <row r="11" spans="1:11" x14ac:dyDescent="0.2">
      <c r="A11" s="12" t="s">
        <v>1</v>
      </c>
      <c r="B11" s="13">
        <f t="shared" ref="B11:K11" ca="1" si="9">SUM(INDIRECT(B1&amp;"!$ai$3:$ai$6"))</f>
        <v>39642</v>
      </c>
      <c r="C11" s="13">
        <f t="shared" ca="1" si="9"/>
        <v>45628</v>
      </c>
      <c r="D11" s="13">
        <f t="shared" ca="1" si="9"/>
        <v>47496</v>
      </c>
      <c r="E11" s="13">
        <f t="shared" ca="1" si="9"/>
        <v>51695</v>
      </c>
      <c r="F11" s="13">
        <f t="shared" ca="1" si="9"/>
        <v>58655</v>
      </c>
      <c r="G11" s="13">
        <f t="shared" ca="1" si="9"/>
        <v>61152</v>
      </c>
      <c r="H11" s="13">
        <f t="shared" ca="1" si="9"/>
        <v>64783</v>
      </c>
      <c r="I11" s="13">
        <f t="shared" ca="1" si="9"/>
        <v>76557</v>
      </c>
      <c r="J11" s="13">
        <f t="shared" ca="1" si="9"/>
        <v>75635</v>
      </c>
      <c r="K11" s="13">
        <f t="shared" ca="1" si="9"/>
        <v>86177</v>
      </c>
    </row>
    <row r="12" spans="1:11" x14ac:dyDescent="0.2">
      <c r="A12" s="11" t="s">
        <v>8</v>
      </c>
      <c r="B12" s="5">
        <f t="shared" ref="B12:K12" ca="1" si="10">B7/B2</f>
        <v>3.9490417438254391E-2</v>
      </c>
      <c r="C12" s="5">
        <f t="shared" ca="1" si="10"/>
        <v>4.7190328912991283E-2</v>
      </c>
      <c r="D12" s="5">
        <f t="shared" ca="1" si="10"/>
        <v>4.6062039379606207E-2</v>
      </c>
      <c r="E12" s="5">
        <f t="shared" ca="1" si="10"/>
        <v>4.5401094816516864E-2</v>
      </c>
      <c r="F12" s="5">
        <f t="shared" ca="1" si="10"/>
        <v>6.5840262772355385E-2</v>
      </c>
      <c r="G12" s="5">
        <f t="shared" ca="1" si="10"/>
        <v>5.9433134544714723E-2</v>
      </c>
      <c r="H12" s="5">
        <f t="shared" ca="1" si="10"/>
        <v>4.6643414920213587E-2</v>
      </c>
      <c r="I12" s="5">
        <f t="shared" ca="1" si="10"/>
        <v>6.7344884868620489E-2</v>
      </c>
      <c r="J12" s="5">
        <f t="shared" ca="1" si="10"/>
        <v>5.5353643219891634E-2</v>
      </c>
      <c r="K12" s="5">
        <f t="shared" ca="1" si="10"/>
        <v>7.2788694265689347E-2</v>
      </c>
    </row>
    <row r="13" spans="1:11" x14ac:dyDescent="0.2">
      <c r="A13" s="11" t="s">
        <v>9</v>
      </c>
      <c r="B13" s="5">
        <f t="shared" ref="B13:K13" ca="1" si="11">B8/B3</f>
        <v>3.780365309148534E-2</v>
      </c>
      <c r="C13" s="5">
        <f t="shared" ca="1" si="11"/>
        <v>4.4610057931518093E-2</v>
      </c>
      <c r="D13" s="5">
        <f t="shared" ca="1" si="11"/>
        <v>4.534305846965473E-2</v>
      </c>
      <c r="E13" s="5">
        <f t="shared" ca="1" si="11"/>
        <v>5.2094166047654419E-2</v>
      </c>
      <c r="F13" s="5">
        <f t="shared" ca="1" si="11"/>
        <v>5.4016937514305335E-2</v>
      </c>
      <c r="G13" s="5">
        <f t="shared" ca="1" si="11"/>
        <v>5.2384530752248984E-2</v>
      </c>
      <c r="H13" s="5">
        <f t="shared" ca="1" si="11"/>
        <v>5.7821635898615262E-2</v>
      </c>
      <c r="I13" s="5">
        <f t="shared" ca="1" si="11"/>
        <v>6.6352796683895404E-2</v>
      </c>
      <c r="J13" s="5">
        <f t="shared" ca="1" si="11"/>
        <v>6.8253496586143325E-2</v>
      </c>
      <c r="K13" s="5">
        <f t="shared" ca="1" si="11"/>
        <v>6.6119608250356079E-2</v>
      </c>
    </row>
    <row r="14" spans="1:11" x14ac:dyDescent="0.2">
      <c r="A14" s="11" t="s">
        <v>10</v>
      </c>
      <c r="B14" s="5">
        <f t="shared" ref="B14:K14" ca="1" si="12">B9/B4</f>
        <v>6.3018400684587694E-2</v>
      </c>
      <c r="C14" s="5">
        <f t="shared" ca="1" si="12"/>
        <v>5.7439143001958931E-2</v>
      </c>
      <c r="D14" s="5">
        <f t="shared" ca="1" si="12"/>
        <v>6.0202139806317924E-2</v>
      </c>
      <c r="E14" s="5">
        <f t="shared" ca="1" si="12"/>
        <v>5.9674100681790444E-2</v>
      </c>
      <c r="F14" s="5">
        <f t="shared" ca="1" si="12"/>
        <v>6.0743844084365312E-2</v>
      </c>
      <c r="G14" s="5">
        <f t="shared" ca="1" si="12"/>
        <v>6.5875862936084773E-2</v>
      </c>
      <c r="H14" s="5">
        <f t="shared" ca="1" si="12"/>
        <v>3.9414424038354712E-2</v>
      </c>
      <c r="I14" s="5">
        <f t="shared" ca="1" si="12"/>
        <v>7.4134321499172068E-2</v>
      </c>
      <c r="J14" s="5">
        <f t="shared" ca="1" si="12"/>
        <v>6.8474823217906919E-2</v>
      </c>
      <c r="K14" s="5">
        <f t="shared" ca="1" si="12"/>
        <v>7.716037215169913E-2</v>
      </c>
    </row>
    <row r="15" spans="1:11" x14ac:dyDescent="0.2">
      <c r="A15" s="11" t="s">
        <v>11</v>
      </c>
      <c r="B15" s="5">
        <f t="shared" ref="B15:K15" ca="1" si="13">B10/B5</f>
        <v>2.8318246784182943E-2</v>
      </c>
      <c r="C15" s="5">
        <f t="shared" ca="1" si="13"/>
        <v>3.8284381745297566E-2</v>
      </c>
      <c r="D15" s="5">
        <f t="shared" ca="1" si="13"/>
        <v>3.0451629648856095E-2</v>
      </c>
      <c r="E15" s="5">
        <f t="shared" ca="1" si="13"/>
        <v>3.6499327863533118E-2</v>
      </c>
      <c r="F15" s="5">
        <f t="shared" ca="1" si="13"/>
        <v>4.2279542386129465E-2</v>
      </c>
      <c r="G15" s="5">
        <f t="shared" ca="1" si="13"/>
        <v>5.2443014117563386E-2</v>
      </c>
      <c r="H15" s="5">
        <f t="shared" ca="1" si="13"/>
        <v>7.2547818748086135E-2</v>
      </c>
      <c r="I15" s="5">
        <f t="shared" ca="1" si="13"/>
        <v>5.1506726902646079E-2</v>
      </c>
      <c r="J15" s="5">
        <f t="shared" ca="1" si="13"/>
        <v>5.1950839481048082E-2</v>
      </c>
      <c r="K15" s="5">
        <f t="shared" ca="1" si="13"/>
        <v>7.2031505312379993E-2</v>
      </c>
    </row>
    <row r="16" spans="1:11" x14ac:dyDescent="0.2">
      <c r="A16" s="12" t="s">
        <v>2</v>
      </c>
      <c r="B16" s="14">
        <f t="shared" ref="B16:K16" ca="1" si="14">B11/B6</f>
        <v>4.2651351400785201E-2</v>
      </c>
      <c r="C16" s="14">
        <f t="shared" ca="1" si="14"/>
        <v>4.7216211713403761E-2</v>
      </c>
      <c r="D16" s="14">
        <f t="shared" ca="1" si="14"/>
        <v>4.7348698199900112E-2</v>
      </c>
      <c r="E16" s="14">
        <f t="shared" ca="1" si="14"/>
        <v>5.1169945192380981E-2</v>
      </c>
      <c r="F16" s="14">
        <f t="shared" ca="1" si="14"/>
        <v>5.6006561709863956E-2</v>
      </c>
      <c r="G16" s="14">
        <f t="shared" ca="1" si="14"/>
        <v>5.6594396643872322E-2</v>
      </c>
      <c r="H16" s="14">
        <f t="shared" ca="1" si="14"/>
        <v>5.7802637848178295E-2</v>
      </c>
      <c r="I16" s="14">
        <f t="shared" ca="1" si="14"/>
        <v>6.6791542198274656E-2</v>
      </c>
      <c r="J16" s="14">
        <f t="shared" ca="1" si="14"/>
        <v>6.4732826779457353E-2</v>
      </c>
      <c r="K16" s="14">
        <f t="shared" ca="1" si="14"/>
        <v>7.0460042091079603E-2</v>
      </c>
    </row>
    <row r="17" spans="1:11" x14ac:dyDescent="0.2">
      <c r="A17" s="6"/>
      <c r="B17" s="7"/>
      <c r="C17" s="7"/>
      <c r="D17" s="6"/>
      <c r="E17" s="6"/>
      <c r="F17" s="6"/>
      <c r="G17" s="6"/>
      <c r="H17" s="6"/>
      <c r="I17" s="6"/>
      <c r="J17" s="6"/>
      <c r="K17" s="6"/>
    </row>
    <row r="18" spans="1:11" x14ac:dyDescent="0.2">
      <c r="A18" s="8"/>
      <c r="B18" s="2" t="s">
        <v>3</v>
      </c>
      <c r="C18" s="2" t="s">
        <v>4</v>
      </c>
      <c r="D18" s="6"/>
      <c r="E18" s="6"/>
      <c r="F18" s="6"/>
      <c r="G18" s="6"/>
      <c r="H18" s="6"/>
      <c r="I18" s="6"/>
      <c r="J18" s="6"/>
      <c r="K18" s="6"/>
    </row>
    <row r="19" spans="1:11" x14ac:dyDescent="0.2">
      <c r="A19" s="3" t="s">
        <v>5</v>
      </c>
      <c r="B19" s="9">
        <f ca="1">(K6-B6)/B6</f>
        <v>0.31590856028825864</v>
      </c>
      <c r="C19" s="9">
        <f t="shared" ref="C19:C21" ca="1" si="15">B19/(2019-2010)</f>
        <v>3.5100951143139852E-2</v>
      </c>
      <c r="D19" s="6"/>
      <c r="E19" s="6"/>
      <c r="F19" s="6"/>
      <c r="G19" s="6"/>
      <c r="H19" s="6"/>
      <c r="I19" s="6"/>
      <c r="J19" s="6"/>
      <c r="K19" s="6"/>
    </row>
    <row r="20" spans="1:11" x14ac:dyDescent="0.2">
      <c r="A20" s="3" t="s">
        <v>6</v>
      </c>
      <c r="B20" s="9">
        <f ca="1">(K11-B11)/B11</f>
        <v>1.1738812370717926</v>
      </c>
      <c r="C20" s="9">
        <f t="shared" ca="1" si="15"/>
        <v>0.1304312485635325</v>
      </c>
      <c r="D20" s="6"/>
      <c r="E20" s="6"/>
      <c r="F20" s="6"/>
      <c r="G20" s="6"/>
      <c r="H20" s="6"/>
      <c r="I20" s="6"/>
      <c r="J20" s="6"/>
      <c r="K20" s="6"/>
    </row>
    <row r="21" spans="1:11" x14ac:dyDescent="0.2">
      <c r="A21" s="3" t="s">
        <v>12</v>
      </c>
      <c r="B21" s="10">
        <f ca="1">(K16-B16)/B16</f>
        <v>0.65200022454112561</v>
      </c>
      <c r="C21" s="9">
        <f t="shared" ca="1" si="15"/>
        <v>7.2444469393458402E-2</v>
      </c>
      <c r="D21" s="6"/>
      <c r="E21" s="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spans="1:1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spans="1:1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spans="1:1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spans="1:1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spans="1:1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spans="1:1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spans="1:1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spans="1:1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spans="1:1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spans="1:1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spans="1:1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spans="1:1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spans="1:1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spans="1:1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spans="1:1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1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spans="1:1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spans="1:1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spans="1:1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spans="1:1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spans="1:1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spans="1:1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spans="1:1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spans="1:1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spans="1:1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spans="1:1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spans="1:1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spans="1:1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spans="1:1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spans="1:1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spans="1:1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spans="1:1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1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spans="1:1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spans="1:1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spans="1:1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spans="1:1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spans="1:1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spans="1:1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spans="1:1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spans="1:1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spans="1:1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spans="1:1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spans="1:1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spans="1:1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1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spans="1:1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spans="1:1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spans="1:1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spans="1:1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spans="1:1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spans="1:1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spans="1:1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spans="1:1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spans="1:1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spans="1:1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spans="1:1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spans="1:1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spans="1:1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spans="1:1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spans="1:1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spans="1:1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spans="1:1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spans="1:1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1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spans="1:1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spans="1:1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spans="1:1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spans="1:1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spans="1:1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spans="1:1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spans="1:1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spans="1:1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spans="1:1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spans="1:1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spans="1:1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spans="1:1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spans="1:1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spans="1:1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spans="1:1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spans="1:1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spans="1:1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spans="1:1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spans="1:1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spans="1:1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spans="1:1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spans="1:1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spans="1:1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spans="1:1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spans="1:1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spans="1:1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spans="1:1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spans="1:1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spans="1:1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spans="1:1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spans="1:1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spans="1:1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spans="1:1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1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spans="1:1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spans="1:1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spans="1:1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spans="1:1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spans="1:1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spans="1:1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spans="1:1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spans="1:1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spans="1:1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spans="1:1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spans="1:1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spans="1:1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spans="1:1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spans="1:1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spans="1:1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spans="1:1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1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spans="1:1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spans="1:1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spans="1:1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spans="1:1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spans="1:1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spans="1:1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spans="1:1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spans="1:1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spans="1:1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spans="1:1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spans="1:1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spans="1:1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spans="1:1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spans="1:1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spans="1:1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spans="1:1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spans="1:1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spans="1:1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1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spans="1:1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spans="1:1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spans="1:1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spans="1:1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spans="1:1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spans="1:1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spans="1:1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spans="1:1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spans="1:1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spans="1:1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spans="1:1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spans="1:1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spans="1:1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spans="1:1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spans="1:1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spans="1:1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spans="1:1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spans="1:1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spans="1:1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spans="1:1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spans="1:1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spans="1:1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spans="1:1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spans="1:1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spans="1:1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1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spans="1:1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spans="1:1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spans="1:1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spans="1:1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spans="1:1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spans="1:1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spans="1:1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spans="1:1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spans="1:1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spans="1:1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spans="1:1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spans="1:1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spans="1:1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spans="1:1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spans="1:1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spans="1:1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spans="1:1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spans="1:1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spans="1:1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spans="1:1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spans="1:1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spans="1:1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spans="1:1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spans="1:1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spans="1:1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spans="1:1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1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spans="1:1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spans="1:1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spans="1:1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spans="1:1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spans="1:1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spans="1:1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spans="1:1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spans="1:1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spans="1:1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spans="1:1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spans="1:1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spans="1:1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spans="1:1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spans="1:1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spans="1:1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spans="1:1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spans="1:1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spans="1:1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spans="1:1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spans="1:1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spans="1:1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spans="1:1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spans="1:1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spans="1:1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spans="1:1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spans="1:1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spans="1:1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spans="1:1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spans="1:1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spans="1:1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spans="1:1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spans="1:1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spans="1:1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spans="1:1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spans="1:1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spans="1:1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spans="1:1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spans="1:1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spans="1:1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spans="1:1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spans="1:1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spans="1:1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spans="1:1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spans="1:1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spans="1:1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spans="1:1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spans="1:1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spans="1:1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spans="1:1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spans="1:1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spans="1:1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spans="1:1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spans="1:1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spans="1:1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spans="1:1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spans="1:1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spans="1:1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spans="1:1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spans="1:1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spans="1:1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spans="1:1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spans="1:1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spans="1:1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spans="1:1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spans="1:1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spans="1:1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spans="1:1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spans="1:1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spans="1:1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spans="1:1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spans="1:1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spans="1:1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spans="1:1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spans="1:1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spans="1:1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spans="1:1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spans="1:1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spans="1:1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spans="1:1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spans="1:1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spans="1:1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spans="1:1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spans="1:1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spans="1:1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spans="1:1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spans="1:1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spans="1:1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spans="1:1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spans="1:1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spans="1:1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spans="1:1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spans="1:1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spans="1:1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spans="1:1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1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spans="1:1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spans="1:1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spans="1:1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spans="1:1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spans="1:1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spans="1:1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spans="1:1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spans="1:1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spans="1:1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spans="1:1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spans="1:1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spans="1:1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spans="1:1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spans="1:1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spans="1:1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spans="1:1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spans="1:1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spans="1:1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spans="1:1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spans="1:1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spans="1:1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spans="1:1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spans="1:1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spans="1:1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spans="1:1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spans="1:1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spans="1:1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1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spans="1:1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spans="1:1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spans="1:1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spans="1:1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spans="1:1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spans="1:1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spans="1:1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spans="1:1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spans="1:1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spans="1:1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spans="1:1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spans="1:1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spans="1:1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spans="1:1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spans="1:1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spans="1:1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spans="1:1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spans="1:1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spans="1:1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spans="1:1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spans="1:1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spans="1:1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spans="1:1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spans="1:1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spans="1:1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spans="1:1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spans="1:1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spans="1:1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spans="1:1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spans="1:1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spans="1:1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spans="1:1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spans="1:1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spans="1:1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spans="1:1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spans="1:1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spans="1:1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spans="1:1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spans="1:1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spans="1:1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spans="1:1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spans="1:1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spans="1:1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spans="1:1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spans="1:1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spans="1:1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spans="1:1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spans="1:1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1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spans="1:1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spans="1:1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spans="1:1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spans="1:1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spans="1:1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spans="1:1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spans="1:1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spans="1:1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spans="1:1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spans="1:1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spans="1:1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spans="1:1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spans="1:1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spans="1:1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spans="1:1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spans="1:1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spans="1:1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spans="1:1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spans="1:1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spans="1:1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spans="1:1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spans="1:1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spans="1:1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spans="1:1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spans="1:1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spans="1:1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spans="1:1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spans="1:1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spans="1:1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spans="1:1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spans="1:1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spans="1:1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spans="1:1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spans="1:1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spans="1:1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spans="1:1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spans="1:1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spans="1:1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spans="1:1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  <row r="1001" spans="1:11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</row>
    <row r="1002" spans="1:11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</row>
    <row r="1003" spans="1:11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</row>
    <row r="1004" spans="1:11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 spans="1:11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</row>
    <row r="1006" spans="1:11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</row>
    <row r="1007" spans="1:11" x14ac:dyDescent="0.2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</row>
    <row r="1008" spans="1:11" x14ac:dyDescent="0.2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</row>
    <row r="1009" spans="1:11" x14ac:dyDescent="0.2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</row>
    <row r="1010" spans="1:11" x14ac:dyDescent="0.2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</row>
    <row r="1011" spans="1:11" x14ac:dyDescent="0.2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</row>
    <row r="1012" spans="1:11" x14ac:dyDescent="0.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</row>
    <row r="1013" spans="1:11" x14ac:dyDescent="0.2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CZ6"/>
  <sheetViews>
    <sheetView workbookViewId="0">
      <selection activeCell="B9" sqref="B9:E111"/>
    </sheetView>
  </sheetViews>
  <sheetFormatPr defaultColWidth="14.42578125" defaultRowHeight="15.75" customHeight="1" x14ac:dyDescent="0.2"/>
  <cols>
    <col min="1" max="1" width="16.140625" customWidth="1"/>
    <col min="2" max="2" width="20.85546875" customWidth="1"/>
    <col min="3" max="3" width="14" customWidth="1"/>
    <col min="4" max="4" width="19.5703125" customWidth="1"/>
    <col min="5" max="5" width="29.7109375" customWidth="1"/>
    <col min="6" max="6" width="35.42578125" customWidth="1"/>
    <col min="7" max="7" width="41.28515625" customWidth="1"/>
    <col min="8" max="8" width="47" customWidth="1"/>
    <col min="9" max="9" width="39.85546875" customWidth="1"/>
    <col min="10" max="10" width="45.5703125" customWidth="1"/>
    <col min="11" max="11" width="57.7109375" customWidth="1"/>
    <col min="12" max="12" width="63.42578125" customWidth="1"/>
    <col min="13" max="13" width="57.7109375" customWidth="1"/>
    <col min="14" max="14" width="63.42578125" customWidth="1"/>
    <col min="15" max="15" width="65.28515625" customWidth="1"/>
    <col min="16" max="16" width="71" customWidth="1"/>
    <col min="17" max="17" width="49.42578125" customWidth="1"/>
    <col min="18" max="18" width="55.140625" customWidth="1"/>
    <col min="19" max="19" width="65.5703125" customWidth="1"/>
    <col min="20" max="20" width="71.28515625" customWidth="1"/>
    <col min="21" max="21" width="95" customWidth="1"/>
    <col min="22" max="22" width="100.7109375" customWidth="1"/>
    <col min="23" max="23" width="67.42578125" customWidth="1"/>
    <col min="24" max="24" width="73.140625" customWidth="1"/>
    <col min="25" max="25" width="57.85546875" customWidth="1"/>
    <col min="26" max="26" width="63.42578125" customWidth="1"/>
    <col min="27" max="27" width="59.140625" customWidth="1"/>
    <col min="28" max="28" width="64.7109375" customWidth="1"/>
    <col min="29" max="29" width="21.140625" customWidth="1"/>
    <col min="30" max="30" width="26.85546875" customWidth="1"/>
    <col min="31" max="31" width="21.5703125" customWidth="1"/>
    <col min="32" max="32" width="27.28515625" customWidth="1"/>
    <col min="33" max="33" width="46.140625" customWidth="1"/>
    <col min="34" max="34" width="51.7109375" customWidth="1"/>
    <col min="35" max="35" width="29.5703125" customWidth="1"/>
    <col min="36" max="36" width="35.140625" customWidth="1"/>
    <col min="37" max="37" width="19.7109375" customWidth="1"/>
    <col min="38" max="38" width="25.28515625" customWidth="1"/>
    <col min="39" max="39" width="35.42578125" customWidth="1"/>
    <col min="40" max="40" width="41" customWidth="1"/>
    <col min="41" max="41" width="47" customWidth="1"/>
    <col min="42" max="42" width="52.7109375" customWidth="1"/>
    <col min="43" max="43" width="45.5703125" customWidth="1"/>
    <col min="44" max="44" width="51.140625" customWidth="1"/>
    <col min="45" max="45" width="63.42578125" customWidth="1"/>
    <col min="46" max="46" width="69.140625" customWidth="1"/>
    <col min="47" max="47" width="63.42578125" customWidth="1"/>
    <col min="48" max="48" width="69.140625" customWidth="1"/>
    <col min="49" max="49" width="71" customWidth="1"/>
    <col min="50" max="50" width="76.7109375" customWidth="1"/>
    <col min="51" max="51" width="55.140625" customWidth="1"/>
    <col min="52" max="52" width="60.85546875" customWidth="1"/>
    <col min="53" max="53" width="71.28515625" customWidth="1"/>
    <col min="54" max="54" width="77" customWidth="1"/>
    <col min="55" max="55" width="100.7109375" customWidth="1"/>
    <col min="56" max="56" width="106.42578125" customWidth="1"/>
    <col min="57" max="57" width="73.140625" customWidth="1"/>
    <col min="58" max="58" width="78.7109375" customWidth="1"/>
    <col min="59" max="59" width="63.5703125" customWidth="1"/>
    <col min="60" max="60" width="69.140625" customWidth="1"/>
    <col min="61" max="61" width="64.7109375" customWidth="1"/>
    <col min="62" max="62" width="70.42578125" customWidth="1"/>
    <col min="63" max="63" width="26.85546875" customWidth="1"/>
    <col min="64" max="64" width="32.5703125" customWidth="1"/>
    <col min="65" max="65" width="27.28515625" customWidth="1"/>
    <col min="66" max="66" width="33" customWidth="1"/>
    <col min="67" max="67" width="51.7109375" customWidth="1"/>
    <col min="68" max="68" width="57.42578125" customWidth="1"/>
    <col min="69" max="69" width="35.140625" customWidth="1"/>
    <col min="70" max="70" width="40.85546875" customWidth="1"/>
    <col min="71" max="71" width="21.5703125" customWidth="1"/>
    <col min="72" max="72" width="27.140625" customWidth="1"/>
    <col min="73" max="73" width="37.28515625" customWidth="1"/>
    <col min="74" max="74" width="42.85546875" customWidth="1"/>
    <col min="75" max="75" width="48.85546875" customWidth="1"/>
    <col min="76" max="76" width="54.5703125" customWidth="1"/>
    <col min="77" max="77" width="47.42578125" customWidth="1"/>
    <col min="78" max="78" width="53" customWidth="1"/>
    <col min="79" max="79" width="65.28515625" customWidth="1"/>
    <col min="80" max="80" width="71" customWidth="1"/>
    <col min="81" max="81" width="65.28515625" customWidth="1"/>
    <col min="82" max="82" width="71" customWidth="1"/>
    <col min="83" max="83" width="72.85546875" customWidth="1"/>
    <col min="84" max="84" width="78.5703125" customWidth="1"/>
    <col min="85" max="85" width="57" customWidth="1"/>
    <col min="86" max="86" width="62.7109375" customWidth="1"/>
    <col min="87" max="87" width="73.140625" customWidth="1"/>
    <col min="88" max="88" width="78.85546875" customWidth="1"/>
    <col min="89" max="89" width="102.5703125" customWidth="1"/>
    <col min="90" max="90" width="108.28515625" customWidth="1"/>
    <col min="91" max="91" width="75" customWidth="1"/>
    <col min="92" max="92" width="80.5703125" customWidth="1"/>
    <col min="93" max="93" width="65.42578125" customWidth="1"/>
    <col min="94" max="94" width="71" customWidth="1"/>
    <col min="95" max="95" width="66.5703125" customWidth="1"/>
    <col min="96" max="96" width="72.28515625" customWidth="1"/>
    <col min="97" max="97" width="28.7109375" customWidth="1"/>
    <col min="98" max="98" width="34.42578125" customWidth="1"/>
    <col min="99" max="99" width="29.140625" customWidth="1"/>
    <col min="100" max="100" width="34.85546875" customWidth="1"/>
    <col min="101" max="101" width="53.5703125" customWidth="1"/>
    <col min="102" max="102" width="59.28515625" customWidth="1"/>
    <col min="103" max="103" width="37" customWidth="1"/>
    <col min="104" max="104" width="42.7109375" customWidth="1"/>
  </cols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134463</v>
      </c>
      <c r="D3" s="16">
        <v>3408</v>
      </c>
      <c r="E3" s="16">
        <v>122409</v>
      </c>
      <c r="F3" s="16">
        <v>3395</v>
      </c>
      <c r="G3" s="16">
        <v>109928</v>
      </c>
      <c r="H3" s="16">
        <v>3415</v>
      </c>
      <c r="I3" s="16">
        <v>12481</v>
      </c>
      <c r="J3" s="16">
        <v>1589</v>
      </c>
      <c r="K3" s="16">
        <v>10018</v>
      </c>
      <c r="L3" s="16">
        <v>1531</v>
      </c>
      <c r="M3" s="16">
        <v>1717</v>
      </c>
      <c r="N3" s="16">
        <v>698</v>
      </c>
      <c r="O3" s="16">
        <v>746</v>
      </c>
      <c r="P3" s="16">
        <v>314</v>
      </c>
      <c r="Q3" s="16">
        <v>3189</v>
      </c>
      <c r="R3" s="16">
        <v>859</v>
      </c>
      <c r="S3" s="16">
        <v>2159</v>
      </c>
      <c r="T3" s="16">
        <v>715</v>
      </c>
      <c r="U3" s="16">
        <v>153</v>
      </c>
      <c r="V3" s="16">
        <v>226</v>
      </c>
      <c r="W3" s="16">
        <v>110</v>
      </c>
      <c r="X3" s="16">
        <v>126</v>
      </c>
      <c r="Y3" s="16">
        <v>767</v>
      </c>
      <c r="Z3" s="16">
        <v>355</v>
      </c>
      <c r="AA3" s="16">
        <v>0</v>
      </c>
      <c r="AB3" s="16">
        <v>267</v>
      </c>
      <c r="AC3" s="16">
        <v>305</v>
      </c>
      <c r="AD3" s="16">
        <v>246</v>
      </c>
      <c r="AE3" s="16">
        <v>1404</v>
      </c>
      <c r="AF3" s="16">
        <v>786</v>
      </c>
      <c r="AG3" s="16">
        <v>1846</v>
      </c>
      <c r="AH3" s="16">
        <v>846</v>
      </c>
      <c r="AI3" s="16">
        <v>5310</v>
      </c>
      <c r="AJ3" s="16">
        <v>1020</v>
      </c>
      <c r="AK3" s="16">
        <v>75968</v>
      </c>
      <c r="AL3" s="16">
        <v>2078</v>
      </c>
      <c r="AM3" s="16">
        <v>69339</v>
      </c>
      <c r="AN3" s="16">
        <v>2267</v>
      </c>
      <c r="AO3" s="16">
        <v>62643</v>
      </c>
      <c r="AP3" s="16">
        <v>2347</v>
      </c>
      <c r="AQ3" s="16">
        <v>6696</v>
      </c>
      <c r="AR3" s="16">
        <v>1114</v>
      </c>
      <c r="AS3" s="16">
        <v>5518</v>
      </c>
      <c r="AT3" s="16">
        <v>1078</v>
      </c>
      <c r="AU3" s="16">
        <v>626</v>
      </c>
      <c r="AV3" s="16">
        <v>276</v>
      </c>
      <c r="AW3" s="16">
        <v>552</v>
      </c>
      <c r="AX3" s="16">
        <v>284</v>
      </c>
      <c r="AY3" s="16">
        <v>1825</v>
      </c>
      <c r="AZ3" s="16">
        <v>593</v>
      </c>
      <c r="BA3" s="16">
        <v>1269</v>
      </c>
      <c r="BB3" s="16">
        <v>472</v>
      </c>
      <c r="BC3" s="16">
        <v>0</v>
      </c>
      <c r="BD3" s="16">
        <v>267</v>
      </c>
      <c r="BE3" s="16">
        <v>59</v>
      </c>
      <c r="BF3" s="16">
        <v>95</v>
      </c>
      <c r="BG3" s="16">
        <v>497</v>
      </c>
      <c r="BH3" s="16">
        <v>311</v>
      </c>
      <c r="BI3" s="16">
        <v>0</v>
      </c>
      <c r="BJ3" s="16">
        <v>267</v>
      </c>
      <c r="BK3" s="16">
        <v>268</v>
      </c>
      <c r="BL3" s="16">
        <v>230</v>
      </c>
      <c r="BM3" s="16">
        <v>841</v>
      </c>
      <c r="BN3" s="16">
        <v>592</v>
      </c>
      <c r="BO3" s="16">
        <v>1335</v>
      </c>
      <c r="BP3" s="16">
        <v>766</v>
      </c>
      <c r="BQ3" s="16">
        <v>2360</v>
      </c>
      <c r="BR3" s="16">
        <v>770</v>
      </c>
      <c r="BS3" s="16">
        <v>58495</v>
      </c>
      <c r="BT3" s="16">
        <v>2631</v>
      </c>
      <c r="BU3" s="16">
        <v>53070</v>
      </c>
      <c r="BV3" s="16">
        <v>2591</v>
      </c>
      <c r="BW3" s="16">
        <v>47285</v>
      </c>
      <c r="BX3" s="16">
        <v>2707</v>
      </c>
      <c r="BY3" s="16">
        <v>5785</v>
      </c>
      <c r="BZ3" s="16">
        <v>1144</v>
      </c>
      <c r="CA3" s="16">
        <v>4500</v>
      </c>
      <c r="CB3" s="16">
        <v>993</v>
      </c>
      <c r="CC3" s="16">
        <v>1091</v>
      </c>
      <c r="CD3" s="16">
        <v>570</v>
      </c>
      <c r="CE3" s="16">
        <v>194</v>
      </c>
      <c r="CF3" s="16">
        <v>164</v>
      </c>
      <c r="CG3" s="16">
        <v>1364</v>
      </c>
      <c r="CH3" s="16">
        <v>595</v>
      </c>
      <c r="CI3" s="16">
        <v>890</v>
      </c>
      <c r="CJ3" s="16">
        <v>494</v>
      </c>
      <c r="CK3" s="16">
        <v>153</v>
      </c>
      <c r="CL3" s="16">
        <v>226</v>
      </c>
      <c r="CM3" s="16">
        <v>51</v>
      </c>
      <c r="CN3" s="16">
        <v>84</v>
      </c>
      <c r="CO3" s="16">
        <v>270</v>
      </c>
      <c r="CP3" s="16">
        <v>202</v>
      </c>
      <c r="CQ3" s="16">
        <v>0</v>
      </c>
      <c r="CR3" s="16">
        <v>267</v>
      </c>
      <c r="CS3" s="16">
        <v>37</v>
      </c>
      <c r="CT3" s="16">
        <v>60</v>
      </c>
      <c r="CU3" s="16">
        <v>563</v>
      </c>
      <c r="CV3" s="16">
        <v>460</v>
      </c>
      <c r="CW3" s="16">
        <v>511</v>
      </c>
      <c r="CX3" s="16">
        <v>419</v>
      </c>
      <c r="CY3" s="16">
        <v>2950</v>
      </c>
      <c r="CZ3" s="16">
        <v>694</v>
      </c>
    </row>
    <row r="4" spans="1:104" ht="15.75" customHeight="1" x14ac:dyDescent="0.25">
      <c r="A4" s="15" t="s">
        <v>223</v>
      </c>
      <c r="B4" s="15" t="s">
        <v>224</v>
      </c>
      <c r="C4" s="16">
        <v>480853</v>
      </c>
      <c r="D4" s="16">
        <v>6706</v>
      </c>
      <c r="E4" s="16">
        <v>429172</v>
      </c>
      <c r="F4" s="16">
        <v>6689</v>
      </c>
      <c r="G4" s="16">
        <v>376227</v>
      </c>
      <c r="H4" s="16">
        <v>7503</v>
      </c>
      <c r="I4" s="16">
        <v>52945</v>
      </c>
      <c r="J4" s="16">
        <v>3889</v>
      </c>
      <c r="K4" s="16">
        <v>40964</v>
      </c>
      <c r="L4" s="16">
        <v>3194</v>
      </c>
      <c r="M4" s="16">
        <v>6383</v>
      </c>
      <c r="N4" s="16">
        <v>1446</v>
      </c>
      <c r="O4" s="16">
        <v>5598</v>
      </c>
      <c r="P4" s="16">
        <v>1647</v>
      </c>
      <c r="Q4" s="16">
        <v>14140</v>
      </c>
      <c r="R4" s="16">
        <v>1940</v>
      </c>
      <c r="S4" s="16">
        <v>11675</v>
      </c>
      <c r="T4" s="16">
        <v>1695</v>
      </c>
      <c r="U4" s="16">
        <v>1073</v>
      </c>
      <c r="V4" s="16">
        <v>667</v>
      </c>
      <c r="W4" s="16">
        <v>694</v>
      </c>
      <c r="X4" s="16">
        <v>298</v>
      </c>
      <c r="Y4" s="16">
        <v>698</v>
      </c>
      <c r="Z4" s="16">
        <v>316</v>
      </c>
      <c r="AA4" s="16">
        <v>0</v>
      </c>
      <c r="AB4" s="16">
        <v>267</v>
      </c>
      <c r="AC4" s="16">
        <v>4013</v>
      </c>
      <c r="AD4" s="16">
        <v>1177</v>
      </c>
      <c r="AE4" s="16">
        <v>10735</v>
      </c>
      <c r="AF4" s="16">
        <v>1580</v>
      </c>
      <c r="AG4" s="16">
        <v>4615</v>
      </c>
      <c r="AH4" s="16">
        <v>959</v>
      </c>
      <c r="AI4" s="16">
        <v>18178</v>
      </c>
      <c r="AJ4" s="16">
        <v>2104</v>
      </c>
      <c r="AK4" s="16">
        <v>261772</v>
      </c>
      <c r="AL4" s="16">
        <v>4530</v>
      </c>
      <c r="AM4" s="16">
        <v>233573</v>
      </c>
      <c r="AN4" s="16">
        <v>4316</v>
      </c>
      <c r="AO4" s="16">
        <v>203932</v>
      </c>
      <c r="AP4" s="16">
        <v>4623</v>
      </c>
      <c r="AQ4" s="16">
        <v>29641</v>
      </c>
      <c r="AR4" s="16">
        <v>2818</v>
      </c>
      <c r="AS4" s="16">
        <v>22508</v>
      </c>
      <c r="AT4" s="16">
        <v>2373</v>
      </c>
      <c r="AU4" s="16">
        <v>3078</v>
      </c>
      <c r="AV4" s="16">
        <v>1081</v>
      </c>
      <c r="AW4" s="16">
        <v>4055</v>
      </c>
      <c r="AX4" s="16">
        <v>1434</v>
      </c>
      <c r="AY4" s="16">
        <v>6976</v>
      </c>
      <c r="AZ4" s="16">
        <v>1438</v>
      </c>
      <c r="BA4" s="16">
        <v>5552</v>
      </c>
      <c r="BB4" s="16">
        <v>1379</v>
      </c>
      <c r="BC4" s="16">
        <v>619</v>
      </c>
      <c r="BD4" s="16">
        <v>415</v>
      </c>
      <c r="BE4" s="16">
        <v>446</v>
      </c>
      <c r="BF4" s="16">
        <v>243</v>
      </c>
      <c r="BG4" s="16">
        <v>359</v>
      </c>
      <c r="BH4" s="16">
        <v>210</v>
      </c>
      <c r="BI4" s="16">
        <v>0</v>
      </c>
      <c r="BJ4" s="16">
        <v>267</v>
      </c>
      <c r="BK4" s="16">
        <v>3265</v>
      </c>
      <c r="BL4" s="16">
        <v>1107</v>
      </c>
      <c r="BM4" s="16">
        <v>6033</v>
      </c>
      <c r="BN4" s="16">
        <v>1306</v>
      </c>
      <c r="BO4" s="16">
        <v>3180</v>
      </c>
      <c r="BP4" s="16">
        <v>846</v>
      </c>
      <c r="BQ4" s="16">
        <v>8745</v>
      </c>
      <c r="BR4" s="16">
        <v>1358</v>
      </c>
      <c r="BS4" s="16">
        <v>219081</v>
      </c>
      <c r="BT4" s="16">
        <v>4830</v>
      </c>
      <c r="BU4" s="16">
        <v>195599</v>
      </c>
      <c r="BV4" s="16">
        <v>4875</v>
      </c>
      <c r="BW4" s="16">
        <v>172295</v>
      </c>
      <c r="BX4" s="16">
        <v>5053</v>
      </c>
      <c r="BY4" s="16">
        <v>23304</v>
      </c>
      <c r="BZ4" s="16">
        <v>2237</v>
      </c>
      <c r="CA4" s="16">
        <v>18456</v>
      </c>
      <c r="CB4" s="16">
        <v>1753</v>
      </c>
      <c r="CC4" s="16">
        <v>3305</v>
      </c>
      <c r="CD4" s="16">
        <v>891</v>
      </c>
      <c r="CE4" s="16">
        <v>1543</v>
      </c>
      <c r="CF4" s="16">
        <v>592</v>
      </c>
      <c r="CG4" s="16">
        <v>7164</v>
      </c>
      <c r="CH4" s="16">
        <v>1296</v>
      </c>
      <c r="CI4" s="16">
        <v>6123</v>
      </c>
      <c r="CJ4" s="16">
        <v>1096</v>
      </c>
      <c r="CK4" s="16">
        <v>454</v>
      </c>
      <c r="CL4" s="16">
        <v>467</v>
      </c>
      <c r="CM4" s="16">
        <v>248</v>
      </c>
      <c r="CN4" s="16">
        <v>214</v>
      </c>
      <c r="CO4" s="16">
        <v>339</v>
      </c>
      <c r="CP4" s="16">
        <v>233</v>
      </c>
      <c r="CQ4" s="16">
        <v>0</v>
      </c>
      <c r="CR4" s="16">
        <v>267</v>
      </c>
      <c r="CS4" s="16">
        <v>748</v>
      </c>
      <c r="CT4" s="16">
        <v>325</v>
      </c>
      <c r="CU4" s="16">
        <v>4702</v>
      </c>
      <c r="CV4" s="16">
        <v>1092</v>
      </c>
      <c r="CW4" s="16">
        <v>1435</v>
      </c>
      <c r="CX4" s="16">
        <v>558</v>
      </c>
      <c r="CY4" s="16">
        <v>9433</v>
      </c>
      <c r="CZ4" s="16">
        <v>1370</v>
      </c>
    </row>
    <row r="5" spans="1:104" ht="15.75" customHeight="1" x14ac:dyDescent="0.25">
      <c r="A5" s="15" t="s">
        <v>225</v>
      </c>
      <c r="B5" s="15" t="s">
        <v>226</v>
      </c>
      <c r="C5" s="16">
        <v>209177</v>
      </c>
      <c r="D5" s="16">
        <v>4528</v>
      </c>
      <c r="E5" s="16">
        <v>177252</v>
      </c>
      <c r="F5" s="16">
        <v>4927</v>
      </c>
      <c r="G5" s="16">
        <v>153861</v>
      </c>
      <c r="H5" s="16">
        <v>4754</v>
      </c>
      <c r="I5" s="16">
        <v>23391</v>
      </c>
      <c r="J5" s="16">
        <v>2485</v>
      </c>
      <c r="K5" s="16">
        <v>17475</v>
      </c>
      <c r="L5" s="16">
        <v>2153</v>
      </c>
      <c r="M5" s="16">
        <v>3566</v>
      </c>
      <c r="N5" s="16">
        <v>1297</v>
      </c>
      <c r="O5" s="16">
        <v>2350</v>
      </c>
      <c r="P5" s="16">
        <v>750</v>
      </c>
      <c r="Q5" s="16">
        <v>4334</v>
      </c>
      <c r="R5" s="16">
        <v>1053</v>
      </c>
      <c r="S5" s="16">
        <v>4260</v>
      </c>
      <c r="T5" s="16">
        <v>1027</v>
      </c>
      <c r="U5" s="16">
        <v>0</v>
      </c>
      <c r="V5" s="16">
        <v>267</v>
      </c>
      <c r="W5" s="16">
        <v>74</v>
      </c>
      <c r="X5" s="16">
        <v>124</v>
      </c>
      <c r="Y5" s="16">
        <v>0</v>
      </c>
      <c r="Z5" s="16">
        <v>267</v>
      </c>
      <c r="AA5" s="16">
        <v>0</v>
      </c>
      <c r="AB5" s="16">
        <v>267</v>
      </c>
      <c r="AC5" s="16">
        <v>1996</v>
      </c>
      <c r="AD5" s="16">
        <v>850</v>
      </c>
      <c r="AE5" s="16">
        <v>10938</v>
      </c>
      <c r="AF5" s="16">
        <v>2008</v>
      </c>
      <c r="AG5" s="16">
        <v>1475</v>
      </c>
      <c r="AH5" s="16">
        <v>691</v>
      </c>
      <c r="AI5" s="16">
        <v>13182</v>
      </c>
      <c r="AJ5" s="16">
        <v>1761</v>
      </c>
      <c r="AK5" s="16">
        <v>120787</v>
      </c>
      <c r="AL5" s="16">
        <v>2760</v>
      </c>
      <c r="AM5" s="16">
        <v>104090</v>
      </c>
      <c r="AN5" s="16">
        <v>3304</v>
      </c>
      <c r="AO5" s="16">
        <v>89609</v>
      </c>
      <c r="AP5" s="16">
        <v>3592</v>
      </c>
      <c r="AQ5" s="16">
        <v>14481</v>
      </c>
      <c r="AR5" s="16">
        <v>1936</v>
      </c>
      <c r="AS5" s="16">
        <v>10519</v>
      </c>
      <c r="AT5" s="16">
        <v>1730</v>
      </c>
      <c r="AU5" s="16">
        <v>2395</v>
      </c>
      <c r="AV5" s="16">
        <v>964</v>
      </c>
      <c r="AW5" s="16">
        <v>1567</v>
      </c>
      <c r="AX5" s="16">
        <v>567</v>
      </c>
      <c r="AY5" s="16">
        <v>2652</v>
      </c>
      <c r="AZ5" s="16">
        <v>808</v>
      </c>
      <c r="BA5" s="16">
        <v>2652</v>
      </c>
      <c r="BB5" s="16">
        <v>808</v>
      </c>
      <c r="BC5" s="16">
        <v>0</v>
      </c>
      <c r="BD5" s="16">
        <v>267</v>
      </c>
      <c r="BE5" s="16">
        <v>0</v>
      </c>
      <c r="BF5" s="16">
        <v>267</v>
      </c>
      <c r="BG5" s="16">
        <v>0</v>
      </c>
      <c r="BH5" s="16">
        <v>267</v>
      </c>
      <c r="BI5" s="16">
        <v>0</v>
      </c>
      <c r="BJ5" s="16">
        <v>267</v>
      </c>
      <c r="BK5" s="16">
        <v>1453</v>
      </c>
      <c r="BL5" s="16">
        <v>747</v>
      </c>
      <c r="BM5" s="16">
        <v>5416</v>
      </c>
      <c r="BN5" s="16">
        <v>1488</v>
      </c>
      <c r="BO5" s="16">
        <v>1414</v>
      </c>
      <c r="BP5" s="16">
        <v>682</v>
      </c>
      <c r="BQ5" s="16">
        <v>5762</v>
      </c>
      <c r="BR5" s="16">
        <v>1277</v>
      </c>
      <c r="BS5" s="16">
        <v>88390</v>
      </c>
      <c r="BT5" s="16">
        <v>3611</v>
      </c>
      <c r="BU5" s="16">
        <v>73162</v>
      </c>
      <c r="BV5" s="16">
        <v>3774</v>
      </c>
      <c r="BW5" s="16">
        <v>64252</v>
      </c>
      <c r="BX5" s="16">
        <v>3619</v>
      </c>
      <c r="BY5" s="16">
        <v>8910</v>
      </c>
      <c r="BZ5" s="16">
        <v>1355</v>
      </c>
      <c r="CA5" s="16">
        <v>6956</v>
      </c>
      <c r="CB5" s="16">
        <v>1225</v>
      </c>
      <c r="CC5" s="16">
        <v>1171</v>
      </c>
      <c r="CD5" s="16">
        <v>644</v>
      </c>
      <c r="CE5" s="16">
        <v>783</v>
      </c>
      <c r="CF5" s="16">
        <v>463</v>
      </c>
      <c r="CG5" s="16">
        <v>1682</v>
      </c>
      <c r="CH5" s="16">
        <v>752</v>
      </c>
      <c r="CI5" s="16">
        <v>1608</v>
      </c>
      <c r="CJ5" s="16">
        <v>740</v>
      </c>
      <c r="CK5" s="16">
        <v>0</v>
      </c>
      <c r="CL5" s="16">
        <v>267</v>
      </c>
      <c r="CM5" s="16">
        <v>74</v>
      </c>
      <c r="CN5" s="16">
        <v>124</v>
      </c>
      <c r="CO5" s="16">
        <v>0</v>
      </c>
      <c r="CP5" s="16">
        <v>267</v>
      </c>
      <c r="CQ5" s="16">
        <v>0</v>
      </c>
      <c r="CR5" s="16">
        <v>267</v>
      </c>
      <c r="CS5" s="16">
        <v>543</v>
      </c>
      <c r="CT5" s="16">
        <v>368</v>
      </c>
      <c r="CU5" s="16">
        <v>5522</v>
      </c>
      <c r="CV5" s="16">
        <v>1494</v>
      </c>
      <c r="CW5" s="16">
        <v>61</v>
      </c>
      <c r="CX5" s="16">
        <v>101</v>
      </c>
      <c r="CY5" s="16">
        <v>7420</v>
      </c>
      <c r="CZ5" s="16">
        <v>1064</v>
      </c>
    </row>
    <row r="6" spans="1:104" ht="15.75" customHeight="1" x14ac:dyDescent="0.25">
      <c r="A6" s="15" t="s">
        <v>227</v>
      </c>
      <c r="B6" s="15" t="s">
        <v>228</v>
      </c>
      <c r="C6" s="16">
        <v>104950</v>
      </c>
      <c r="D6" s="16">
        <v>2894</v>
      </c>
      <c r="E6" s="16">
        <v>96855</v>
      </c>
      <c r="F6" s="16">
        <v>3036</v>
      </c>
      <c r="G6" s="16">
        <v>83173</v>
      </c>
      <c r="H6" s="16">
        <v>2927</v>
      </c>
      <c r="I6" s="16">
        <v>13682</v>
      </c>
      <c r="J6" s="16">
        <v>2028</v>
      </c>
      <c r="K6" s="16">
        <v>11585</v>
      </c>
      <c r="L6" s="16">
        <v>1799</v>
      </c>
      <c r="M6" s="16">
        <v>1038</v>
      </c>
      <c r="N6" s="16">
        <v>453</v>
      </c>
      <c r="O6" s="16">
        <v>1059</v>
      </c>
      <c r="P6" s="16">
        <v>543</v>
      </c>
      <c r="Q6" s="16">
        <v>1758</v>
      </c>
      <c r="R6" s="16">
        <v>644</v>
      </c>
      <c r="S6" s="16">
        <v>1290</v>
      </c>
      <c r="T6" s="16">
        <v>550</v>
      </c>
      <c r="U6" s="16">
        <v>0</v>
      </c>
      <c r="V6" s="16">
        <v>267</v>
      </c>
      <c r="W6" s="16">
        <v>273</v>
      </c>
      <c r="X6" s="16">
        <v>237</v>
      </c>
      <c r="Y6" s="16">
        <v>195</v>
      </c>
      <c r="Z6" s="16">
        <v>185</v>
      </c>
      <c r="AA6" s="16">
        <v>0</v>
      </c>
      <c r="AB6" s="16">
        <v>267</v>
      </c>
      <c r="AC6" s="16">
        <v>206</v>
      </c>
      <c r="AD6" s="16">
        <v>214</v>
      </c>
      <c r="AE6" s="16">
        <v>2194</v>
      </c>
      <c r="AF6" s="16">
        <v>844</v>
      </c>
      <c r="AG6" s="16">
        <v>965</v>
      </c>
      <c r="AH6" s="16">
        <v>601</v>
      </c>
      <c r="AI6" s="16">
        <v>2972</v>
      </c>
      <c r="AJ6" s="16">
        <v>869</v>
      </c>
      <c r="AK6" s="16">
        <v>58374</v>
      </c>
      <c r="AL6" s="16">
        <v>1987</v>
      </c>
      <c r="AM6" s="16">
        <v>53474</v>
      </c>
      <c r="AN6" s="16">
        <v>2181</v>
      </c>
      <c r="AO6" s="16">
        <v>45772</v>
      </c>
      <c r="AP6" s="16">
        <v>2391</v>
      </c>
      <c r="AQ6" s="16">
        <v>7702</v>
      </c>
      <c r="AR6" s="16">
        <v>1264</v>
      </c>
      <c r="AS6" s="16">
        <v>6211</v>
      </c>
      <c r="AT6" s="16">
        <v>1133</v>
      </c>
      <c r="AU6" s="16">
        <v>605</v>
      </c>
      <c r="AV6" s="16">
        <v>357</v>
      </c>
      <c r="AW6" s="16">
        <v>886</v>
      </c>
      <c r="AX6" s="16">
        <v>476</v>
      </c>
      <c r="AY6" s="16">
        <v>1162</v>
      </c>
      <c r="AZ6" s="16">
        <v>452</v>
      </c>
      <c r="BA6" s="16">
        <v>809</v>
      </c>
      <c r="BB6" s="16">
        <v>394</v>
      </c>
      <c r="BC6" s="16">
        <v>0</v>
      </c>
      <c r="BD6" s="16">
        <v>267</v>
      </c>
      <c r="BE6" s="16">
        <v>158</v>
      </c>
      <c r="BF6" s="16">
        <v>152</v>
      </c>
      <c r="BG6" s="16">
        <v>195</v>
      </c>
      <c r="BH6" s="16">
        <v>185</v>
      </c>
      <c r="BI6" s="16">
        <v>0</v>
      </c>
      <c r="BJ6" s="16">
        <v>267</v>
      </c>
      <c r="BK6" s="16">
        <v>206</v>
      </c>
      <c r="BL6" s="16">
        <v>214</v>
      </c>
      <c r="BM6" s="16">
        <v>1499</v>
      </c>
      <c r="BN6" s="16">
        <v>728</v>
      </c>
      <c r="BO6" s="16">
        <v>638</v>
      </c>
      <c r="BP6" s="16">
        <v>517</v>
      </c>
      <c r="BQ6" s="16">
        <v>1395</v>
      </c>
      <c r="BR6" s="16">
        <v>686</v>
      </c>
      <c r="BS6" s="16">
        <v>46576</v>
      </c>
      <c r="BT6" s="16">
        <v>2292</v>
      </c>
      <c r="BU6" s="16">
        <v>43381</v>
      </c>
      <c r="BV6" s="16">
        <v>2200</v>
      </c>
      <c r="BW6" s="16">
        <v>37401</v>
      </c>
      <c r="BX6" s="16">
        <v>2017</v>
      </c>
      <c r="BY6" s="16">
        <v>5980</v>
      </c>
      <c r="BZ6" s="16">
        <v>1206</v>
      </c>
      <c r="CA6" s="16">
        <v>5374</v>
      </c>
      <c r="CB6" s="16">
        <v>1119</v>
      </c>
      <c r="CC6" s="16">
        <v>433</v>
      </c>
      <c r="CD6" s="16">
        <v>251</v>
      </c>
      <c r="CE6" s="16">
        <v>173</v>
      </c>
      <c r="CF6" s="16">
        <v>164</v>
      </c>
      <c r="CG6" s="16">
        <v>596</v>
      </c>
      <c r="CH6" s="16">
        <v>448</v>
      </c>
      <c r="CI6" s="16">
        <v>481</v>
      </c>
      <c r="CJ6" s="16">
        <v>413</v>
      </c>
      <c r="CK6" s="16">
        <v>0</v>
      </c>
      <c r="CL6" s="16">
        <v>267</v>
      </c>
      <c r="CM6" s="16">
        <v>115</v>
      </c>
      <c r="CN6" s="16">
        <v>186</v>
      </c>
      <c r="CO6" s="16">
        <v>0</v>
      </c>
      <c r="CP6" s="16">
        <v>267</v>
      </c>
      <c r="CQ6" s="16">
        <v>0</v>
      </c>
      <c r="CR6" s="16">
        <v>267</v>
      </c>
      <c r="CS6" s="16">
        <v>0</v>
      </c>
      <c r="CT6" s="16">
        <v>267</v>
      </c>
      <c r="CU6" s="16">
        <v>695</v>
      </c>
      <c r="CV6" s="16">
        <v>443</v>
      </c>
      <c r="CW6" s="16">
        <v>327</v>
      </c>
      <c r="CX6" s="16">
        <v>212</v>
      </c>
      <c r="CY6" s="16">
        <v>1577</v>
      </c>
      <c r="CZ6" s="16">
        <v>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141618</v>
      </c>
      <c r="D3" s="16">
        <v>3427</v>
      </c>
      <c r="E3" s="16">
        <v>126749</v>
      </c>
      <c r="F3" s="16">
        <v>3405</v>
      </c>
      <c r="G3" s="16">
        <v>112596</v>
      </c>
      <c r="H3" s="16">
        <v>3777</v>
      </c>
      <c r="I3" s="16">
        <v>14153</v>
      </c>
      <c r="J3" s="16">
        <v>2175</v>
      </c>
      <c r="K3" s="16">
        <v>10765</v>
      </c>
      <c r="L3" s="16">
        <v>1940</v>
      </c>
      <c r="M3" s="16">
        <v>1292</v>
      </c>
      <c r="N3" s="16">
        <v>562</v>
      </c>
      <c r="O3" s="16">
        <v>2096</v>
      </c>
      <c r="P3" s="16">
        <v>997</v>
      </c>
      <c r="Q3" s="16">
        <v>4177</v>
      </c>
      <c r="R3" s="16">
        <v>939</v>
      </c>
      <c r="S3" s="16">
        <v>2997</v>
      </c>
      <c r="T3" s="16">
        <v>800</v>
      </c>
      <c r="U3" s="16">
        <v>0</v>
      </c>
      <c r="V3" s="16">
        <v>192</v>
      </c>
      <c r="W3" s="16">
        <v>151</v>
      </c>
      <c r="X3" s="16">
        <v>180</v>
      </c>
      <c r="Y3" s="16">
        <v>1029</v>
      </c>
      <c r="Z3" s="16">
        <v>596</v>
      </c>
      <c r="AA3" s="16">
        <v>0</v>
      </c>
      <c r="AB3" s="16">
        <v>192</v>
      </c>
      <c r="AC3" s="16">
        <v>316</v>
      </c>
      <c r="AD3" s="16">
        <v>249</v>
      </c>
      <c r="AE3" s="16">
        <v>2142</v>
      </c>
      <c r="AF3" s="16">
        <v>1073</v>
      </c>
      <c r="AG3" s="16">
        <v>1551</v>
      </c>
      <c r="AH3" s="16">
        <v>693</v>
      </c>
      <c r="AI3" s="16">
        <v>6683</v>
      </c>
      <c r="AJ3" s="16">
        <v>1269</v>
      </c>
      <c r="AK3" s="16">
        <v>79592</v>
      </c>
      <c r="AL3" s="16">
        <v>2662</v>
      </c>
      <c r="AM3" s="16">
        <v>71486</v>
      </c>
      <c r="AN3" s="16">
        <v>2600</v>
      </c>
      <c r="AO3" s="16">
        <v>62622</v>
      </c>
      <c r="AP3" s="16">
        <v>2596</v>
      </c>
      <c r="AQ3" s="16">
        <v>8864</v>
      </c>
      <c r="AR3" s="16">
        <v>1449</v>
      </c>
      <c r="AS3" s="16">
        <v>6356</v>
      </c>
      <c r="AT3" s="16">
        <v>1267</v>
      </c>
      <c r="AU3" s="16">
        <v>833</v>
      </c>
      <c r="AV3" s="16">
        <v>372</v>
      </c>
      <c r="AW3" s="16">
        <v>1675</v>
      </c>
      <c r="AX3" s="16">
        <v>903</v>
      </c>
      <c r="AY3" s="16">
        <v>2836</v>
      </c>
      <c r="AZ3" s="16">
        <v>592</v>
      </c>
      <c r="BA3" s="16">
        <v>2074</v>
      </c>
      <c r="BB3" s="16">
        <v>573</v>
      </c>
      <c r="BC3" s="16">
        <v>0</v>
      </c>
      <c r="BD3" s="16">
        <v>192</v>
      </c>
      <c r="BE3" s="16">
        <v>99</v>
      </c>
      <c r="BF3" s="16">
        <v>159</v>
      </c>
      <c r="BG3" s="16">
        <v>663</v>
      </c>
      <c r="BH3" s="16">
        <v>375</v>
      </c>
      <c r="BI3" s="16">
        <v>0</v>
      </c>
      <c r="BJ3" s="16">
        <v>192</v>
      </c>
      <c r="BK3" s="16">
        <v>157</v>
      </c>
      <c r="BL3" s="16">
        <v>165</v>
      </c>
      <c r="BM3" s="16">
        <v>1712</v>
      </c>
      <c r="BN3" s="16">
        <v>1010</v>
      </c>
      <c r="BO3" s="16">
        <v>974</v>
      </c>
      <c r="BP3" s="16">
        <v>547</v>
      </c>
      <c r="BQ3" s="16">
        <v>2427</v>
      </c>
      <c r="BR3" s="16">
        <v>693</v>
      </c>
      <c r="BS3" s="16">
        <v>62026</v>
      </c>
      <c r="BT3" s="16">
        <v>2279</v>
      </c>
      <c r="BU3" s="16">
        <v>55263</v>
      </c>
      <c r="BV3" s="16">
        <v>2270</v>
      </c>
      <c r="BW3" s="16">
        <v>49974</v>
      </c>
      <c r="BX3" s="16">
        <v>2371</v>
      </c>
      <c r="BY3" s="16">
        <v>5289</v>
      </c>
      <c r="BZ3" s="16">
        <v>1476</v>
      </c>
      <c r="CA3" s="16">
        <v>4409</v>
      </c>
      <c r="CB3" s="16">
        <v>1357</v>
      </c>
      <c r="CC3" s="16">
        <v>459</v>
      </c>
      <c r="CD3" s="16">
        <v>417</v>
      </c>
      <c r="CE3" s="16">
        <v>421</v>
      </c>
      <c r="CF3" s="16">
        <v>333</v>
      </c>
      <c r="CG3" s="16">
        <v>1341</v>
      </c>
      <c r="CH3" s="16">
        <v>687</v>
      </c>
      <c r="CI3" s="16">
        <v>923</v>
      </c>
      <c r="CJ3" s="16">
        <v>529</v>
      </c>
      <c r="CK3" s="16">
        <v>0</v>
      </c>
      <c r="CL3" s="16">
        <v>192</v>
      </c>
      <c r="CM3" s="16">
        <v>52</v>
      </c>
      <c r="CN3" s="16">
        <v>86</v>
      </c>
      <c r="CO3" s="16">
        <v>366</v>
      </c>
      <c r="CP3" s="16">
        <v>443</v>
      </c>
      <c r="CQ3" s="16">
        <v>0</v>
      </c>
      <c r="CR3" s="16">
        <v>192</v>
      </c>
      <c r="CS3" s="16">
        <v>159</v>
      </c>
      <c r="CT3" s="16">
        <v>181</v>
      </c>
      <c r="CU3" s="16">
        <v>430</v>
      </c>
      <c r="CV3" s="16">
        <v>318</v>
      </c>
      <c r="CW3" s="16">
        <v>577</v>
      </c>
      <c r="CX3" s="16">
        <v>378</v>
      </c>
      <c r="CY3" s="16">
        <v>4256</v>
      </c>
      <c r="CZ3" s="16">
        <v>997</v>
      </c>
    </row>
    <row r="4" spans="1:104" ht="15.75" customHeight="1" x14ac:dyDescent="0.25">
      <c r="A4" s="15" t="s">
        <v>223</v>
      </c>
      <c r="B4" s="15" t="s">
        <v>224</v>
      </c>
      <c r="C4" s="16">
        <v>501972</v>
      </c>
      <c r="D4" s="16">
        <v>6950</v>
      </c>
      <c r="E4" s="16">
        <v>442894</v>
      </c>
      <c r="F4" s="16">
        <v>7665</v>
      </c>
      <c r="G4" s="16">
        <v>382875</v>
      </c>
      <c r="H4" s="16">
        <v>7775</v>
      </c>
      <c r="I4" s="16">
        <v>60019</v>
      </c>
      <c r="J4" s="16">
        <v>4432</v>
      </c>
      <c r="K4" s="16">
        <v>47339</v>
      </c>
      <c r="L4" s="16">
        <v>4183</v>
      </c>
      <c r="M4" s="16">
        <v>7565</v>
      </c>
      <c r="N4" s="16">
        <v>1960</v>
      </c>
      <c r="O4" s="16">
        <v>5115</v>
      </c>
      <c r="P4" s="16">
        <v>1180</v>
      </c>
      <c r="Q4" s="16">
        <v>17605</v>
      </c>
      <c r="R4" s="16">
        <v>2572</v>
      </c>
      <c r="S4" s="16">
        <v>13080</v>
      </c>
      <c r="T4" s="16">
        <v>2256</v>
      </c>
      <c r="U4" s="16">
        <v>1754</v>
      </c>
      <c r="V4" s="16">
        <v>885</v>
      </c>
      <c r="W4" s="16">
        <v>1023</v>
      </c>
      <c r="X4" s="16">
        <v>416</v>
      </c>
      <c r="Y4" s="16">
        <v>1748</v>
      </c>
      <c r="Z4" s="16">
        <v>755</v>
      </c>
      <c r="AA4" s="16">
        <v>0</v>
      </c>
      <c r="AB4" s="16">
        <v>192</v>
      </c>
      <c r="AC4" s="16">
        <v>3069</v>
      </c>
      <c r="AD4" s="16">
        <v>887</v>
      </c>
      <c r="AE4" s="16">
        <v>10245</v>
      </c>
      <c r="AF4" s="16">
        <v>1693</v>
      </c>
      <c r="AG4" s="16">
        <v>5766</v>
      </c>
      <c r="AH4" s="16">
        <v>1354</v>
      </c>
      <c r="AI4" s="16">
        <v>22393</v>
      </c>
      <c r="AJ4" s="16">
        <v>2984</v>
      </c>
      <c r="AK4" s="16">
        <v>277471</v>
      </c>
      <c r="AL4" s="16">
        <v>4597</v>
      </c>
      <c r="AM4" s="16">
        <v>245543</v>
      </c>
      <c r="AN4" s="16">
        <v>5554</v>
      </c>
      <c r="AO4" s="16">
        <v>214753</v>
      </c>
      <c r="AP4" s="16">
        <v>5624</v>
      </c>
      <c r="AQ4" s="16">
        <v>30790</v>
      </c>
      <c r="AR4" s="16">
        <v>2514</v>
      </c>
      <c r="AS4" s="16">
        <v>23380</v>
      </c>
      <c r="AT4" s="16">
        <v>2395</v>
      </c>
      <c r="AU4" s="16">
        <v>4163</v>
      </c>
      <c r="AV4" s="16">
        <v>1503</v>
      </c>
      <c r="AW4" s="16">
        <v>3247</v>
      </c>
      <c r="AX4" s="16">
        <v>909</v>
      </c>
      <c r="AY4" s="16">
        <v>10554</v>
      </c>
      <c r="AZ4" s="16">
        <v>2019</v>
      </c>
      <c r="BA4" s="16">
        <v>7796</v>
      </c>
      <c r="BB4" s="16">
        <v>1829</v>
      </c>
      <c r="BC4" s="16">
        <v>1309</v>
      </c>
      <c r="BD4" s="16">
        <v>738</v>
      </c>
      <c r="BE4" s="16">
        <v>533</v>
      </c>
      <c r="BF4" s="16">
        <v>260</v>
      </c>
      <c r="BG4" s="16">
        <v>916</v>
      </c>
      <c r="BH4" s="16">
        <v>386</v>
      </c>
      <c r="BI4" s="16">
        <v>0</v>
      </c>
      <c r="BJ4" s="16">
        <v>192</v>
      </c>
      <c r="BK4" s="16">
        <v>1784</v>
      </c>
      <c r="BL4" s="16">
        <v>510</v>
      </c>
      <c r="BM4" s="16">
        <v>4927</v>
      </c>
      <c r="BN4" s="16">
        <v>1056</v>
      </c>
      <c r="BO4" s="16">
        <v>4545</v>
      </c>
      <c r="BP4" s="16">
        <v>1175</v>
      </c>
      <c r="BQ4" s="16">
        <v>10118</v>
      </c>
      <c r="BR4" s="16">
        <v>2111</v>
      </c>
      <c r="BS4" s="16">
        <v>224501</v>
      </c>
      <c r="BT4" s="16">
        <v>4882</v>
      </c>
      <c r="BU4" s="16">
        <v>197351</v>
      </c>
      <c r="BV4" s="16">
        <v>4914</v>
      </c>
      <c r="BW4" s="16">
        <v>168122</v>
      </c>
      <c r="BX4" s="16">
        <v>4892</v>
      </c>
      <c r="BY4" s="16">
        <v>29229</v>
      </c>
      <c r="BZ4" s="16">
        <v>3047</v>
      </c>
      <c r="CA4" s="16">
        <v>23959</v>
      </c>
      <c r="CB4" s="16">
        <v>2791</v>
      </c>
      <c r="CC4" s="16">
        <v>3402</v>
      </c>
      <c r="CD4" s="16">
        <v>1027</v>
      </c>
      <c r="CE4" s="16">
        <v>1868</v>
      </c>
      <c r="CF4" s="16">
        <v>784</v>
      </c>
      <c r="CG4" s="16">
        <v>7051</v>
      </c>
      <c r="CH4" s="16">
        <v>1384</v>
      </c>
      <c r="CI4" s="16">
        <v>5284</v>
      </c>
      <c r="CJ4" s="16">
        <v>1150</v>
      </c>
      <c r="CK4" s="16">
        <v>445</v>
      </c>
      <c r="CL4" s="16">
        <v>358</v>
      </c>
      <c r="CM4" s="16">
        <v>490</v>
      </c>
      <c r="CN4" s="16">
        <v>280</v>
      </c>
      <c r="CO4" s="16">
        <v>832</v>
      </c>
      <c r="CP4" s="16">
        <v>563</v>
      </c>
      <c r="CQ4" s="16">
        <v>0</v>
      </c>
      <c r="CR4" s="16">
        <v>192</v>
      </c>
      <c r="CS4" s="16">
        <v>1285</v>
      </c>
      <c r="CT4" s="16">
        <v>617</v>
      </c>
      <c r="CU4" s="16">
        <v>5318</v>
      </c>
      <c r="CV4" s="16">
        <v>1198</v>
      </c>
      <c r="CW4" s="16">
        <v>1221</v>
      </c>
      <c r="CX4" s="16">
        <v>528</v>
      </c>
      <c r="CY4" s="16">
        <v>12275</v>
      </c>
      <c r="CZ4" s="16">
        <v>2098</v>
      </c>
    </row>
    <row r="5" spans="1:104" ht="15.75" customHeight="1" x14ac:dyDescent="0.25">
      <c r="A5" s="15" t="s">
        <v>225</v>
      </c>
      <c r="B5" s="15" t="s">
        <v>226</v>
      </c>
      <c r="C5" s="16">
        <v>218997</v>
      </c>
      <c r="D5" s="16">
        <v>5315</v>
      </c>
      <c r="E5" s="16">
        <v>189939</v>
      </c>
      <c r="F5" s="16">
        <v>5283</v>
      </c>
      <c r="G5" s="16">
        <v>159039</v>
      </c>
      <c r="H5" s="16">
        <v>5542</v>
      </c>
      <c r="I5" s="16">
        <v>30900</v>
      </c>
      <c r="J5" s="16">
        <v>3695</v>
      </c>
      <c r="K5" s="16">
        <v>24508</v>
      </c>
      <c r="L5" s="16">
        <v>3335</v>
      </c>
      <c r="M5" s="16">
        <v>3813</v>
      </c>
      <c r="N5" s="16">
        <v>1013</v>
      </c>
      <c r="O5" s="16">
        <v>2579</v>
      </c>
      <c r="P5" s="16">
        <v>773</v>
      </c>
      <c r="Q5" s="16">
        <v>2898</v>
      </c>
      <c r="R5" s="16">
        <v>851</v>
      </c>
      <c r="S5" s="16">
        <v>2898</v>
      </c>
      <c r="T5" s="16">
        <v>851</v>
      </c>
      <c r="U5" s="16">
        <v>0</v>
      </c>
      <c r="V5" s="16">
        <v>192</v>
      </c>
      <c r="W5" s="16">
        <v>0</v>
      </c>
      <c r="X5" s="16">
        <v>192</v>
      </c>
      <c r="Y5" s="16">
        <v>0</v>
      </c>
      <c r="Z5" s="16">
        <v>192</v>
      </c>
      <c r="AA5" s="16">
        <v>0</v>
      </c>
      <c r="AB5" s="16">
        <v>192</v>
      </c>
      <c r="AC5" s="16">
        <v>2850</v>
      </c>
      <c r="AD5" s="16">
        <v>921</v>
      </c>
      <c r="AE5" s="16">
        <v>8663</v>
      </c>
      <c r="AF5" s="16">
        <v>1601</v>
      </c>
      <c r="AG5" s="16">
        <v>2068</v>
      </c>
      <c r="AH5" s="16">
        <v>745</v>
      </c>
      <c r="AI5" s="16">
        <v>12579</v>
      </c>
      <c r="AJ5" s="16">
        <v>2054</v>
      </c>
      <c r="AK5" s="16">
        <v>128110</v>
      </c>
      <c r="AL5" s="16">
        <v>3265</v>
      </c>
      <c r="AM5" s="16">
        <v>112659</v>
      </c>
      <c r="AN5" s="16">
        <v>3471</v>
      </c>
      <c r="AO5" s="16">
        <v>94885</v>
      </c>
      <c r="AP5" s="16">
        <v>3653</v>
      </c>
      <c r="AQ5" s="16">
        <v>17774</v>
      </c>
      <c r="AR5" s="16">
        <v>2520</v>
      </c>
      <c r="AS5" s="16">
        <v>13809</v>
      </c>
      <c r="AT5" s="16">
        <v>2229</v>
      </c>
      <c r="AU5" s="16">
        <v>2382</v>
      </c>
      <c r="AV5" s="16">
        <v>769</v>
      </c>
      <c r="AW5" s="16">
        <v>1583</v>
      </c>
      <c r="AX5" s="16">
        <v>578</v>
      </c>
      <c r="AY5" s="16">
        <v>1548</v>
      </c>
      <c r="AZ5" s="16">
        <v>591</v>
      </c>
      <c r="BA5" s="16">
        <v>1548</v>
      </c>
      <c r="BB5" s="16">
        <v>591</v>
      </c>
      <c r="BC5" s="16">
        <v>0</v>
      </c>
      <c r="BD5" s="16">
        <v>192</v>
      </c>
      <c r="BE5" s="16">
        <v>0</v>
      </c>
      <c r="BF5" s="16">
        <v>192</v>
      </c>
      <c r="BG5" s="16">
        <v>0</v>
      </c>
      <c r="BH5" s="16">
        <v>192</v>
      </c>
      <c r="BI5" s="16">
        <v>0</v>
      </c>
      <c r="BJ5" s="16">
        <v>192</v>
      </c>
      <c r="BK5" s="16">
        <v>2139</v>
      </c>
      <c r="BL5" s="16">
        <v>724</v>
      </c>
      <c r="BM5" s="16">
        <v>3863</v>
      </c>
      <c r="BN5" s="16">
        <v>923</v>
      </c>
      <c r="BO5" s="16">
        <v>1859</v>
      </c>
      <c r="BP5" s="16">
        <v>742</v>
      </c>
      <c r="BQ5" s="16">
        <v>6042</v>
      </c>
      <c r="BR5" s="16">
        <v>1268</v>
      </c>
      <c r="BS5" s="16">
        <v>90887</v>
      </c>
      <c r="BT5" s="16">
        <v>3379</v>
      </c>
      <c r="BU5" s="16">
        <v>77280</v>
      </c>
      <c r="BV5" s="16">
        <v>3382</v>
      </c>
      <c r="BW5" s="16">
        <v>64154</v>
      </c>
      <c r="BX5" s="16">
        <v>3295</v>
      </c>
      <c r="BY5" s="16">
        <v>13126</v>
      </c>
      <c r="BZ5" s="16">
        <v>1945</v>
      </c>
      <c r="CA5" s="16">
        <v>10699</v>
      </c>
      <c r="CB5" s="16">
        <v>1804</v>
      </c>
      <c r="CC5" s="16">
        <v>1431</v>
      </c>
      <c r="CD5" s="16">
        <v>520</v>
      </c>
      <c r="CE5" s="16">
        <v>996</v>
      </c>
      <c r="CF5" s="16">
        <v>581</v>
      </c>
      <c r="CG5" s="16">
        <v>1350</v>
      </c>
      <c r="CH5" s="16">
        <v>557</v>
      </c>
      <c r="CI5" s="16">
        <v>1350</v>
      </c>
      <c r="CJ5" s="16">
        <v>557</v>
      </c>
      <c r="CK5" s="16">
        <v>0</v>
      </c>
      <c r="CL5" s="16">
        <v>192</v>
      </c>
      <c r="CM5" s="16">
        <v>0</v>
      </c>
      <c r="CN5" s="16">
        <v>192</v>
      </c>
      <c r="CO5" s="16">
        <v>0</v>
      </c>
      <c r="CP5" s="16">
        <v>192</v>
      </c>
      <c r="CQ5" s="16">
        <v>0</v>
      </c>
      <c r="CR5" s="16">
        <v>192</v>
      </c>
      <c r="CS5" s="16">
        <v>711</v>
      </c>
      <c r="CT5" s="16">
        <v>440</v>
      </c>
      <c r="CU5" s="16">
        <v>4800</v>
      </c>
      <c r="CV5" s="16">
        <v>1089</v>
      </c>
      <c r="CW5" s="16">
        <v>209</v>
      </c>
      <c r="CX5" s="16">
        <v>176</v>
      </c>
      <c r="CY5" s="16">
        <v>6537</v>
      </c>
      <c r="CZ5" s="16">
        <v>1504</v>
      </c>
    </row>
    <row r="6" spans="1:104" ht="15.75" customHeight="1" x14ac:dyDescent="0.25">
      <c r="A6" s="15" t="s">
        <v>227</v>
      </c>
      <c r="B6" s="15" t="s">
        <v>228</v>
      </c>
      <c r="C6" s="16">
        <v>103776</v>
      </c>
      <c r="D6" s="16">
        <v>3519</v>
      </c>
      <c r="E6" s="16">
        <v>95090</v>
      </c>
      <c r="F6" s="16">
        <v>3372</v>
      </c>
      <c r="G6" s="16">
        <v>82697</v>
      </c>
      <c r="H6" s="16">
        <v>3885</v>
      </c>
      <c r="I6" s="16">
        <v>12393</v>
      </c>
      <c r="J6" s="16">
        <v>2003</v>
      </c>
      <c r="K6" s="16">
        <v>9577</v>
      </c>
      <c r="L6" s="16">
        <v>1722</v>
      </c>
      <c r="M6" s="16">
        <v>1648</v>
      </c>
      <c r="N6" s="16">
        <v>582</v>
      </c>
      <c r="O6" s="16">
        <v>1168</v>
      </c>
      <c r="P6" s="16">
        <v>579</v>
      </c>
      <c r="Q6" s="16">
        <v>1614</v>
      </c>
      <c r="R6" s="16">
        <v>595</v>
      </c>
      <c r="S6" s="16">
        <v>891</v>
      </c>
      <c r="T6" s="16">
        <v>427</v>
      </c>
      <c r="U6" s="16">
        <v>0</v>
      </c>
      <c r="V6" s="16">
        <v>192</v>
      </c>
      <c r="W6" s="16">
        <v>131</v>
      </c>
      <c r="X6" s="16">
        <v>197</v>
      </c>
      <c r="Y6" s="16">
        <v>592</v>
      </c>
      <c r="Z6" s="16">
        <v>367</v>
      </c>
      <c r="AA6" s="16">
        <v>0</v>
      </c>
      <c r="AB6" s="16">
        <v>192</v>
      </c>
      <c r="AC6" s="16">
        <v>382</v>
      </c>
      <c r="AD6" s="16">
        <v>324</v>
      </c>
      <c r="AE6" s="16">
        <v>1790</v>
      </c>
      <c r="AF6" s="16">
        <v>626</v>
      </c>
      <c r="AG6" s="16">
        <v>927</v>
      </c>
      <c r="AH6" s="16">
        <v>476</v>
      </c>
      <c r="AI6" s="16">
        <v>3973</v>
      </c>
      <c r="AJ6" s="16">
        <v>1023</v>
      </c>
      <c r="AK6" s="16">
        <v>55746</v>
      </c>
      <c r="AL6" s="16">
        <v>2336</v>
      </c>
      <c r="AM6" s="16">
        <v>50552</v>
      </c>
      <c r="AN6" s="16">
        <v>2407</v>
      </c>
      <c r="AO6" s="16">
        <v>42759</v>
      </c>
      <c r="AP6" s="16">
        <v>2871</v>
      </c>
      <c r="AQ6" s="16">
        <v>7793</v>
      </c>
      <c r="AR6" s="16">
        <v>1283</v>
      </c>
      <c r="AS6" s="16">
        <v>6165</v>
      </c>
      <c r="AT6" s="16">
        <v>1141</v>
      </c>
      <c r="AU6" s="16">
        <v>670</v>
      </c>
      <c r="AV6" s="16">
        <v>375</v>
      </c>
      <c r="AW6" s="16">
        <v>958</v>
      </c>
      <c r="AX6" s="16">
        <v>527</v>
      </c>
      <c r="AY6" s="16">
        <v>867</v>
      </c>
      <c r="AZ6" s="16">
        <v>455</v>
      </c>
      <c r="BA6" s="16">
        <v>572</v>
      </c>
      <c r="BB6" s="16">
        <v>348</v>
      </c>
      <c r="BC6" s="16">
        <v>0</v>
      </c>
      <c r="BD6" s="16">
        <v>192</v>
      </c>
      <c r="BE6" s="16">
        <v>131</v>
      </c>
      <c r="BF6" s="16">
        <v>197</v>
      </c>
      <c r="BG6" s="16">
        <v>164</v>
      </c>
      <c r="BH6" s="16">
        <v>193</v>
      </c>
      <c r="BI6" s="16">
        <v>0</v>
      </c>
      <c r="BJ6" s="16">
        <v>192</v>
      </c>
      <c r="BK6" s="16">
        <v>363</v>
      </c>
      <c r="BL6" s="16">
        <v>322</v>
      </c>
      <c r="BM6" s="16">
        <v>1017</v>
      </c>
      <c r="BN6" s="16">
        <v>494</v>
      </c>
      <c r="BO6" s="16">
        <v>774</v>
      </c>
      <c r="BP6" s="16">
        <v>416</v>
      </c>
      <c r="BQ6" s="16">
        <v>2173</v>
      </c>
      <c r="BR6" s="16">
        <v>737</v>
      </c>
      <c r="BS6" s="16">
        <v>48030</v>
      </c>
      <c r="BT6" s="16">
        <v>2138</v>
      </c>
      <c r="BU6" s="16">
        <v>44538</v>
      </c>
      <c r="BV6" s="16">
        <v>2264</v>
      </c>
      <c r="BW6" s="16">
        <v>39938</v>
      </c>
      <c r="BX6" s="16">
        <v>2288</v>
      </c>
      <c r="BY6" s="16">
        <v>4600</v>
      </c>
      <c r="BZ6" s="16">
        <v>1095</v>
      </c>
      <c r="CA6" s="16">
        <v>3412</v>
      </c>
      <c r="CB6" s="16">
        <v>975</v>
      </c>
      <c r="CC6" s="16">
        <v>978</v>
      </c>
      <c r="CD6" s="16">
        <v>428</v>
      </c>
      <c r="CE6" s="16">
        <v>210</v>
      </c>
      <c r="CF6" s="16">
        <v>201</v>
      </c>
      <c r="CG6" s="16">
        <v>747</v>
      </c>
      <c r="CH6" s="16">
        <v>426</v>
      </c>
      <c r="CI6" s="16">
        <v>319</v>
      </c>
      <c r="CJ6" s="16">
        <v>262</v>
      </c>
      <c r="CK6" s="16">
        <v>0</v>
      </c>
      <c r="CL6" s="16">
        <v>192</v>
      </c>
      <c r="CM6" s="16">
        <v>0</v>
      </c>
      <c r="CN6" s="16">
        <v>192</v>
      </c>
      <c r="CO6" s="16">
        <v>428</v>
      </c>
      <c r="CP6" s="16">
        <v>342</v>
      </c>
      <c r="CQ6" s="16">
        <v>0</v>
      </c>
      <c r="CR6" s="16">
        <v>192</v>
      </c>
      <c r="CS6" s="16">
        <v>19</v>
      </c>
      <c r="CT6" s="16">
        <v>32</v>
      </c>
      <c r="CU6" s="16">
        <v>773</v>
      </c>
      <c r="CV6" s="16">
        <v>405</v>
      </c>
      <c r="CW6" s="16">
        <v>153</v>
      </c>
      <c r="CX6" s="16">
        <v>136</v>
      </c>
      <c r="CY6" s="16">
        <v>1800</v>
      </c>
      <c r="CZ6" s="16"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CZ1000"/>
  <sheetViews>
    <sheetView workbookViewId="0"/>
  </sheetViews>
  <sheetFormatPr defaultColWidth="14.42578125" defaultRowHeight="15.75" customHeight="1" x14ac:dyDescent="0.2"/>
  <cols>
    <col min="1" max="104" width="22" customWidth="1"/>
  </cols>
  <sheetData>
    <row r="1" spans="1:104" ht="15.75" customHeight="1" x14ac:dyDescent="0.25">
      <c r="A1" s="17" t="s">
        <v>13</v>
      </c>
      <c r="B1" s="17" t="s">
        <v>14</v>
      </c>
      <c r="C1" s="17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7" t="s">
        <v>28</v>
      </c>
      <c r="Q1" s="17" t="s">
        <v>29</v>
      </c>
      <c r="R1" s="17" t="s">
        <v>30</v>
      </c>
      <c r="S1" s="17" t="s">
        <v>31</v>
      </c>
      <c r="T1" s="17" t="s">
        <v>32</v>
      </c>
      <c r="U1" s="17" t="s">
        <v>33</v>
      </c>
      <c r="V1" s="17" t="s">
        <v>34</v>
      </c>
      <c r="W1" s="17" t="s">
        <v>35</v>
      </c>
      <c r="X1" s="17" t="s">
        <v>36</v>
      </c>
      <c r="Y1" s="17" t="s">
        <v>37</v>
      </c>
      <c r="Z1" s="17" t="s">
        <v>38</v>
      </c>
      <c r="AA1" s="17" t="s">
        <v>39</v>
      </c>
      <c r="AB1" s="17" t="s">
        <v>40</v>
      </c>
      <c r="AC1" s="17" t="s">
        <v>41</v>
      </c>
      <c r="AD1" s="17" t="s">
        <v>42</v>
      </c>
      <c r="AE1" s="17" t="s">
        <v>43</v>
      </c>
      <c r="AF1" s="17" t="s">
        <v>44</v>
      </c>
      <c r="AG1" s="17" t="s">
        <v>45</v>
      </c>
      <c r="AH1" s="17" t="s">
        <v>46</v>
      </c>
      <c r="AI1" s="17" t="s">
        <v>47</v>
      </c>
      <c r="AJ1" s="17" t="s">
        <v>48</v>
      </c>
      <c r="AK1" s="17" t="s">
        <v>49</v>
      </c>
      <c r="AL1" s="17" t="s">
        <v>50</v>
      </c>
      <c r="AM1" s="17" t="s">
        <v>51</v>
      </c>
      <c r="AN1" s="17" t="s">
        <v>52</v>
      </c>
      <c r="AO1" s="17" t="s">
        <v>53</v>
      </c>
      <c r="AP1" s="17" t="s">
        <v>54</v>
      </c>
      <c r="AQ1" s="17" t="s">
        <v>55</v>
      </c>
      <c r="AR1" s="17" t="s">
        <v>56</v>
      </c>
      <c r="AS1" s="17" t="s">
        <v>57</v>
      </c>
      <c r="AT1" s="17" t="s">
        <v>58</v>
      </c>
      <c r="AU1" s="17" t="s">
        <v>59</v>
      </c>
      <c r="AV1" s="17" t="s">
        <v>60</v>
      </c>
      <c r="AW1" s="17" t="s">
        <v>61</v>
      </c>
      <c r="AX1" s="17" t="s">
        <v>62</v>
      </c>
      <c r="AY1" s="17" t="s">
        <v>63</v>
      </c>
      <c r="AZ1" s="17" t="s">
        <v>64</v>
      </c>
      <c r="BA1" s="17" t="s">
        <v>65</v>
      </c>
      <c r="BB1" s="17" t="s">
        <v>66</v>
      </c>
      <c r="BC1" s="17" t="s">
        <v>67</v>
      </c>
      <c r="BD1" s="17" t="s">
        <v>68</v>
      </c>
      <c r="BE1" s="17" t="s">
        <v>69</v>
      </c>
      <c r="BF1" s="17" t="s">
        <v>70</v>
      </c>
      <c r="BG1" s="17" t="s">
        <v>71</v>
      </c>
      <c r="BH1" s="17" t="s">
        <v>72</v>
      </c>
      <c r="BI1" s="17" t="s">
        <v>73</v>
      </c>
      <c r="BJ1" s="17" t="s">
        <v>74</v>
      </c>
      <c r="BK1" s="17" t="s">
        <v>75</v>
      </c>
      <c r="BL1" s="17" t="s">
        <v>76</v>
      </c>
      <c r="BM1" s="17" t="s">
        <v>77</v>
      </c>
      <c r="BN1" s="17" t="s">
        <v>78</v>
      </c>
      <c r="BO1" s="17" t="s">
        <v>79</v>
      </c>
      <c r="BP1" s="17" t="s">
        <v>80</v>
      </c>
      <c r="BQ1" s="17" t="s">
        <v>81</v>
      </c>
      <c r="BR1" s="17" t="s">
        <v>82</v>
      </c>
      <c r="BS1" s="17" t="s">
        <v>83</v>
      </c>
      <c r="BT1" s="17" t="s">
        <v>84</v>
      </c>
      <c r="BU1" s="17" t="s">
        <v>85</v>
      </c>
      <c r="BV1" s="17" t="s">
        <v>86</v>
      </c>
      <c r="BW1" s="17" t="s">
        <v>87</v>
      </c>
      <c r="BX1" s="17" t="s">
        <v>88</v>
      </c>
      <c r="BY1" s="17" t="s">
        <v>89</v>
      </c>
      <c r="BZ1" s="17" t="s">
        <v>90</v>
      </c>
      <c r="CA1" s="17" t="s">
        <v>91</v>
      </c>
      <c r="CB1" s="17" t="s">
        <v>92</v>
      </c>
      <c r="CC1" s="17" t="s">
        <v>93</v>
      </c>
      <c r="CD1" s="17" t="s">
        <v>94</v>
      </c>
      <c r="CE1" s="17" t="s">
        <v>95</v>
      </c>
      <c r="CF1" s="17" t="s">
        <v>96</v>
      </c>
      <c r="CG1" s="17" t="s">
        <v>97</v>
      </c>
      <c r="CH1" s="17" t="s">
        <v>98</v>
      </c>
      <c r="CI1" s="17" t="s">
        <v>99</v>
      </c>
      <c r="CJ1" s="17" t="s">
        <v>100</v>
      </c>
      <c r="CK1" s="17" t="s">
        <v>101</v>
      </c>
      <c r="CL1" s="17" t="s">
        <v>102</v>
      </c>
      <c r="CM1" s="17" t="s">
        <v>103</v>
      </c>
      <c r="CN1" s="17" t="s">
        <v>104</v>
      </c>
      <c r="CO1" s="17" t="s">
        <v>105</v>
      </c>
      <c r="CP1" s="17" t="s">
        <v>106</v>
      </c>
      <c r="CQ1" s="17" t="s">
        <v>107</v>
      </c>
      <c r="CR1" s="17" t="s">
        <v>108</v>
      </c>
      <c r="CS1" s="17" t="s">
        <v>109</v>
      </c>
      <c r="CT1" s="17" t="s">
        <v>110</v>
      </c>
      <c r="CU1" s="17" t="s">
        <v>111</v>
      </c>
      <c r="CV1" s="17" t="s">
        <v>112</v>
      </c>
      <c r="CW1" s="17" t="s">
        <v>113</v>
      </c>
      <c r="CX1" s="17" t="s">
        <v>114</v>
      </c>
      <c r="CY1" s="17" t="s">
        <v>115</v>
      </c>
      <c r="CZ1" s="17" t="s">
        <v>116</v>
      </c>
    </row>
    <row r="2" spans="1:104" ht="15.75" customHeight="1" x14ac:dyDescent="0.25">
      <c r="A2" s="17" t="s">
        <v>117</v>
      </c>
      <c r="B2" s="17" t="s">
        <v>118</v>
      </c>
      <c r="C2" s="17" t="s">
        <v>119</v>
      </c>
      <c r="D2" s="17" t="s">
        <v>120</v>
      </c>
      <c r="E2" s="17" t="s">
        <v>121</v>
      </c>
      <c r="F2" s="17" t="s">
        <v>122</v>
      </c>
      <c r="G2" s="17" t="s">
        <v>123</v>
      </c>
      <c r="H2" s="17" t="s">
        <v>124</v>
      </c>
      <c r="I2" s="17" t="s">
        <v>125</v>
      </c>
      <c r="J2" s="17" t="s">
        <v>126</v>
      </c>
      <c r="K2" s="17" t="s">
        <v>127</v>
      </c>
      <c r="L2" s="17" t="s">
        <v>128</v>
      </c>
      <c r="M2" s="17" t="s">
        <v>129</v>
      </c>
      <c r="N2" s="17" t="s">
        <v>130</v>
      </c>
      <c r="O2" s="17" t="s">
        <v>131</v>
      </c>
      <c r="P2" s="17" t="s">
        <v>132</v>
      </c>
      <c r="Q2" s="17" t="s">
        <v>133</v>
      </c>
      <c r="R2" s="17" t="s">
        <v>134</v>
      </c>
      <c r="S2" s="17" t="s">
        <v>135</v>
      </c>
      <c r="T2" s="17" t="s">
        <v>136</v>
      </c>
      <c r="U2" s="17" t="s">
        <v>137</v>
      </c>
      <c r="V2" s="17" t="s">
        <v>138</v>
      </c>
      <c r="W2" s="17" t="s">
        <v>139</v>
      </c>
      <c r="X2" s="17" t="s">
        <v>140</v>
      </c>
      <c r="Y2" s="17" t="s">
        <v>141</v>
      </c>
      <c r="Z2" s="17" t="s">
        <v>142</v>
      </c>
      <c r="AA2" s="17" t="s">
        <v>143</v>
      </c>
      <c r="AB2" s="17" t="s">
        <v>144</v>
      </c>
      <c r="AC2" s="17" t="s">
        <v>145</v>
      </c>
      <c r="AD2" s="17" t="s">
        <v>146</v>
      </c>
      <c r="AE2" s="17" t="s">
        <v>147</v>
      </c>
      <c r="AF2" s="17" t="s">
        <v>148</v>
      </c>
      <c r="AG2" s="17" t="s">
        <v>149</v>
      </c>
      <c r="AH2" s="17" t="s">
        <v>150</v>
      </c>
      <c r="AI2" s="17" t="s">
        <v>151</v>
      </c>
      <c r="AJ2" s="17" t="s">
        <v>152</v>
      </c>
      <c r="AK2" s="17" t="s">
        <v>153</v>
      </c>
      <c r="AL2" s="17" t="s">
        <v>154</v>
      </c>
      <c r="AM2" s="17" t="s">
        <v>155</v>
      </c>
      <c r="AN2" s="17" t="s">
        <v>156</v>
      </c>
      <c r="AO2" s="17" t="s">
        <v>157</v>
      </c>
      <c r="AP2" s="17" t="s">
        <v>158</v>
      </c>
      <c r="AQ2" s="17" t="s">
        <v>159</v>
      </c>
      <c r="AR2" s="17" t="s">
        <v>160</v>
      </c>
      <c r="AS2" s="17" t="s">
        <v>161</v>
      </c>
      <c r="AT2" s="17" t="s">
        <v>162</v>
      </c>
      <c r="AU2" s="17" t="s">
        <v>163</v>
      </c>
      <c r="AV2" s="17" t="s">
        <v>164</v>
      </c>
      <c r="AW2" s="17" t="s">
        <v>165</v>
      </c>
      <c r="AX2" s="17" t="s">
        <v>166</v>
      </c>
      <c r="AY2" s="17" t="s">
        <v>167</v>
      </c>
      <c r="AZ2" s="17" t="s">
        <v>168</v>
      </c>
      <c r="BA2" s="17" t="s">
        <v>169</v>
      </c>
      <c r="BB2" s="17" t="s">
        <v>170</v>
      </c>
      <c r="BC2" s="17" t="s">
        <v>171</v>
      </c>
      <c r="BD2" s="17" t="s">
        <v>172</v>
      </c>
      <c r="BE2" s="17" t="s">
        <v>173</v>
      </c>
      <c r="BF2" s="17" t="s">
        <v>174</v>
      </c>
      <c r="BG2" s="17" t="s">
        <v>175</v>
      </c>
      <c r="BH2" s="17" t="s">
        <v>176</v>
      </c>
      <c r="BI2" s="17" t="s">
        <v>177</v>
      </c>
      <c r="BJ2" s="17" t="s">
        <v>178</v>
      </c>
      <c r="BK2" s="17" t="s">
        <v>179</v>
      </c>
      <c r="BL2" s="17" t="s">
        <v>180</v>
      </c>
      <c r="BM2" s="17" t="s">
        <v>181</v>
      </c>
      <c r="BN2" s="17" t="s">
        <v>182</v>
      </c>
      <c r="BO2" s="17" t="s">
        <v>183</v>
      </c>
      <c r="BP2" s="17" t="s">
        <v>184</v>
      </c>
      <c r="BQ2" s="17" t="s">
        <v>185</v>
      </c>
      <c r="BR2" s="17" t="s">
        <v>186</v>
      </c>
      <c r="BS2" s="17" t="s">
        <v>187</v>
      </c>
      <c r="BT2" s="17" t="s">
        <v>188</v>
      </c>
      <c r="BU2" s="17" t="s">
        <v>189</v>
      </c>
      <c r="BV2" s="17" t="s">
        <v>190</v>
      </c>
      <c r="BW2" s="17" t="s">
        <v>191</v>
      </c>
      <c r="BX2" s="17" t="s">
        <v>192</v>
      </c>
      <c r="BY2" s="17" t="s">
        <v>193</v>
      </c>
      <c r="BZ2" s="17" t="s">
        <v>194</v>
      </c>
      <c r="CA2" s="17" t="s">
        <v>195</v>
      </c>
      <c r="CB2" s="17" t="s">
        <v>196</v>
      </c>
      <c r="CC2" s="17" t="s">
        <v>197</v>
      </c>
      <c r="CD2" s="17" t="s">
        <v>198</v>
      </c>
      <c r="CE2" s="17" t="s">
        <v>199</v>
      </c>
      <c r="CF2" s="17" t="s">
        <v>200</v>
      </c>
      <c r="CG2" s="17" t="s">
        <v>201</v>
      </c>
      <c r="CH2" s="17" t="s">
        <v>202</v>
      </c>
      <c r="CI2" s="17" t="s">
        <v>203</v>
      </c>
      <c r="CJ2" s="17" t="s">
        <v>204</v>
      </c>
      <c r="CK2" s="17" t="s">
        <v>205</v>
      </c>
      <c r="CL2" s="17" t="s">
        <v>206</v>
      </c>
      <c r="CM2" s="17" t="s">
        <v>207</v>
      </c>
      <c r="CN2" s="17" t="s">
        <v>208</v>
      </c>
      <c r="CO2" s="17" t="s">
        <v>209</v>
      </c>
      <c r="CP2" s="17" t="s">
        <v>210</v>
      </c>
      <c r="CQ2" s="17" t="s">
        <v>211</v>
      </c>
      <c r="CR2" s="17" t="s">
        <v>212</v>
      </c>
      <c r="CS2" s="17" t="s">
        <v>213</v>
      </c>
      <c r="CT2" s="17" t="s">
        <v>214</v>
      </c>
      <c r="CU2" s="17" t="s">
        <v>215</v>
      </c>
      <c r="CV2" s="17" t="s">
        <v>216</v>
      </c>
      <c r="CW2" s="17" t="s">
        <v>217</v>
      </c>
      <c r="CX2" s="17" t="s">
        <v>218</v>
      </c>
      <c r="CY2" s="17" t="s">
        <v>219</v>
      </c>
      <c r="CZ2" s="17" t="s">
        <v>220</v>
      </c>
    </row>
    <row r="3" spans="1:104" ht="15.75" customHeight="1" x14ac:dyDescent="0.25">
      <c r="A3" s="17" t="s">
        <v>221</v>
      </c>
      <c r="B3" s="17" t="s">
        <v>222</v>
      </c>
      <c r="C3" s="18">
        <v>145456</v>
      </c>
      <c r="D3" s="18">
        <v>2761</v>
      </c>
      <c r="E3" s="18">
        <v>130848</v>
      </c>
      <c r="F3" s="18">
        <v>3037</v>
      </c>
      <c r="G3" s="18">
        <v>115125</v>
      </c>
      <c r="H3" s="18">
        <v>3319</v>
      </c>
      <c r="I3" s="18">
        <v>15723</v>
      </c>
      <c r="J3" s="18">
        <v>2041</v>
      </c>
      <c r="K3" s="18">
        <v>10958</v>
      </c>
      <c r="L3" s="18">
        <v>1769</v>
      </c>
      <c r="M3" s="18">
        <v>2442</v>
      </c>
      <c r="N3" s="18">
        <v>762</v>
      </c>
      <c r="O3" s="18">
        <v>2323</v>
      </c>
      <c r="P3" s="18">
        <v>856</v>
      </c>
      <c r="Q3" s="18">
        <v>3450</v>
      </c>
      <c r="R3" s="18">
        <v>1055</v>
      </c>
      <c r="S3" s="18">
        <v>2854</v>
      </c>
      <c r="T3" s="18">
        <v>1013</v>
      </c>
      <c r="U3" s="18">
        <v>0</v>
      </c>
      <c r="V3" s="18">
        <v>181</v>
      </c>
      <c r="W3" s="18">
        <v>64</v>
      </c>
      <c r="X3" s="18">
        <v>105</v>
      </c>
      <c r="Y3" s="18">
        <v>532</v>
      </c>
      <c r="Z3" s="18">
        <v>259</v>
      </c>
      <c r="AA3" s="18">
        <v>0</v>
      </c>
      <c r="AB3" s="18">
        <v>181</v>
      </c>
      <c r="AC3" s="18">
        <v>469</v>
      </c>
      <c r="AD3" s="18">
        <v>363</v>
      </c>
      <c r="AE3" s="18">
        <v>1858</v>
      </c>
      <c r="AF3" s="18">
        <v>667</v>
      </c>
      <c r="AG3" s="18">
        <v>2131</v>
      </c>
      <c r="AH3" s="18">
        <v>994</v>
      </c>
      <c r="AI3" s="18">
        <v>6700</v>
      </c>
      <c r="AJ3" s="18">
        <v>1399</v>
      </c>
      <c r="AK3" s="18">
        <v>82843</v>
      </c>
      <c r="AL3" s="18">
        <v>1788</v>
      </c>
      <c r="AM3" s="18">
        <v>74692</v>
      </c>
      <c r="AN3" s="18">
        <v>1949</v>
      </c>
      <c r="AO3" s="18">
        <v>64947</v>
      </c>
      <c r="AP3" s="18">
        <v>2188</v>
      </c>
      <c r="AQ3" s="18">
        <v>9745</v>
      </c>
      <c r="AR3" s="18">
        <v>1359</v>
      </c>
      <c r="AS3" s="18">
        <v>6724</v>
      </c>
      <c r="AT3" s="18">
        <v>1208</v>
      </c>
      <c r="AU3" s="18">
        <v>1273</v>
      </c>
      <c r="AV3" s="18">
        <v>455</v>
      </c>
      <c r="AW3" s="18">
        <v>1748</v>
      </c>
      <c r="AX3" s="18">
        <v>709</v>
      </c>
      <c r="AY3" s="18">
        <v>2424</v>
      </c>
      <c r="AZ3" s="18">
        <v>812</v>
      </c>
      <c r="BA3" s="18">
        <v>2076</v>
      </c>
      <c r="BB3" s="18">
        <v>792</v>
      </c>
      <c r="BC3" s="18">
        <v>0</v>
      </c>
      <c r="BD3" s="18">
        <v>181</v>
      </c>
      <c r="BE3" s="18">
        <v>64</v>
      </c>
      <c r="BF3" s="18">
        <v>105</v>
      </c>
      <c r="BG3" s="18">
        <v>284</v>
      </c>
      <c r="BH3" s="18">
        <v>205</v>
      </c>
      <c r="BI3" s="18">
        <v>0</v>
      </c>
      <c r="BJ3" s="18">
        <v>181</v>
      </c>
      <c r="BK3" s="18">
        <v>469</v>
      </c>
      <c r="BL3" s="18">
        <v>363</v>
      </c>
      <c r="BM3" s="18">
        <v>897</v>
      </c>
      <c r="BN3" s="18">
        <v>347</v>
      </c>
      <c r="BO3" s="18">
        <v>993</v>
      </c>
      <c r="BP3" s="18">
        <v>530</v>
      </c>
      <c r="BQ3" s="18">
        <v>3368</v>
      </c>
      <c r="BR3" s="18">
        <v>1017</v>
      </c>
      <c r="BS3" s="18">
        <v>62613</v>
      </c>
      <c r="BT3" s="18">
        <v>2348</v>
      </c>
      <c r="BU3" s="18">
        <v>56156</v>
      </c>
      <c r="BV3" s="18">
        <v>2324</v>
      </c>
      <c r="BW3" s="18">
        <v>50178</v>
      </c>
      <c r="BX3" s="18">
        <v>2549</v>
      </c>
      <c r="BY3" s="18">
        <v>5978</v>
      </c>
      <c r="BZ3" s="18">
        <v>1209</v>
      </c>
      <c r="CA3" s="18">
        <v>4234</v>
      </c>
      <c r="CB3" s="18">
        <v>960</v>
      </c>
      <c r="CC3" s="18">
        <v>1169</v>
      </c>
      <c r="CD3" s="18">
        <v>513</v>
      </c>
      <c r="CE3" s="18">
        <v>575</v>
      </c>
      <c r="CF3" s="18">
        <v>335</v>
      </c>
      <c r="CG3" s="18">
        <v>1026</v>
      </c>
      <c r="CH3" s="18">
        <v>474</v>
      </c>
      <c r="CI3" s="18">
        <v>778</v>
      </c>
      <c r="CJ3" s="18">
        <v>466</v>
      </c>
      <c r="CK3" s="18">
        <v>0</v>
      </c>
      <c r="CL3" s="18">
        <v>181</v>
      </c>
      <c r="CM3" s="18">
        <v>0</v>
      </c>
      <c r="CN3" s="18">
        <v>181</v>
      </c>
      <c r="CO3" s="18">
        <v>248</v>
      </c>
      <c r="CP3" s="18">
        <v>156</v>
      </c>
      <c r="CQ3" s="18">
        <v>0</v>
      </c>
      <c r="CR3" s="18">
        <v>181</v>
      </c>
      <c r="CS3" s="18">
        <v>0</v>
      </c>
      <c r="CT3" s="18">
        <v>181</v>
      </c>
      <c r="CU3" s="18">
        <v>961</v>
      </c>
      <c r="CV3" s="18">
        <v>529</v>
      </c>
      <c r="CW3" s="18">
        <v>1138</v>
      </c>
      <c r="CX3" s="18">
        <v>649</v>
      </c>
      <c r="CY3" s="18">
        <v>3332</v>
      </c>
      <c r="CZ3" s="18">
        <v>761</v>
      </c>
    </row>
    <row r="4" spans="1:104" ht="15.75" customHeight="1" x14ac:dyDescent="0.25">
      <c r="A4" s="17" t="s">
        <v>223</v>
      </c>
      <c r="B4" s="17" t="s">
        <v>224</v>
      </c>
      <c r="C4" s="18">
        <v>513309</v>
      </c>
      <c r="D4" s="18">
        <v>5227</v>
      </c>
      <c r="E4" s="18">
        <v>448039</v>
      </c>
      <c r="F4" s="18">
        <v>6187</v>
      </c>
      <c r="G4" s="18">
        <v>385867</v>
      </c>
      <c r="H4" s="18">
        <v>6510</v>
      </c>
      <c r="I4" s="18">
        <v>62172</v>
      </c>
      <c r="J4" s="18">
        <v>5393</v>
      </c>
      <c r="K4" s="18">
        <v>46829</v>
      </c>
      <c r="L4" s="18">
        <v>4299</v>
      </c>
      <c r="M4" s="18">
        <v>9409</v>
      </c>
      <c r="N4" s="18">
        <v>1745</v>
      </c>
      <c r="O4" s="18">
        <v>5934</v>
      </c>
      <c r="P4" s="18">
        <v>1825</v>
      </c>
      <c r="Q4" s="18">
        <v>20572</v>
      </c>
      <c r="R4" s="18">
        <v>2505</v>
      </c>
      <c r="S4" s="18">
        <v>12682</v>
      </c>
      <c r="T4" s="18">
        <v>1833</v>
      </c>
      <c r="U4" s="18">
        <v>3638</v>
      </c>
      <c r="V4" s="18">
        <v>1318</v>
      </c>
      <c r="W4" s="18">
        <v>2096</v>
      </c>
      <c r="X4" s="18">
        <v>672</v>
      </c>
      <c r="Y4" s="18">
        <v>2156</v>
      </c>
      <c r="Z4" s="18">
        <v>635</v>
      </c>
      <c r="AA4" s="18">
        <v>0</v>
      </c>
      <c r="AB4" s="18">
        <v>181</v>
      </c>
      <c r="AC4" s="18">
        <v>4910</v>
      </c>
      <c r="AD4" s="18">
        <v>1127</v>
      </c>
      <c r="AE4" s="18">
        <v>10461</v>
      </c>
      <c r="AF4" s="18">
        <v>1863</v>
      </c>
      <c r="AG4" s="18">
        <v>6052</v>
      </c>
      <c r="AH4" s="18">
        <v>1437</v>
      </c>
      <c r="AI4" s="18">
        <v>23275</v>
      </c>
      <c r="AJ4" s="18">
        <v>2349</v>
      </c>
      <c r="AK4" s="18">
        <v>284664</v>
      </c>
      <c r="AL4" s="18">
        <v>3364</v>
      </c>
      <c r="AM4" s="18">
        <v>250763</v>
      </c>
      <c r="AN4" s="18">
        <v>4017</v>
      </c>
      <c r="AO4" s="18">
        <v>216019</v>
      </c>
      <c r="AP4" s="18">
        <v>4656</v>
      </c>
      <c r="AQ4" s="18">
        <v>34744</v>
      </c>
      <c r="AR4" s="18">
        <v>3346</v>
      </c>
      <c r="AS4" s="18">
        <v>26447</v>
      </c>
      <c r="AT4" s="18">
        <v>2661</v>
      </c>
      <c r="AU4" s="18">
        <v>5237</v>
      </c>
      <c r="AV4" s="18">
        <v>1335</v>
      </c>
      <c r="AW4" s="18">
        <v>3060</v>
      </c>
      <c r="AX4" s="18">
        <v>1163</v>
      </c>
      <c r="AY4" s="18">
        <v>10076</v>
      </c>
      <c r="AZ4" s="18">
        <v>1713</v>
      </c>
      <c r="BA4" s="18">
        <v>6152</v>
      </c>
      <c r="BB4" s="18">
        <v>1250</v>
      </c>
      <c r="BC4" s="18">
        <v>1831</v>
      </c>
      <c r="BD4" s="18">
        <v>761</v>
      </c>
      <c r="BE4" s="18">
        <v>1105</v>
      </c>
      <c r="BF4" s="18">
        <v>446</v>
      </c>
      <c r="BG4" s="18">
        <v>988</v>
      </c>
      <c r="BH4" s="18">
        <v>493</v>
      </c>
      <c r="BI4" s="18">
        <v>0</v>
      </c>
      <c r="BJ4" s="18">
        <v>181</v>
      </c>
      <c r="BK4" s="18">
        <v>3749</v>
      </c>
      <c r="BL4" s="18">
        <v>989</v>
      </c>
      <c r="BM4" s="18">
        <v>5638</v>
      </c>
      <c r="BN4" s="18">
        <v>1372</v>
      </c>
      <c r="BO4" s="18">
        <v>4191</v>
      </c>
      <c r="BP4" s="18">
        <v>1070</v>
      </c>
      <c r="BQ4" s="18">
        <v>10247</v>
      </c>
      <c r="BR4" s="18">
        <v>1418</v>
      </c>
      <c r="BS4" s="18">
        <v>228645</v>
      </c>
      <c r="BT4" s="18">
        <v>4285</v>
      </c>
      <c r="BU4" s="18">
        <v>197276</v>
      </c>
      <c r="BV4" s="18">
        <v>4362</v>
      </c>
      <c r="BW4" s="18">
        <v>169848</v>
      </c>
      <c r="BX4" s="18">
        <v>4185</v>
      </c>
      <c r="BY4" s="18">
        <v>27428</v>
      </c>
      <c r="BZ4" s="18">
        <v>2865</v>
      </c>
      <c r="CA4" s="18">
        <v>20382</v>
      </c>
      <c r="CB4" s="18">
        <v>2452</v>
      </c>
      <c r="CC4" s="18">
        <v>4172</v>
      </c>
      <c r="CD4" s="18">
        <v>1089</v>
      </c>
      <c r="CE4" s="18">
        <v>2874</v>
      </c>
      <c r="CF4" s="18">
        <v>855</v>
      </c>
      <c r="CG4" s="18">
        <v>10496</v>
      </c>
      <c r="CH4" s="18">
        <v>1624</v>
      </c>
      <c r="CI4" s="18">
        <v>6530</v>
      </c>
      <c r="CJ4" s="18">
        <v>1256</v>
      </c>
      <c r="CK4" s="18">
        <v>1807</v>
      </c>
      <c r="CL4" s="18">
        <v>891</v>
      </c>
      <c r="CM4" s="18">
        <v>991</v>
      </c>
      <c r="CN4" s="18">
        <v>467</v>
      </c>
      <c r="CO4" s="18">
        <v>1168</v>
      </c>
      <c r="CP4" s="18">
        <v>433</v>
      </c>
      <c r="CQ4" s="18">
        <v>0</v>
      </c>
      <c r="CR4" s="18">
        <v>181</v>
      </c>
      <c r="CS4" s="18">
        <v>1161</v>
      </c>
      <c r="CT4" s="18">
        <v>494</v>
      </c>
      <c r="CU4" s="18">
        <v>4823</v>
      </c>
      <c r="CV4" s="18">
        <v>1137</v>
      </c>
      <c r="CW4" s="18">
        <v>1861</v>
      </c>
      <c r="CX4" s="18">
        <v>688</v>
      </c>
      <c r="CY4" s="18">
        <v>13028</v>
      </c>
      <c r="CZ4" s="18">
        <v>1731</v>
      </c>
    </row>
    <row r="5" spans="1:104" ht="15.75" customHeight="1" x14ac:dyDescent="0.25">
      <c r="A5" s="17" t="s">
        <v>225</v>
      </c>
      <c r="B5" s="17" t="s">
        <v>226</v>
      </c>
      <c r="C5" s="18">
        <v>236470</v>
      </c>
      <c r="D5" s="18">
        <v>4380</v>
      </c>
      <c r="E5" s="18">
        <v>203156</v>
      </c>
      <c r="F5" s="18">
        <v>4286</v>
      </c>
      <c r="G5" s="18">
        <v>171814</v>
      </c>
      <c r="H5" s="18">
        <v>3880</v>
      </c>
      <c r="I5" s="18">
        <v>31342</v>
      </c>
      <c r="J5" s="18">
        <v>2997</v>
      </c>
      <c r="K5" s="18">
        <v>24503</v>
      </c>
      <c r="L5" s="18">
        <v>2704</v>
      </c>
      <c r="M5" s="18">
        <v>3590</v>
      </c>
      <c r="N5" s="18">
        <v>950</v>
      </c>
      <c r="O5" s="18">
        <v>3249</v>
      </c>
      <c r="P5" s="18">
        <v>940</v>
      </c>
      <c r="Q5" s="18">
        <v>3500</v>
      </c>
      <c r="R5" s="18">
        <v>822</v>
      </c>
      <c r="S5" s="18">
        <v>3500</v>
      </c>
      <c r="T5" s="18">
        <v>822</v>
      </c>
      <c r="U5" s="18">
        <v>0</v>
      </c>
      <c r="V5" s="18">
        <v>181</v>
      </c>
      <c r="W5" s="18">
        <v>0</v>
      </c>
      <c r="X5" s="18">
        <v>181</v>
      </c>
      <c r="Y5" s="18">
        <v>0</v>
      </c>
      <c r="Z5" s="18">
        <v>181</v>
      </c>
      <c r="AA5" s="18">
        <v>0</v>
      </c>
      <c r="AB5" s="18">
        <v>181</v>
      </c>
      <c r="AC5" s="18">
        <v>3323</v>
      </c>
      <c r="AD5" s="18">
        <v>847</v>
      </c>
      <c r="AE5" s="18">
        <v>9186</v>
      </c>
      <c r="AF5" s="18">
        <v>1975</v>
      </c>
      <c r="AG5" s="18">
        <v>3069</v>
      </c>
      <c r="AH5" s="18">
        <v>765</v>
      </c>
      <c r="AI5" s="18">
        <v>14236</v>
      </c>
      <c r="AJ5" s="18">
        <v>1593</v>
      </c>
      <c r="AK5" s="18">
        <v>135569</v>
      </c>
      <c r="AL5" s="18">
        <v>2741</v>
      </c>
      <c r="AM5" s="18">
        <v>116964</v>
      </c>
      <c r="AN5" s="18">
        <v>3321</v>
      </c>
      <c r="AO5" s="18">
        <v>96867</v>
      </c>
      <c r="AP5" s="18">
        <v>3034</v>
      </c>
      <c r="AQ5" s="18">
        <v>20097</v>
      </c>
      <c r="AR5" s="18">
        <v>2188</v>
      </c>
      <c r="AS5" s="18">
        <v>15522</v>
      </c>
      <c r="AT5" s="18">
        <v>2004</v>
      </c>
      <c r="AU5" s="18">
        <v>2268</v>
      </c>
      <c r="AV5" s="18">
        <v>762</v>
      </c>
      <c r="AW5" s="18">
        <v>2307</v>
      </c>
      <c r="AX5" s="18">
        <v>817</v>
      </c>
      <c r="AY5" s="18">
        <v>2235</v>
      </c>
      <c r="AZ5" s="18">
        <v>772</v>
      </c>
      <c r="BA5" s="18">
        <v>2235</v>
      </c>
      <c r="BB5" s="18">
        <v>772</v>
      </c>
      <c r="BC5" s="18">
        <v>0</v>
      </c>
      <c r="BD5" s="18">
        <v>181</v>
      </c>
      <c r="BE5" s="18">
        <v>0</v>
      </c>
      <c r="BF5" s="18">
        <v>181</v>
      </c>
      <c r="BG5" s="18">
        <v>0</v>
      </c>
      <c r="BH5" s="18">
        <v>181</v>
      </c>
      <c r="BI5" s="18">
        <v>0</v>
      </c>
      <c r="BJ5" s="18">
        <v>181</v>
      </c>
      <c r="BK5" s="18">
        <v>2709</v>
      </c>
      <c r="BL5" s="18">
        <v>789</v>
      </c>
      <c r="BM5" s="18">
        <v>4885</v>
      </c>
      <c r="BN5" s="18">
        <v>1468</v>
      </c>
      <c r="BO5" s="18">
        <v>2231</v>
      </c>
      <c r="BP5" s="18">
        <v>667</v>
      </c>
      <c r="BQ5" s="18">
        <v>6545</v>
      </c>
      <c r="BR5" s="18">
        <v>1137</v>
      </c>
      <c r="BS5" s="18">
        <v>100901</v>
      </c>
      <c r="BT5" s="18">
        <v>2882</v>
      </c>
      <c r="BU5" s="18">
        <v>86192</v>
      </c>
      <c r="BV5" s="18">
        <v>2695</v>
      </c>
      <c r="BW5" s="18">
        <v>74947</v>
      </c>
      <c r="BX5" s="18">
        <v>2524</v>
      </c>
      <c r="BY5" s="18">
        <v>11245</v>
      </c>
      <c r="BZ5" s="18">
        <v>1485</v>
      </c>
      <c r="CA5" s="18">
        <v>8981</v>
      </c>
      <c r="CB5" s="18">
        <v>1367</v>
      </c>
      <c r="CC5" s="18">
        <v>1322</v>
      </c>
      <c r="CD5" s="18">
        <v>485</v>
      </c>
      <c r="CE5" s="18">
        <v>942</v>
      </c>
      <c r="CF5" s="18">
        <v>433</v>
      </c>
      <c r="CG5" s="18">
        <v>1265</v>
      </c>
      <c r="CH5" s="18">
        <v>563</v>
      </c>
      <c r="CI5" s="18">
        <v>1265</v>
      </c>
      <c r="CJ5" s="18">
        <v>563</v>
      </c>
      <c r="CK5" s="18">
        <v>0</v>
      </c>
      <c r="CL5" s="18">
        <v>181</v>
      </c>
      <c r="CM5" s="18">
        <v>0</v>
      </c>
      <c r="CN5" s="18">
        <v>181</v>
      </c>
      <c r="CO5" s="18">
        <v>0</v>
      </c>
      <c r="CP5" s="18">
        <v>181</v>
      </c>
      <c r="CQ5" s="18">
        <v>0</v>
      </c>
      <c r="CR5" s="18">
        <v>181</v>
      </c>
      <c r="CS5" s="18">
        <v>614</v>
      </c>
      <c r="CT5" s="18">
        <v>347</v>
      </c>
      <c r="CU5" s="18">
        <v>4301</v>
      </c>
      <c r="CV5" s="18">
        <v>1126</v>
      </c>
      <c r="CW5" s="18">
        <v>838</v>
      </c>
      <c r="CX5" s="18">
        <v>429</v>
      </c>
      <c r="CY5" s="18">
        <v>7691</v>
      </c>
      <c r="CZ5" s="18">
        <v>1331</v>
      </c>
    </row>
    <row r="6" spans="1:104" ht="15.75" customHeight="1" x14ac:dyDescent="0.25">
      <c r="A6" s="17" t="s">
        <v>227</v>
      </c>
      <c r="B6" s="17" t="s">
        <v>228</v>
      </c>
      <c r="C6" s="18">
        <v>107876</v>
      </c>
      <c r="D6" s="18">
        <v>2640</v>
      </c>
      <c r="E6" s="18">
        <v>98436</v>
      </c>
      <c r="F6" s="18">
        <v>2748</v>
      </c>
      <c r="G6" s="18">
        <v>84981</v>
      </c>
      <c r="H6" s="18">
        <v>3097</v>
      </c>
      <c r="I6" s="18">
        <v>13455</v>
      </c>
      <c r="J6" s="18">
        <v>1763</v>
      </c>
      <c r="K6" s="18">
        <v>8896</v>
      </c>
      <c r="L6" s="18">
        <v>1502</v>
      </c>
      <c r="M6" s="18">
        <v>2211</v>
      </c>
      <c r="N6" s="18">
        <v>781</v>
      </c>
      <c r="O6" s="18">
        <v>2348</v>
      </c>
      <c r="P6" s="18">
        <v>768</v>
      </c>
      <c r="Q6" s="18">
        <v>1989</v>
      </c>
      <c r="R6" s="18">
        <v>733</v>
      </c>
      <c r="S6" s="18">
        <v>1448</v>
      </c>
      <c r="T6" s="18">
        <v>586</v>
      </c>
      <c r="U6" s="18">
        <v>0</v>
      </c>
      <c r="V6" s="18">
        <v>181</v>
      </c>
      <c r="W6" s="18">
        <v>0</v>
      </c>
      <c r="X6" s="18">
        <v>181</v>
      </c>
      <c r="Y6" s="18">
        <v>541</v>
      </c>
      <c r="Z6" s="18">
        <v>339</v>
      </c>
      <c r="AA6" s="18">
        <v>0</v>
      </c>
      <c r="AB6" s="18">
        <v>181</v>
      </c>
      <c r="AC6" s="18">
        <v>578</v>
      </c>
      <c r="AD6" s="18">
        <v>340</v>
      </c>
      <c r="AE6" s="18">
        <v>2083</v>
      </c>
      <c r="AF6" s="18">
        <v>728</v>
      </c>
      <c r="AG6" s="18">
        <v>1505</v>
      </c>
      <c r="AH6" s="18">
        <v>653</v>
      </c>
      <c r="AI6" s="18">
        <v>3285</v>
      </c>
      <c r="AJ6" s="18">
        <v>797</v>
      </c>
      <c r="AK6" s="18">
        <v>58995</v>
      </c>
      <c r="AL6" s="18">
        <v>1856</v>
      </c>
      <c r="AM6" s="18">
        <v>53568</v>
      </c>
      <c r="AN6" s="18">
        <v>1915</v>
      </c>
      <c r="AO6" s="18">
        <v>45683</v>
      </c>
      <c r="AP6" s="18">
        <v>2068</v>
      </c>
      <c r="AQ6" s="18">
        <v>7885</v>
      </c>
      <c r="AR6" s="18">
        <v>1060</v>
      </c>
      <c r="AS6" s="18">
        <v>4855</v>
      </c>
      <c r="AT6" s="18">
        <v>886</v>
      </c>
      <c r="AU6" s="18">
        <v>1379</v>
      </c>
      <c r="AV6" s="18">
        <v>485</v>
      </c>
      <c r="AW6" s="18">
        <v>1651</v>
      </c>
      <c r="AX6" s="18">
        <v>544</v>
      </c>
      <c r="AY6" s="18">
        <v>1076</v>
      </c>
      <c r="AZ6" s="18">
        <v>496</v>
      </c>
      <c r="BA6" s="18">
        <v>680</v>
      </c>
      <c r="BB6" s="18">
        <v>338</v>
      </c>
      <c r="BC6" s="18">
        <v>0</v>
      </c>
      <c r="BD6" s="18">
        <v>181</v>
      </c>
      <c r="BE6" s="18">
        <v>0</v>
      </c>
      <c r="BF6" s="18">
        <v>181</v>
      </c>
      <c r="BG6" s="18">
        <v>396</v>
      </c>
      <c r="BH6" s="18">
        <v>287</v>
      </c>
      <c r="BI6" s="18">
        <v>0</v>
      </c>
      <c r="BJ6" s="18">
        <v>181</v>
      </c>
      <c r="BK6" s="18">
        <v>578</v>
      </c>
      <c r="BL6" s="18">
        <v>340</v>
      </c>
      <c r="BM6" s="18">
        <v>1193</v>
      </c>
      <c r="BN6" s="18">
        <v>555</v>
      </c>
      <c r="BO6" s="18">
        <v>990</v>
      </c>
      <c r="BP6" s="18">
        <v>478</v>
      </c>
      <c r="BQ6" s="18">
        <v>1590</v>
      </c>
      <c r="BR6" s="18">
        <v>475</v>
      </c>
      <c r="BS6" s="18">
        <v>48881</v>
      </c>
      <c r="BT6" s="18">
        <v>1647</v>
      </c>
      <c r="BU6" s="18">
        <v>44868</v>
      </c>
      <c r="BV6" s="18">
        <v>1734</v>
      </c>
      <c r="BW6" s="18">
        <v>39298</v>
      </c>
      <c r="BX6" s="18">
        <v>1847</v>
      </c>
      <c r="BY6" s="18">
        <v>5570</v>
      </c>
      <c r="BZ6" s="18">
        <v>1089</v>
      </c>
      <c r="CA6" s="18">
        <v>4041</v>
      </c>
      <c r="CB6" s="18">
        <v>969</v>
      </c>
      <c r="CC6" s="18">
        <v>832</v>
      </c>
      <c r="CD6" s="18">
        <v>533</v>
      </c>
      <c r="CE6" s="18">
        <v>697</v>
      </c>
      <c r="CF6" s="18">
        <v>420</v>
      </c>
      <c r="CG6" s="18">
        <v>913</v>
      </c>
      <c r="CH6" s="18">
        <v>513</v>
      </c>
      <c r="CI6" s="18">
        <v>768</v>
      </c>
      <c r="CJ6" s="18">
        <v>487</v>
      </c>
      <c r="CK6" s="18">
        <v>0</v>
      </c>
      <c r="CL6" s="18">
        <v>181</v>
      </c>
      <c r="CM6" s="18">
        <v>0</v>
      </c>
      <c r="CN6" s="18">
        <v>181</v>
      </c>
      <c r="CO6" s="18">
        <v>145</v>
      </c>
      <c r="CP6" s="18">
        <v>145</v>
      </c>
      <c r="CQ6" s="18">
        <v>0</v>
      </c>
      <c r="CR6" s="18">
        <v>181</v>
      </c>
      <c r="CS6" s="18">
        <v>0</v>
      </c>
      <c r="CT6" s="18">
        <v>181</v>
      </c>
      <c r="CU6" s="18">
        <v>890</v>
      </c>
      <c r="CV6" s="18">
        <v>472</v>
      </c>
      <c r="CW6" s="18">
        <v>515</v>
      </c>
      <c r="CX6" s="18">
        <v>425</v>
      </c>
      <c r="CY6" s="18">
        <v>1695</v>
      </c>
      <c r="CZ6" s="18">
        <v>612</v>
      </c>
    </row>
    <row r="7" spans="1:10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</row>
    <row r="8" spans="1:10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</row>
    <row r="9" spans="1:10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</row>
    <row r="10" spans="1:10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</row>
    <row r="11" spans="1:10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</row>
    <row r="12" spans="1:10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</row>
    <row r="13" spans="1:10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</row>
    <row r="14" spans="1:10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</row>
    <row r="15" spans="1:10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</row>
    <row r="16" spans="1:10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</row>
    <row r="17" spans="1:10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</row>
    <row r="18" spans="1:10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</row>
    <row r="19" spans="1:10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</row>
    <row r="20" spans="1:104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</row>
    <row r="21" spans="1:104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</row>
    <row r="22" spans="1:104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</row>
    <row r="23" spans="1:104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</row>
    <row r="24" spans="1:104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</row>
    <row r="25" spans="1:104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</row>
    <row r="26" spans="1:104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</row>
    <row r="27" spans="1:104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</row>
    <row r="28" spans="1:104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</row>
    <row r="29" spans="1:104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</row>
    <row r="30" spans="1:104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</row>
    <row r="31" spans="1:104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</row>
    <row r="32" spans="1:104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</row>
    <row r="33" spans="1:104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</row>
    <row r="34" spans="1:104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</row>
    <row r="35" spans="1:104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</row>
    <row r="36" spans="1:104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</row>
    <row r="37" spans="1:104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</row>
    <row r="38" spans="1:104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</row>
    <row r="39" spans="1:104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</row>
    <row r="40" spans="1:104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</row>
    <row r="41" spans="1:104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</row>
    <row r="42" spans="1:104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</row>
    <row r="43" spans="1:104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</row>
    <row r="44" spans="1:104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</row>
    <row r="45" spans="1:104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</row>
    <row r="46" spans="1:104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</row>
    <row r="47" spans="1:104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</row>
    <row r="48" spans="1:104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</row>
    <row r="49" spans="1:104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</row>
    <row r="50" spans="1:104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</row>
    <row r="51" spans="1:104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</row>
    <row r="52" spans="1:104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</row>
    <row r="53" spans="1:104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</row>
    <row r="54" spans="1:104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</row>
    <row r="55" spans="1:104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</row>
    <row r="56" spans="1:104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</row>
    <row r="57" spans="1:104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</row>
    <row r="58" spans="1:104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</row>
    <row r="59" spans="1:104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</row>
    <row r="60" spans="1:104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</row>
    <row r="61" spans="1:104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</row>
    <row r="62" spans="1:104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</row>
    <row r="63" spans="1:104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</row>
    <row r="64" spans="1:104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</row>
    <row r="65" spans="1:104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</row>
    <row r="66" spans="1:104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</row>
    <row r="67" spans="1:104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</row>
    <row r="68" spans="1:104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</row>
    <row r="69" spans="1:104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</row>
    <row r="70" spans="1:104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</row>
    <row r="71" spans="1:104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</row>
    <row r="72" spans="1:104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</row>
    <row r="73" spans="1:104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</row>
    <row r="74" spans="1:104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</row>
    <row r="75" spans="1:104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</row>
    <row r="76" spans="1:104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</row>
    <row r="77" spans="1:104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</row>
    <row r="78" spans="1:104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</row>
    <row r="79" spans="1:104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</row>
    <row r="80" spans="1:104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</row>
    <row r="81" spans="1:104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</row>
    <row r="82" spans="1:104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</row>
    <row r="83" spans="1:104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</row>
    <row r="84" spans="1:104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</row>
    <row r="85" spans="1:104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</row>
    <row r="86" spans="1:104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</row>
    <row r="87" spans="1:104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</row>
    <row r="88" spans="1:104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</row>
    <row r="89" spans="1:104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</row>
    <row r="90" spans="1:104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</row>
    <row r="91" spans="1:104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</row>
    <row r="92" spans="1:104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</row>
    <row r="93" spans="1:104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</row>
    <row r="94" spans="1:104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</row>
    <row r="95" spans="1:104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</row>
    <row r="96" spans="1:104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</row>
    <row r="97" spans="1:104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</row>
    <row r="98" spans="1:104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</row>
    <row r="99" spans="1:104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</row>
    <row r="100" spans="1:104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</row>
    <row r="101" spans="1:104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</row>
    <row r="102" spans="1:104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</row>
    <row r="103" spans="1:104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</row>
    <row r="104" spans="1:104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</row>
    <row r="105" spans="1:104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</row>
    <row r="106" spans="1:104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</row>
    <row r="107" spans="1:104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</row>
    <row r="108" spans="1:104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</row>
    <row r="109" spans="1:104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</row>
    <row r="110" spans="1:104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</row>
    <row r="111" spans="1:104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</row>
    <row r="112" spans="1:104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</row>
    <row r="113" spans="1:104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</row>
    <row r="114" spans="1:104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</row>
    <row r="115" spans="1:104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</row>
    <row r="116" spans="1:104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</row>
    <row r="117" spans="1:104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</row>
    <row r="118" spans="1:104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</row>
    <row r="119" spans="1:104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</row>
    <row r="120" spans="1:104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</row>
    <row r="121" spans="1:104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</row>
    <row r="122" spans="1:104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</row>
    <row r="123" spans="1:104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</row>
    <row r="124" spans="1:104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</row>
    <row r="125" spans="1:104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</row>
    <row r="126" spans="1:104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</row>
    <row r="127" spans="1:104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</row>
    <row r="128" spans="1:104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</row>
    <row r="129" spans="1:104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</row>
    <row r="130" spans="1:104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</row>
    <row r="131" spans="1:104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</row>
    <row r="132" spans="1:104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</row>
    <row r="133" spans="1:104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</row>
    <row r="134" spans="1:104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</row>
    <row r="135" spans="1:104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</row>
    <row r="136" spans="1:104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</row>
    <row r="137" spans="1:104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</row>
    <row r="138" spans="1:104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</row>
    <row r="139" spans="1:104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</row>
    <row r="140" spans="1:104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</row>
    <row r="141" spans="1:104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</row>
    <row r="142" spans="1:104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</row>
    <row r="143" spans="1:104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</row>
    <row r="144" spans="1:104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</row>
    <row r="145" spans="1:104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</row>
    <row r="146" spans="1:104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</row>
    <row r="147" spans="1:104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</row>
    <row r="148" spans="1:104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</row>
    <row r="149" spans="1:104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</row>
    <row r="150" spans="1:104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</row>
    <row r="151" spans="1:104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</row>
    <row r="152" spans="1:104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</row>
    <row r="153" spans="1:104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</row>
    <row r="154" spans="1:104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</row>
    <row r="155" spans="1:104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</row>
    <row r="156" spans="1:104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</row>
    <row r="157" spans="1:104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</row>
    <row r="158" spans="1:104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</row>
    <row r="159" spans="1:104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</row>
    <row r="160" spans="1:104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</row>
    <row r="161" spans="1:104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</row>
    <row r="162" spans="1:104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</row>
    <row r="163" spans="1:104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</row>
    <row r="164" spans="1:104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</row>
    <row r="165" spans="1:104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</row>
    <row r="166" spans="1:104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</row>
    <row r="167" spans="1:104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</row>
    <row r="168" spans="1:104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</row>
    <row r="169" spans="1:104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</row>
    <row r="170" spans="1:104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</row>
    <row r="171" spans="1:104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</row>
    <row r="172" spans="1:104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</row>
    <row r="173" spans="1:104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</row>
    <row r="174" spans="1:104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</row>
    <row r="175" spans="1:104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</row>
    <row r="176" spans="1:104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</row>
    <row r="177" spans="1:104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</row>
    <row r="178" spans="1:104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</row>
    <row r="179" spans="1:104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</row>
    <row r="180" spans="1:104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</row>
    <row r="181" spans="1:104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</row>
    <row r="182" spans="1:104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</row>
    <row r="183" spans="1:104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</row>
    <row r="184" spans="1:104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</row>
    <row r="185" spans="1:104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</row>
    <row r="186" spans="1:104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</row>
    <row r="187" spans="1:104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</row>
    <row r="188" spans="1:104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</row>
    <row r="189" spans="1:104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</row>
    <row r="190" spans="1:104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</row>
    <row r="191" spans="1:104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</row>
    <row r="192" spans="1:104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</row>
    <row r="193" spans="1:104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</row>
    <row r="194" spans="1:104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</row>
    <row r="195" spans="1:104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</row>
    <row r="196" spans="1:104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</row>
    <row r="197" spans="1:104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</row>
    <row r="198" spans="1:104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</row>
    <row r="199" spans="1:104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</row>
    <row r="200" spans="1:104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</row>
    <row r="201" spans="1:104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</row>
    <row r="202" spans="1:104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</row>
    <row r="203" spans="1:104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</row>
    <row r="204" spans="1:104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</row>
    <row r="205" spans="1:104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</row>
    <row r="206" spans="1:104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</row>
    <row r="207" spans="1:104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</row>
    <row r="208" spans="1:104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</row>
    <row r="209" spans="1:104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</row>
    <row r="210" spans="1:104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</row>
    <row r="211" spans="1:104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</row>
    <row r="212" spans="1:104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</row>
    <row r="213" spans="1:104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</row>
    <row r="214" spans="1:104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</row>
    <row r="215" spans="1:104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</row>
    <row r="216" spans="1:104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</row>
    <row r="217" spans="1:104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</row>
    <row r="218" spans="1:104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</row>
    <row r="219" spans="1:104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</row>
    <row r="220" spans="1:104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</row>
    <row r="221" spans="1:104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</row>
    <row r="222" spans="1:104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</row>
    <row r="223" spans="1:104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</row>
    <row r="224" spans="1:104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</row>
    <row r="225" spans="1:104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</row>
    <row r="226" spans="1:104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</row>
    <row r="227" spans="1:104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</row>
    <row r="228" spans="1:104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</row>
    <row r="229" spans="1:104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</row>
    <row r="230" spans="1:104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</row>
    <row r="231" spans="1:104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</row>
    <row r="232" spans="1:104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</row>
    <row r="233" spans="1:104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</row>
    <row r="234" spans="1:104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</row>
    <row r="235" spans="1:104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</row>
    <row r="236" spans="1:104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</row>
    <row r="237" spans="1:104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</row>
    <row r="238" spans="1:104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</row>
    <row r="239" spans="1:104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</row>
    <row r="240" spans="1:104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</row>
    <row r="241" spans="1:104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</row>
    <row r="242" spans="1:104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</row>
    <row r="243" spans="1:104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</row>
    <row r="244" spans="1:104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</row>
    <row r="245" spans="1:104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</row>
    <row r="246" spans="1:104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</row>
    <row r="247" spans="1:104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</row>
    <row r="248" spans="1:104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</row>
    <row r="249" spans="1:104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</row>
    <row r="250" spans="1:104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</row>
    <row r="251" spans="1:104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</row>
    <row r="252" spans="1:104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</row>
    <row r="253" spans="1:104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</row>
    <row r="254" spans="1:104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</row>
    <row r="255" spans="1:104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</row>
    <row r="256" spans="1:104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</row>
    <row r="257" spans="1:104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</row>
    <row r="258" spans="1:104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</row>
    <row r="259" spans="1:104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</row>
    <row r="260" spans="1:104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</row>
    <row r="261" spans="1:104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</row>
    <row r="262" spans="1:104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</row>
    <row r="263" spans="1:104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</row>
    <row r="264" spans="1:104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</row>
    <row r="265" spans="1:104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</row>
    <row r="266" spans="1:104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</row>
    <row r="267" spans="1:104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</row>
    <row r="268" spans="1:104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</row>
    <row r="269" spans="1:104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</row>
    <row r="270" spans="1:104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</row>
    <row r="271" spans="1:104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</row>
    <row r="272" spans="1:104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</row>
    <row r="273" spans="1:104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</row>
    <row r="274" spans="1:104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</row>
    <row r="275" spans="1:104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</row>
    <row r="276" spans="1:104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</row>
    <row r="277" spans="1:104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</row>
    <row r="278" spans="1:104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</row>
    <row r="279" spans="1:104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</row>
    <row r="280" spans="1:104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</row>
    <row r="281" spans="1:104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</row>
    <row r="282" spans="1:104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</row>
    <row r="283" spans="1:104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</row>
    <row r="284" spans="1:104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</row>
    <row r="285" spans="1:104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</row>
    <row r="286" spans="1:104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</row>
    <row r="287" spans="1:104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</row>
    <row r="288" spans="1:104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</row>
    <row r="289" spans="1:104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</row>
    <row r="290" spans="1:104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</row>
    <row r="291" spans="1:104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</row>
    <row r="292" spans="1:104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</row>
    <row r="293" spans="1:104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</row>
    <row r="294" spans="1:104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</row>
    <row r="295" spans="1:104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</row>
    <row r="296" spans="1:104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</row>
    <row r="297" spans="1:104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</row>
    <row r="298" spans="1:104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</row>
    <row r="299" spans="1:104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</row>
    <row r="300" spans="1:104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</row>
    <row r="301" spans="1:104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</row>
    <row r="302" spans="1:104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</row>
    <row r="303" spans="1:104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</row>
    <row r="304" spans="1:104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</row>
    <row r="305" spans="1:104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</row>
    <row r="306" spans="1:104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</row>
    <row r="307" spans="1:104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</row>
    <row r="308" spans="1:104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</row>
    <row r="309" spans="1:104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</row>
    <row r="310" spans="1:104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</row>
    <row r="311" spans="1:104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</row>
    <row r="312" spans="1:104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</row>
    <row r="313" spans="1:104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</row>
    <row r="314" spans="1:104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</row>
    <row r="315" spans="1:104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</row>
    <row r="316" spans="1:104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</row>
    <row r="317" spans="1:104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</row>
    <row r="318" spans="1:104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</row>
    <row r="319" spans="1:104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</row>
    <row r="320" spans="1:104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</row>
    <row r="321" spans="1:104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</row>
    <row r="322" spans="1:104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</row>
    <row r="323" spans="1:104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</row>
    <row r="324" spans="1:104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</row>
    <row r="325" spans="1:104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</row>
    <row r="326" spans="1:104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</row>
    <row r="327" spans="1:104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</row>
    <row r="328" spans="1:104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</row>
    <row r="329" spans="1:104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</row>
    <row r="330" spans="1:104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</row>
    <row r="331" spans="1:104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</row>
    <row r="332" spans="1:104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</row>
    <row r="333" spans="1:104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</row>
    <row r="334" spans="1:104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</row>
    <row r="335" spans="1:104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</row>
    <row r="336" spans="1:104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</row>
    <row r="337" spans="1:104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</row>
    <row r="338" spans="1:104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</row>
    <row r="339" spans="1:104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</row>
    <row r="340" spans="1:104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</row>
    <row r="341" spans="1:104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</row>
    <row r="342" spans="1:104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</row>
    <row r="343" spans="1:104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</row>
    <row r="344" spans="1:104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</row>
    <row r="345" spans="1:104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</row>
    <row r="346" spans="1:104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</row>
    <row r="347" spans="1:104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</row>
    <row r="348" spans="1:104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</row>
    <row r="349" spans="1:104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</row>
    <row r="350" spans="1:104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</row>
    <row r="351" spans="1:104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</row>
    <row r="352" spans="1:104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</row>
    <row r="353" spans="1:104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</row>
    <row r="354" spans="1:104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</row>
    <row r="355" spans="1:104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</row>
    <row r="356" spans="1:104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</row>
    <row r="357" spans="1:104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</row>
    <row r="358" spans="1:104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</row>
    <row r="359" spans="1:104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</row>
    <row r="360" spans="1:104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</row>
    <row r="361" spans="1:104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</row>
    <row r="362" spans="1:104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</row>
    <row r="363" spans="1:104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</row>
    <row r="364" spans="1:104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</row>
    <row r="365" spans="1:104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</row>
    <row r="366" spans="1:104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</row>
    <row r="367" spans="1:104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</row>
    <row r="368" spans="1:104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</row>
    <row r="369" spans="1:104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</row>
    <row r="370" spans="1:104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</row>
    <row r="371" spans="1:104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</row>
    <row r="372" spans="1:104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</row>
    <row r="373" spans="1:104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</row>
    <row r="374" spans="1:104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</row>
    <row r="375" spans="1:104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</row>
    <row r="376" spans="1:104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</row>
    <row r="377" spans="1:104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</row>
    <row r="378" spans="1:104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</row>
    <row r="379" spans="1:104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</row>
    <row r="380" spans="1:104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</row>
    <row r="381" spans="1:104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</row>
    <row r="382" spans="1:104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</row>
    <row r="383" spans="1:104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</row>
    <row r="384" spans="1:104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</row>
    <row r="385" spans="1:104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</row>
    <row r="386" spans="1:104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</row>
    <row r="387" spans="1:104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</row>
    <row r="388" spans="1:104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</row>
    <row r="389" spans="1:104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</row>
    <row r="390" spans="1:104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</row>
    <row r="391" spans="1:104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</row>
    <row r="392" spans="1:104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</row>
    <row r="393" spans="1:104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</row>
    <row r="394" spans="1:104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</row>
    <row r="395" spans="1:104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</row>
    <row r="396" spans="1:104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</row>
    <row r="397" spans="1:104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</row>
    <row r="398" spans="1:104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</row>
    <row r="399" spans="1:104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</row>
    <row r="400" spans="1:104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</row>
    <row r="401" spans="1:104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</row>
    <row r="402" spans="1:104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</row>
    <row r="403" spans="1:104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</row>
    <row r="404" spans="1:104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</row>
    <row r="405" spans="1:104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</row>
    <row r="406" spans="1:104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</row>
    <row r="407" spans="1:104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</row>
    <row r="408" spans="1:104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</row>
    <row r="409" spans="1:104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</row>
    <row r="410" spans="1:104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</row>
    <row r="411" spans="1:104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</row>
    <row r="412" spans="1:104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</row>
    <row r="413" spans="1:104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</row>
    <row r="414" spans="1:104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</row>
    <row r="415" spans="1:104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</row>
    <row r="416" spans="1:104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</row>
    <row r="417" spans="1:104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</row>
    <row r="418" spans="1:104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</row>
    <row r="419" spans="1:104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</row>
    <row r="420" spans="1:104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</row>
    <row r="421" spans="1:104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</row>
    <row r="422" spans="1:104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</row>
    <row r="423" spans="1:104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</row>
    <row r="424" spans="1:104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</row>
    <row r="425" spans="1:104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</row>
    <row r="426" spans="1:104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</row>
    <row r="427" spans="1:104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</row>
    <row r="428" spans="1:104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</row>
    <row r="429" spans="1:104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</row>
    <row r="430" spans="1:104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</row>
    <row r="431" spans="1:104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</row>
    <row r="432" spans="1:104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</row>
    <row r="433" spans="1:104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</row>
    <row r="434" spans="1:104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</row>
    <row r="435" spans="1:104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</row>
    <row r="436" spans="1:104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</row>
    <row r="437" spans="1:104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</row>
    <row r="438" spans="1:104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</row>
    <row r="439" spans="1:104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</row>
    <row r="440" spans="1:104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</row>
    <row r="441" spans="1:104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</row>
    <row r="442" spans="1:104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</row>
    <row r="443" spans="1:104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</row>
    <row r="444" spans="1:104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</row>
    <row r="445" spans="1:104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</row>
    <row r="446" spans="1:104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</row>
    <row r="447" spans="1:104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</row>
    <row r="448" spans="1:104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</row>
    <row r="449" spans="1:104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</row>
    <row r="450" spans="1:104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</row>
    <row r="451" spans="1:104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</row>
    <row r="452" spans="1:104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</row>
    <row r="453" spans="1:104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</row>
    <row r="454" spans="1:104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</row>
    <row r="455" spans="1:104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</row>
    <row r="456" spans="1:104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</row>
    <row r="457" spans="1:104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</row>
    <row r="458" spans="1:104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</row>
    <row r="459" spans="1:104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</row>
    <row r="460" spans="1:104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</row>
    <row r="461" spans="1:104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</row>
    <row r="462" spans="1:104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</row>
    <row r="463" spans="1:104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</row>
    <row r="464" spans="1:104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</row>
    <row r="465" spans="1:104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</row>
    <row r="466" spans="1:104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</row>
    <row r="467" spans="1:104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</row>
    <row r="468" spans="1:104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</row>
    <row r="469" spans="1:104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</row>
    <row r="470" spans="1:104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</row>
    <row r="471" spans="1:104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</row>
    <row r="472" spans="1:104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</row>
    <row r="473" spans="1:104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</row>
    <row r="474" spans="1:104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</row>
    <row r="475" spans="1:104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</row>
    <row r="476" spans="1:104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</row>
    <row r="477" spans="1:104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</row>
    <row r="478" spans="1:104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</row>
    <row r="479" spans="1:104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</row>
    <row r="480" spans="1:104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</row>
    <row r="481" spans="1:104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</row>
    <row r="482" spans="1:104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</row>
    <row r="483" spans="1:104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</row>
    <row r="484" spans="1:104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</row>
    <row r="485" spans="1:104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</row>
    <row r="486" spans="1:104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</row>
    <row r="487" spans="1:104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</row>
    <row r="488" spans="1:104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</row>
    <row r="489" spans="1:104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</row>
    <row r="490" spans="1:104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</row>
    <row r="491" spans="1:104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</row>
    <row r="492" spans="1:104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</row>
    <row r="493" spans="1:104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</row>
    <row r="494" spans="1:104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</row>
    <row r="495" spans="1:104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</row>
    <row r="496" spans="1:104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</row>
    <row r="497" spans="1:104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</row>
    <row r="498" spans="1:104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</row>
    <row r="499" spans="1:104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</row>
    <row r="500" spans="1:104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</row>
    <row r="501" spans="1:104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</row>
    <row r="502" spans="1:104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</row>
    <row r="503" spans="1:104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</row>
    <row r="504" spans="1:104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</row>
    <row r="505" spans="1:104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</row>
    <row r="506" spans="1:104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</row>
    <row r="507" spans="1:104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</row>
    <row r="508" spans="1:104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</row>
    <row r="509" spans="1:104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</row>
    <row r="510" spans="1:104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</row>
    <row r="511" spans="1:104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</row>
    <row r="512" spans="1:104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</row>
    <row r="513" spans="1:104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</row>
    <row r="514" spans="1:104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</row>
    <row r="515" spans="1:104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</row>
    <row r="516" spans="1:104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</row>
    <row r="517" spans="1:104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</row>
    <row r="518" spans="1:104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</row>
    <row r="519" spans="1:104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</row>
    <row r="520" spans="1:104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</row>
    <row r="521" spans="1:104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</row>
    <row r="522" spans="1:104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</row>
    <row r="523" spans="1:104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</row>
    <row r="524" spans="1:104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</row>
    <row r="525" spans="1:104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</row>
    <row r="526" spans="1:104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</row>
    <row r="527" spans="1:104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</row>
    <row r="528" spans="1:104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</row>
    <row r="529" spans="1:104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</row>
    <row r="530" spans="1:104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</row>
    <row r="531" spans="1:104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</row>
    <row r="532" spans="1:104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</row>
    <row r="533" spans="1:104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</row>
    <row r="534" spans="1:104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</row>
    <row r="535" spans="1:104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</row>
    <row r="536" spans="1:104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</row>
    <row r="537" spans="1:104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</row>
    <row r="538" spans="1:104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</row>
    <row r="539" spans="1:104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</row>
    <row r="540" spans="1:104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</row>
    <row r="541" spans="1:104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</row>
    <row r="542" spans="1:104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</row>
    <row r="543" spans="1:104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</row>
    <row r="544" spans="1:104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</row>
    <row r="545" spans="1:104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</row>
    <row r="546" spans="1:104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</row>
    <row r="547" spans="1:104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</row>
    <row r="548" spans="1:104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</row>
    <row r="549" spans="1:104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</row>
    <row r="550" spans="1:104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</row>
    <row r="551" spans="1:104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</row>
    <row r="552" spans="1:104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</row>
    <row r="553" spans="1:104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</row>
    <row r="554" spans="1:104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</row>
    <row r="555" spans="1:104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</row>
    <row r="556" spans="1:104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</row>
    <row r="557" spans="1:104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</row>
    <row r="558" spans="1:104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</row>
    <row r="559" spans="1:104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</row>
    <row r="560" spans="1:104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</row>
    <row r="561" spans="1:104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</row>
    <row r="562" spans="1:104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</row>
    <row r="563" spans="1:104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</row>
    <row r="564" spans="1:104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</row>
    <row r="565" spans="1:104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</row>
    <row r="566" spans="1:104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</row>
    <row r="567" spans="1:104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</row>
    <row r="568" spans="1:104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</row>
    <row r="569" spans="1:104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</row>
    <row r="570" spans="1:104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</row>
    <row r="571" spans="1:104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</row>
    <row r="572" spans="1:104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</row>
    <row r="573" spans="1:104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</row>
    <row r="574" spans="1:104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</row>
    <row r="575" spans="1:104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</row>
    <row r="576" spans="1:104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</row>
    <row r="577" spans="1:104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</row>
    <row r="578" spans="1:104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</row>
    <row r="579" spans="1:104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</row>
    <row r="580" spans="1:104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</row>
    <row r="581" spans="1:104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</row>
    <row r="582" spans="1:104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</row>
    <row r="583" spans="1:104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</row>
    <row r="584" spans="1:104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</row>
    <row r="585" spans="1:104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</row>
    <row r="586" spans="1:104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</row>
    <row r="587" spans="1:104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</row>
    <row r="588" spans="1:104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</row>
    <row r="589" spans="1:104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</row>
    <row r="590" spans="1:104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</row>
    <row r="591" spans="1:104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</row>
    <row r="592" spans="1:104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</row>
    <row r="593" spans="1:104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</row>
    <row r="594" spans="1:104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</row>
    <row r="595" spans="1:104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</row>
    <row r="596" spans="1:104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</row>
    <row r="597" spans="1:104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</row>
    <row r="598" spans="1:104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</row>
    <row r="599" spans="1:104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</row>
    <row r="600" spans="1:104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</row>
    <row r="601" spans="1:104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</row>
    <row r="602" spans="1:104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</row>
    <row r="603" spans="1:104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</row>
    <row r="604" spans="1:104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</row>
    <row r="605" spans="1:104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</row>
    <row r="606" spans="1:104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</row>
    <row r="607" spans="1:104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</row>
    <row r="608" spans="1:104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</row>
    <row r="609" spans="1:104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</row>
    <row r="610" spans="1:104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</row>
    <row r="611" spans="1:104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</row>
    <row r="612" spans="1:104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</row>
    <row r="613" spans="1:104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</row>
    <row r="614" spans="1:104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</row>
    <row r="615" spans="1:104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</row>
    <row r="616" spans="1:104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</row>
    <row r="617" spans="1:104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</row>
    <row r="618" spans="1:104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</row>
    <row r="619" spans="1:104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</row>
    <row r="620" spans="1:104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</row>
    <row r="621" spans="1:104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</row>
    <row r="622" spans="1:104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</row>
    <row r="623" spans="1:104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</row>
    <row r="624" spans="1:104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</row>
    <row r="625" spans="1:104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</row>
    <row r="626" spans="1:104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</row>
    <row r="627" spans="1:104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</row>
    <row r="628" spans="1:104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</row>
    <row r="629" spans="1:104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</row>
    <row r="630" spans="1:104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</row>
    <row r="631" spans="1:104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</row>
    <row r="632" spans="1:104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</row>
    <row r="633" spans="1:104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</row>
    <row r="634" spans="1:104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</row>
    <row r="635" spans="1:104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</row>
    <row r="636" spans="1:104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</row>
    <row r="637" spans="1:104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</row>
    <row r="638" spans="1:104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</row>
    <row r="639" spans="1:104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</row>
    <row r="640" spans="1:104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</row>
    <row r="641" spans="1:104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</row>
    <row r="642" spans="1:104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</row>
    <row r="643" spans="1:104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</row>
    <row r="644" spans="1:104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</row>
    <row r="645" spans="1:104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</row>
    <row r="646" spans="1:104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</row>
    <row r="647" spans="1:104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</row>
    <row r="648" spans="1:104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</row>
    <row r="649" spans="1:104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</row>
    <row r="650" spans="1:104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</row>
    <row r="651" spans="1:104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</row>
    <row r="652" spans="1:104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</row>
    <row r="653" spans="1:104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</row>
    <row r="654" spans="1:104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</row>
    <row r="655" spans="1:104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</row>
    <row r="656" spans="1:104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</row>
    <row r="657" spans="1:104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</row>
    <row r="658" spans="1:104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</row>
    <row r="659" spans="1:104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</row>
    <row r="660" spans="1:104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</row>
    <row r="661" spans="1:104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</row>
    <row r="662" spans="1:104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</row>
    <row r="663" spans="1:104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</row>
    <row r="664" spans="1:104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</row>
    <row r="665" spans="1:104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</row>
    <row r="666" spans="1:104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</row>
    <row r="667" spans="1:104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</row>
    <row r="668" spans="1:104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</row>
    <row r="669" spans="1:104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</row>
    <row r="670" spans="1:104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</row>
    <row r="671" spans="1:104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</row>
    <row r="672" spans="1:104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</row>
    <row r="673" spans="1:104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</row>
    <row r="674" spans="1:104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</row>
    <row r="675" spans="1:104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</row>
    <row r="676" spans="1:104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</row>
    <row r="677" spans="1:104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</row>
    <row r="678" spans="1:104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</row>
    <row r="679" spans="1:104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</row>
    <row r="680" spans="1:104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</row>
    <row r="681" spans="1:104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</row>
    <row r="682" spans="1:104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</row>
    <row r="683" spans="1:104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</row>
    <row r="684" spans="1:104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</row>
    <row r="685" spans="1:104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</row>
    <row r="686" spans="1:104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</row>
    <row r="687" spans="1:104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</row>
    <row r="688" spans="1:104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</row>
    <row r="689" spans="1:104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</row>
    <row r="690" spans="1:104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</row>
    <row r="691" spans="1:104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</row>
    <row r="692" spans="1:104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</row>
    <row r="693" spans="1:104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</row>
    <row r="694" spans="1:104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</row>
    <row r="695" spans="1:104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</row>
    <row r="696" spans="1:104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</row>
    <row r="697" spans="1:104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</row>
    <row r="698" spans="1:104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</row>
    <row r="699" spans="1:104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</row>
    <row r="700" spans="1:104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</row>
    <row r="701" spans="1:104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</row>
    <row r="702" spans="1:104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</row>
    <row r="703" spans="1:104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</row>
    <row r="704" spans="1:104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</row>
    <row r="705" spans="1:104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</row>
    <row r="706" spans="1:104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</row>
    <row r="707" spans="1:104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</row>
    <row r="708" spans="1:104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</row>
    <row r="709" spans="1:104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</row>
    <row r="710" spans="1:104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</row>
    <row r="711" spans="1:104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</row>
    <row r="712" spans="1:104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</row>
    <row r="713" spans="1:104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</row>
    <row r="714" spans="1:104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</row>
    <row r="715" spans="1:104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</row>
    <row r="716" spans="1:104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</row>
    <row r="717" spans="1:104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</row>
    <row r="718" spans="1:104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</row>
    <row r="719" spans="1:104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</row>
    <row r="720" spans="1:104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</row>
    <row r="721" spans="1:104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</row>
    <row r="722" spans="1:104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</row>
    <row r="723" spans="1:104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</row>
    <row r="724" spans="1:104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</row>
    <row r="725" spans="1:104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</row>
    <row r="726" spans="1:104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</row>
    <row r="727" spans="1:104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</row>
    <row r="728" spans="1:104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</row>
    <row r="729" spans="1:104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</row>
    <row r="730" spans="1:104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</row>
    <row r="731" spans="1:104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</row>
    <row r="732" spans="1:104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</row>
    <row r="733" spans="1:104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</row>
    <row r="734" spans="1:104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</row>
    <row r="735" spans="1:104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</row>
    <row r="736" spans="1:104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</row>
    <row r="737" spans="1:104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</row>
    <row r="738" spans="1:104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</row>
    <row r="739" spans="1:104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</row>
    <row r="740" spans="1:104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</row>
    <row r="741" spans="1:104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</row>
    <row r="742" spans="1:104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</row>
    <row r="743" spans="1:104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</row>
    <row r="744" spans="1:104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</row>
    <row r="745" spans="1:104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</row>
    <row r="746" spans="1:104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</row>
    <row r="747" spans="1:104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</row>
    <row r="748" spans="1:104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</row>
    <row r="749" spans="1:104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</row>
    <row r="750" spans="1:104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</row>
    <row r="751" spans="1:104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</row>
    <row r="752" spans="1:104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</row>
    <row r="753" spans="1:104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</row>
    <row r="754" spans="1:104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</row>
    <row r="755" spans="1:104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</row>
    <row r="756" spans="1:104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</row>
    <row r="757" spans="1:104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</row>
    <row r="758" spans="1:104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</row>
    <row r="759" spans="1:104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</row>
    <row r="760" spans="1:104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</row>
    <row r="761" spans="1:104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</row>
    <row r="762" spans="1:104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</row>
    <row r="763" spans="1:104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</row>
    <row r="764" spans="1:104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</row>
    <row r="765" spans="1:104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</row>
    <row r="766" spans="1:104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</row>
    <row r="767" spans="1:104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</row>
    <row r="768" spans="1:104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</row>
    <row r="769" spans="1:104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</row>
    <row r="770" spans="1:104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</row>
    <row r="771" spans="1:104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</row>
    <row r="772" spans="1:104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</row>
    <row r="773" spans="1:104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</row>
    <row r="774" spans="1:104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</row>
    <row r="775" spans="1:104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</row>
    <row r="776" spans="1:104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</row>
    <row r="777" spans="1:104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</row>
    <row r="778" spans="1:104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</row>
    <row r="779" spans="1:104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</row>
    <row r="780" spans="1:104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</row>
    <row r="781" spans="1:104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</row>
    <row r="782" spans="1:104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</row>
    <row r="783" spans="1:104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</row>
    <row r="784" spans="1:104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</row>
    <row r="785" spans="1:104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</row>
    <row r="786" spans="1:104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</row>
    <row r="787" spans="1:104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</row>
    <row r="788" spans="1:104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</row>
    <row r="789" spans="1:104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</row>
    <row r="790" spans="1:104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</row>
    <row r="791" spans="1:104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</row>
    <row r="792" spans="1:104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</row>
    <row r="793" spans="1:104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</row>
    <row r="794" spans="1:104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</row>
    <row r="795" spans="1:104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</row>
    <row r="796" spans="1:104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</row>
    <row r="797" spans="1:104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</row>
    <row r="798" spans="1:104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</row>
    <row r="799" spans="1:104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</row>
    <row r="800" spans="1:104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</row>
    <row r="801" spans="1:104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</row>
    <row r="802" spans="1:104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</row>
    <row r="803" spans="1:104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</row>
    <row r="804" spans="1:104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</row>
    <row r="805" spans="1:104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</row>
    <row r="806" spans="1:104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</row>
    <row r="807" spans="1:104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</row>
    <row r="808" spans="1:104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</row>
    <row r="809" spans="1:104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</row>
    <row r="810" spans="1:104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</row>
    <row r="811" spans="1:104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</row>
    <row r="812" spans="1:104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</row>
    <row r="813" spans="1:104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</row>
    <row r="814" spans="1:104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</row>
    <row r="815" spans="1:104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</row>
    <row r="816" spans="1:104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</row>
    <row r="817" spans="1:104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</row>
    <row r="818" spans="1:104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</row>
    <row r="819" spans="1:104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</row>
    <row r="820" spans="1:104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</row>
    <row r="821" spans="1:104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</row>
    <row r="822" spans="1:104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</row>
    <row r="823" spans="1:104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</row>
    <row r="824" spans="1:104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</row>
    <row r="825" spans="1:104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</row>
    <row r="826" spans="1:104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</row>
    <row r="827" spans="1:104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</row>
    <row r="828" spans="1:104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</row>
    <row r="829" spans="1:104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</row>
    <row r="830" spans="1:104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</row>
    <row r="831" spans="1:104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</row>
    <row r="832" spans="1:104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</row>
    <row r="833" spans="1:104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</row>
    <row r="834" spans="1:104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</row>
    <row r="835" spans="1:104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</row>
    <row r="836" spans="1:104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</row>
    <row r="837" spans="1:104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</row>
    <row r="838" spans="1:104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</row>
    <row r="839" spans="1:104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</row>
    <row r="840" spans="1:104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</row>
    <row r="841" spans="1:104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</row>
    <row r="842" spans="1:104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</row>
    <row r="843" spans="1:104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</row>
    <row r="844" spans="1:104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</row>
    <row r="845" spans="1:104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</row>
    <row r="846" spans="1:104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</row>
    <row r="847" spans="1:104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</row>
    <row r="848" spans="1:104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</row>
    <row r="849" spans="1:104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</row>
    <row r="850" spans="1:104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</row>
    <row r="851" spans="1:104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</row>
    <row r="852" spans="1:104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</row>
    <row r="853" spans="1:104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</row>
    <row r="854" spans="1:104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</row>
    <row r="855" spans="1:104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</row>
    <row r="856" spans="1:104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</row>
    <row r="857" spans="1:104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</row>
    <row r="858" spans="1:104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</row>
    <row r="859" spans="1:104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</row>
    <row r="860" spans="1:104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</row>
    <row r="861" spans="1:104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</row>
    <row r="862" spans="1:104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</row>
    <row r="863" spans="1:104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</row>
    <row r="864" spans="1:104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</row>
    <row r="865" spans="1:104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</row>
    <row r="866" spans="1:104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</row>
    <row r="867" spans="1:104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</row>
    <row r="868" spans="1:104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</row>
    <row r="869" spans="1:104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</row>
    <row r="870" spans="1:104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</row>
    <row r="871" spans="1:104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</row>
    <row r="872" spans="1:104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</row>
    <row r="873" spans="1:104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</row>
    <row r="874" spans="1:104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</row>
    <row r="875" spans="1:104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</row>
    <row r="876" spans="1:104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</row>
    <row r="877" spans="1:104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</row>
    <row r="878" spans="1:104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</row>
    <row r="879" spans="1:104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</row>
    <row r="880" spans="1:104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</row>
    <row r="881" spans="1:104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</row>
    <row r="882" spans="1:104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</row>
    <row r="883" spans="1:104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</row>
    <row r="884" spans="1:104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</row>
    <row r="885" spans="1:104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</row>
    <row r="886" spans="1:104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</row>
    <row r="887" spans="1:104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</row>
    <row r="888" spans="1:104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</row>
    <row r="889" spans="1:104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</row>
    <row r="890" spans="1:104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</row>
    <row r="891" spans="1:104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</row>
    <row r="892" spans="1:104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</row>
    <row r="893" spans="1:104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</row>
    <row r="894" spans="1:104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</row>
    <row r="895" spans="1:104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</row>
    <row r="896" spans="1:104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</row>
    <row r="897" spans="1:104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</row>
    <row r="898" spans="1:104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</row>
    <row r="899" spans="1:104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</row>
    <row r="900" spans="1:104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</row>
    <row r="901" spans="1:104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</row>
    <row r="902" spans="1:104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</row>
    <row r="903" spans="1:104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</row>
    <row r="904" spans="1:104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</row>
    <row r="905" spans="1:104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</row>
    <row r="906" spans="1:104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</row>
    <row r="907" spans="1:104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</row>
    <row r="908" spans="1:104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</row>
    <row r="909" spans="1:104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</row>
    <row r="910" spans="1:104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</row>
    <row r="911" spans="1:104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</row>
    <row r="912" spans="1:104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</row>
    <row r="913" spans="1:104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</row>
    <row r="914" spans="1:104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</row>
    <row r="915" spans="1:104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</row>
    <row r="916" spans="1:104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</row>
    <row r="917" spans="1:104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</row>
    <row r="918" spans="1:104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</row>
    <row r="919" spans="1:104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</row>
    <row r="920" spans="1:104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</row>
    <row r="921" spans="1:104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</row>
    <row r="922" spans="1:104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</row>
    <row r="923" spans="1:104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</row>
    <row r="924" spans="1:104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</row>
    <row r="925" spans="1:104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</row>
    <row r="926" spans="1:104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</row>
    <row r="927" spans="1:104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</row>
    <row r="928" spans="1:104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</row>
    <row r="929" spans="1:104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</row>
    <row r="930" spans="1:104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</row>
    <row r="931" spans="1:104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</row>
    <row r="932" spans="1:104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</row>
    <row r="933" spans="1:104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</row>
    <row r="934" spans="1:104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</row>
    <row r="935" spans="1:104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</row>
    <row r="936" spans="1:104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</row>
    <row r="937" spans="1:104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</row>
    <row r="938" spans="1:104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</row>
    <row r="939" spans="1:104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</row>
    <row r="940" spans="1:104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</row>
    <row r="941" spans="1:104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</row>
    <row r="942" spans="1:104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</row>
    <row r="943" spans="1:104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</row>
    <row r="944" spans="1:104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</row>
    <row r="945" spans="1:104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</row>
    <row r="946" spans="1:104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</row>
    <row r="947" spans="1:104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</row>
    <row r="948" spans="1:104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</row>
    <row r="949" spans="1:104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</row>
    <row r="950" spans="1:104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</row>
    <row r="951" spans="1:104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</row>
    <row r="952" spans="1:104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</row>
    <row r="953" spans="1:104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</row>
    <row r="954" spans="1:104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</row>
    <row r="955" spans="1:104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</row>
    <row r="956" spans="1:104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</row>
    <row r="957" spans="1:104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</row>
    <row r="958" spans="1:104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</row>
    <row r="959" spans="1:104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</row>
    <row r="960" spans="1:104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</row>
    <row r="961" spans="1:104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</row>
    <row r="962" spans="1:104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</row>
    <row r="963" spans="1:104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</row>
    <row r="964" spans="1:104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</row>
    <row r="965" spans="1:104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</row>
    <row r="966" spans="1:104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</row>
    <row r="967" spans="1:104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</row>
    <row r="968" spans="1:104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</row>
    <row r="969" spans="1:104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</row>
    <row r="970" spans="1:104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</row>
    <row r="971" spans="1:104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</row>
    <row r="972" spans="1:104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</row>
    <row r="973" spans="1:104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</row>
    <row r="974" spans="1:104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</row>
    <row r="975" spans="1:104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</row>
    <row r="976" spans="1:104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</row>
    <row r="977" spans="1:104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</row>
    <row r="978" spans="1:104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</row>
    <row r="979" spans="1:104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</row>
    <row r="980" spans="1:104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</row>
    <row r="981" spans="1:104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</row>
    <row r="982" spans="1:104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</row>
    <row r="983" spans="1:104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</row>
    <row r="984" spans="1:104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</row>
    <row r="985" spans="1:104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</row>
    <row r="986" spans="1:104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</row>
    <row r="987" spans="1:104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</row>
    <row r="988" spans="1:104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</row>
    <row r="989" spans="1:104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</row>
    <row r="990" spans="1:104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</row>
    <row r="991" spans="1:104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</row>
    <row r="992" spans="1:104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</row>
    <row r="993" spans="1:104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</row>
    <row r="994" spans="1:104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</row>
    <row r="995" spans="1:104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</row>
    <row r="996" spans="1:104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</row>
    <row r="997" spans="1:104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</row>
    <row r="998" spans="1:104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</row>
    <row r="999" spans="1:104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</row>
    <row r="1000" spans="1:104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147970</v>
      </c>
      <c r="D3" s="16">
        <v>2890</v>
      </c>
      <c r="E3" s="16">
        <v>132721</v>
      </c>
      <c r="F3" s="16">
        <v>3375</v>
      </c>
      <c r="G3" s="16">
        <v>120370</v>
      </c>
      <c r="H3" s="16">
        <v>3747</v>
      </c>
      <c r="I3" s="16">
        <v>12351</v>
      </c>
      <c r="J3" s="16">
        <v>1774</v>
      </c>
      <c r="K3" s="16">
        <v>8550</v>
      </c>
      <c r="L3" s="16">
        <v>1473</v>
      </c>
      <c r="M3" s="16">
        <v>1709</v>
      </c>
      <c r="N3" s="16">
        <v>583</v>
      </c>
      <c r="O3" s="16">
        <v>2092</v>
      </c>
      <c r="P3" s="16">
        <v>723</v>
      </c>
      <c r="Q3" s="16">
        <v>3543</v>
      </c>
      <c r="R3" s="16">
        <v>1024</v>
      </c>
      <c r="S3" s="16">
        <v>2081</v>
      </c>
      <c r="T3" s="16">
        <v>736</v>
      </c>
      <c r="U3" s="16">
        <v>0</v>
      </c>
      <c r="V3" s="16">
        <v>185</v>
      </c>
      <c r="W3" s="16">
        <v>140</v>
      </c>
      <c r="X3" s="16">
        <v>165</v>
      </c>
      <c r="Y3" s="16">
        <v>1322</v>
      </c>
      <c r="Z3" s="16">
        <v>670</v>
      </c>
      <c r="AA3" s="16">
        <v>0</v>
      </c>
      <c r="AB3" s="16">
        <v>185</v>
      </c>
      <c r="AC3" s="16">
        <v>615</v>
      </c>
      <c r="AD3" s="16">
        <v>342</v>
      </c>
      <c r="AE3" s="16">
        <v>2520</v>
      </c>
      <c r="AF3" s="16">
        <v>740</v>
      </c>
      <c r="AG3" s="16">
        <v>1853</v>
      </c>
      <c r="AH3" s="16">
        <v>762</v>
      </c>
      <c r="AI3" s="16">
        <v>6718</v>
      </c>
      <c r="AJ3" s="16">
        <v>1120</v>
      </c>
      <c r="AK3" s="16">
        <v>83633</v>
      </c>
      <c r="AL3" s="16">
        <v>1799</v>
      </c>
      <c r="AM3" s="16">
        <v>74581</v>
      </c>
      <c r="AN3" s="16">
        <v>2421</v>
      </c>
      <c r="AO3" s="16">
        <v>68624</v>
      </c>
      <c r="AP3" s="16">
        <v>2598</v>
      </c>
      <c r="AQ3" s="16">
        <v>5957</v>
      </c>
      <c r="AR3" s="16">
        <v>992</v>
      </c>
      <c r="AS3" s="16">
        <v>4105</v>
      </c>
      <c r="AT3" s="16">
        <v>915</v>
      </c>
      <c r="AU3" s="16">
        <v>575</v>
      </c>
      <c r="AV3" s="16">
        <v>288</v>
      </c>
      <c r="AW3" s="16">
        <v>1277</v>
      </c>
      <c r="AX3" s="16">
        <v>402</v>
      </c>
      <c r="AY3" s="16">
        <v>2911</v>
      </c>
      <c r="AZ3" s="16">
        <v>780</v>
      </c>
      <c r="BA3" s="16">
        <v>1791</v>
      </c>
      <c r="BB3" s="16">
        <v>675</v>
      </c>
      <c r="BC3" s="16">
        <v>0</v>
      </c>
      <c r="BD3" s="16">
        <v>185</v>
      </c>
      <c r="BE3" s="16">
        <v>60</v>
      </c>
      <c r="BF3" s="16">
        <v>99</v>
      </c>
      <c r="BG3" s="16">
        <v>1060</v>
      </c>
      <c r="BH3" s="16">
        <v>426</v>
      </c>
      <c r="BI3" s="16">
        <v>0</v>
      </c>
      <c r="BJ3" s="16">
        <v>185</v>
      </c>
      <c r="BK3" s="16">
        <v>615</v>
      </c>
      <c r="BL3" s="16">
        <v>342</v>
      </c>
      <c r="BM3" s="16">
        <v>1489</v>
      </c>
      <c r="BN3" s="16">
        <v>611</v>
      </c>
      <c r="BO3" s="16">
        <v>1211</v>
      </c>
      <c r="BP3" s="16">
        <v>666</v>
      </c>
      <c r="BQ3" s="16">
        <v>2826</v>
      </c>
      <c r="BR3" s="16">
        <v>770</v>
      </c>
      <c r="BS3" s="16">
        <v>64337</v>
      </c>
      <c r="BT3" s="16">
        <v>2450</v>
      </c>
      <c r="BU3" s="16">
        <v>58140</v>
      </c>
      <c r="BV3" s="16">
        <v>2416</v>
      </c>
      <c r="BW3" s="16">
        <v>51746</v>
      </c>
      <c r="BX3" s="16">
        <v>2640</v>
      </c>
      <c r="BY3" s="16">
        <v>6394</v>
      </c>
      <c r="BZ3" s="16">
        <v>1165</v>
      </c>
      <c r="CA3" s="16">
        <v>4445</v>
      </c>
      <c r="CB3" s="16">
        <v>971</v>
      </c>
      <c r="CC3" s="16">
        <v>1134</v>
      </c>
      <c r="CD3" s="16">
        <v>432</v>
      </c>
      <c r="CE3" s="16">
        <v>815</v>
      </c>
      <c r="CF3" s="16">
        <v>475</v>
      </c>
      <c r="CG3" s="16">
        <v>632</v>
      </c>
      <c r="CH3" s="16">
        <v>503</v>
      </c>
      <c r="CI3" s="16">
        <v>290</v>
      </c>
      <c r="CJ3" s="16">
        <v>243</v>
      </c>
      <c r="CK3" s="16">
        <v>0</v>
      </c>
      <c r="CL3" s="16">
        <v>185</v>
      </c>
      <c r="CM3" s="16">
        <v>80</v>
      </c>
      <c r="CN3" s="16">
        <v>133</v>
      </c>
      <c r="CO3" s="16">
        <v>262</v>
      </c>
      <c r="CP3" s="16">
        <v>421</v>
      </c>
      <c r="CQ3" s="16">
        <v>0</v>
      </c>
      <c r="CR3" s="16">
        <v>185</v>
      </c>
      <c r="CS3" s="16">
        <v>0</v>
      </c>
      <c r="CT3" s="16">
        <v>185</v>
      </c>
      <c r="CU3" s="16">
        <v>1031</v>
      </c>
      <c r="CV3" s="16">
        <v>520</v>
      </c>
      <c r="CW3" s="16">
        <v>642</v>
      </c>
      <c r="CX3" s="16">
        <v>392</v>
      </c>
      <c r="CY3" s="16">
        <v>3892</v>
      </c>
      <c r="CZ3" s="16">
        <v>690</v>
      </c>
    </row>
    <row r="4" spans="1:104" ht="15.75" customHeight="1" x14ac:dyDescent="0.25">
      <c r="A4" s="15" t="s">
        <v>223</v>
      </c>
      <c r="B4" s="15" t="s">
        <v>224</v>
      </c>
      <c r="C4" s="16">
        <v>525030</v>
      </c>
      <c r="D4" s="16">
        <v>7017</v>
      </c>
      <c r="E4" s="16">
        <v>458786</v>
      </c>
      <c r="F4" s="16">
        <v>7496</v>
      </c>
      <c r="G4" s="16">
        <v>394732</v>
      </c>
      <c r="H4" s="16">
        <v>7591</v>
      </c>
      <c r="I4" s="16">
        <v>64054</v>
      </c>
      <c r="J4" s="16">
        <v>5100</v>
      </c>
      <c r="K4" s="16">
        <v>47632</v>
      </c>
      <c r="L4" s="16">
        <v>4135</v>
      </c>
      <c r="M4" s="16">
        <v>8518</v>
      </c>
      <c r="N4" s="16">
        <v>1845</v>
      </c>
      <c r="O4" s="16">
        <v>7904</v>
      </c>
      <c r="P4" s="16">
        <v>2255</v>
      </c>
      <c r="Q4" s="16">
        <v>17691</v>
      </c>
      <c r="R4" s="16">
        <v>2188</v>
      </c>
      <c r="S4" s="16">
        <v>11081</v>
      </c>
      <c r="T4" s="16">
        <v>1834</v>
      </c>
      <c r="U4" s="16">
        <v>2212</v>
      </c>
      <c r="V4" s="16">
        <v>624</v>
      </c>
      <c r="W4" s="16">
        <v>1209</v>
      </c>
      <c r="X4" s="16">
        <v>436</v>
      </c>
      <c r="Y4" s="16">
        <v>3189</v>
      </c>
      <c r="Z4" s="16">
        <v>967</v>
      </c>
      <c r="AA4" s="16">
        <v>0</v>
      </c>
      <c r="AB4" s="16">
        <v>185</v>
      </c>
      <c r="AC4" s="16">
        <v>4223</v>
      </c>
      <c r="AD4" s="16">
        <v>964</v>
      </c>
      <c r="AE4" s="16">
        <v>9293</v>
      </c>
      <c r="AF4" s="16">
        <v>1695</v>
      </c>
      <c r="AG4" s="16">
        <v>7686</v>
      </c>
      <c r="AH4" s="16">
        <v>1431</v>
      </c>
      <c r="AI4" s="16">
        <v>27351</v>
      </c>
      <c r="AJ4" s="16">
        <v>2989</v>
      </c>
      <c r="AK4" s="16">
        <v>291610</v>
      </c>
      <c r="AL4" s="16">
        <v>4546</v>
      </c>
      <c r="AM4" s="16">
        <v>254661</v>
      </c>
      <c r="AN4" s="16">
        <v>5005</v>
      </c>
      <c r="AO4" s="16">
        <v>218733</v>
      </c>
      <c r="AP4" s="16">
        <v>5313</v>
      </c>
      <c r="AQ4" s="16">
        <v>35928</v>
      </c>
      <c r="AR4" s="16">
        <v>3648</v>
      </c>
      <c r="AS4" s="16">
        <v>26993</v>
      </c>
      <c r="AT4" s="16">
        <v>2790</v>
      </c>
      <c r="AU4" s="16">
        <v>4083</v>
      </c>
      <c r="AV4" s="16">
        <v>1165</v>
      </c>
      <c r="AW4" s="16">
        <v>4852</v>
      </c>
      <c r="AX4" s="16">
        <v>1877</v>
      </c>
      <c r="AY4" s="16">
        <v>9892</v>
      </c>
      <c r="AZ4" s="16">
        <v>1542</v>
      </c>
      <c r="BA4" s="16">
        <v>5665</v>
      </c>
      <c r="BB4" s="16">
        <v>1209</v>
      </c>
      <c r="BC4" s="16">
        <v>1152</v>
      </c>
      <c r="BD4" s="16">
        <v>429</v>
      </c>
      <c r="BE4" s="16">
        <v>822</v>
      </c>
      <c r="BF4" s="16">
        <v>331</v>
      </c>
      <c r="BG4" s="16">
        <v>2253</v>
      </c>
      <c r="BH4" s="16">
        <v>854</v>
      </c>
      <c r="BI4" s="16">
        <v>0</v>
      </c>
      <c r="BJ4" s="16">
        <v>185</v>
      </c>
      <c r="BK4" s="16">
        <v>2938</v>
      </c>
      <c r="BL4" s="16">
        <v>743</v>
      </c>
      <c r="BM4" s="16">
        <v>5887</v>
      </c>
      <c r="BN4" s="16">
        <v>1407</v>
      </c>
      <c r="BO4" s="16">
        <v>4684</v>
      </c>
      <c r="BP4" s="16">
        <v>934</v>
      </c>
      <c r="BQ4" s="16">
        <v>13548</v>
      </c>
      <c r="BR4" s="16">
        <v>2056</v>
      </c>
      <c r="BS4" s="16">
        <v>233420</v>
      </c>
      <c r="BT4" s="16">
        <v>5365</v>
      </c>
      <c r="BU4" s="16">
        <v>204125</v>
      </c>
      <c r="BV4" s="16">
        <v>5774</v>
      </c>
      <c r="BW4" s="16">
        <v>175999</v>
      </c>
      <c r="BX4" s="16">
        <v>5764</v>
      </c>
      <c r="BY4" s="16">
        <v>28126</v>
      </c>
      <c r="BZ4" s="16">
        <v>2602</v>
      </c>
      <c r="CA4" s="16">
        <v>20639</v>
      </c>
      <c r="CB4" s="16">
        <v>2500</v>
      </c>
      <c r="CC4" s="16">
        <v>4435</v>
      </c>
      <c r="CD4" s="16">
        <v>1135</v>
      </c>
      <c r="CE4" s="16">
        <v>3052</v>
      </c>
      <c r="CF4" s="16">
        <v>839</v>
      </c>
      <c r="CG4" s="16">
        <v>7799</v>
      </c>
      <c r="CH4" s="16">
        <v>1699</v>
      </c>
      <c r="CI4" s="16">
        <v>5416</v>
      </c>
      <c r="CJ4" s="16">
        <v>1570</v>
      </c>
      <c r="CK4" s="16">
        <v>1060</v>
      </c>
      <c r="CL4" s="16">
        <v>488</v>
      </c>
      <c r="CM4" s="16">
        <v>387</v>
      </c>
      <c r="CN4" s="16">
        <v>238</v>
      </c>
      <c r="CO4" s="16">
        <v>936</v>
      </c>
      <c r="CP4" s="16">
        <v>449</v>
      </c>
      <c r="CQ4" s="16">
        <v>0</v>
      </c>
      <c r="CR4" s="16">
        <v>185</v>
      </c>
      <c r="CS4" s="16">
        <v>1285</v>
      </c>
      <c r="CT4" s="16">
        <v>512</v>
      </c>
      <c r="CU4" s="16">
        <v>3406</v>
      </c>
      <c r="CV4" s="16">
        <v>805</v>
      </c>
      <c r="CW4" s="16">
        <v>3002</v>
      </c>
      <c r="CX4" s="16">
        <v>975</v>
      </c>
      <c r="CY4" s="16">
        <v>13803</v>
      </c>
      <c r="CZ4" s="16">
        <v>1721</v>
      </c>
    </row>
    <row r="5" spans="1:104" ht="15.75" customHeight="1" x14ac:dyDescent="0.25">
      <c r="A5" s="15" t="s">
        <v>225</v>
      </c>
      <c r="B5" s="15" t="s">
        <v>226</v>
      </c>
      <c r="C5" s="16">
        <v>229396</v>
      </c>
      <c r="D5" s="16">
        <v>4382</v>
      </c>
      <c r="E5" s="16">
        <v>195228</v>
      </c>
      <c r="F5" s="16">
        <v>4504</v>
      </c>
      <c r="G5" s="16">
        <v>165645</v>
      </c>
      <c r="H5" s="16">
        <v>4285</v>
      </c>
      <c r="I5" s="16">
        <v>29583</v>
      </c>
      <c r="J5" s="16">
        <v>2843</v>
      </c>
      <c r="K5" s="16">
        <v>23127</v>
      </c>
      <c r="L5" s="16">
        <v>2548</v>
      </c>
      <c r="M5" s="16">
        <v>3812</v>
      </c>
      <c r="N5" s="16">
        <v>1111</v>
      </c>
      <c r="O5" s="16">
        <v>2644</v>
      </c>
      <c r="P5" s="16">
        <v>741</v>
      </c>
      <c r="Q5" s="16">
        <v>4415</v>
      </c>
      <c r="R5" s="16">
        <v>1316</v>
      </c>
      <c r="S5" s="16">
        <v>1595</v>
      </c>
      <c r="T5" s="16">
        <v>699</v>
      </c>
      <c r="U5" s="16">
        <v>0</v>
      </c>
      <c r="V5" s="16">
        <v>185</v>
      </c>
      <c r="W5" s="16">
        <v>1129</v>
      </c>
      <c r="X5" s="16">
        <v>677</v>
      </c>
      <c r="Y5" s="16">
        <v>1691</v>
      </c>
      <c r="Z5" s="16">
        <v>664</v>
      </c>
      <c r="AA5" s="16">
        <v>0</v>
      </c>
      <c r="AB5" s="16">
        <v>185</v>
      </c>
      <c r="AC5" s="16">
        <v>2581</v>
      </c>
      <c r="AD5" s="16">
        <v>805</v>
      </c>
      <c r="AE5" s="16">
        <v>10751</v>
      </c>
      <c r="AF5" s="16">
        <v>1539</v>
      </c>
      <c r="AG5" s="16">
        <v>2732</v>
      </c>
      <c r="AH5" s="16">
        <v>798</v>
      </c>
      <c r="AI5" s="16">
        <v>13689</v>
      </c>
      <c r="AJ5" s="16">
        <v>1617</v>
      </c>
      <c r="AK5" s="16">
        <v>133938</v>
      </c>
      <c r="AL5" s="16">
        <v>2708</v>
      </c>
      <c r="AM5" s="16">
        <v>115511</v>
      </c>
      <c r="AN5" s="16">
        <v>2894</v>
      </c>
      <c r="AO5" s="16">
        <v>97814</v>
      </c>
      <c r="AP5" s="16">
        <v>2888</v>
      </c>
      <c r="AQ5" s="16">
        <v>17697</v>
      </c>
      <c r="AR5" s="16">
        <v>1948</v>
      </c>
      <c r="AS5" s="16">
        <v>13276</v>
      </c>
      <c r="AT5" s="16">
        <v>1782</v>
      </c>
      <c r="AU5" s="16">
        <v>2539</v>
      </c>
      <c r="AV5" s="16">
        <v>668</v>
      </c>
      <c r="AW5" s="16">
        <v>1882</v>
      </c>
      <c r="AX5" s="16">
        <v>667</v>
      </c>
      <c r="AY5" s="16">
        <v>2895</v>
      </c>
      <c r="AZ5" s="16">
        <v>900</v>
      </c>
      <c r="BA5" s="16">
        <v>583</v>
      </c>
      <c r="BB5" s="16">
        <v>289</v>
      </c>
      <c r="BC5" s="16">
        <v>0</v>
      </c>
      <c r="BD5" s="16">
        <v>185</v>
      </c>
      <c r="BE5" s="16">
        <v>1056</v>
      </c>
      <c r="BF5" s="16">
        <v>672</v>
      </c>
      <c r="BG5" s="16">
        <v>1256</v>
      </c>
      <c r="BH5" s="16">
        <v>543</v>
      </c>
      <c r="BI5" s="16">
        <v>0</v>
      </c>
      <c r="BJ5" s="16">
        <v>185</v>
      </c>
      <c r="BK5" s="16">
        <v>1886</v>
      </c>
      <c r="BL5" s="16">
        <v>648</v>
      </c>
      <c r="BM5" s="16">
        <v>5223</v>
      </c>
      <c r="BN5" s="16">
        <v>1153</v>
      </c>
      <c r="BO5" s="16">
        <v>2132</v>
      </c>
      <c r="BP5" s="16">
        <v>599</v>
      </c>
      <c r="BQ5" s="16">
        <v>6291</v>
      </c>
      <c r="BR5" s="16">
        <v>1001</v>
      </c>
      <c r="BS5" s="16">
        <v>95458</v>
      </c>
      <c r="BT5" s="16">
        <v>3210</v>
      </c>
      <c r="BU5" s="16">
        <v>79717</v>
      </c>
      <c r="BV5" s="16">
        <v>3037</v>
      </c>
      <c r="BW5" s="16">
        <v>67831</v>
      </c>
      <c r="BX5" s="16">
        <v>2814</v>
      </c>
      <c r="BY5" s="16">
        <v>11886</v>
      </c>
      <c r="BZ5" s="16">
        <v>1773</v>
      </c>
      <c r="CA5" s="16">
        <v>9851</v>
      </c>
      <c r="CB5" s="16">
        <v>1573</v>
      </c>
      <c r="CC5" s="16">
        <v>1273</v>
      </c>
      <c r="CD5" s="16">
        <v>618</v>
      </c>
      <c r="CE5" s="16">
        <v>762</v>
      </c>
      <c r="CF5" s="16">
        <v>321</v>
      </c>
      <c r="CG5" s="16">
        <v>1520</v>
      </c>
      <c r="CH5" s="16">
        <v>696</v>
      </c>
      <c r="CI5" s="16">
        <v>1012</v>
      </c>
      <c r="CJ5" s="16">
        <v>620</v>
      </c>
      <c r="CK5" s="16">
        <v>0</v>
      </c>
      <c r="CL5" s="16">
        <v>185</v>
      </c>
      <c r="CM5" s="16">
        <v>73</v>
      </c>
      <c r="CN5" s="16">
        <v>91</v>
      </c>
      <c r="CO5" s="16">
        <v>435</v>
      </c>
      <c r="CP5" s="16">
        <v>277</v>
      </c>
      <c r="CQ5" s="16">
        <v>0</v>
      </c>
      <c r="CR5" s="16">
        <v>185</v>
      </c>
      <c r="CS5" s="16">
        <v>695</v>
      </c>
      <c r="CT5" s="16">
        <v>433</v>
      </c>
      <c r="CU5" s="16">
        <v>5528</v>
      </c>
      <c r="CV5" s="16">
        <v>1185</v>
      </c>
      <c r="CW5" s="16">
        <v>600</v>
      </c>
      <c r="CX5" s="16">
        <v>407</v>
      </c>
      <c r="CY5" s="16">
        <v>7398</v>
      </c>
      <c r="CZ5" s="16">
        <v>1124</v>
      </c>
    </row>
    <row r="6" spans="1:104" ht="15.75" customHeight="1" x14ac:dyDescent="0.25">
      <c r="A6" s="15" t="s">
        <v>227</v>
      </c>
      <c r="B6" s="15" t="s">
        <v>228</v>
      </c>
      <c r="C6" s="16">
        <v>107865</v>
      </c>
      <c r="D6" s="16">
        <v>2921</v>
      </c>
      <c r="E6" s="16">
        <v>99285</v>
      </c>
      <c r="F6" s="16">
        <v>3373</v>
      </c>
      <c r="G6" s="16">
        <v>85142</v>
      </c>
      <c r="H6" s="16">
        <v>3580</v>
      </c>
      <c r="I6" s="16">
        <v>14143</v>
      </c>
      <c r="J6" s="16">
        <v>1799</v>
      </c>
      <c r="K6" s="16">
        <v>9893</v>
      </c>
      <c r="L6" s="16">
        <v>1525</v>
      </c>
      <c r="M6" s="16">
        <v>2302</v>
      </c>
      <c r="N6" s="16">
        <v>870</v>
      </c>
      <c r="O6" s="16">
        <v>1948</v>
      </c>
      <c r="P6" s="16">
        <v>706</v>
      </c>
      <c r="Q6" s="16">
        <v>2358</v>
      </c>
      <c r="R6" s="16">
        <v>903</v>
      </c>
      <c r="S6" s="16">
        <v>1775</v>
      </c>
      <c r="T6" s="16">
        <v>784</v>
      </c>
      <c r="U6" s="16">
        <v>0</v>
      </c>
      <c r="V6" s="16">
        <v>185</v>
      </c>
      <c r="W6" s="16">
        <v>0</v>
      </c>
      <c r="X6" s="16">
        <v>185</v>
      </c>
      <c r="Y6" s="16">
        <v>536</v>
      </c>
      <c r="Z6" s="16">
        <v>380</v>
      </c>
      <c r="AA6" s="16">
        <v>47</v>
      </c>
      <c r="AB6" s="16">
        <v>81</v>
      </c>
      <c r="AC6" s="16">
        <v>663</v>
      </c>
      <c r="AD6" s="16">
        <v>288</v>
      </c>
      <c r="AE6" s="16">
        <v>705</v>
      </c>
      <c r="AF6" s="16">
        <v>340</v>
      </c>
      <c r="AG6" s="16">
        <v>917</v>
      </c>
      <c r="AH6" s="16">
        <v>500</v>
      </c>
      <c r="AI6" s="16">
        <v>3937</v>
      </c>
      <c r="AJ6" s="16">
        <v>963</v>
      </c>
      <c r="AK6" s="16">
        <v>58778</v>
      </c>
      <c r="AL6" s="16">
        <v>2423</v>
      </c>
      <c r="AM6" s="16">
        <v>54693</v>
      </c>
      <c r="AN6" s="16">
        <v>2632</v>
      </c>
      <c r="AO6" s="16">
        <v>45892</v>
      </c>
      <c r="AP6" s="16">
        <v>2811</v>
      </c>
      <c r="AQ6" s="16">
        <v>8801</v>
      </c>
      <c r="AR6" s="16">
        <v>1459</v>
      </c>
      <c r="AS6" s="16">
        <v>5878</v>
      </c>
      <c r="AT6" s="16">
        <v>1111</v>
      </c>
      <c r="AU6" s="16">
        <v>1402</v>
      </c>
      <c r="AV6" s="16">
        <v>863</v>
      </c>
      <c r="AW6" s="16">
        <v>1521</v>
      </c>
      <c r="AX6" s="16">
        <v>648</v>
      </c>
      <c r="AY6" s="16">
        <v>1058</v>
      </c>
      <c r="AZ6" s="16">
        <v>557</v>
      </c>
      <c r="BA6" s="16">
        <v>762</v>
      </c>
      <c r="BB6" s="16">
        <v>489</v>
      </c>
      <c r="BC6" s="16">
        <v>0</v>
      </c>
      <c r="BD6" s="16">
        <v>185</v>
      </c>
      <c r="BE6" s="16">
        <v>0</v>
      </c>
      <c r="BF6" s="16">
        <v>185</v>
      </c>
      <c r="BG6" s="16">
        <v>296</v>
      </c>
      <c r="BH6" s="16">
        <v>254</v>
      </c>
      <c r="BI6" s="16">
        <v>0</v>
      </c>
      <c r="BJ6" s="16">
        <v>185</v>
      </c>
      <c r="BK6" s="16">
        <v>414</v>
      </c>
      <c r="BL6" s="16">
        <v>249</v>
      </c>
      <c r="BM6" s="16">
        <v>352</v>
      </c>
      <c r="BN6" s="16">
        <v>244</v>
      </c>
      <c r="BO6" s="16">
        <v>460</v>
      </c>
      <c r="BP6" s="16">
        <v>346</v>
      </c>
      <c r="BQ6" s="16">
        <v>1801</v>
      </c>
      <c r="BR6" s="16">
        <v>702</v>
      </c>
      <c r="BS6" s="16">
        <v>49087</v>
      </c>
      <c r="BT6" s="16">
        <v>1715</v>
      </c>
      <c r="BU6" s="16">
        <v>44592</v>
      </c>
      <c r="BV6" s="16">
        <v>2012</v>
      </c>
      <c r="BW6" s="16">
        <v>39250</v>
      </c>
      <c r="BX6" s="16">
        <v>2268</v>
      </c>
      <c r="BY6" s="16">
        <v>5342</v>
      </c>
      <c r="BZ6" s="16">
        <v>1088</v>
      </c>
      <c r="CA6" s="16">
        <v>4015</v>
      </c>
      <c r="CB6" s="16">
        <v>1041</v>
      </c>
      <c r="CC6" s="16">
        <v>900</v>
      </c>
      <c r="CD6" s="16">
        <v>492</v>
      </c>
      <c r="CE6" s="16">
        <v>427</v>
      </c>
      <c r="CF6" s="16">
        <v>270</v>
      </c>
      <c r="CG6" s="16">
        <v>1300</v>
      </c>
      <c r="CH6" s="16">
        <v>675</v>
      </c>
      <c r="CI6" s="16">
        <v>1013</v>
      </c>
      <c r="CJ6" s="16">
        <v>622</v>
      </c>
      <c r="CK6" s="16">
        <v>0</v>
      </c>
      <c r="CL6" s="16">
        <v>185</v>
      </c>
      <c r="CM6" s="16">
        <v>0</v>
      </c>
      <c r="CN6" s="16">
        <v>185</v>
      </c>
      <c r="CO6" s="16">
        <v>240</v>
      </c>
      <c r="CP6" s="16">
        <v>195</v>
      </c>
      <c r="CQ6" s="16">
        <v>47</v>
      </c>
      <c r="CR6" s="16">
        <v>81</v>
      </c>
      <c r="CS6" s="16">
        <v>249</v>
      </c>
      <c r="CT6" s="16">
        <v>195</v>
      </c>
      <c r="CU6" s="16">
        <v>353</v>
      </c>
      <c r="CV6" s="16">
        <v>295</v>
      </c>
      <c r="CW6" s="16">
        <v>457</v>
      </c>
      <c r="CX6" s="16">
        <v>368</v>
      </c>
      <c r="CY6" s="16">
        <v>2136</v>
      </c>
      <c r="CZ6" s="16">
        <v>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149483</v>
      </c>
      <c r="D3" s="16">
        <v>3231</v>
      </c>
      <c r="E3" s="16">
        <v>131187</v>
      </c>
      <c r="F3" s="16">
        <v>4256</v>
      </c>
      <c r="G3" s="16">
        <v>116646</v>
      </c>
      <c r="H3" s="16">
        <v>4061</v>
      </c>
      <c r="I3" s="16">
        <v>14541</v>
      </c>
      <c r="J3" s="16">
        <v>2092</v>
      </c>
      <c r="K3" s="16">
        <v>11637</v>
      </c>
      <c r="L3" s="16">
        <v>1999</v>
      </c>
      <c r="M3" s="16">
        <v>1749</v>
      </c>
      <c r="N3" s="16">
        <v>617</v>
      </c>
      <c r="O3" s="16">
        <v>1155</v>
      </c>
      <c r="P3" s="16">
        <v>536</v>
      </c>
      <c r="Q3" s="16">
        <v>3854</v>
      </c>
      <c r="R3" s="16">
        <v>985</v>
      </c>
      <c r="S3" s="16">
        <v>2694</v>
      </c>
      <c r="T3" s="16">
        <v>830</v>
      </c>
      <c r="U3" s="16">
        <v>0</v>
      </c>
      <c r="V3" s="16">
        <v>184</v>
      </c>
      <c r="W3" s="16">
        <v>73</v>
      </c>
      <c r="X3" s="16">
        <v>123</v>
      </c>
      <c r="Y3" s="16">
        <v>1087</v>
      </c>
      <c r="Z3" s="16">
        <v>515</v>
      </c>
      <c r="AA3" s="16">
        <v>0</v>
      </c>
      <c r="AB3" s="16">
        <v>184</v>
      </c>
      <c r="AC3" s="16">
        <v>590</v>
      </c>
      <c r="AD3" s="16">
        <v>292</v>
      </c>
      <c r="AE3" s="16">
        <v>2054</v>
      </c>
      <c r="AF3" s="16">
        <v>571</v>
      </c>
      <c r="AG3" s="16">
        <v>1956</v>
      </c>
      <c r="AH3" s="16">
        <v>935</v>
      </c>
      <c r="AI3" s="16">
        <v>9842</v>
      </c>
      <c r="AJ3" s="16">
        <v>1876</v>
      </c>
      <c r="AK3" s="16">
        <v>85856</v>
      </c>
      <c r="AL3" s="16">
        <v>2183</v>
      </c>
      <c r="AM3" s="16">
        <v>75964</v>
      </c>
      <c r="AN3" s="16">
        <v>2601</v>
      </c>
      <c r="AO3" s="16">
        <v>67604</v>
      </c>
      <c r="AP3" s="16">
        <v>2656</v>
      </c>
      <c r="AQ3" s="16">
        <v>8360</v>
      </c>
      <c r="AR3" s="16">
        <v>1493</v>
      </c>
      <c r="AS3" s="16">
        <v>6845</v>
      </c>
      <c r="AT3" s="16">
        <v>1392</v>
      </c>
      <c r="AU3" s="16">
        <v>848</v>
      </c>
      <c r="AV3" s="16">
        <v>463</v>
      </c>
      <c r="AW3" s="16">
        <v>667</v>
      </c>
      <c r="AX3" s="16">
        <v>484</v>
      </c>
      <c r="AY3" s="16">
        <v>2739</v>
      </c>
      <c r="AZ3" s="16">
        <v>858</v>
      </c>
      <c r="BA3" s="16">
        <v>1812</v>
      </c>
      <c r="BB3" s="16">
        <v>718</v>
      </c>
      <c r="BC3" s="16">
        <v>0</v>
      </c>
      <c r="BD3" s="16">
        <v>184</v>
      </c>
      <c r="BE3" s="16">
        <v>73</v>
      </c>
      <c r="BF3" s="16">
        <v>123</v>
      </c>
      <c r="BG3" s="16">
        <v>854</v>
      </c>
      <c r="BH3" s="16">
        <v>429</v>
      </c>
      <c r="BI3" s="16">
        <v>0</v>
      </c>
      <c r="BJ3" s="16">
        <v>184</v>
      </c>
      <c r="BK3" s="16">
        <v>389</v>
      </c>
      <c r="BL3" s="16">
        <v>233</v>
      </c>
      <c r="BM3" s="16">
        <v>1048</v>
      </c>
      <c r="BN3" s="16">
        <v>344</v>
      </c>
      <c r="BO3" s="16">
        <v>1683</v>
      </c>
      <c r="BP3" s="16">
        <v>857</v>
      </c>
      <c r="BQ3" s="16">
        <v>4033</v>
      </c>
      <c r="BR3" s="16">
        <v>1097</v>
      </c>
      <c r="BS3" s="16">
        <v>63627</v>
      </c>
      <c r="BT3" s="16">
        <v>2884</v>
      </c>
      <c r="BU3" s="16">
        <v>55223</v>
      </c>
      <c r="BV3" s="16">
        <v>3202</v>
      </c>
      <c r="BW3" s="16">
        <v>49042</v>
      </c>
      <c r="BX3" s="16">
        <v>2965</v>
      </c>
      <c r="BY3" s="16">
        <v>6181</v>
      </c>
      <c r="BZ3" s="16">
        <v>1097</v>
      </c>
      <c r="CA3" s="16">
        <v>4792</v>
      </c>
      <c r="CB3" s="16">
        <v>1048</v>
      </c>
      <c r="CC3" s="16">
        <v>901</v>
      </c>
      <c r="CD3" s="16">
        <v>357</v>
      </c>
      <c r="CE3" s="16">
        <v>488</v>
      </c>
      <c r="CF3" s="16">
        <v>261</v>
      </c>
      <c r="CG3" s="16">
        <v>1115</v>
      </c>
      <c r="CH3" s="16">
        <v>631</v>
      </c>
      <c r="CI3" s="16">
        <v>882</v>
      </c>
      <c r="CJ3" s="16">
        <v>512</v>
      </c>
      <c r="CK3" s="16">
        <v>0</v>
      </c>
      <c r="CL3" s="16">
        <v>184</v>
      </c>
      <c r="CM3" s="16">
        <v>0</v>
      </c>
      <c r="CN3" s="16">
        <v>184</v>
      </c>
      <c r="CO3" s="16">
        <v>233</v>
      </c>
      <c r="CP3" s="16">
        <v>288</v>
      </c>
      <c r="CQ3" s="16">
        <v>0</v>
      </c>
      <c r="CR3" s="16">
        <v>184</v>
      </c>
      <c r="CS3" s="16">
        <v>201</v>
      </c>
      <c r="CT3" s="16">
        <v>172</v>
      </c>
      <c r="CU3" s="16">
        <v>1006</v>
      </c>
      <c r="CV3" s="16">
        <v>479</v>
      </c>
      <c r="CW3" s="16">
        <v>273</v>
      </c>
      <c r="CX3" s="16">
        <v>341</v>
      </c>
      <c r="CY3" s="16">
        <v>5809</v>
      </c>
      <c r="CZ3" s="16">
        <v>1287</v>
      </c>
    </row>
    <row r="4" spans="1:104" ht="15.75" customHeight="1" x14ac:dyDescent="0.25">
      <c r="A4" s="15" t="s">
        <v>223</v>
      </c>
      <c r="B4" s="15" t="s">
        <v>224</v>
      </c>
      <c r="C4" s="16">
        <v>541756</v>
      </c>
      <c r="D4" s="16">
        <v>5340</v>
      </c>
      <c r="E4" s="16">
        <v>470547</v>
      </c>
      <c r="F4" s="16">
        <v>6578</v>
      </c>
      <c r="G4" s="16">
        <v>405507</v>
      </c>
      <c r="H4" s="16">
        <v>7575</v>
      </c>
      <c r="I4" s="16">
        <v>65040</v>
      </c>
      <c r="J4" s="16">
        <v>4721</v>
      </c>
      <c r="K4" s="16">
        <v>49928</v>
      </c>
      <c r="L4" s="16">
        <v>3870</v>
      </c>
      <c r="M4" s="16">
        <v>9773</v>
      </c>
      <c r="N4" s="16">
        <v>1976</v>
      </c>
      <c r="O4" s="16">
        <v>5339</v>
      </c>
      <c r="P4" s="16">
        <v>1238</v>
      </c>
      <c r="Q4" s="16">
        <v>21063</v>
      </c>
      <c r="R4" s="16">
        <v>2773</v>
      </c>
      <c r="S4" s="16">
        <v>13267</v>
      </c>
      <c r="T4" s="16">
        <v>2178</v>
      </c>
      <c r="U4" s="16">
        <v>2973</v>
      </c>
      <c r="V4" s="16">
        <v>970</v>
      </c>
      <c r="W4" s="16">
        <v>2287</v>
      </c>
      <c r="X4" s="16">
        <v>699</v>
      </c>
      <c r="Y4" s="16">
        <v>2536</v>
      </c>
      <c r="Z4" s="16">
        <v>701</v>
      </c>
      <c r="AA4" s="16">
        <v>0</v>
      </c>
      <c r="AB4" s="16">
        <v>184</v>
      </c>
      <c r="AC4" s="16">
        <v>4590</v>
      </c>
      <c r="AD4" s="16">
        <v>983</v>
      </c>
      <c r="AE4" s="16">
        <v>11753</v>
      </c>
      <c r="AF4" s="16">
        <v>1858</v>
      </c>
      <c r="AG4" s="16">
        <v>4539</v>
      </c>
      <c r="AH4" s="16">
        <v>1133</v>
      </c>
      <c r="AI4" s="16">
        <v>29264</v>
      </c>
      <c r="AJ4" s="16">
        <v>2357</v>
      </c>
      <c r="AK4" s="16">
        <v>302350</v>
      </c>
      <c r="AL4" s="16">
        <v>3639</v>
      </c>
      <c r="AM4" s="16">
        <v>262467</v>
      </c>
      <c r="AN4" s="16">
        <v>4278</v>
      </c>
      <c r="AO4" s="16">
        <v>226721</v>
      </c>
      <c r="AP4" s="16">
        <v>5161</v>
      </c>
      <c r="AQ4" s="16">
        <v>35746</v>
      </c>
      <c r="AR4" s="16">
        <v>3307</v>
      </c>
      <c r="AS4" s="16">
        <v>26917</v>
      </c>
      <c r="AT4" s="16">
        <v>2697</v>
      </c>
      <c r="AU4" s="16">
        <v>5789</v>
      </c>
      <c r="AV4" s="16">
        <v>1602</v>
      </c>
      <c r="AW4" s="16">
        <v>3040</v>
      </c>
      <c r="AX4" s="16">
        <v>841</v>
      </c>
      <c r="AY4" s="16">
        <v>12439</v>
      </c>
      <c r="AZ4" s="16">
        <v>1896</v>
      </c>
      <c r="BA4" s="16">
        <v>7470</v>
      </c>
      <c r="BB4" s="16">
        <v>1430</v>
      </c>
      <c r="BC4" s="16">
        <v>1857</v>
      </c>
      <c r="BD4" s="16">
        <v>719</v>
      </c>
      <c r="BE4" s="16">
        <v>1389</v>
      </c>
      <c r="BF4" s="16">
        <v>581</v>
      </c>
      <c r="BG4" s="16">
        <v>1723</v>
      </c>
      <c r="BH4" s="16">
        <v>649</v>
      </c>
      <c r="BI4" s="16">
        <v>0</v>
      </c>
      <c r="BJ4" s="16">
        <v>184</v>
      </c>
      <c r="BK4" s="16">
        <v>3386</v>
      </c>
      <c r="BL4" s="16">
        <v>885</v>
      </c>
      <c r="BM4" s="16">
        <v>6481</v>
      </c>
      <c r="BN4" s="16">
        <v>1369</v>
      </c>
      <c r="BO4" s="16">
        <v>3201</v>
      </c>
      <c r="BP4" s="16">
        <v>853</v>
      </c>
      <c r="BQ4" s="16">
        <v>14376</v>
      </c>
      <c r="BR4" s="16">
        <v>1584</v>
      </c>
      <c r="BS4" s="16">
        <v>239406</v>
      </c>
      <c r="BT4" s="16">
        <v>4253</v>
      </c>
      <c r="BU4" s="16">
        <v>208080</v>
      </c>
      <c r="BV4" s="16">
        <v>4539</v>
      </c>
      <c r="BW4" s="16">
        <v>178786</v>
      </c>
      <c r="BX4" s="16">
        <v>5172</v>
      </c>
      <c r="BY4" s="16">
        <v>29294</v>
      </c>
      <c r="BZ4" s="16">
        <v>2786</v>
      </c>
      <c r="CA4" s="16">
        <v>23011</v>
      </c>
      <c r="CB4" s="16">
        <v>2315</v>
      </c>
      <c r="CC4" s="16">
        <v>3984</v>
      </c>
      <c r="CD4" s="16">
        <v>1129</v>
      </c>
      <c r="CE4" s="16">
        <v>2299</v>
      </c>
      <c r="CF4" s="16">
        <v>863</v>
      </c>
      <c r="CG4" s="16">
        <v>8624</v>
      </c>
      <c r="CH4" s="16">
        <v>1575</v>
      </c>
      <c r="CI4" s="16">
        <v>5797</v>
      </c>
      <c r="CJ4" s="16">
        <v>1391</v>
      </c>
      <c r="CK4" s="16">
        <v>1116</v>
      </c>
      <c r="CL4" s="16">
        <v>536</v>
      </c>
      <c r="CM4" s="16">
        <v>898</v>
      </c>
      <c r="CN4" s="16">
        <v>507</v>
      </c>
      <c r="CO4" s="16">
        <v>813</v>
      </c>
      <c r="CP4" s="16">
        <v>341</v>
      </c>
      <c r="CQ4" s="16">
        <v>0</v>
      </c>
      <c r="CR4" s="16">
        <v>184</v>
      </c>
      <c r="CS4" s="16">
        <v>1204</v>
      </c>
      <c r="CT4" s="16">
        <v>499</v>
      </c>
      <c r="CU4" s="16">
        <v>5272</v>
      </c>
      <c r="CV4" s="16">
        <v>1205</v>
      </c>
      <c r="CW4" s="16">
        <v>1338</v>
      </c>
      <c r="CX4" s="16">
        <v>532</v>
      </c>
      <c r="CY4" s="16">
        <v>14888</v>
      </c>
      <c r="CZ4" s="16">
        <v>1814</v>
      </c>
    </row>
    <row r="5" spans="1:104" ht="15.75" customHeight="1" x14ac:dyDescent="0.25">
      <c r="A5" s="15" t="s">
        <v>225</v>
      </c>
      <c r="B5" s="15" t="s">
        <v>226</v>
      </c>
      <c r="C5" s="16">
        <v>243465</v>
      </c>
      <c r="D5" s="16">
        <v>3670</v>
      </c>
      <c r="E5" s="16">
        <v>210172</v>
      </c>
      <c r="F5" s="16">
        <v>4093</v>
      </c>
      <c r="G5" s="16">
        <v>181124</v>
      </c>
      <c r="H5" s="16">
        <v>4358</v>
      </c>
      <c r="I5" s="16">
        <v>29048</v>
      </c>
      <c r="J5" s="16">
        <v>2601</v>
      </c>
      <c r="K5" s="16">
        <v>21489</v>
      </c>
      <c r="L5" s="16">
        <v>2278</v>
      </c>
      <c r="M5" s="16">
        <v>3615</v>
      </c>
      <c r="N5" s="16">
        <v>962</v>
      </c>
      <c r="O5" s="16">
        <v>3944</v>
      </c>
      <c r="P5" s="16">
        <v>1106</v>
      </c>
      <c r="Q5" s="16">
        <v>4750</v>
      </c>
      <c r="R5" s="16">
        <v>994</v>
      </c>
      <c r="S5" s="16">
        <v>1709</v>
      </c>
      <c r="T5" s="16">
        <v>552</v>
      </c>
      <c r="U5" s="16">
        <v>120</v>
      </c>
      <c r="V5" s="16">
        <v>117</v>
      </c>
      <c r="W5" s="16">
        <v>615</v>
      </c>
      <c r="X5" s="16">
        <v>343</v>
      </c>
      <c r="Y5" s="16">
        <v>2306</v>
      </c>
      <c r="Z5" s="16">
        <v>721</v>
      </c>
      <c r="AA5" s="16">
        <v>0</v>
      </c>
      <c r="AB5" s="16">
        <v>184</v>
      </c>
      <c r="AC5" s="16">
        <v>2768</v>
      </c>
      <c r="AD5" s="16">
        <v>803</v>
      </c>
      <c r="AE5" s="16">
        <v>7512</v>
      </c>
      <c r="AF5" s="16">
        <v>1273</v>
      </c>
      <c r="AG5" s="16">
        <v>3474</v>
      </c>
      <c r="AH5" s="16">
        <v>952</v>
      </c>
      <c r="AI5" s="16">
        <v>14789</v>
      </c>
      <c r="AJ5" s="16">
        <v>1529</v>
      </c>
      <c r="AK5" s="16">
        <v>141573</v>
      </c>
      <c r="AL5" s="16">
        <v>2645</v>
      </c>
      <c r="AM5" s="16">
        <v>123804</v>
      </c>
      <c r="AN5" s="16">
        <v>3038</v>
      </c>
      <c r="AO5" s="16">
        <v>105827</v>
      </c>
      <c r="AP5" s="16">
        <v>3257</v>
      </c>
      <c r="AQ5" s="16">
        <v>17977</v>
      </c>
      <c r="AR5" s="16">
        <v>1907</v>
      </c>
      <c r="AS5" s="16">
        <v>13230</v>
      </c>
      <c r="AT5" s="16">
        <v>1687</v>
      </c>
      <c r="AU5" s="16">
        <v>2063</v>
      </c>
      <c r="AV5" s="16">
        <v>706</v>
      </c>
      <c r="AW5" s="16">
        <v>2684</v>
      </c>
      <c r="AX5" s="16">
        <v>795</v>
      </c>
      <c r="AY5" s="16">
        <v>2871</v>
      </c>
      <c r="AZ5" s="16">
        <v>757</v>
      </c>
      <c r="BA5" s="16">
        <v>977</v>
      </c>
      <c r="BB5" s="16">
        <v>406</v>
      </c>
      <c r="BC5" s="16">
        <v>78</v>
      </c>
      <c r="BD5" s="16">
        <v>95</v>
      </c>
      <c r="BE5" s="16">
        <v>377</v>
      </c>
      <c r="BF5" s="16">
        <v>293</v>
      </c>
      <c r="BG5" s="16">
        <v>1439</v>
      </c>
      <c r="BH5" s="16">
        <v>489</v>
      </c>
      <c r="BI5" s="16">
        <v>0</v>
      </c>
      <c r="BJ5" s="16">
        <v>184</v>
      </c>
      <c r="BK5" s="16">
        <v>1799</v>
      </c>
      <c r="BL5" s="16">
        <v>574</v>
      </c>
      <c r="BM5" s="16">
        <v>3348</v>
      </c>
      <c r="BN5" s="16">
        <v>874</v>
      </c>
      <c r="BO5" s="16">
        <v>2588</v>
      </c>
      <c r="BP5" s="16">
        <v>765</v>
      </c>
      <c r="BQ5" s="16">
        <v>7163</v>
      </c>
      <c r="BR5" s="16">
        <v>1059</v>
      </c>
      <c r="BS5" s="16">
        <v>101892</v>
      </c>
      <c r="BT5" s="16">
        <v>2550</v>
      </c>
      <c r="BU5" s="16">
        <v>86368</v>
      </c>
      <c r="BV5" s="16">
        <v>2819</v>
      </c>
      <c r="BW5" s="16">
        <v>75297</v>
      </c>
      <c r="BX5" s="16">
        <v>2898</v>
      </c>
      <c r="BY5" s="16">
        <v>11071</v>
      </c>
      <c r="BZ5" s="16">
        <v>1627</v>
      </c>
      <c r="CA5" s="16">
        <v>8259</v>
      </c>
      <c r="CB5" s="16">
        <v>1274</v>
      </c>
      <c r="CC5" s="16">
        <v>1552</v>
      </c>
      <c r="CD5" s="16">
        <v>569</v>
      </c>
      <c r="CE5" s="16">
        <v>1260</v>
      </c>
      <c r="CF5" s="16">
        <v>686</v>
      </c>
      <c r="CG5" s="16">
        <v>1879</v>
      </c>
      <c r="CH5" s="16">
        <v>593</v>
      </c>
      <c r="CI5" s="16">
        <v>732</v>
      </c>
      <c r="CJ5" s="16">
        <v>315</v>
      </c>
      <c r="CK5" s="16">
        <v>42</v>
      </c>
      <c r="CL5" s="16">
        <v>70</v>
      </c>
      <c r="CM5" s="16">
        <v>238</v>
      </c>
      <c r="CN5" s="16">
        <v>199</v>
      </c>
      <c r="CO5" s="16">
        <v>867</v>
      </c>
      <c r="CP5" s="16">
        <v>498</v>
      </c>
      <c r="CQ5" s="16">
        <v>0</v>
      </c>
      <c r="CR5" s="16">
        <v>184</v>
      </c>
      <c r="CS5" s="16">
        <v>969</v>
      </c>
      <c r="CT5" s="16">
        <v>526</v>
      </c>
      <c r="CU5" s="16">
        <v>4164</v>
      </c>
      <c r="CV5" s="16">
        <v>1077</v>
      </c>
      <c r="CW5" s="16">
        <v>886</v>
      </c>
      <c r="CX5" s="16">
        <v>486</v>
      </c>
      <c r="CY5" s="16">
        <v>7626</v>
      </c>
      <c r="CZ5" s="16">
        <v>1015</v>
      </c>
    </row>
    <row r="6" spans="1:104" ht="15.75" customHeight="1" x14ac:dyDescent="0.25">
      <c r="A6" s="15" t="s">
        <v>227</v>
      </c>
      <c r="B6" s="15" t="s">
        <v>228</v>
      </c>
      <c r="C6" s="16">
        <v>112584</v>
      </c>
      <c r="D6" s="16">
        <v>2802</v>
      </c>
      <c r="E6" s="16">
        <v>103093</v>
      </c>
      <c r="F6" s="16">
        <v>3059</v>
      </c>
      <c r="G6" s="16">
        <v>89222</v>
      </c>
      <c r="H6" s="16">
        <v>3297</v>
      </c>
      <c r="I6" s="16">
        <v>13871</v>
      </c>
      <c r="J6" s="16">
        <v>2374</v>
      </c>
      <c r="K6" s="16">
        <v>9451</v>
      </c>
      <c r="L6" s="16">
        <v>2056</v>
      </c>
      <c r="M6" s="16">
        <v>2717</v>
      </c>
      <c r="N6" s="16">
        <v>955</v>
      </c>
      <c r="O6" s="16">
        <v>1703</v>
      </c>
      <c r="P6" s="16">
        <v>677</v>
      </c>
      <c r="Q6" s="16">
        <v>1523</v>
      </c>
      <c r="R6" s="16">
        <v>584</v>
      </c>
      <c r="S6" s="16">
        <v>902</v>
      </c>
      <c r="T6" s="16">
        <v>425</v>
      </c>
      <c r="U6" s="16">
        <v>0</v>
      </c>
      <c r="V6" s="16">
        <v>184</v>
      </c>
      <c r="W6" s="16">
        <v>385</v>
      </c>
      <c r="X6" s="16">
        <v>374</v>
      </c>
      <c r="Y6" s="16">
        <v>197</v>
      </c>
      <c r="Z6" s="16">
        <v>145</v>
      </c>
      <c r="AA6" s="16">
        <v>39</v>
      </c>
      <c r="AB6" s="16">
        <v>62</v>
      </c>
      <c r="AC6" s="16">
        <v>399</v>
      </c>
      <c r="AD6" s="16">
        <v>254</v>
      </c>
      <c r="AE6" s="16">
        <v>1675</v>
      </c>
      <c r="AF6" s="16">
        <v>713</v>
      </c>
      <c r="AG6" s="16">
        <v>1134</v>
      </c>
      <c r="AH6" s="16">
        <v>559</v>
      </c>
      <c r="AI6" s="16">
        <v>4760</v>
      </c>
      <c r="AJ6" s="16">
        <v>1138</v>
      </c>
      <c r="AK6" s="16">
        <v>60171</v>
      </c>
      <c r="AL6" s="16">
        <v>2184</v>
      </c>
      <c r="AM6" s="16">
        <v>55210</v>
      </c>
      <c r="AN6" s="16">
        <v>2266</v>
      </c>
      <c r="AO6" s="16">
        <v>47497</v>
      </c>
      <c r="AP6" s="16">
        <v>2334</v>
      </c>
      <c r="AQ6" s="16">
        <v>7713</v>
      </c>
      <c r="AR6" s="16">
        <v>1436</v>
      </c>
      <c r="AS6" s="16">
        <v>5130</v>
      </c>
      <c r="AT6" s="16">
        <v>1181</v>
      </c>
      <c r="AU6" s="16">
        <v>1450</v>
      </c>
      <c r="AV6" s="16">
        <v>620</v>
      </c>
      <c r="AW6" s="16">
        <v>1133</v>
      </c>
      <c r="AX6" s="16">
        <v>501</v>
      </c>
      <c r="AY6" s="16">
        <v>827</v>
      </c>
      <c r="AZ6" s="16">
        <v>416</v>
      </c>
      <c r="BA6" s="16">
        <v>536</v>
      </c>
      <c r="BB6" s="16">
        <v>349</v>
      </c>
      <c r="BC6" s="16">
        <v>0</v>
      </c>
      <c r="BD6" s="16">
        <v>184</v>
      </c>
      <c r="BE6" s="16">
        <v>84</v>
      </c>
      <c r="BF6" s="16">
        <v>139</v>
      </c>
      <c r="BG6" s="16">
        <v>168</v>
      </c>
      <c r="BH6" s="16">
        <v>137</v>
      </c>
      <c r="BI6" s="16">
        <v>39</v>
      </c>
      <c r="BJ6" s="16">
        <v>62</v>
      </c>
      <c r="BK6" s="16">
        <v>283</v>
      </c>
      <c r="BL6" s="16">
        <v>214</v>
      </c>
      <c r="BM6" s="16">
        <v>777</v>
      </c>
      <c r="BN6" s="16">
        <v>334</v>
      </c>
      <c r="BO6" s="16">
        <v>848</v>
      </c>
      <c r="BP6" s="16">
        <v>495</v>
      </c>
      <c r="BQ6" s="16">
        <v>2226</v>
      </c>
      <c r="BR6" s="16">
        <v>850</v>
      </c>
      <c r="BS6" s="16">
        <v>52413</v>
      </c>
      <c r="BT6" s="16">
        <v>2010</v>
      </c>
      <c r="BU6" s="16">
        <v>47883</v>
      </c>
      <c r="BV6" s="16">
        <v>2198</v>
      </c>
      <c r="BW6" s="16">
        <v>41725</v>
      </c>
      <c r="BX6" s="16">
        <v>2374</v>
      </c>
      <c r="BY6" s="16">
        <v>6158</v>
      </c>
      <c r="BZ6" s="16">
        <v>1554</v>
      </c>
      <c r="CA6" s="16">
        <v>4321</v>
      </c>
      <c r="CB6" s="16">
        <v>1291</v>
      </c>
      <c r="CC6" s="16">
        <v>1267</v>
      </c>
      <c r="CD6" s="16">
        <v>669</v>
      </c>
      <c r="CE6" s="16">
        <v>570</v>
      </c>
      <c r="CF6" s="16">
        <v>401</v>
      </c>
      <c r="CG6" s="16">
        <v>696</v>
      </c>
      <c r="CH6" s="16">
        <v>382</v>
      </c>
      <c r="CI6" s="16">
        <v>366</v>
      </c>
      <c r="CJ6" s="16">
        <v>271</v>
      </c>
      <c r="CK6" s="16">
        <v>0</v>
      </c>
      <c r="CL6" s="16">
        <v>184</v>
      </c>
      <c r="CM6" s="16">
        <v>301</v>
      </c>
      <c r="CN6" s="16">
        <v>277</v>
      </c>
      <c r="CO6" s="16">
        <v>29</v>
      </c>
      <c r="CP6" s="16">
        <v>49</v>
      </c>
      <c r="CQ6" s="16">
        <v>0</v>
      </c>
      <c r="CR6" s="16">
        <v>184</v>
      </c>
      <c r="CS6" s="16">
        <v>116</v>
      </c>
      <c r="CT6" s="16">
        <v>130</v>
      </c>
      <c r="CU6" s="16">
        <v>898</v>
      </c>
      <c r="CV6" s="16">
        <v>542</v>
      </c>
      <c r="CW6" s="16">
        <v>286</v>
      </c>
      <c r="CX6" s="16">
        <v>194</v>
      </c>
      <c r="CY6" s="16">
        <v>2534</v>
      </c>
      <c r="CZ6" s="16">
        <v>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157286</v>
      </c>
      <c r="D3" s="16">
        <v>2826</v>
      </c>
      <c r="E3" s="16">
        <v>138115</v>
      </c>
      <c r="F3" s="16">
        <v>3775</v>
      </c>
      <c r="G3" s="16">
        <v>123995</v>
      </c>
      <c r="H3" s="16">
        <v>3709</v>
      </c>
      <c r="I3" s="16">
        <v>14120</v>
      </c>
      <c r="J3" s="16">
        <v>1815</v>
      </c>
      <c r="K3" s="16">
        <v>10931</v>
      </c>
      <c r="L3" s="16">
        <v>1772</v>
      </c>
      <c r="M3" s="16">
        <v>1301</v>
      </c>
      <c r="N3" s="16">
        <v>543</v>
      </c>
      <c r="O3" s="16">
        <v>1888</v>
      </c>
      <c r="P3" s="16">
        <v>688</v>
      </c>
      <c r="Q3" s="16">
        <v>4411</v>
      </c>
      <c r="R3" s="16">
        <v>1280</v>
      </c>
      <c r="S3" s="16">
        <v>2191</v>
      </c>
      <c r="T3" s="16">
        <v>708</v>
      </c>
      <c r="U3" s="16">
        <v>0</v>
      </c>
      <c r="V3" s="16">
        <v>187</v>
      </c>
      <c r="W3" s="16">
        <v>52</v>
      </c>
      <c r="X3" s="16">
        <v>89</v>
      </c>
      <c r="Y3" s="16">
        <v>2168</v>
      </c>
      <c r="Z3" s="16">
        <v>948</v>
      </c>
      <c r="AA3" s="16">
        <v>0</v>
      </c>
      <c r="AB3" s="16">
        <v>187</v>
      </c>
      <c r="AC3" s="16">
        <v>1016</v>
      </c>
      <c r="AD3" s="16">
        <v>683</v>
      </c>
      <c r="AE3" s="16">
        <v>3038</v>
      </c>
      <c r="AF3" s="16">
        <v>968</v>
      </c>
      <c r="AG3" s="16">
        <v>1358</v>
      </c>
      <c r="AH3" s="16">
        <v>495</v>
      </c>
      <c r="AI3" s="16">
        <v>9348</v>
      </c>
      <c r="AJ3" s="16">
        <v>1558</v>
      </c>
      <c r="AK3" s="16">
        <v>90796</v>
      </c>
      <c r="AL3" s="16">
        <v>1806</v>
      </c>
      <c r="AM3" s="16">
        <v>80416</v>
      </c>
      <c r="AN3" s="16">
        <v>2167</v>
      </c>
      <c r="AO3" s="16">
        <v>72956</v>
      </c>
      <c r="AP3" s="16">
        <v>2217</v>
      </c>
      <c r="AQ3" s="16">
        <v>7460</v>
      </c>
      <c r="AR3" s="16">
        <v>1314</v>
      </c>
      <c r="AS3" s="16">
        <v>5635</v>
      </c>
      <c r="AT3" s="16">
        <v>1189</v>
      </c>
      <c r="AU3" s="16">
        <v>870</v>
      </c>
      <c r="AV3" s="16">
        <v>500</v>
      </c>
      <c r="AW3" s="16">
        <v>955</v>
      </c>
      <c r="AX3" s="16">
        <v>402</v>
      </c>
      <c r="AY3" s="16">
        <v>3640</v>
      </c>
      <c r="AZ3" s="16">
        <v>1179</v>
      </c>
      <c r="BA3" s="16">
        <v>1420</v>
      </c>
      <c r="BB3" s="16">
        <v>587</v>
      </c>
      <c r="BC3" s="16">
        <v>0</v>
      </c>
      <c r="BD3" s="16">
        <v>187</v>
      </c>
      <c r="BE3" s="16">
        <v>52</v>
      </c>
      <c r="BF3" s="16">
        <v>89</v>
      </c>
      <c r="BG3" s="16">
        <v>2168</v>
      </c>
      <c r="BH3" s="16">
        <v>948</v>
      </c>
      <c r="BI3" s="16">
        <v>0</v>
      </c>
      <c r="BJ3" s="16">
        <v>187</v>
      </c>
      <c r="BK3" s="16">
        <v>740</v>
      </c>
      <c r="BL3" s="16">
        <v>583</v>
      </c>
      <c r="BM3" s="16">
        <v>1569</v>
      </c>
      <c r="BN3" s="16">
        <v>712</v>
      </c>
      <c r="BO3" s="16">
        <v>890</v>
      </c>
      <c r="BP3" s="16">
        <v>395</v>
      </c>
      <c r="BQ3" s="16">
        <v>3541</v>
      </c>
      <c r="BR3" s="16">
        <v>1019</v>
      </c>
      <c r="BS3" s="16">
        <v>66490</v>
      </c>
      <c r="BT3" s="16">
        <v>2404</v>
      </c>
      <c r="BU3" s="16">
        <v>57699</v>
      </c>
      <c r="BV3" s="16">
        <v>2629</v>
      </c>
      <c r="BW3" s="16">
        <v>51039</v>
      </c>
      <c r="BX3" s="16">
        <v>2739</v>
      </c>
      <c r="BY3" s="16">
        <v>6660</v>
      </c>
      <c r="BZ3" s="16">
        <v>1289</v>
      </c>
      <c r="CA3" s="16">
        <v>5296</v>
      </c>
      <c r="CB3" s="16">
        <v>1174</v>
      </c>
      <c r="CC3" s="16">
        <v>431</v>
      </c>
      <c r="CD3" s="16">
        <v>236</v>
      </c>
      <c r="CE3" s="16">
        <v>933</v>
      </c>
      <c r="CF3" s="16">
        <v>547</v>
      </c>
      <c r="CG3" s="16">
        <v>771</v>
      </c>
      <c r="CH3" s="16">
        <v>390</v>
      </c>
      <c r="CI3" s="16">
        <v>771</v>
      </c>
      <c r="CJ3" s="16">
        <v>390</v>
      </c>
      <c r="CK3" s="16">
        <v>0</v>
      </c>
      <c r="CL3" s="16">
        <v>187</v>
      </c>
      <c r="CM3" s="16">
        <v>0</v>
      </c>
      <c r="CN3" s="16">
        <v>187</v>
      </c>
      <c r="CO3" s="16">
        <v>0</v>
      </c>
      <c r="CP3" s="16">
        <v>187</v>
      </c>
      <c r="CQ3" s="16">
        <v>0</v>
      </c>
      <c r="CR3" s="16">
        <v>187</v>
      </c>
      <c r="CS3" s="16">
        <v>276</v>
      </c>
      <c r="CT3" s="16">
        <v>251</v>
      </c>
      <c r="CU3" s="16">
        <v>1469</v>
      </c>
      <c r="CV3" s="16">
        <v>743</v>
      </c>
      <c r="CW3" s="16">
        <v>468</v>
      </c>
      <c r="CX3" s="16">
        <v>336</v>
      </c>
      <c r="CY3" s="16">
        <v>5807</v>
      </c>
      <c r="CZ3" s="16">
        <v>1292</v>
      </c>
    </row>
    <row r="4" spans="1:104" ht="15.75" customHeight="1" x14ac:dyDescent="0.25">
      <c r="A4" s="15" t="s">
        <v>223</v>
      </c>
      <c r="B4" s="15" t="s">
        <v>224</v>
      </c>
      <c r="C4" s="16">
        <v>556252</v>
      </c>
      <c r="D4" s="16">
        <v>8181</v>
      </c>
      <c r="E4" s="16">
        <v>480397</v>
      </c>
      <c r="F4" s="16">
        <v>8385</v>
      </c>
      <c r="G4" s="16">
        <v>415291</v>
      </c>
      <c r="H4" s="16">
        <v>8066</v>
      </c>
      <c r="I4" s="16">
        <v>65106</v>
      </c>
      <c r="J4" s="16">
        <v>5339</v>
      </c>
      <c r="K4" s="16">
        <v>49254</v>
      </c>
      <c r="L4" s="16">
        <v>4648</v>
      </c>
      <c r="M4" s="16">
        <v>9222</v>
      </c>
      <c r="N4" s="16">
        <v>2023</v>
      </c>
      <c r="O4" s="16">
        <v>6630</v>
      </c>
      <c r="P4" s="16">
        <v>1852</v>
      </c>
      <c r="Q4" s="16">
        <v>21773</v>
      </c>
      <c r="R4" s="16">
        <v>2568</v>
      </c>
      <c r="S4" s="16">
        <v>14280</v>
      </c>
      <c r="T4" s="16">
        <v>2208</v>
      </c>
      <c r="U4" s="16">
        <v>2472</v>
      </c>
      <c r="V4" s="16">
        <v>1097</v>
      </c>
      <c r="W4" s="16">
        <v>1841</v>
      </c>
      <c r="X4" s="16">
        <v>527</v>
      </c>
      <c r="Y4" s="16">
        <v>3180</v>
      </c>
      <c r="Z4" s="16">
        <v>970</v>
      </c>
      <c r="AA4" s="16">
        <v>0</v>
      </c>
      <c r="AB4" s="16">
        <v>187</v>
      </c>
      <c r="AC4" s="16">
        <v>6076</v>
      </c>
      <c r="AD4" s="16">
        <v>1276</v>
      </c>
      <c r="AE4" s="16">
        <v>14367</v>
      </c>
      <c r="AF4" s="16">
        <v>2804</v>
      </c>
      <c r="AG4" s="16">
        <v>4500</v>
      </c>
      <c r="AH4" s="16">
        <v>1125</v>
      </c>
      <c r="AI4" s="16">
        <v>29139</v>
      </c>
      <c r="AJ4" s="16">
        <v>3039</v>
      </c>
      <c r="AK4" s="16">
        <v>305468</v>
      </c>
      <c r="AL4" s="16">
        <v>4365</v>
      </c>
      <c r="AM4" s="16">
        <v>262906</v>
      </c>
      <c r="AN4" s="16">
        <v>5125</v>
      </c>
      <c r="AO4" s="16">
        <v>227741</v>
      </c>
      <c r="AP4" s="16">
        <v>5162</v>
      </c>
      <c r="AQ4" s="16">
        <v>35165</v>
      </c>
      <c r="AR4" s="16">
        <v>3726</v>
      </c>
      <c r="AS4" s="16">
        <v>24946</v>
      </c>
      <c r="AT4" s="16">
        <v>2951</v>
      </c>
      <c r="AU4" s="16">
        <v>5905</v>
      </c>
      <c r="AV4" s="16">
        <v>1887</v>
      </c>
      <c r="AW4" s="16">
        <v>4314</v>
      </c>
      <c r="AX4" s="16">
        <v>1408</v>
      </c>
      <c r="AY4" s="16">
        <v>13663</v>
      </c>
      <c r="AZ4" s="16">
        <v>1983</v>
      </c>
      <c r="BA4" s="16">
        <v>8872</v>
      </c>
      <c r="BB4" s="16">
        <v>1685</v>
      </c>
      <c r="BC4" s="16">
        <v>1237</v>
      </c>
      <c r="BD4" s="16">
        <v>727</v>
      </c>
      <c r="BE4" s="16">
        <v>1327</v>
      </c>
      <c r="BF4" s="16">
        <v>424</v>
      </c>
      <c r="BG4" s="16">
        <v>2227</v>
      </c>
      <c r="BH4" s="16">
        <v>738</v>
      </c>
      <c r="BI4" s="16">
        <v>0</v>
      </c>
      <c r="BJ4" s="16">
        <v>187</v>
      </c>
      <c r="BK4" s="16">
        <v>3839</v>
      </c>
      <c r="BL4" s="16">
        <v>1060</v>
      </c>
      <c r="BM4" s="16">
        <v>7783</v>
      </c>
      <c r="BN4" s="16">
        <v>2129</v>
      </c>
      <c r="BO4" s="16">
        <v>3253</v>
      </c>
      <c r="BP4" s="16">
        <v>870</v>
      </c>
      <c r="BQ4" s="16">
        <v>14024</v>
      </c>
      <c r="BR4" s="16">
        <v>2021</v>
      </c>
      <c r="BS4" s="16">
        <v>250784</v>
      </c>
      <c r="BT4" s="16">
        <v>5652</v>
      </c>
      <c r="BU4" s="16">
        <v>217491</v>
      </c>
      <c r="BV4" s="16">
        <v>6175</v>
      </c>
      <c r="BW4" s="16">
        <v>187550</v>
      </c>
      <c r="BX4" s="16">
        <v>6155</v>
      </c>
      <c r="BY4" s="16">
        <v>29941</v>
      </c>
      <c r="BZ4" s="16">
        <v>3259</v>
      </c>
      <c r="CA4" s="16">
        <v>24308</v>
      </c>
      <c r="CB4" s="16">
        <v>3192</v>
      </c>
      <c r="CC4" s="16">
        <v>3317</v>
      </c>
      <c r="CD4" s="16">
        <v>701</v>
      </c>
      <c r="CE4" s="16">
        <v>2316</v>
      </c>
      <c r="CF4" s="16">
        <v>918</v>
      </c>
      <c r="CG4" s="16">
        <v>8110</v>
      </c>
      <c r="CH4" s="16">
        <v>1646</v>
      </c>
      <c r="CI4" s="16">
        <v>5408</v>
      </c>
      <c r="CJ4" s="16">
        <v>1427</v>
      </c>
      <c r="CK4" s="16">
        <v>1235</v>
      </c>
      <c r="CL4" s="16">
        <v>799</v>
      </c>
      <c r="CM4" s="16">
        <v>514</v>
      </c>
      <c r="CN4" s="16">
        <v>282</v>
      </c>
      <c r="CO4" s="16">
        <v>953</v>
      </c>
      <c r="CP4" s="16">
        <v>511</v>
      </c>
      <c r="CQ4" s="16">
        <v>0</v>
      </c>
      <c r="CR4" s="16">
        <v>187</v>
      </c>
      <c r="CS4" s="16">
        <v>2237</v>
      </c>
      <c r="CT4" s="16">
        <v>819</v>
      </c>
      <c r="CU4" s="16">
        <v>6584</v>
      </c>
      <c r="CV4" s="16">
        <v>1396</v>
      </c>
      <c r="CW4" s="16">
        <v>1247</v>
      </c>
      <c r="CX4" s="16">
        <v>504</v>
      </c>
      <c r="CY4" s="16">
        <v>15115</v>
      </c>
      <c r="CZ4" s="16">
        <v>2107</v>
      </c>
    </row>
    <row r="5" spans="1:104" ht="15.75" customHeight="1" x14ac:dyDescent="0.25">
      <c r="A5" s="15" t="s">
        <v>225</v>
      </c>
      <c r="B5" s="15" t="s">
        <v>226</v>
      </c>
      <c r="C5" s="16">
        <v>254509</v>
      </c>
      <c r="D5" s="16">
        <v>4590</v>
      </c>
      <c r="E5" s="16">
        <v>215584</v>
      </c>
      <c r="F5" s="16">
        <v>4020</v>
      </c>
      <c r="G5" s="16">
        <v>186555</v>
      </c>
      <c r="H5" s="16">
        <v>3870</v>
      </c>
      <c r="I5" s="16">
        <v>29029</v>
      </c>
      <c r="J5" s="16">
        <v>2929</v>
      </c>
      <c r="K5" s="16">
        <v>22355</v>
      </c>
      <c r="L5" s="16">
        <v>2732</v>
      </c>
      <c r="M5" s="16">
        <v>3732</v>
      </c>
      <c r="N5" s="16">
        <v>1148</v>
      </c>
      <c r="O5" s="16">
        <v>2942</v>
      </c>
      <c r="P5" s="16">
        <v>875</v>
      </c>
      <c r="Q5" s="16">
        <v>5295</v>
      </c>
      <c r="R5" s="16">
        <v>1345</v>
      </c>
      <c r="S5" s="16">
        <v>2233</v>
      </c>
      <c r="T5" s="16">
        <v>688</v>
      </c>
      <c r="U5" s="16">
        <v>40</v>
      </c>
      <c r="V5" s="16">
        <v>77</v>
      </c>
      <c r="W5" s="16">
        <v>627</v>
      </c>
      <c r="X5" s="16">
        <v>546</v>
      </c>
      <c r="Y5" s="16">
        <v>2298</v>
      </c>
      <c r="Z5" s="16">
        <v>743</v>
      </c>
      <c r="AA5" s="16">
        <v>97</v>
      </c>
      <c r="AB5" s="16">
        <v>165</v>
      </c>
      <c r="AC5" s="16">
        <v>3777</v>
      </c>
      <c r="AD5" s="16">
        <v>887</v>
      </c>
      <c r="AE5" s="16">
        <v>10227</v>
      </c>
      <c r="AF5" s="16">
        <v>1771</v>
      </c>
      <c r="AG5" s="16">
        <v>2860</v>
      </c>
      <c r="AH5" s="16">
        <v>759</v>
      </c>
      <c r="AI5" s="16">
        <v>16766</v>
      </c>
      <c r="AJ5" s="16">
        <v>1701</v>
      </c>
      <c r="AK5" s="16">
        <v>150222</v>
      </c>
      <c r="AL5" s="16">
        <v>2885</v>
      </c>
      <c r="AM5" s="16">
        <v>128393</v>
      </c>
      <c r="AN5" s="16">
        <v>2649</v>
      </c>
      <c r="AO5" s="16">
        <v>111358</v>
      </c>
      <c r="AP5" s="16">
        <v>2496</v>
      </c>
      <c r="AQ5" s="16">
        <v>17035</v>
      </c>
      <c r="AR5" s="16">
        <v>1875</v>
      </c>
      <c r="AS5" s="16">
        <v>12809</v>
      </c>
      <c r="AT5" s="16">
        <v>1796</v>
      </c>
      <c r="AU5" s="16">
        <v>1924</v>
      </c>
      <c r="AV5" s="16">
        <v>745</v>
      </c>
      <c r="AW5" s="16">
        <v>2302</v>
      </c>
      <c r="AX5" s="16">
        <v>795</v>
      </c>
      <c r="AY5" s="16">
        <v>3451</v>
      </c>
      <c r="AZ5" s="16">
        <v>892</v>
      </c>
      <c r="BA5" s="16">
        <v>1407</v>
      </c>
      <c r="BB5" s="16">
        <v>536</v>
      </c>
      <c r="BC5" s="16">
        <v>0</v>
      </c>
      <c r="BD5" s="16">
        <v>187</v>
      </c>
      <c r="BE5" s="16">
        <v>75</v>
      </c>
      <c r="BF5" s="16">
        <v>81</v>
      </c>
      <c r="BG5" s="16">
        <v>1920</v>
      </c>
      <c r="BH5" s="16">
        <v>726</v>
      </c>
      <c r="BI5" s="16">
        <v>49</v>
      </c>
      <c r="BJ5" s="16">
        <v>83</v>
      </c>
      <c r="BK5" s="16">
        <v>2875</v>
      </c>
      <c r="BL5" s="16">
        <v>793</v>
      </c>
      <c r="BM5" s="16">
        <v>5572</v>
      </c>
      <c r="BN5" s="16">
        <v>1061</v>
      </c>
      <c r="BO5" s="16">
        <v>2179</v>
      </c>
      <c r="BP5" s="16">
        <v>658</v>
      </c>
      <c r="BQ5" s="16">
        <v>7752</v>
      </c>
      <c r="BR5" s="16">
        <v>1107</v>
      </c>
      <c r="BS5" s="16">
        <v>104287</v>
      </c>
      <c r="BT5" s="16">
        <v>3160</v>
      </c>
      <c r="BU5" s="16">
        <v>87191</v>
      </c>
      <c r="BV5" s="16">
        <v>2977</v>
      </c>
      <c r="BW5" s="16">
        <v>75197</v>
      </c>
      <c r="BX5" s="16">
        <v>2895</v>
      </c>
      <c r="BY5" s="16">
        <v>11994</v>
      </c>
      <c r="BZ5" s="16">
        <v>1792</v>
      </c>
      <c r="CA5" s="16">
        <v>9546</v>
      </c>
      <c r="CB5" s="16">
        <v>1572</v>
      </c>
      <c r="CC5" s="16">
        <v>1808</v>
      </c>
      <c r="CD5" s="16">
        <v>668</v>
      </c>
      <c r="CE5" s="16">
        <v>640</v>
      </c>
      <c r="CF5" s="16">
        <v>296</v>
      </c>
      <c r="CG5" s="16">
        <v>1844</v>
      </c>
      <c r="CH5" s="16">
        <v>668</v>
      </c>
      <c r="CI5" s="16">
        <v>826</v>
      </c>
      <c r="CJ5" s="16">
        <v>388</v>
      </c>
      <c r="CK5" s="16">
        <v>40</v>
      </c>
      <c r="CL5" s="16">
        <v>77</v>
      </c>
      <c r="CM5" s="16">
        <v>552</v>
      </c>
      <c r="CN5" s="16">
        <v>545</v>
      </c>
      <c r="CO5" s="16">
        <v>378</v>
      </c>
      <c r="CP5" s="16">
        <v>217</v>
      </c>
      <c r="CQ5" s="16">
        <v>48</v>
      </c>
      <c r="CR5" s="16">
        <v>82</v>
      </c>
      <c r="CS5" s="16">
        <v>902</v>
      </c>
      <c r="CT5" s="16">
        <v>331</v>
      </c>
      <c r="CU5" s="16">
        <v>4655</v>
      </c>
      <c r="CV5" s="16">
        <v>1142</v>
      </c>
      <c r="CW5" s="16">
        <v>681</v>
      </c>
      <c r="CX5" s="16">
        <v>318</v>
      </c>
      <c r="CY5" s="16">
        <v>9014</v>
      </c>
      <c r="CZ5" s="16">
        <v>1281</v>
      </c>
    </row>
    <row r="6" spans="1:104" ht="15.75" customHeight="1" x14ac:dyDescent="0.25">
      <c r="A6" s="15" t="s">
        <v>227</v>
      </c>
      <c r="B6" s="15" t="s">
        <v>228</v>
      </c>
      <c r="C6" s="16">
        <v>112484</v>
      </c>
      <c r="D6" s="16">
        <v>3249</v>
      </c>
      <c r="E6" s="16">
        <v>100936</v>
      </c>
      <c r="F6" s="16">
        <v>3511</v>
      </c>
      <c r="G6" s="16">
        <v>90547</v>
      </c>
      <c r="H6" s="16">
        <v>3978</v>
      </c>
      <c r="I6" s="16">
        <v>10389</v>
      </c>
      <c r="J6" s="16">
        <v>1832</v>
      </c>
      <c r="K6" s="16">
        <v>7482</v>
      </c>
      <c r="L6" s="16">
        <v>1649</v>
      </c>
      <c r="M6" s="16">
        <v>2047</v>
      </c>
      <c r="N6" s="16">
        <v>897</v>
      </c>
      <c r="O6" s="16">
        <v>860</v>
      </c>
      <c r="P6" s="16">
        <v>496</v>
      </c>
      <c r="Q6" s="16">
        <v>1881</v>
      </c>
      <c r="R6" s="16">
        <v>810</v>
      </c>
      <c r="S6" s="16">
        <v>1272</v>
      </c>
      <c r="T6" s="16">
        <v>721</v>
      </c>
      <c r="U6" s="16">
        <v>0</v>
      </c>
      <c r="V6" s="16">
        <v>187</v>
      </c>
      <c r="W6" s="16">
        <v>0</v>
      </c>
      <c r="X6" s="16">
        <v>187</v>
      </c>
      <c r="Y6" s="16">
        <v>609</v>
      </c>
      <c r="Z6" s="16">
        <v>378</v>
      </c>
      <c r="AA6" s="16">
        <v>0</v>
      </c>
      <c r="AB6" s="16">
        <v>187</v>
      </c>
      <c r="AC6" s="16">
        <v>722</v>
      </c>
      <c r="AD6" s="16">
        <v>402</v>
      </c>
      <c r="AE6" s="16">
        <v>1488</v>
      </c>
      <c r="AF6" s="16">
        <v>646</v>
      </c>
      <c r="AG6" s="16">
        <v>1558</v>
      </c>
      <c r="AH6" s="16">
        <v>560</v>
      </c>
      <c r="AI6" s="16">
        <v>5899</v>
      </c>
      <c r="AJ6" s="16">
        <v>1175</v>
      </c>
      <c r="AK6" s="16">
        <v>62648</v>
      </c>
      <c r="AL6" s="16">
        <v>2090</v>
      </c>
      <c r="AM6" s="16">
        <v>57519</v>
      </c>
      <c r="AN6" s="16">
        <v>2243</v>
      </c>
      <c r="AO6" s="16">
        <v>51570</v>
      </c>
      <c r="AP6" s="16">
        <v>2421</v>
      </c>
      <c r="AQ6" s="16">
        <v>5949</v>
      </c>
      <c r="AR6" s="16">
        <v>1169</v>
      </c>
      <c r="AS6" s="16">
        <v>3967</v>
      </c>
      <c r="AT6" s="16">
        <v>922</v>
      </c>
      <c r="AU6" s="16">
        <v>1164</v>
      </c>
      <c r="AV6" s="16">
        <v>664</v>
      </c>
      <c r="AW6" s="16">
        <v>818</v>
      </c>
      <c r="AX6" s="16">
        <v>495</v>
      </c>
      <c r="AY6" s="16">
        <v>582</v>
      </c>
      <c r="AZ6" s="16">
        <v>259</v>
      </c>
      <c r="BA6" s="16">
        <v>390</v>
      </c>
      <c r="BB6" s="16">
        <v>238</v>
      </c>
      <c r="BC6" s="16">
        <v>0</v>
      </c>
      <c r="BD6" s="16">
        <v>187</v>
      </c>
      <c r="BE6" s="16">
        <v>0</v>
      </c>
      <c r="BF6" s="16">
        <v>187</v>
      </c>
      <c r="BG6" s="16">
        <v>192</v>
      </c>
      <c r="BH6" s="16">
        <v>163</v>
      </c>
      <c r="BI6" s="16">
        <v>0</v>
      </c>
      <c r="BJ6" s="16">
        <v>187</v>
      </c>
      <c r="BK6" s="16">
        <v>460</v>
      </c>
      <c r="BL6" s="16">
        <v>359</v>
      </c>
      <c r="BM6" s="16">
        <v>650</v>
      </c>
      <c r="BN6" s="16">
        <v>379</v>
      </c>
      <c r="BO6" s="16">
        <v>1147</v>
      </c>
      <c r="BP6" s="16">
        <v>500</v>
      </c>
      <c r="BQ6" s="16">
        <v>2290</v>
      </c>
      <c r="BR6" s="16">
        <v>713</v>
      </c>
      <c r="BS6" s="16">
        <v>49836</v>
      </c>
      <c r="BT6" s="16">
        <v>2253</v>
      </c>
      <c r="BU6" s="16">
        <v>43417</v>
      </c>
      <c r="BV6" s="16">
        <v>2405</v>
      </c>
      <c r="BW6" s="16">
        <v>38977</v>
      </c>
      <c r="BX6" s="16">
        <v>2753</v>
      </c>
      <c r="BY6" s="16">
        <v>4440</v>
      </c>
      <c r="BZ6" s="16">
        <v>1119</v>
      </c>
      <c r="CA6" s="16">
        <v>3515</v>
      </c>
      <c r="CB6" s="16">
        <v>1036</v>
      </c>
      <c r="CC6" s="16">
        <v>883</v>
      </c>
      <c r="CD6" s="16">
        <v>473</v>
      </c>
      <c r="CE6" s="16">
        <v>42</v>
      </c>
      <c r="CF6" s="16">
        <v>70</v>
      </c>
      <c r="CG6" s="16">
        <v>1299</v>
      </c>
      <c r="CH6" s="16">
        <v>759</v>
      </c>
      <c r="CI6" s="16">
        <v>882</v>
      </c>
      <c r="CJ6" s="16">
        <v>677</v>
      </c>
      <c r="CK6" s="16">
        <v>0</v>
      </c>
      <c r="CL6" s="16">
        <v>187</v>
      </c>
      <c r="CM6" s="16">
        <v>0</v>
      </c>
      <c r="CN6" s="16">
        <v>187</v>
      </c>
      <c r="CO6" s="16">
        <v>417</v>
      </c>
      <c r="CP6" s="16">
        <v>343</v>
      </c>
      <c r="CQ6" s="16">
        <v>0</v>
      </c>
      <c r="CR6" s="16">
        <v>187</v>
      </c>
      <c r="CS6" s="16">
        <v>262</v>
      </c>
      <c r="CT6" s="16">
        <v>202</v>
      </c>
      <c r="CU6" s="16">
        <v>838</v>
      </c>
      <c r="CV6" s="16">
        <v>462</v>
      </c>
      <c r="CW6" s="16">
        <v>411</v>
      </c>
      <c r="CX6" s="16">
        <v>297</v>
      </c>
      <c r="CY6" s="16">
        <v>3609</v>
      </c>
      <c r="CZ6" s="16">
        <v>834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161995</v>
      </c>
      <c r="D3" s="16">
        <v>4289</v>
      </c>
      <c r="E3" s="16">
        <v>147690</v>
      </c>
      <c r="F3" s="16">
        <v>4541</v>
      </c>
      <c r="G3" s="16">
        <v>128667</v>
      </c>
      <c r="H3" s="16">
        <v>3954</v>
      </c>
      <c r="I3" s="16">
        <v>19023</v>
      </c>
      <c r="J3" s="16">
        <v>2611</v>
      </c>
      <c r="K3" s="16">
        <v>14910</v>
      </c>
      <c r="L3" s="16">
        <v>2424</v>
      </c>
      <c r="M3" s="16">
        <v>2181</v>
      </c>
      <c r="N3" s="16">
        <v>955</v>
      </c>
      <c r="O3" s="16">
        <v>1932</v>
      </c>
      <c r="P3" s="16">
        <v>786</v>
      </c>
      <c r="Q3" s="16">
        <v>3591</v>
      </c>
      <c r="R3" s="16">
        <v>852</v>
      </c>
      <c r="S3" s="16">
        <v>1937</v>
      </c>
      <c r="T3" s="16">
        <v>740</v>
      </c>
      <c r="U3" s="16">
        <v>143</v>
      </c>
      <c r="V3" s="16">
        <v>171</v>
      </c>
      <c r="W3" s="16">
        <v>273</v>
      </c>
      <c r="X3" s="16">
        <v>220</v>
      </c>
      <c r="Y3" s="16">
        <v>1238</v>
      </c>
      <c r="Z3" s="16">
        <v>583</v>
      </c>
      <c r="AA3" s="16">
        <v>0</v>
      </c>
      <c r="AB3" s="16">
        <v>190</v>
      </c>
      <c r="AC3" s="16">
        <v>387</v>
      </c>
      <c r="AD3" s="16">
        <v>402</v>
      </c>
      <c r="AE3" s="16">
        <v>1610</v>
      </c>
      <c r="AF3" s="16">
        <v>618</v>
      </c>
      <c r="AG3" s="16">
        <v>1161</v>
      </c>
      <c r="AH3" s="16">
        <v>586</v>
      </c>
      <c r="AI3" s="16">
        <v>7556</v>
      </c>
      <c r="AJ3" s="16">
        <v>1370</v>
      </c>
      <c r="AK3" s="16">
        <v>92355</v>
      </c>
      <c r="AL3" s="16">
        <v>2733</v>
      </c>
      <c r="AM3" s="16">
        <v>84264</v>
      </c>
      <c r="AN3" s="16">
        <v>2751</v>
      </c>
      <c r="AO3" s="16">
        <v>73010</v>
      </c>
      <c r="AP3" s="16">
        <v>2506</v>
      </c>
      <c r="AQ3" s="16">
        <v>11254</v>
      </c>
      <c r="AR3" s="16">
        <v>1679</v>
      </c>
      <c r="AS3" s="16">
        <v>8451</v>
      </c>
      <c r="AT3" s="16">
        <v>1440</v>
      </c>
      <c r="AU3" s="16">
        <v>1545</v>
      </c>
      <c r="AV3" s="16">
        <v>862</v>
      </c>
      <c r="AW3" s="16">
        <v>1258</v>
      </c>
      <c r="AX3" s="16">
        <v>603</v>
      </c>
      <c r="AY3" s="16">
        <v>2626</v>
      </c>
      <c r="AZ3" s="16">
        <v>741</v>
      </c>
      <c r="BA3" s="16">
        <v>1483</v>
      </c>
      <c r="BB3" s="16">
        <v>617</v>
      </c>
      <c r="BC3" s="16">
        <v>143</v>
      </c>
      <c r="BD3" s="16">
        <v>171</v>
      </c>
      <c r="BE3" s="16">
        <v>197</v>
      </c>
      <c r="BF3" s="16">
        <v>170</v>
      </c>
      <c r="BG3" s="16">
        <v>803</v>
      </c>
      <c r="BH3" s="16">
        <v>498</v>
      </c>
      <c r="BI3" s="16">
        <v>0</v>
      </c>
      <c r="BJ3" s="16">
        <v>190</v>
      </c>
      <c r="BK3" s="16">
        <v>311</v>
      </c>
      <c r="BL3" s="16">
        <v>375</v>
      </c>
      <c r="BM3" s="16">
        <v>673</v>
      </c>
      <c r="BN3" s="16">
        <v>405</v>
      </c>
      <c r="BO3" s="16">
        <v>1076</v>
      </c>
      <c r="BP3" s="16">
        <v>573</v>
      </c>
      <c r="BQ3" s="16">
        <v>3405</v>
      </c>
      <c r="BR3" s="16">
        <v>858</v>
      </c>
      <c r="BS3" s="16">
        <v>69640</v>
      </c>
      <c r="BT3" s="16">
        <v>2819</v>
      </c>
      <c r="BU3" s="16">
        <v>63426</v>
      </c>
      <c r="BV3" s="16">
        <v>2966</v>
      </c>
      <c r="BW3" s="16">
        <v>55657</v>
      </c>
      <c r="BX3" s="16">
        <v>2786</v>
      </c>
      <c r="BY3" s="16">
        <v>7769</v>
      </c>
      <c r="BZ3" s="16">
        <v>1482</v>
      </c>
      <c r="CA3" s="16">
        <v>6459</v>
      </c>
      <c r="CB3" s="16">
        <v>1394</v>
      </c>
      <c r="CC3" s="16">
        <v>636</v>
      </c>
      <c r="CD3" s="16">
        <v>346</v>
      </c>
      <c r="CE3" s="16">
        <v>674</v>
      </c>
      <c r="CF3" s="16">
        <v>415</v>
      </c>
      <c r="CG3" s="16">
        <v>965</v>
      </c>
      <c r="CH3" s="16">
        <v>432</v>
      </c>
      <c r="CI3" s="16">
        <v>454</v>
      </c>
      <c r="CJ3" s="16">
        <v>373</v>
      </c>
      <c r="CK3" s="16">
        <v>0</v>
      </c>
      <c r="CL3" s="16">
        <v>190</v>
      </c>
      <c r="CM3" s="16">
        <v>76</v>
      </c>
      <c r="CN3" s="16">
        <v>128</v>
      </c>
      <c r="CO3" s="16">
        <v>435</v>
      </c>
      <c r="CP3" s="16">
        <v>274</v>
      </c>
      <c r="CQ3" s="16">
        <v>0</v>
      </c>
      <c r="CR3" s="16">
        <v>190</v>
      </c>
      <c r="CS3" s="16">
        <v>76</v>
      </c>
      <c r="CT3" s="16">
        <v>127</v>
      </c>
      <c r="CU3" s="16">
        <v>937</v>
      </c>
      <c r="CV3" s="16">
        <v>515</v>
      </c>
      <c r="CW3" s="16">
        <v>85</v>
      </c>
      <c r="CX3" s="16">
        <v>106</v>
      </c>
      <c r="CY3" s="16">
        <v>4151</v>
      </c>
      <c r="CZ3" s="16">
        <v>1061</v>
      </c>
    </row>
    <row r="4" spans="1:104" ht="15.75" customHeight="1" x14ac:dyDescent="0.25">
      <c r="A4" s="15" t="s">
        <v>223</v>
      </c>
      <c r="B4" s="15" t="s">
        <v>224</v>
      </c>
      <c r="C4" s="16">
        <v>573972</v>
      </c>
      <c r="D4" s="16">
        <v>6483</v>
      </c>
      <c r="E4" s="16">
        <v>489166</v>
      </c>
      <c r="F4" s="16">
        <v>7726</v>
      </c>
      <c r="G4" s="16">
        <v>428563</v>
      </c>
      <c r="H4" s="16">
        <v>8601</v>
      </c>
      <c r="I4" s="16">
        <v>60603</v>
      </c>
      <c r="J4" s="16">
        <v>5456</v>
      </c>
      <c r="K4" s="16">
        <v>47692</v>
      </c>
      <c r="L4" s="16">
        <v>4668</v>
      </c>
      <c r="M4" s="16">
        <v>7371</v>
      </c>
      <c r="N4" s="16">
        <v>1623</v>
      </c>
      <c r="O4" s="16">
        <v>5540</v>
      </c>
      <c r="P4" s="16">
        <v>1451</v>
      </c>
      <c r="Q4" s="16">
        <v>27207</v>
      </c>
      <c r="R4" s="16">
        <v>4135</v>
      </c>
      <c r="S4" s="16">
        <v>16484</v>
      </c>
      <c r="T4" s="16">
        <v>3574</v>
      </c>
      <c r="U4" s="16">
        <v>3431</v>
      </c>
      <c r="V4" s="16">
        <v>950</v>
      </c>
      <c r="W4" s="16">
        <v>2660</v>
      </c>
      <c r="X4" s="16">
        <v>814</v>
      </c>
      <c r="Y4" s="16">
        <v>4395</v>
      </c>
      <c r="Z4" s="16">
        <v>1189</v>
      </c>
      <c r="AA4" s="16">
        <v>237</v>
      </c>
      <c r="AB4" s="16">
        <v>241</v>
      </c>
      <c r="AC4" s="16">
        <v>4175</v>
      </c>
      <c r="AD4" s="16">
        <v>1124</v>
      </c>
      <c r="AE4" s="16">
        <v>14704</v>
      </c>
      <c r="AF4" s="16">
        <v>2455</v>
      </c>
      <c r="AG4" s="16">
        <v>5532</v>
      </c>
      <c r="AH4" s="16">
        <v>1514</v>
      </c>
      <c r="AI4" s="16">
        <v>33188</v>
      </c>
      <c r="AJ4" s="16">
        <v>3272</v>
      </c>
      <c r="AK4" s="16">
        <v>316320</v>
      </c>
      <c r="AL4" s="16">
        <v>4235</v>
      </c>
      <c r="AM4" s="16">
        <v>269086</v>
      </c>
      <c r="AN4" s="16">
        <v>4786</v>
      </c>
      <c r="AO4" s="16">
        <v>237171</v>
      </c>
      <c r="AP4" s="16">
        <v>5032</v>
      </c>
      <c r="AQ4" s="16">
        <v>31915</v>
      </c>
      <c r="AR4" s="16">
        <v>3086</v>
      </c>
      <c r="AS4" s="16">
        <v>24238</v>
      </c>
      <c r="AT4" s="16">
        <v>2525</v>
      </c>
      <c r="AU4" s="16">
        <v>4356</v>
      </c>
      <c r="AV4" s="16">
        <v>1391</v>
      </c>
      <c r="AW4" s="16">
        <v>3321</v>
      </c>
      <c r="AX4" s="16">
        <v>1068</v>
      </c>
      <c r="AY4" s="16">
        <v>16260</v>
      </c>
      <c r="AZ4" s="16">
        <v>2803</v>
      </c>
      <c r="BA4" s="16">
        <v>9535</v>
      </c>
      <c r="BB4" s="16">
        <v>2386</v>
      </c>
      <c r="BC4" s="16">
        <v>2369</v>
      </c>
      <c r="BD4" s="16">
        <v>926</v>
      </c>
      <c r="BE4" s="16">
        <v>1837</v>
      </c>
      <c r="BF4" s="16">
        <v>676</v>
      </c>
      <c r="BG4" s="16">
        <v>2375</v>
      </c>
      <c r="BH4" s="16">
        <v>785</v>
      </c>
      <c r="BI4" s="16">
        <v>144</v>
      </c>
      <c r="BJ4" s="16">
        <v>196</v>
      </c>
      <c r="BK4" s="16">
        <v>2384</v>
      </c>
      <c r="BL4" s="16">
        <v>736</v>
      </c>
      <c r="BM4" s="16">
        <v>9082</v>
      </c>
      <c r="BN4" s="16">
        <v>1858</v>
      </c>
      <c r="BO4" s="16">
        <v>3487</v>
      </c>
      <c r="BP4" s="16">
        <v>1041</v>
      </c>
      <c r="BQ4" s="16">
        <v>16021</v>
      </c>
      <c r="BR4" s="16">
        <v>1910</v>
      </c>
      <c r="BS4" s="16">
        <v>257652</v>
      </c>
      <c r="BT4" s="16">
        <v>4470</v>
      </c>
      <c r="BU4" s="16">
        <v>220080</v>
      </c>
      <c r="BV4" s="16">
        <v>4908</v>
      </c>
      <c r="BW4" s="16">
        <v>191392</v>
      </c>
      <c r="BX4" s="16">
        <v>5413</v>
      </c>
      <c r="BY4" s="16">
        <v>28688</v>
      </c>
      <c r="BZ4" s="16">
        <v>3173</v>
      </c>
      <c r="CA4" s="16">
        <v>23454</v>
      </c>
      <c r="CB4" s="16">
        <v>2962</v>
      </c>
      <c r="CC4" s="16">
        <v>3015</v>
      </c>
      <c r="CD4" s="16">
        <v>740</v>
      </c>
      <c r="CE4" s="16">
        <v>2219</v>
      </c>
      <c r="CF4" s="16">
        <v>854</v>
      </c>
      <c r="CG4" s="16">
        <v>10947</v>
      </c>
      <c r="CH4" s="16">
        <v>2112</v>
      </c>
      <c r="CI4" s="16">
        <v>6949</v>
      </c>
      <c r="CJ4" s="16">
        <v>1796</v>
      </c>
      <c r="CK4" s="16">
        <v>1062</v>
      </c>
      <c r="CL4" s="16">
        <v>450</v>
      </c>
      <c r="CM4" s="16">
        <v>823</v>
      </c>
      <c r="CN4" s="16">
        <v>382</v>
      </c>
      <c r="CO4" s="16">
        <v>2020</v>
      </c>
      <c r="CP4" s="16">
        <v>878</v>
      </c>
      <c r="CQ4" s="16">
        <v>93</v>
      </c>
      <c r="CR4" s="16">
        <v>152</v>
      </c>
      <c r="CS4" s="16">
        <v>1791</v>
      </c>
      <c r="CT4" s="16">
        <v>849</v>
      </c>
      <c r="CU4" s="16">
        <v>5622</v>
      </c>
      <c r="CV4" s="16">
        <v>1281</v>
      </c>
      <c r="CW4" s="16">
        <v>2045</v>
      </c>
      <c r="CX4" s="16">
        <v>913</v>
      </c>
      <c r="CY4" s="16">
        <v>17167</v>
      </c>
      <c r="CZ4" s="16">
        <v>2442</v>
      </c>
    </row>
    <row r="5" spans="1:104" ht="15.75" customHeight="1" x14ac:dyDescent="0.25">
      <c r="A5" s="15" t="s">
        <v>227</v>
      </c>
      <c r="B5" s="15" t="s">
        <v>228</v>
      </c>
      <c r="C5" s="16">
        <v>117013</v>
      </c>
      <c r="D5" s="16">
        <v>3284</v>
      </c>
      <c r="E5" s="16">
        <v>106888</v>
      </c>
      <c r="F5" s="16">
        <v>3742</v>
      </c>
      <c r="G5" s="16">
        <v>95834</v>
      </c>
      <c r="H5" s="16">
        <v>3775</v>
      </c>
      <c r="I5" s="16">
        <v>11054</v>
      </c>
      <c r="J5" s="16">
        <v>2159</v>
      </c>
      <c r="K5" s="16">
        <v>8292</v>
      </c>
      <c r="L5" s="16">
        <v>1852</v>
      </c>
      <c r="M5" s="16">
        <v>1326</v>
      </c>
      <c r="N5" s="16">
        <v>606</v>
      </c>
      <c r="O5" s="16">
        <v>1436</v>
      </c>
      <c r="P5" s="16">
        <v>923</v>
      </c>
      <c r="Q5" s="16">
        <v>1766</v>
      </c>
      <c r="R5" s="16">
        <v>676</v>
      </c>
      <c r="S5" s="16">
        <v>1083</v>
      </c>
      <c r="T5" s="16">
        <v>496</v>
      </c>
      <c r="U5" s="16">
        <v>0</v>
      </c>
      <c r="V5" s="16">
        <v>190</v>
      </c>
      <c r="W5" s="16">
        <v>171</v>
      </c>
      <c r="X5" s="16">
        <v>272</v>
      </c>
      <c r="Y5" s="16">
        <v>471</v>
      </c>
      <c r="Z5" s="16">
        <v>254</v>
      </c>
      <c r="AA5" s="16">
        <v>41</v>
      </c>
      <c r="AB5" s="16">
        <v>73</v>
      </c>
      <c r="AC5" s="16">
        <v>656</v>
      </c>
      <c r="AD5" s="16">
        <v>377</v>
      </c>
      <c r="AE5" s="16">
        <v>2120</v>
      </c>
      <c r="AF5" s="16">
        <v>833</v>
      </c>
      <c r="AG5" s="16">
        <v>971</v>
      </c>
      <c r="AH5" s="16">
        <v>506</v>
      </c>
      <c r="AI5" s="16">
        <v>4612</v>
      </c>
      <c r="AJ5" s="16">
        <v>1060</v>
      </c>
      <c r="AK5" s="16">
        <v>63577</v>
      </c>
      <c r="AL5" s="16">
        <v>1924</v>
      </c>
      <c r="AM5" s="16">
        <v>58207</v>
      </c>
      <c r="AN5" s="16">
        <v>2177</v>
      </c>
      <c r="AO5" s="16">
        <v>51823</v>
      </c>
      <c r="AP5" s="16">
        <v>2566</v>
      </c>
      <c r="AQ5" s="16">
        <v>6384</v>
      </c>
      <c r="AR5" s="16">
        <v>1667</v>
      </c>
      <c r="AS5" s="16">
        <v>4906</v>
      </c>
      <c r="AT5" s="16">
        <v>1479</v>
      </c>
      <c r="AU5" s="16">
        <v>762</v>
      </c>
      <c r="AV5" s="16">
        <v>424</v>
      </c>
      <c r="AW5" s="16">
        <v>716</v>
      </c>
      <c r="AX5" s="16">
        <v>517</v>
      </c>
      <c r="AY5" s="16">
        <v>990</v>
      </c>
      <c r="AZ5" s="16">
        <v>476</v>
      </c>
      <c r="BA5" s="16">
        <v>659</v>
      </c>
      <c r="BB5" s="16">
        <v>423</v>
      </c>
      <c r="BC5" s="16">
        <v>0</v>
      </c>
      <c r="BD5" s="16">
        <v>190</v>
      </c>
      <c r="BE5" s="16">
        <v>0</v>
      </c>
      <c r="BF5" s="16">
        <v>190</v>
      </c>
      <c r="BG5" s="16">
        <v>331</v>
      </c>
      <c r="BH5" s="16">
        <v>196</v>
      </c>
      <c r="BI5" s="16">
        <v>0</v>
      </c>
      <c r="BJ5" s="16">
        <v>190</v>
      </c>
      <c r="BK5" s="16">
        <v>494</v>
      </c>
      <c r="BL5" s="16">
        <v>351</v>
      </c>
      <c r="BM5" s="16">
        <v>1590</v>
      </c>
      <c r="BN5" s="16">
        <v>727</v>
      </c>
      <c r="BO5" s="16">
        <v>758</v>
      </c>
      <c r="BP5" s="16">
        <v>393</v>
      </c>
      <c r="BQ5" s="16">
        <v>1538</v>
      </c>
      <c r="BR5" s="16">
        <v>656</v>
      </c>
      <c r="BS5" s="16">
        <v>53436</v>
      </c>
      <c r="BT5" s="16">
        <v>2383</v>
      </c>
      <c r="BU5" s="16">
        <v>48681</v>
      </c>
      <c r="BV5" s="16">
        <v>2550</v>
      </c>
      <c r="BW5" s="16">
        <v>44011</v>
      </c>
      <c r="BX5" s="16">
        <v>2353</v>
      </c>
      <c r="BY5" s="16">
        <v>4670</v>
      </c>
      <c r="BZ5" s="16">
        <v>1138</v>
      </c>
      <c r="CA5" s="16">
        <v>3386</v>
      </c>
      <c r="CB5" s="16">
        <v>1032</v>
      </c>
      <c r="CC5" s="16">
        <v>564</v>
      </c>
      <c r="CD5" s="16">
        <v>328</v>
      </c>
      <c r="CE5" s="16">
        <v>720</v>
      </c>
      <c r="CF5" s="16">
        <v>505</v>
      </c>
      <c r="CG5" s="16">
        <v>776</v>
      </c>
      <c r="CH5" s="16">
        <v>409</v>
      </c>
      <c r="CI5" s="16">
        <v>424</v>
      </c>
      <c r="CJ5" s="16">
        <v>282</v>
      </c>
      <c r="CK5" s="16">
        <v>0</v>
      </c>
      <c r="CL5" s="16">
        <v>190</v>
      </c>
      <c r="CM5" s="16">
        <v>171</v>
      </c>
      <c r="CN5" s="16">
        <v>272</v>
      </c>
      <c r="CO5" s="16">
        <v>140</v>
      </c>
      <c r="CP5" s="16">
        <v>173</v>
      </c>
      <c r="CQ5" s="16">
        <v>41</v>
      </c>
      <c r="CR5" s="16">
        <v>73</v>
      </c>
      <c r="CS5" s="16">
        <v>162</v>
      </c>
      <c r="CT5" s="16">
        <v>195</v>
      </c>
      <c r="CU5" s="16">
        <v>530</v>
      </c>
      <c r="CV5" s="16">
        <v>287</v>
      </c>
      <c r="CW5" s="16">
        <v>213</v>
      </c>
      <c r="CX5" s="16">
        <v>167</v>
      </c>
      <c r="CY5" s="16">
        <v>3074</v>
      </c>
      <c r="CZ5" s="16">
        <v>843</v>
      </c>
    </row>
    <row r="6" spans="1:104" ht="15.75" customHeight="1" x14ac:dyDescent="0.25">
      <c r="A6" s="15" t="s">
        <v>225</v>
      </c>
      <c r="B6" s="15" t="s">
        <v>226</v>
      </c>
      <c r="C6" s="16">
        <v>267782</v>
      </c>
      <c r="D6" s="16">
        <v>4166</v>
      </c>
      <c r="E6" s="16">
        <v>225242</v>
      </c>
      <c r="F6" s="16">
        <v>5334</v>
      </c>
      <c r="G6" s="16">
        <v>196200</v>
      </c>
      <c r="H6" s="16">
        <v>5141</v>
      </c>
      <c r="I6" s="16">
        <v>29042</v>
      </c>
      <c r="J6" s="16">
        <v>3403</v>
      </c>
      <c r="K6" s="16">
        <v>22041</v>
      </c>
      <c r="L6" s="16">
        <v>2882</v>
      </c>
      <c r="M6" s="16">
        <v>4423</v>
      </c>
      <c r="N6" s="16">
        <v>1543</v>
      </c>
      <c r="O6" s="16">
        <v>2578</v>
      </c>
      <c r="P6" s="16">
        <v>1101</v>
      </c>
      <c r="Q6" s="16">
        <v>4429</v>
      </c>
      <c r="R6" s="16">
        <v>1106</v>
      </c>
      <c r="S6" s="16">
        <v>2119</v>
      </c>
      <c r="T6" s="16">
        <v>685</v>
      </c>
      <c r="U6" s="16">
        <v>127</v>
      </c>
      <c r="V6" s="16">
        <v>122</v>
      </c>
      <c r="W6" s="16">
        <v>406</v>
      </c>
      <c r="X6" s="16">
        <v>382</v>
      </c>
      <c r="Y6" s="16">
        <v>1777</v>
      </c>
      <c r="Z6" s="16">
        <v>576</v>
      </c>
      <c r="AA6" s="16">
        <v>0</v>
      </c>
      <c r="AB6" s="16">
        <v>190</v>
      </c>
      <c r="AC6" s="16">
        <v>1902</v>
      </c>
      <c r="AD6" s="16">
        <v>494</v>
      </c>
      <c r="AE6" s="16">
        <v>12664</v>
      </c>
      <c r="AF6" s="16">
        <v>2003</v>
      </c>
      <c r="AG6" s="16">
        <v>4118</v>
      </c>
      <c r="AH6" s="16">
        <v>1195</v>
      </c>
      <c r="AI6" s="16">
        <v>19427</v>
      </c>
      <c r="AJ6" s="16">
        <v>1877</v>
      </c>
      <c r="AK6" s="16">
        <v>154621</v>
      </c>
      <c r="AL6" s="16">
        <v>2750</v>
      </c>
      <c r="AM6" s="16">
        <v>132074</v>
      </c>
      <c r="AN6" s="16">
        <v>3805</v>
      </c>
      <c r="AO6" s="16">
        <v>114837</v>
      </c>
      <c r="AP6" s="16">
        <v>3535</v>
      </c>
      <c r="AQ6" s="16">
        <v>17237</v>
      </c>
      <c r="AR6" s="16">
        <v>2442</v>
      </c>
      <c r="AS6" s="16">
        <v>12952</v>
      </c>
      <c r="AT6" s="16">
        <v>1841</v>
      </c>
      <c r="AU6" s="16">
        <v>3141</v>
      </c>
      <c r="AV6" s="16">
        <v>1381</v>
      </c>
      <c r="AW6" s="16">
        <v>1144</v>
      </c>
      <c r="AX6" s="16">
        <v>520</v>
      </c>
      <c r="AY6" s="16">
        <v>2723</v>
      </c>
      <c r="AZ6" s="16">
        <v>792</v>
      </c>
      <c r="BA6" s="16">
        <v>1044</v>
      </c>
      <c r="BB6" s="16">
        <v>439</v>
      </c>
      <c r="BC6" s="16">
        <v>67</v>
      </c>
      <c r="BD6" s="16">
        <v>77</v>
      </c>
      <c r="BE6" s="16">
        <v>377</v>
      </c>
      <c r="BF6" s="16">
        <v>377</v>
      </c>
      <c r="BG6" s="16">
        <v>1235</v>
      </c>
      <c r="BH6" s="16">
        <v>463</v>
      </c>
      <c r="BI6" s="16">
        <v>0</v>
      </c>
      <c r="BJ6" s="16">
        <v>190</v>
      </c>
      <c r="BK6" s="16">
        <v>1529</v>
      </c>
      <c r="BL6" s="16">
        <v>497</v>
      </c>
      <c r="BM6" s="16">
        <v>6631</v>
      </c>
      <c r="BN6" s="16">
        <v>1712</v>
      </c>
      <c r="BO6" s="16">
        <v>3225</v>
      </c>
      <c r="BP6" s="16">
        <v>1050</v>
      </c>
      <c r="BQ6" s="16">
        <v>8439</v>
      </c>
      <c r="BR6" s="16">
        <v>1267</v>
      </c>
      <c r="BS6" s="16">
        <v>113161</v>
      </c>
      <c r="BT6" s="16">
        <v>2899</v>
      </c>
      <c r="BU6" s="16">
        <v>93168</v>
      </c>
      <c r="BV6" s="16">
        <v>3183</v>
      </c>
      <c r="BW6" s="16">
        <v>81363</v>
      </c>
      <c r="BX6" s="16">
        <v>3313</v>
      </c>
      <c r="BY6" s="16">
        <v>11805</v>
      </c>
      <c r="BZ6" s="16">
        <v>1664</v>
      </c>
      <c r="CA6" s="16">
        <v>9089</v>
      </c>
      <c r="CB6" s="16">
        <v>1635</v>
      </c>
      <c r="CC6" s="16">
        <v>1282</v>
      </c>
      <c r="CD6" s="16">
        <v>493</v>
      </c>
      <c r="CE6" s="16">
        <v>1434</v>
      </c>
      <c r="CF6" s="16">
        <v>914</v>
      </c>
      <c r="CG6" s="16">
        <v>1706</v>
      </c>
      <c r="CH6" s="16">
        <v>570</v>
      </c>
      <c r="CI6" s="16">
        <v>1075</v>
      </c>
      <c r="CJ6" s="16">
        <v>503</v>
      </c>
      <c r="CK6" s="16">
        <v>60</v>
      </c>
      <c r="CL6" s="16">
        <v>97</v>
      </c>
      <c r="CM6" s="16">
        <v>29</v>
      </c>
      <c r="CN6" s="16">
        <v>47</v>
      </c>
      <c r="CO6" s="16">
        <v>542</v>
      </c>
      <c r="CP6" s="16">
        <v>300</v>
      </c>
      <c r="CQ6" s="16">
        <v>0</v>
      </c>
      <c r="CR6" s="16">
        <v>190</v>
      </c>
      <c r="CS6" s="16">
        <v>373</v>
      </c>
      <c r="CT6" s="16">
        <v>294</v>
      </c>
      <c r="CU6" s="16">
        <v>6033</v>
      </c>
      <c r="CV6" s="16">
        <v>1374</v>
      </c>
      <c r="CW6" s="16">
        <v>893</v>
      </c>
      <c r="CX6" s="16">
        <v>462</v>
      </c>
      <c r="CY6" s="16">
        <v>10988</v>
      </c>
      <c r="CZ6" s="16">
        <v>1215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164942</v>
      </c>
      <c r="D3" s="16">
        <v>3589</v>
      </c>
      <c r="E3" s="16">
        <v>146767</v>
      </c>
      <c r="F3" s="16">
        <v>4074</v>
      </c>
      <c r="G3" s="16">
        <v>132112</v>
      </c>
      <c r="H3" s="16">
        <v>4153</v>
      </c>
      <c r="I3" s="16">
        <v>14655</v>
      </c>
      <c r="J3" s="16">
        <v>2294</v>
      </c>
      <c r="K3" s="16">
        <v>10533</v>
      </c>
      <c r="L3" s="16">
        <v>1859</v>
      </c>
      <c r="M3" s="16">
        <v>2776</v>
      </c>
      <c r="N3" s="16">
        <v>1105</v>
      </c>
      <c r="O3" s="16">
        <v>1346</v>
      </c>
      <c r="P3" s="16">
        <v>467</v>
      </c>
      <c r="Q3" s="16">
        <v>3428</v>
      </c>
      <c r="R3" s="16">
        <v>963</v>
      </c>
      <c r="S3" s="16">
        <v>1934</v>
      </c>
      <c r="T3" s="16">
        <v>813</v>
      </c>
      <c r="U3" s="16">
        <v>86</v>
      </c>
      <c r="V3" s="16">
        <v>145</v>
      </c>
      <c r="W3" s="16">
        <v>73</v>
      </c>
      <c r="X3" s="16">
        <v>123</v>
      </c>
      <c r="Y3" s="16">
        <v>1292</v>
      </c>
      <c r="Z3" s="16">
        <v>570</v>
      </c>
      <c r="AA3" s="16">
        <v>43</v>
      </c>
      <c r="AB3" s="16">
        <v>70</v>
      </c>
      <c r="AC3" s="16">
        <v>351</v>
      </c>
      <c r="AD3" s="16">
        <v>172</v>
      </c>
      <c r="AE3" s="16">
        <v>1789</v>
      </c>
      <c r="AF3" s="16">
        <v>773</v>
      </c>
      <c r="AG3" s="16">
        <v>1499</v>
      </c>
      <c r="AH3" s="16">
        <v>546</v>
      </c>
      <c r="AI3" s="16">
        <v>11108</v>
      </c>
      <c r="AJ3" s="16">
        <v>2034</v>
      </c>
      <c r="AK3" s="16">
        <v>93833</v>
      </c>
      <c r="AL3" s="16">
        <v>2242</v>
      </c>
      <c r="AM3" s="16">
        <v>84123</v>
      </c>
      <c r="AN3" s="16">
        <v>2662</v>
      </c>
      <c r="AO3" s="16">
        <v>77080</v>
      </c>
      <c r="AP3" s="16">
        <v>2710</v>
      </c>
      <c r="AQ3" s="16">
        <v>7043</v>
      </c>
      <c r="AR3" s="16">
        <v>1169</v>
      </c>
      <c r="AS3" s="16">
        <v>5055</v>
      </c>
      <c r="AT3" s="16">
        <v>1045</v>
      </c>
      <c r="AU3" s="16">
        <v>1285</v>
      </c>
      <c r="AV3" s="16">
        <v>594</v>
      </c>
      <c r="AW3" s="16">
        <v>703</v>
      </c>
      <c r="AX3" s="16">
        <v>363</v>
      </c>
      <c r="AY3" s="16">
        <v>2415</v>
      </c>
      <c r="AZ3" s="16">
        <v>773</v>
      </c>
      <c r="BA3" s="16">
        <v>1281</v>
      </c>
      <c r="BB3" s="16">
        <v>590</v>
      </c>
      <c r="BC3" s="16">
        <v>44</v>
      </c>
      <c r="BD3" s="16">
        <v>73</v>
      </c>
      <c r="BE3" s="16">
        <v>73</v>
      </c>
      <c r="BF3" s="16">
        <v>123</v>
      </c>
      <c r="BG3" s="16">
        <v>1017</v>
      </c>
      <c r="BH3" s="16">
        <v>488</v>
      </c>
      <c r="BI3" s="16">
        <v>0</v>
      </c>
      <c r="BJ3" s="16">
        <v>192</v>
      </c>
      <c r="BK3" s="16">
        <v>231</v>
      </c>
      <c r="BL3" s="16">
        <v>163</v>
      </c>
      <c r="BM3" s="16">
        <v>1094</v>
      </c>
      <c r="BN3" s="16">
        <v>655</v>
      </c>
      <c r="BO3" s="16">
        <v>992</v>
      </c>
      <c r="BP3" s="16">
        <v>413</v>
      </c>
      <c r="BQ3" s="16">
        <v>4978</v>
      </c>
      <c r="BR3" s="16">
        <v>1089</v>
      </c>
      <c r="BS3" s="16">
        <v>71109</v>
      </c>
      <c r="BT3" s="16">
        <v>2645</v>
      </c>
      <c r="BU3" s="16">
        <v>62644</v>
      </c>
      <c r="BV3" s="16">
        <v>2510</v>
      </c>
      <c r="BW3" s="16">
        <v>55032</v>
      </c>
      <c r="BX3" s="16">
        <v>2531</v>
      </c>
      <c r="BY3" s="16">
        <v>7612</v>
      </c>
      <c r="BZ3" s="16">
        <v>1631</v>
      </c>
      <c r="CA3" s="16">
        <v>5478</v>
      </c>
      <c r="CB3" s="16">
        <v>1282</v>
      </c>
      <c r="CC3" s="16">
        <v>1491</v>
      </c>
      <c r="CD3" s="16">
        <v>702</v>
      </c>
      <c r="CE3" s="16">
        <v>643</v>
      </c>
      <c r="CF3" s="16">
        <v>351</v>
      </c>
      <c r="CG3" s="16">
        <v>1013</v>
      </c>
      <c r="CH3" s="16">
        <v>471</v>
      </c>
      <c r="CI3" s="16">
        <v>653</v>
      </c>
      <c r="CJ3" s="16">
        <v>446</v>
      </c>
      <c r="CK3" s="16">
        <v>42</v>
      </c>
      <c r="CL3" s="16">
        <v>72</v>
      </c>
      <c r="CM3" s="16">
        <v>0</v>
      </c>
      <c r="CN3" s="16">
        <v>192</v>
      </c>
      <c r="CO3" s="16">
        <v>275</v>
      </c>
      <c r="CP3" s="16">
        <v>218</v>
      </c>
      <c r="CQ3" s="16">
        <v>43</v>
      </c>
      <c r="CR3" s="16">
        <v>70</v>
      </c>
      <c r="CS3" s="16">
        <v>120</v>
      </c>
      <c r="CT3" s="16">
        <v>150</v>
      </c>
      <c r="CU3" s="16">
        <v>695</v>
      </c>
      <c r="CV3" s="16">
        <v>440</v>
      </c>
      <c r="CW3" s="16">
        <v>507</v>
      </c>
      <c r="CX3" s="16">
        <v>337</v>
      </c>
      <c r="CY3" s="16">
        <v>6130</v>
      </c>
      <c r="CZ3" s="16">
        <v>1329</v>
      </c>
    </row>
    <row r="4" spans="1:104" ht="15.75" customHeight="1" x14ac:dyDescent="0.25">
      <c r="A4" s="15" t="s">
        <v>223</v>
      </c>
      <c r="B4" s="15" t="s">
        <v>224</v>
      </c>
      <c r="C4" s="16">
        <v>586230</v>
      </c>
      <c r="D4" s="16">
        <v>6065</v>
      </c>
      <c r="E4" s="16">
        <v>505838</v>
      </c>
      <c r="F4" s="16">
        <v>7340</v>
      </c>
      <c r="G4" s="16">
        <v>442058</v>
      </c>
      <c r="H4" s="16">
        <v>8070</v>
      </c>
      <c r="I4" s="16">
        <v>63780</v>
      </c>
      <c r="J4" s="16">
        <v>5200</v>
      </c>
      <c r="K4" s="16">
        <v>48252</v>
      </c>
      <c r="L4" s="16">
        <v>3862</v>
      </c>
      <c r="M4" s="16">
        <v>8066</v>
      </c>
      <c r="N4" s="16">
        <v>1854</v>
      </c>
      <c r="O4" s="16">
        <v>7462</v>
      </c>
      <c r="P4" s="16">
        <v>2308</v>
      </c>
      <c r="Q4" s="16">
        <v>19346</v>
      </c>
      <c r="R4" s="16">
        <v>2651</v>
      </c>
      <c r="S4" s="16">
        <v>11066</v>
      </c>
      <c r="T4" s="16">
        <v>1987</v>
      </c>
      <c r="U4" s="16">
        <v>3427</v>
      </c>
      <c r="V4" s="16">
        <v>1159</v>
      </c>
      <c r="W4" s="16">
        <v>1926</v>
      </c>
      <c r="X4" s="16">
        <v>646</v>
      </c>
      <c r="Y4" s="16">
        <v>2927</v>
      </c>
      <c r="Z4" s="16">
        <v>899</v>
      </c>
      <c r="AA4" s="16">
        <v>0</v>
      </c>
      <c r="AB4" s="16">
        <v>192</v>
      </c>
      <c r="AC4" s="16">
        <v>4720</v>
      </c>
      <c r="AD4" s="16">
        <v>1301</v>
      </c>
      <c r="AE4" s="16">
        <v>12288</v>
      </c>
      <c r="AF4" s="16">
        <v>2033</v>
      </c>
      <c r="AG4" s="16">
        <v>5140</v>
      </c>
      <c r="AH4" s="16">
        <v>1398</v>
      </c>
      <c r="AI4" s="16">
        <v>38898</v>
      </c>
      <c r="AJ4" s="16">
        <v>3460</v>
      </c>
      <c r="AK4" s="16">
        <v>323715</v>
      </c>
      <c r="AL4" s="16">
        <v>4152</v>
      </c>
      <c r="AM4" s="16">
        <v>279271</v>
      </c>
      <c r="AN4" s="16">
        <v>4649</v>
      </c>
      <c r="AO4" s="16">
        <v>245610</v>
      </c>
      <c r="AP4" s="16">
        <v>5321</v>
      </c>
      <c r="AQ4" s="16">
        <v>33661</v>
      </c>
      <c r="AR4" s="16">
        <v>3400</v>
      </c>
      <c r="AS4" s="16">
        <v>25812</v>
      </c>
      <c r="AT4" s="16">
        <v>2644</v>
      </c>
      <c r="AU4" s="16">
        <v>3919</v>
      </c>
      <c r="AV4" s="16">
        <v>1123</v>
      </c>
      <c r="AW4" s="16">
        <v>3930</v>
      </c>
      <c r="AX4" s="16">
        <v>1708</v>
      </c>
      <c r="AY4" s="16">
        <v>10535</v>
      </c>
      <c r="AZ4" s="16">
        <v>1844</v>
      </c>
      <c r="BA4" s="16">
        <v>6007</v>
      </c>
      <c r="BB4" s="16">
        <v>1410</v>
      </c>
      <c r="BC4" s="16">
        <v>1687</v>
      </c>
      <c r="BD4" s="16">
        <v>699</v>
      </c>
      <c r="BE4" s="16">
        <v>1092</v>
      </c>
      <c r="BF4" s="16">
        <v>474</v>
      </c>
      <c r="BG4" s="16">
        <v>1749</v>
      </c>
      <c r="BH4" s="16">
        <v>588</v>
      </c>
      <c r="BI4" s="16">
        <v>0</v>
      </c>
      <c r="BJ4" s="16">
        <v>192</v>
      </c>
      <c r="BK4" s="16">
        <v>3258</v>
      </c>
      <c r="BL4" s="16">
        <v>909</v>
      </c>
      <c r="BM4" s="16">
        <v>6947</v>
      </c>
      <c r="BN4" s="16">
        <v>1636</v>
      </c>
      <c r="BO4" s="16">
        <v>4012</v>
      </c>
      <c r="BP4" s="16">
        <v>1261</v>
      </c>
      <c r="BQ4" s="16">
        <v>19692</v>
      </c>
      <c r="BR4" s="16">
        <v>2339</v>
      </c>
      <c r="BS4" s="16">
        <v>262515</v>
      </c>
      <c r="BT4" s="16">
        <v>4934</v>
      </c>
      <c r="BU4" s="16">
        <v>226567</v>
      </c>
      <c r="BV4" s="16">
        <v>5530</v>
      </c>
      <c r="BW4" s="16">
        <v>196448</v>
      </c>
      <c r="BX4" s="16">
        <v>5930</v>
      </c>
      <c r="BY4" s="16">
        <v>30119</v>
      </c>
      <c r="BZ4" s="16">
        <v>3306</v>
      </c>
      <c r="CA4" s="16">
        <v>22440</v>
      </c>
      <c r="CB4" s="16">
        <v>2760</v>
      </c>
      <c r="CC4" s="16">
        <v>4147</v>
      </c>
      <c r="CD4" s="16">
        <v>1031</v>
      </c>
      <c r="CE4" s="16">
        <v>3532</v>
      </c>
      <c r="CF4" s="16">
        <v>1525</v>
      </c>
      <c r="CG4" s="16">
        <v>8811</v>
      </c>
      <c r="CH4" s="16">
        <v>1676</v>
      </c>
      <c r="CI4" s="16">
        <v>5059</v>
      </c>
      <c r="CJ4" s="16">
        <v>1298</v>
      </c>
      <c r="CK4" s="16">
        <v>1740</v>
      </c>
      <c r="CL4" s="16">
        <v>838</v>
      </c>
      <c r="CM4" s="16">
        <v>834</v>
      </c>
      <c r="CN4" s="16">
        <v>387</v>
      </c>
      <c r="CO4" s="16">
        <v>1178</v>
      </c>
      <c r="CP4" s="16">
        <v>752</v>
      </c>
      <c r="CQ4" s="16">
        <v>0</v>
      </c>
      <c r="CR4" s="16">
        <v>192</v>
      </c>
      <c r="CS4" s="16">
        <v>1462</v>
      </c>
      <c r="CT4" s="16">
        <v>718</v>
      </c>
      <c r="CU4" s="16">
        <v>5341</v>
      </c>
      <c r="CV4" s="16">
        <v>1251</v>
      </c>
      <c r="CW4" s="16">
        <v>1128</v>
      </c>
      <c r="CX4" s="16">
        <v>438</v>
      </c>
      <c r="CY4" s="16">
        <v>19206</v>
      </c>
      <c r="CZ4" s="16">
        <v>2025</v>
      </c>
    </row>
    <row r="5" spans="1:104" ht="15.75" customHeight="1" x14ac:dyDescent="0.25">
      <c r="A5" s="15" t="s">
        <v>225</v>
      </c>
      <c r="B5" s="15" t="s">
        <v>226</v>
      </c>
      <c r="C5" s="16">
        <v>274178</v>
      </c>
      <c r="D5" s="16">
        <v>4172</v>
      </c>
      <c r="E5" s="16">
        <v>231835</v>
      </c>
      <c r="F5" s="16">
        <v>5014</v>
      </c>
      <c r="G5" s="16">
        <v>199942</v>
      </c>
      <c r="H5" s="16">
        <v>4623</v>
      </c>
      <c r="I5" s="16">
        <v>31893</v>
      </c>
      <c r="J5" s="16">
        <v>3155</v>
      </c>
      <c r="K5" s="16">
        <v>24446</v>
      </c>
      <c r="L5" s="16">
        <v>2577</v>
      </c>
      <c r="M5" s="16">
        <v>4472</v>
      </c>
      <c r="N5" s="16">
        <v>963</v>
      </c>
      <c r="O5" s="16">
        <v>2975</v>
      </c>
      <c r="P5" s="16">
        <v>912</v>
      </c>
      <c r="Q5" s="16">
        <v>6752</v>
      </c>
      <c r="R5" s="16">
        <v>1370</v>
      </c>
      <c r="S5" s="16">
        <v>3198</v>
      </c>
      <c r="T5" s="16">
        <v>905</v>
      </c>
      <c r="U5" s="16">
        <v>397</v>
      </c>
      <c r="V5" s="16">
        <v>296</v>
      </c>
      <c r="W5" s="16">
        <v>496</v>
      </c>
      <c r="X5" s="16">
        <v>329</v>
      </c>
      <c r="Y5" s="16">
        <v>2661</v>
      </c>
      <c r="Z5" s="16">
        <v>848</v>
      </c>
      <c r="AA5" s="16">
        <v>0</v>
      </c>
      <c r="AB5" s="16">
        <v>192</v>
      </c>
      <c r="AC5" s="16">
        <v>2603</v>
      </c>
      <c r="AD5" s="16">
        <v>635</v>
      </c>
      <c r="AE5" s="16">
        <v>10527</v>
      </c>
      <c r="AF5" s="16">
        <v>1724</v>
      </c>
      <c r="AG5" s="16">
        <v>2135</v>
      </c>
      <c r="AH5" s="16">
        <v>694</v>
      </c>
      <c r="AI5" s="16">
        <v>20326</v>
      </c>
      <c r="AJ5" s="16">
        <v>2640</v>
      </c>
      <c r="AK5" s="16">
        <v>159483</v>
      </c>
      <c r="AL5" s="16">
        <v>2652</v>
      </c>
      <c r="AM5" s="16">
        <v>137173</v>
      </c>
      <c r="AN5" s="16">
        <v>3565</v>
      </c>
      <c r="AO5" s="16">
        <v>118815</v>
      </c>
      <c r="AP5" s="16">
        <v>3491</v>
      </c>
      <c r="AQ5" s="16">
        <v>18358</v>
      </c>
      <c r="AR5" s="16">
        <v>2030</v>
      </c>
      <c r="AS5" s="16">
        <v>13799</v>
      </c>
      <c r="AT5" s="16">
        <v>1647</v>
      </c>
      <c r="AU5" s="16">
        <v>2571</v>
      </c>
      <c r="AV5" s="16">
        <v>689</v>
      </c>
      <c r="AW5" s="16">
        <v>1988</v>
      </c>
      <c r="AX5" s="16">
        <v>776</v>
      </c>
      <c r="AY5" s="16">
        <v>4562</v>
      </c>
      <c r="AZ5" s="16">
        <v>1214</v>
      </c>
      <c r="BA5" s="16">
        <v>1828</v>
      </c>
      <c r="BB5" s="16">
        <v>743</v>
      </c>
      <c r="BC5" s="16">
        <v>249</v>
      </c>
      <c r="BD5" s="16">
        <v>239</v>
      </c>
      <c r="BE5" s="16">
        <v>317</v>
      </c>
      <c r="BF5" s="16">
        <v>273</v>
      </c>
      <c r="BG5" s="16">
        <v>2168</v>
      </c>
      <c r="BH5" s="16">
        <v>803</v>
      </c>
      <c r="BI5" s="16">
        <v>0</v>
      </c>
      <c r="BJ5" s="16">
        <v>192</v>
      </c>
      <c r="BK5" s="16">
        <v>2213</v>
      </c>
      <c r="BL5" s="16">
        <v>554</v>
      </c>
      <c r="BM5" s="16">
        <v>5055</v>
      </c>
      <c r="BN5" s="16">
        <v>1102</v>
      </c>
      <c r="BO5" s="16">
        <v>1299</v>
      </c>
      <c r="BP5" s="16">
        <v>490</v>
      </c>
      <c r="BQ5" s="16">
        <v>9181</v>
      </c>
      <c r="BR5" s="16">
        <v>1743</v>
      </c>
      <c r="BS5" s="16">
        <v>114695</v>
      </c>
      <c r="BT5" s="16">
        <v>2999</v>
      </c>
      <c r="BU5" s="16">
        <v>94662</v>
      </c>
      <c r="BV5" s="16">
        <v>3034</v>
      </c>
      <c r="BW5" s="16">
        <v>81127</v>
      </c>
      <c r="BX5" s="16">
        <v>3058</v>
      </c>
      <c r="BY5" s="16">
        <v>13535</v>
      </c>
      <c r="BZ5" s="16">
        <v>1853</v>
      </c>
      <c r="CA5" s="16">
        <v>10647</v>
      </c>
      <c r="CB5" s="16">
        <v>1591</v>
      </c>
      <c r="CC5" s="16">
        <v>1901</v>
      </c>
      <c r="CD5" s="16">
        <v>604</v>
      </c>
      <c r="CE5" s="16">
        <v>987</v>
      </c>
      <c r="CF5" s="16">
        <v>439</v>
      </c>
      <c r="CG5" s="16">
        <v>2190</v>
      </c>
      <c r="CH5" s="16">
        <v>571</v>
      </c>
      <c r="CI5" s="16">
        <v>1370</v>
      </c>
      <c r="CJ5" s="16">
        <v>523</v>
      </c>
      <c r="CK5" s="16">
        <v>148</v>
      </c>
      <c r="CL5" s="16">
        <v>174</v>
      </c>
      <c r="CM5" s="16">
        <v>179</v>
      </c>
      <c r="CN5" s="16">
        <v>160</v>
      </c>
      <c r="CO5" s="16">
        <v>493</v>
      </c>
      <c r="CP5" s="16">
        <v>238</v>
      </c>
      <c r="CQ5" s="16">
        <v>0</v>
      </c>
      <c r="CR5" s="16">
        <v>192</v>
      </c>
      <c r="CS5" s="16">
        <v>390</v>
      </c>
      <c r="CT5" s="16">
        <v>237</v>
      </c>
      <c r="CU5" s="16">
        <v>5472</v>
      </c>
      <c r="CV5" s="16">
        <v>1262</v>
      </c>
      <c r="CW5" s="16">
        <v>836</v>
      </c>
      <c r="CX5" s="16">
        <v>498</v>
      </c>
      <c r="CY5" s="16">
        <v>11145</v>
      </c>
      <c r="CZ5" s="16">
        <v>1493</v>
      </c>
    </row>
    <row r="6" spans="1:104" ht="15.75" customHeight="1" x14ac:dyDescent="0.25">
      <c r="A6" s="15" t="s">
        <v>227</v>
      </c>
      <c r="B6" s="15" t="s">
        <v>228</v>
      </c>
      <c r="C6" s="16">
        <v>120858</v>
      </c>
      <c r="D6" s="16">
        <v>3588</v>
      </c>
      <c r="E6" s="16">
        <v>109714</v>
      </c>
      <c r="F6" s="16">
        <v>3517</v>
      </c>
      <c r="G6" s="16">
        <v>99066</v>
      </c>
      <c r="H6" s="16">
        <v>3613</v>
      </c>
      <c r="I6" s="16">
        <v>10648</v>
      </c>
      <c r="J6" s="16">
        <v>1809</v>
      </c>
      <c r="K6" s="16">
        <v>8168</v>
      </c>
      <c r="L6" s="16">
        <v>1570</v>
      </c>
      <c r="M6" s="16">
        <v>1474</v>
      </c>
      <c r="N6" s="16">
        <v>638</v>
      </c>
      <c r="O6" s="16">
        <v>1006</v>
      </c>
      <c r="P6" s="16">
        <v>533</v>
      </c>
      <c r="Q6" s="16">
        <v>1913</v>
      </c>
      <c r="R6" s="16">
        <v>670</v>
      </c>
      <c r="S6" s="16">
        <v>1365</v>
      </c>
      <c r="T6" s="16">
        <v>542</v>
      </c>
      <c r="U6" s="16">
        <v>0</v>
      </c>
      <c r="V6" s="16">
        <v>192</v>
      </c>
      <c r="W6" s="16">
        <v>0</v>
      </c>
      <c r="X6" s="16">
        <v>192</v>
      </c>
      <c r="Y6" s="16">
        <v>548</v>
      </c>
      <c r="Z6" s="16">
        <v>344</v>
      </c>
      <c r="AA6" s="16">
        <v>0</v>
      </c>
      <c r="AB6" s="16">
        <v>192</v>
      </c>
      <c r="AC6" s="16">
        <v>267</v>
      </c>
      <c r="AD6" s="16">
        <v>211</v>
      </c>
      <c r="AE6" s="16">
        <v>1747</v>
      </c>
      <c r="AF6" s="16">
        <v>724</v>
      </c>
      <c r="AG6" s="16">
        <v>992</v>
      </c>
      <c r="AH6" s="16">
        <v>617</v>
      </c>
      <c r="AI6" s="16">
        <v>6225</v>
      </c>
      <c r="AJ6" s="16">
        <v>1418</v>
      </c>
      <c r="AK6" s="16">
        <v>66984</v>
      </c>
      <c r="AL6" s="16">
        <v>2379</v>
      </c>
      <c r="AM6" s="16">
        <v>60503</v>
      </c>
      <c r="AN6" s="16">
        <v>2420</v>
      </c>
      <c r="AO6" s="16">
        <v>54371</v>
      </c>
      <c r="AP6" s="16">
        <v>2747</v>
      </c>
      <c r="AQ6" s="16">
        <v>6132</v>
      </c>
      <c r="AR6" s="16">
        <v>1285</v>
      </c>
      <c r="AS6" s="16">
        <v>4630</v>
      </c>
      <c r="AT6" s="16">
        <v>1141</v>
      </c>
      <c r="AU6" s="16">
        <v>1045</v>
      </c>
      <c r="AV6" s="16">
        <v>501</v>
      </c>
      <c r="AW6" s="16">
        <v>457</v>
      </c>
      <c r="AX6" s="16">
        <v>319</v>
      </c>
      <c r="AY6" s="16">
        <v>1178</v>
      </c>
      <c r="AZ6" s="16">
        <v>472</v>
      </c>
      <c r="BA6" s="16">
        <v>844</v>
      </c>
      <c r="BB6" s="16">
        <v>385</v>
      </c>
      <c r="BC6" s="16">
        <v>0</v>
      </c>
      <c r="BD6" s="16">
        <v>192</v>
      </c>
      <c r="BE6" s="16">
        <v>0</v>
      </c>
      <c r="BF6" s="16">
        <v>192</v>
      </c>
      <c r="BG6" s="16">
        <v>334</v>
      </c>
      <c r="BH6" s="16">
        <v>264</v>
      </c>
      <c r="BI6" s="16">
        <v>0</v>
      </c>
      <c r="BJ6" s="16">
        <v>192</v>
      </c>
      <c r="BK6" s="16">
        <v>241</v>
      </c>
      <c r="BL6" s="16">
        <v>217</v>
      </c>
      <c r="BM6" s="16">
        <v>1246</v>
      </c>
      <c r="BN6" s="16">
        <v>545</v>
      </c>
      <c r="BO6" s="16">
        <v>752</v>
      </c>
      <c r="BP6" s="16">
        <v>593</v>
      </c>
      <c r="BQ6" s="16">
        <v>3064</v>
      </c>
      <c r="BR6" s="16">
        <v>1074</v>
      </c>
      <c r="BS6" s="16">
        <v>53874</v>
      </c>
      <c r="BT6" s="16">
        <v>2433</v>
      </c>
      <c r="BU6" s="16">
        <v>49211</v>
      </c>
      <c r="BV6" s="16">
        <v>2437</v>
      </c>
      <c r="BW6" s="16">
        <v>44695</v>
      </c>
      <c r="BX6" s="16">
        <v>2431</v>
      </c>
      <c r="BY6" s="16">
        <v>4516</v>
      </c>
      <c r="BZ6" s="16">
        <v>1099</v>
      </c>
      <c r="CA6" s="16">
        <v>3538</v>
      </c>
      <c r="CB6" s="16">
        <v>955</v>
      </c>
      <c r="CC6" s="16">
        <v>429</v>
      </c>
      <c r="CD6" s="16">
        <v>307</v>
      </c>
      <c r="CE6" s="16">
        <v>549</v>
      </c>
      <c r="CF6" s="16">
        <v>349</v>
      </c>
      <c r="CG6" s="16">
        <v>735</v>
      </c>
      <c r="CH6" s="16">
        <v>372</v>
      </c>
      <c r="CI6" s="16">
        <v>521</v>
      </c>
      <c r="CJ6" s="16">
        <v>322</v>
      </c>
      <c r="CK6" s="16">
        <v>0</v>
      </c>
      <c r="CL6" s="16">
        <v>192</v>
      </c>
      <c r="CM6" s="16">
        <v>0</v>
      </c>
      <c r="CN6" s="16">
        <v>192</v>
      </c>
      <c r="CO6" s="16">
        <v>214</v>
      </c>
      <c r="CP6" s="16">
        <v>211</v>
      </c>
      <c r="CQ6" s="16">
        <v>0</v>
      </c>
      <c r="CR6" s="16">
        <v>192</v>
      </c>
      <c r="CS6" s="16">
        <v>26</v>
      </c>
      <c r="CT6" s="16">
        <v>45</v>
      </c>
      <c r="CU6" s="16">
        <v>501</v>
      </c>
      <c r="CV6" s="16">
        <v>368</v>
      </c>
      <c r="CW6" s="16">
        <v>240</v>
      </c>
      <c r="CX6" s="16">
        <v>219</v>
      </c>
      <c r="CY6" s="16">
        <v>3161</v>
      </c>
      <c r="CZ6" s="16">
        <v>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119</v>
      </c>
      <c r="D2" s="15" t="s">
        <v>120</v>
      </c>
      <c r="E2" s="15" t="s">
        <v>121</v>
      </c>
      <c r="F2" s="15" t="s">
        <v>122</v>
      </c>
      <c r="G2" s="15" t="s">
        <v>123</v>
      </c>
      <c r="H2" s="15" t="s">
        <v>124</v>
      </c>
      <c r="I2" s="15" t="s">
        <v>125</v>
      </c>
      <c r="J2" s="15" t="s">
        <v>126</v>
      </c>
      <c r="K2" s="15" t="s">
        <v>127</v>
      </c>
      <c r="L2" s="15" t="s">
        <v>128</v>
      </c>
      <c r="M2" s="15" t="s">
        <v>129</v>
      </c>
      <c r="N2" s="15" t="s">
        <v>130</v>
      </c>
      <c r="O2" s="15" t="s">
        <v>131</v>
      </c>
      <c r="P2" s="15" t="s">
        <v>132</v>
      </c>
      <c r="Q2" s="15" t="s">
        <v>133</v>
      </c>
      <c r="R2" s="15" t="s">
        <v>134</v>
      </c>
      <c r="S2" s="15" t="s">
        <v>135</v>
      </c>
      <c r="T2" s="15" t="s">
        <v>136</v>
      </c>
      <c r="U2" s="15" t="s">
        <v>137</v>
      </c>
      <c r="V2" s="15" t="s">
        <v>138</v>
      </c>
      <c r="W2" s="15" t="s">
        <v>139</v>
      </c>
      <c r="X2" s="15" t="s">
        <v>140</v>
      </c>
      <c r="Y2" s="15" t="s">
        <v>141</v>
      </c>
      <c r="Z2" s="15" t="s">
        <v>142</v>
      </c>
      <c r="AA2" s="15" t="s">
        <v>143</v>
      </c>
      <c r="AB2" s="15" t="s">
        <v>144</v>
      </c>
      <c r="AC2" s="15" t="s">
        <v>145</v>
      </c>
      <c r="AD2" s="15" t="s">
        <v>146</v>
      </c>
      <c r="AE2" s="15" t="s">
        <v>147</v>
      </c>
      <c r="AF2" s="15" t="s">
        <v>148</v>
      </c>
      <c r="AG2" s="15" t="s">
        <v>149</v>
      </c>
      <c r="AH2" s="15" t="s">
        <v>150</v>
      </c>
      <c r="AI2" s="15" t="s">
        <v>151</v>
      </c>
      <c r="AJ2" s="15" t="s">
        <v>152</v>
      </c>
      <c r="AK2" s="15" t="s">
        <v>153</v>
      </c>
      <c r="AL2" s="15" t="s">
        <v>154</v>
      </c>
      <c r="AM2" s="15" t="s">
        <v>155</v>
      </c>
      <c r="AN2" s="15" t="s">
        <v>156</v>
      </c>
      <c r="AO2" s="15" t="s">
        <v>157</v>
      </c>
      <c r="AP2" s="15" t="s">
        <v>158</v>
      </c>
      <c r="AQ2" s="15" t="s">
        <v>159</v>
      </c>
      <c r="AR2" s="15" t="s">
        <v>160</v>
      </c>
      <c r="AS2" s="15" t="s">
        <v>161</v>
      </c>
      <c r="AT2" s="15" t="s">
        <v>162</v>
      </c>
      <c r="AU2" s="15" t="s">
        <v>163</v>
      </c>
      <c r="AV2" s="15" t="s">
        <v>164</v>
      </c>
      <c r="AW2" s="15" t="s">
        <v>165</v>
      </c>
      <c r="AX2" s="15" t="s">
        <v>166</v>
      </c>
      <c r="AY2" s="15" t="s">
        <v>167</v>
      </c>
      <c r="AZ2" s="15" t="s">
        <v>168</v>
      </c>
      <c r="BA2" s="15" t="s">
        <v>169</v>
      </c>
      <c r="BB2" s="15" t="s">
        <v>170</v>
      </c>
      <c r="BC2" s="15" t="s">
        <v>171</v>
      </c>
      <c r="BD2" s="15" t="s">
        <v>172</v>
      </c>
      <c r="BE2" s="15" t="s">
        <v>173</v>
      </c>
      <c r="BF2" s="15" t="s">
        <v>174</v>
      </c>
      <c r="BG2" s="15" t="s">
        <v>175</v>
      </c>
      <c r="BH2" s="15" t="s">
        <v>176</v>
      </c>
      <c r="BI2" s="15" t="s">
        <v>177</v>
      </c>
      <c r="BJ2" s="15" t="s">
        <v>178</v>
      </c>
      <c r="BK2" s="15" t="s">
        <v>179</v>
      </c>
      <c r="BL2" s="15" t="s">
        <v>180</v>
      </c>
      <c r="BM2" s="15" t="s">
        <v>181</v>
      </c>
      <c r="BN2" s="15" t="s">
        <v>182</v>
      </c>
      <c r="BO2" s="15" t="s">
        <v>183</v>
      </c>
      <c r="BP2" s="15" t="s">
        <v>184</v>
      </c>
      <c r="BQ2" s="15" t="s">
        <v>185</v>
      </c>
      <c r="BR2" s="15" t="s">
        <v>186</v>
      </c>
      <c r="BS2" s="15" t="s">
        <v>187</v>
      </c>
      <c r="BT2" s="15" t="s">
        <v>188</v>
      </c>
      <c r="BU2" s="15" t="s">
        <v>189</v>
      </c>
      <c r="BV2" s="15" t="s">
        <v>190</v>
      </c>
      <c r="BW2" s="15" t="s">
        <v>191</v>
      </c>
      <c r="BX2" s="15" t="s">
        <v>192</v>
      </c>
      <c r="BY2" s="15" t="s">
        <v>193</v>
      </c>
      <c r="BZ2" s="15" t="s">
        <v>194</v>
      </c>
      <c r="CA2" s="15" t="s">
        <v>195</v>
      </c>
      <c r="CB2" s="15" t="s">
        <v>196</v>
      </c>
      <c r="CC2" s="15" t="s">
        <v>197</v>
      </c>
      <c r="CD2" s="15" t="s">
        <v>198</v>
      </c>
      <c r="CE2" s="15" t="s">
        <v>199</v>
      </c>
      <c r="CF2" s="15" t="s">
        <v>200</v>
      </c>
      <c r="CG2" s="15" t="s">
        <v>201</v>
      </c>
      <c r="CH2" s="15" t="s">
        <v>202</v>
      </c>
      <c r="CI2" s="15" t="s">
        <v>203</v>
      </c>
      <c r="CJ2" s="15" t="s">
        <v>204</v>
      </c>
      <c r="CK2" s="15" t="s">
        <v>205</v>
      </c>
      <c r="CL2" s="15" t="s">
        <v>206</v>
      </c>
      <c r="CM2" s="15" t="s">
        <v>207</v>
      </c>
      <c r="CN2" s="15" t="s">
        <v>208</v>
      </c>
      <c r="CO2" s="15" t="s">
        <v>209</v>
      </c>
      <c r="CP2" s="15" t="s">
        <v>210</v>
      </c>
      <c r="CQ2" s="15" t="s">
        <v>211</v>
      </c>
      <c r="CR2" s="15" t="s">
        <v>212</v>
      </c>
      <c r="CS2" s="15" t="s">
        <v>213</v>
      </c>
      <c r="CT2" s="15" t="s">
        <v>214</v>
      </c>
      <c r="CU2" s="15" t="s">
        <v>215</v>
      </c>
      <c r="CV2" s="15" t="s">
        <v>216</v>
      </c>
      <c r="CW2" s="15" t="s">
        <v>217</v>
      </c>
      <c r="CX2" s="15" t="s">
        <v>218</v>
      </c>
      <c r="CY2" s="15" t="s">
        <v>219</v>
      </c>
      <c r="CZ2" s="15" t="s">
        <v>220</v>
      </c>
    </row>
    <row r="3" spans="1:104" ht="15.75" customHeight="1" x14ac:dyDescent="0.25">
      <c r="A3" s="15" t="s">
        <v>221</v>
      </c>
      <c r="B3" s="15" t="s">
        <v>222</v>
      </c>
      <c r="C3" s="16">
        <v>164813</v>
      </c>
      <c r="D3" s="16">
        <v>3511</v>
      </c>
      <c r="E3" s="16">
        <v>148886</v>
      </c>
      <c r="F3" s="16">
        <v>4161</v>
      </c>
      <c r="G3" s="16">
        <v>134820</v>
      </c>
      <c r="H3" s="16">
        <v>4198</v>
      </c>
      <c r="I3" s="16">
        <v>14066</v>
      </c>
      <c r="J3" s="16">
        <v>1888</v>
      </c>
      <c r="K3" s="16">
        <v>11223</v>
      </c>
      <c r="L3" s="16">
        <v>1800</v>
      </c>
      <c r="M3" s="16">
        <v>2025</v>
      </c>
      <c r="N3" s="16">
        <v>551</v>
      </c>
      <c r="O3" s="16">
        <v>818</v>
      </c>
      <c r="P3" s="16">
        <v>383</v>
      </c>
      <c r="Q3" s="16">
        <v>2933</v>
      </c>
      <c r="R3" s="16">
        <v>810</v>
      </c>
      <c r="S3" s="16">
        <v>1704</v>
      </c>
      <c r="T3" s="16">
        <v>732</v>
      </c>
      <c r="U3" s="16">
        <v>0</v>
      </c>
      <c r="V3" s="16">
        <v>193</v>
      </c>
      <c r="W3" s="16">
        <v>0</v>
      </c>
      <c r="X3" s="16">
        <v>193</v>
      </c>
      <c r="Y3" s="16">
        <v>1229</v>
      </c>
      <c r="Z3" s="16">
        <v>383</v>
      </c>
      <c r="AA3" s="16">
        <v>0</v>
      </c>
      <c r="AB3" s="16">
        <v>193</v>
      </c>
      <c r="AC3" s="16">
        <v>358</v>
      </c>
      <c r="AD3" s="16">
        <v>256</v>
      </c>
      <c r="AE3" s="16">
        <v>2641</v>
      </c>
      <c r="AF3" s="16">
        <v>705</v>
      </c>
      <c r="AG3" s="16">
        <v>872</v>
      </c>
      <c r="AH3" s="16">
        <v>418</v>
      </c>
      <c r="AI3" s="16">
        <v>9123</v>
      </c>
      <c r="AJ3" s="16">
        <v>1640</v>
      </c>
      <c r="AK3" s="16">
        <v>93083</v>
      </c>
      <c r="AL3" s="16">
        <v>2698</v>
      </c>
      <c r="AM3" s="16">
        <v>84793</v>
      </c>
      <c r="AN3" s="16">
        <v>2725</v>
      </c>
      <c r="AO3" s="16">
        <v>76977</v>
      </c>
      <c r="AP3" s="16">
        <v>2792</v>
      </c>
      <c r="AQ3" s="16">
        <v>7816</v>
      </c>
      <c r="AR3" s="16">
        <v>1296</v>
      </c>
      <c r="AS3" s="16">
        <v>6270</v>
      </c>
      <c r="AT3" s="16">
        <v>1222</v>
      </c>
      <c r="AU3" s="16">
        <v>957</v>
      </c>
      <c r="AV3" s="16">
        <v>449</v>
      </c>
      <c r="AW3" s="16">
        <v>589</v>
      </c>
      <c r="AX3" s="16">
        <v>324</v>
      </c>
      <c r="AY3" s="16">
        <v>1512</v>
      </c>
      <c r="AZ3" s="16">
        <v>531</v>
      </c>
      <c r="BA3" s="16">
        <v>690</v>
      </c>
      <c r="BB3" s="16">
        <v>367</v>
      </c>
      <c r="BC3" s="16">
        <v>0</v>
      </c>
      <c r="BD3" s="16">
        <v>193</v>
      </c>
      <c r="BE3" s="16">
        <v>0</v>
      </c>
      <c r="BF3" s="16">
        <v>193</v>
      </c>
      <c r="BG3" s="16">
        <v>822</v>
      </c>
      <c r="BH3" s="16">
        <v>334</v>
      </c>
      <c r="BI3" s="16">
        <v>0</v>
      </c>
      <c r="BJ3" s="16">
        <v>193</v>
      </c>
      <c r="BK3" s="16">
        <v>286</v>
      </c>
      <c r="BL3" s="16">
        <v>224</v>
      </c>
      <c r="BM3" s="16">
        <v>1275</v>
      </c>
      <c r="BN3" s="16">
        <v>496</v>
      </c>
      <c r="BO3" s="16">
        <v>718</v>
      </c>
      <c r="BP3" s="16">
        <v>375</v>
      </c>
      <c r="BQ3" s="16">
        <v>4499</v>
      </c>
      <c r="BR3" s="16">
        <v>1121</v>
      </c>
      <c r="BS3" s="16">
        <v>71730</v>
      </c>
      <c r="BT3" s="16">
        <v>2515</v>
      </c>
      <c r="BU3" s="16">
        <v>64093</v>
      </c>
      <c r="BV3" s="16">
        <v>2747</v>
      </c>
      <c r="BW3" s="16">
        <v>57843</v>
      </c>
      <c r="BX3" s="16">
        <v>2823</v>
      </c>
      <c r="BY3" s="16">
        <v>6250</v>
      </c>
      <c r="BZ3" s="16">
        <v>1136</v>
      </c>
      <c r="CA3" s="16">
        <v>4953</v>
      </c>
      <c r="CB3" s="16">
        <v>1120</v>
      </c>
      <c r="CC3" s="16">
        <v>1068</v>
      </c>
      <c r="CD3" s="16">
        <v>347</v>
      </c>
      <c r="CE3" s="16">
        <v>229</v>
      </c>
      <c r="CF3" s="16">
        <v>184</v>
      </c>
      <c r="CG3" s="16">
        <v>1421</v>
      </c>
      <c r="CH3" s="16">
        <v>625</v>
      </c>
      <c r="CI3" s="16">
        <v>1014</v>
      </c>
      <c r="CJ3" s="16">
        <v>637</v>
      </c>
      <c r="CK3" s="16">
        <v>0</v>
      </c>
      <c r="CL3" s="16">
        <v>193</v>
      </c>
      <c r="CM3" s="16">
        <v>0</v>
      </c>
      <c r="CN3" s="16">
        <v>193</v>
      </c>
      <c r="CO3" s="16">
        <v>407</v>
      </c>
      <c r="CP3" s="16">
        <v>269</v>
      </c>
      <c r="CQ3" s="16">
        <v>0</v>
      </c>
      <c r="CR3" s="16">
        <v>193</v>
      </c>
      <c r="CS3" s="16">
        <v>72</v>
      </c>
      <c r="CT3" s="16">
        <v>124</v>
      </c>
      <c r="CU3" s="16">
        <v>1366</v>
      </c>
      <c r="CV3" s="16">
        <v>707</v>
      </c>
      <c r="CW3" s="16">
        <v>154</v>
      </c>
      <c r="CX3" s="16">
        <v>160</v>
      </c>
      <c r="CY3" s="16">
        <v>4624</v>
      </c>
      <c r="CZ3" s="16">
        <v>937</v>
      </c>
    </row>
    <row r="4" spans="1:104" ht="15.75" customHeight="1" x14ac:dyDescent="0.25">
      <c r="A4" s="15" t="s">
        <v>223</v>
      </c>
      <c r="B4" s="15" t="s">
        <v>224</v>
      </c>
      <c r="C4" s="16">
        <v>592292</v>
      </c>
      <c r="D4" s="16">
        <v>7088</v>
      </c>
      <c r="E4" s="16">
        <v>510882</v>
      </c>
      <c r="F4" s="16">
        <v>8639</v>
      </c>
      <c r="G4" s="16">
        <v>440811</v>
      </c>
      <c r="H4" s="16">
        <v>7575</v>
      </c>
      <c r="I4" s="16">
        <v>70071</v>
      </c>
      <c r="J4" s="16">
        <v>5324</v>
      </c>
      <c r="K4" s="16">
        <v>53493</v>
      </c>
      <c r="L4" s="16">
        <v>4533</v>
      </c>
      <c r="M4" s="16">
        <v>9843</v>
      </c>
      <c r="N4" s="16">
        <v>2333</v>
      </c>
      <c r="O4" s="16">
        <v>6735</v>
      </c>
      <c r="P4" s="16">
        <v>1966</v>
      </c>
      <c r="Q4" s="16">
        <v>18934</v>
      </c>
      <c r="R4" s="16">
        <v>2752</v>
      </c>
      <c r="S4" s="16">
        <v>11200</v>
      </c>
      <c r="T4" s="16">
        <v>2159</v>
      </c>
      <c r="U4" s="16">
        <v>3435</v>
      </c>
      <c r="V4" s="16">
        <v>1136</v>
      </c>
      <c r="W4" s="16">
        <v>1999</v>
      </c>
      <c r="X4" s="16">
        <v>788</v>
      </c>
      <c r="Y4" s="16">
        <v>2300</v>
      </c>
      <c r="Z4" s="16">
        <v>800</v>
      </c>
      <c r="AA4" s="16">
        <v>0</v>
      </c>
      <c r="AB4" s="16">
        <v>193</v>
      </c>
      <c r="AC4" s="16">
        <v>4461</v>
      </c>
      <c r="AD4" s="16">
        <v>1192</v>
      </c>
      <c r="AE4" s="16">
        <v>13073</v>
      </c>
      <c r="AF4" s="16">
        <v>2286</v>
      </c>
      <c r="AG4" s="16">
        <v>4516</v>
      </c>
      <c r="AH4" s="16">
        <v>1174</v>
      </c>
      <c r="AI4" s="16">
        <v>40426</v>
      </c>
      <c r="AJ4" s="16">
        <v>3519</v>
      </c>
      <c r="AK4" s="16">
        <v>323321</v>
      </c>
      <c r="AL4" s="16">
        <v>4435</v>
      </c>
      <c r="AM4" s="16">
        <v>281455</v>
      </c>
      <c r="AN4" s="16">
        <v>5840</v>
      </c>
      <c r="AO4" s="16">
        <v>245280</v>
      </c>
      <c r="AP4" s="16">
        <v>5561</v>
      </c>
      <c r="AQ4" s="16">
        <v>36175</v>
      </c>
      <c r="AR4" s="16">
        <v>3585</v>
      </c>
      <c r="AS4" s="16">
        <v>27048</v>
      </c>
      <c r="AT4" s="16">
        <v>2782</v>
      </c>
      <c r="AU4" s="16">
        <v>5908</v>
      </c>
      <c r="AV4" s="16">
        <v>1915</v>
      </c>
      <c r="AW4" s="16">
        <v>3219</v>
      </c>
      <c r="AX4" s="16">
        <v>1182</v>
      </c>
      <c r="AY4" s="16">
        <v>9965</v>
      </c>
      <c r="AZ4" s="16">
        <v>1866</v>
      </c>
      <c r="BA4" s="16">
        <v>5704</v>
      </c>
      <c r="BB4" s="16">
        <v>1410</v>
      </c>
      <c r="BC4" s="16">
        <v>1830</v>
      </c>
      <c r="BD4" s="16">
        <v>842</v>
      </c>
      <c r="BE4" s="16">
        <v>1075</v>
      </c>
      <c r="BF4" s="16">
        <v>435</v>
      </c>
      <c r="BG4" s="16">
        <v>1356</v>
      </c>
      <c r="BH4" s="16">
        <v>574</v>
      </c>
      <c r="BI4" s="16">
        <v>0</v>
      </c>
      <c r="BJ4" s="16">
        <v>193</v>
      </c>
      <c r="BK4" s="16">
        <v>3424</v>
      </c>
      <c r="BL4" s="16">
        <v>1121</v>
      </c>
      <c r="BM4" s="16">
        <v>6929</v>
      </c>
      <c r="BN4" s="16">
        <v>1575</v>
      </c>
      <c r="BO4" s="16">
        <v>3124</v>
      </c>
      <c r="BP4" s="16">
        <v>869</v>
      </c>
      <c r="BQ4" s="16">
        <v>18424</v>
      </c>
      <c r="BR4" s="16">
        <v>2253</v>
      </c>
      <c r="BS4" s="16">
        <v>268971</v>
      </c>
      <c r="BT4" s="16">
        <v>5471</v>
      </c>
      <c r="BU4" s="16">
        <v>229427</v>
      </c>
      <c r="BV4" s="16">
        <v>6019</v>
      </c>
      <c r="BW4" s="16">
        <v>195531</v>
      </c>
      <c r="BX4" s="16">
        <v>5473</v>
      </c>
      <c r="BY4" s="16">
        <v>33896</v>
      </c>
      <c r="BZ4" s="16">
        <v>3615</v>
      </c>
      <c r="CA4" s="16">
        <v>26445</v>
      </c>
      <c r="CB4" s="16">
        <v>3147</v>
      </c>
      <c r="CC4" s="16">
        <v>3935</v>
      </c>
      <c r="CD4" s="16">
        <v>1175</v>
      </c>
      <c r="CE4" s="16">
        <v>3516</v>
      </c>
      <c r="CF4" s="16">
        <v>1248</v>
      </c>
      <c r="CG4" s="16">
        <v>8969</v>
      </c>
      <c r="CH4" s="16">
        <v>1529</v>
      </c>
      <c r="CI4" s="16">
        <v>5496</v>
      </c>
      <c r="CJ4" s="16">
        <v>1300</v>
      </c>
      <c r="CK4" s="16">
        <v>1605</v>
      </c>
      <c r="CL4" s="16">
        <v>676</v>
      </c>
      <c r="CM4" s="16">
        <v>924</v>
      </c>
      <c r="CN4" s="16">
        <v>506</v>
      </c>
      <c r="CO4" s="16">
        <v>944</v>
      </c>
      <c r="CP4" s="16">
        <v>459</v>
      </c>
      <c r="CQ4" s="16">
        <v>0</v>
      </c>
      <c r="CR4" s="16">
        <v>193</v>
      </c>
      <c r="CS4" s="16">
        <v>1037</v>
      </c>
      <c r="CT4" s="16">
        <v>483</v>
      </c>
      <c r="CU4" s="16">
        <v>6144</v>
      </c>
      <c r="CV4" s="16">
        <v>1434</v>
      </c>
      <c r="CW4" s="16">
        <v>1392</v>
      </c>
      <c r="CX4" s="16">
        <v>626</v>
      </c>
      <c r="CY4" s="16">
        <v>22002</v>
      </c>
      <c r="CZ4" s="16">
        <v>2182</v>
      </c>
    </row>
    <row r="5" spans="1:104" ht="15.75" customHeight="1" x14ac:dyDescent="0.25">
      <c r="A5" s="15" t="s">
        <v>225</v>
      </c>
      <c r="B5" s="15" t="s">
        <v>226</v>
      </c>
      <c r="C5" s="16">
        <v>285521</v>
      </c>
      <c r="D5" s="16">
        <v>3915</v>
      </c>
      <c r="E5" s="16">
        <v>242743</v>
      </c>
      <c r="F5" s="16">
        <v>4403</v>
      </c>
      <c r="G5" s="16">
        <v>210951</v>
      </c>
      <c r="H5" s="16">
        <v>4521</v>
      </c>
      <c r="I5" s="16">
        <v>31792</v>
      </c>
      <c r="J5" s="16">
        <v>3147</v>
      </c>
      <c r="K5" s="16">
        <v>25021</v>
      </c>
      <c r="L5" s="16">
        <v>2686</v>
      </c>
      <c r="M5" s="16">
        <v>3714</v>
      </c>
      <c r="N5" s="16">
        <v>927</v>
      </c>
      <c r="O5" s="16">
        <v>3057</v>
      </c>
      <c r="P5" s="16">
        <v>1160</v>
      </c>
      <c r="Q5" s="16">
        <v>5868</v>
      </c>
      <c r="R5" s="16">
        <v>1228</v>
      </c>
      <c r="S5" s="16">
        <v>2589</v>
      </c>
      <c r="T5" s="16">
        <v>806</v>
      </c>
      <c r="U5" s="16">
        <v>156</v>
      </c>
      <c r="V5" s="16">
        <v>144</v>
      </c>
      <c r="W5" s="16">
        <v>1076</v>
      </c>
      <c r="X5" s="16">
        <v>769</v>
      </c>
      <c r="Y5" s="16">
        <v>2047</v>
      </c>
      <c r="Z5" s="16">
        <v>491</v>
      </c>
      <c r="AA5" s="16">
        <v>0</v>
      </c>
      <c r="AB5" s="16">
        <v>193</v>
      </c>
      <c r="AC5" s="16">
        <v>2889</v>
      </c>
      <c r="AD5" s="16">
        <v>1380</v>
      </c>
      <c r="AE5" s="16">
        <v>11887</v>
      </c>
      <c r="AF5" s="16">
        <v>1650</v>
      </c>
      <c r="AG5" s="16">
        <v>2583</v>
      </c>
      <c r="AH5" s="16">
        <v>770</v>
      </c>
      <c r="AI5" s="16">
        <v>19551</v>
      </c>
      <c r="AJ5" s="16">
        <v>1942</v>
      </c>
      <c r="AK5" s="16">
        <v>165643</v>
      </c>
      <c r="AL5" s="16">
        <v>2822</v>
      </c>
      <c r="AM5" s="16">
        <v>144358</v>
      </c>
      <c r="AN5" s="16">
        <v>3112</v>
      </c>
      <c r="AO5" s="16">
        <v>125506</v>
      </c>
      <c r="AP5" s="16">
        <v>3389</v>
      </c>
      <c r="AQ5" s="16">
        <v>18852</v>
      </c>
      <c r="AR5" s="16">
        <v>1959</v>
      </c>
      <c r="AS5" s="16">
        <v>14814</v>
      </c>
      <c r="AT5" s="16">
        <v>1894</v>
      </c>
      <c r="AU5" s="16">
        <v>2043</v>
      </c>
      <c r="AV5" s="16">
        <v>609</v>
      </c>
      <c r="AW5" s="16">
        <v>1995</v>
      </c>
      <c r="AX5" s="16">
        <v>881</v>
      </c>
      <c r="AY5" s="16">
        <v>3475</v>
      </c>
      <c r="AZ5" s="16">
        <v>939</v>
      </c>
      <c r="BA5" s="16">
        <v>1220</v>
      </c>
      <c r="BB5" s="16">
        <v>507</v>
      </c>
      <c r="BC5" s="16">
        <v>156</v>
      </c>
      <c r="BD5" s="16">
        <v>144</v>
      </c>
      <c r="BE5" s="16">
        <v>719</v>
      </c>
      <c r="BF5" s="16">
        <v>663</v>
      </c>
      <c r="BG5" s="16">
        <v>1380</v>
      </c>
      <c r="BH5" s="16">
        <v>387</v>
      </c>
      <c r="BI5" s="16">
        <v>0</v>
      </c>
      <c r="BJ5" s="16">
        <v>193</v>
      </c>
      <c r="BK5" s="16">
        <v>2438</v>
      </c>
      <c r="BL5" s="16">
        <v>1378</v>
      </c>
      <c r="BM5" s="16">
        <v>5596</v>
      </c>
      <c r="BN5" s="16">
        <v>1004</v>
      </c>
      <c r="BO5" s="16">
        <v>1642</v>
      </c>
      <c r="BP5" s="16">
        <v>630</v>
      </c>
      <c r="BQ5" s="16">
        <v>8134</v>
      </c>
      <c r="BR5" s="16">
        <v>1393</v>
      </c>
      <c r="BS5" s="16">
        <v>119878</v>
      </c>
      <c r="BT5" s="16">
        <v>2981</v>
      </c>
      <c r="BU5" s="16">
        <v>98385</v>
      </c>
      <c r="BV5" s="16">
        <v>3412</v>
      </c>
      <c r="BW5" s="16">
        <v>85445</v>
      </c>
      <c r="BX5" s="16">
        <v>3103</v>
      </c>
      <c r="BY5" s="16">
        <v>12940</v>
      </c>
      <c r="BZ5" s="16">
        <v>1836</v>
      </c>
      <c r="CA5" s="16">
        <v>10207</v>
      </c>
      <c r="CB5" s="16">
        <v>1511</v>
      </c>
      <c r="CC5" s="16">
        <v>1671</v>
      </c>
      <c r="CD5" s="16">
        <v>558</v>
      </c>
      <c r="CE5" s="16">
        <v>1062</v>
      </c>
      <c r="CF5" s="16">
        <v>525</v>
      </c>
      <c r="CG5" s="16">
        <v>2393</v>
      </c>
      <c r="CH5" s="16">
        <v>722</v>
      </c>
      <c r="CI5" s="16">
        <v>1369</v>
      </c>
      <c r="CJ5" s="16">
        <v>478</v>
      </c>
      <c r="CK5" s="16">
        <v>0</v>
      </c>
      <c r="CL5" s="16">
        <v>193</v>
      </c>
      <c r="CM5" s="16">
        <v>357</v>
      </c>
      <c r="CN5" s="16">
        <v>319</v>
      </c>
      <c r="CO5" s="16">
        <v>667</v>
      </c>
      <c r="CP5" s="16">
        <v>381</v>
      </c>
      <c r="CQ5" s="16">
        <v>0</v>
      </c>
      <c r="CR5" s="16">
        <v>193</v>
      </c>
      <c r="CS5" s="16">
        <v>451</v>
      </c>
      <c r="CT5" s="16">
        <v>248</v>
      </c>
      <c r="CU5" s="16">
        <v>6291</v>
      </c>
      <c r="CV5" s="16">
        <v>1364</v>
      </c>
      <c r="CW5" s="16">
        <v>941</v>
      </c>
      <c r="CX5" s="16">
        <v>438</v>
      </c>
      <c r="CY5" s="16">
        <v>11417</v>
      </c>
      <c r="CZ5" s="16">
        <v>1380</v>
      </c>
    </row>
    <row r="6" spans="1:104" ht="15.75" customHeight="1" x14ac:dyDescent="0.25">
      <c r="A6" s="15" t="s">
        <v>227</v>
      </c>
      <c r="B6" s="15" t="s">
        <v>228</v>
      </c>
      <c r="C6" s="16">
        <v>125792</v>
      </c>
      <c r="D6" s="16">
        <v>3336</v>
      </c>
      <c r="E6" s="16">
        <v>112909</v>
      </c>
      <c r="F6" s="16">
        <v>3673</v>
      </c>
      <c r="G6" s="16">
        <v>98557</v>
      </c>
      <c r="H6" s="16">
        <v>3778</v>
      </c>
      <c r="I6" s="16">
        <v>14352</v>
      </c>
      <c r="J6" s="16">
        <v>2754</v>
      </c>
      <c r="K6" s="16">
        <v>10405</v>
      </c>
      <c r="L6" s="16">
        <v>2569</v>
      </c>
      <c r="M6" s="16">
        <v>2103</v>
      </c>
      <c r="N6" s="16">
        <v>782</v>
      </c>
      <c r="O6" s="16">
        <v>1844</v>
      </c>
      <c r="P6" s="16">
        <v>774</v>
      </c>
      <c r="Q6" s="16">
        <v>1763</v>
      </c>
      <c r="R6" s="16">
        <v>745</v>
      </c>
      <c r="S6" s="16">
        <v>1370</v>
      </c>
      <c r="T6" s="16">
        <v>673</v>
      </c>
      <c r="U6" s="16">
        <v>0</v>
      </c>
      <c r="V6" s="16">
        <v>193</v>
      </c>
      <c r="W6" s="16">
        <v>199</v>
      </c>
      <c r="X6" s="16">
        <v>244</v>
      </c>
      <c r="Y6" s="16">
        <v>194</v>
      </c>
      <c r="Z6" s="16">
        <v>163</v>
      </c>
      <c r="AA6" s="16">
        <v>0</v>
      </c>
      <c r="AB6" s="16">
        <v>193</v>
      </c>
      <c r="AC6" s="16">
        <v>676</v>
      </c>
      <c r="AD6" s="16">
        <v>418</v>
      </c>
      <c r="AE6" s="16">
        <v>1245</v>
      </c>
      <c r="AF6" s="16">
        <v>494</v>
      </c>
      <c r="AG6" s="16">
        <v>2664</v>
      </c>
      <c r="AH6" s="16">
        <v>1066</v>
      </c>
      <c r="AI6" s="16">
        <v>6535</v>
      </c>
      <c r="AJ6" s="16">
        <v>1093</v>
      </c>
      <c r="AK6" s="16">
        <v>69488</v>
      </c>
      <c r="AL6" s="16">
        <v>2575</v>
      </c>
      <c r="AM6" s="16">
        <v>63139</v>
      </c>
      <c r="AN6" s="16">
        <v>2685</v>
      </c>
      <c r="AO6" s="16">
        <v>56108</v>
      </c>
      <c r="AP6" s="16">
        <v>2642</v>
      </c>
      <c r="AQ6" s="16">
        <v>7031</v>
      </c>
      <c r="AR6" s="16">
        <v>1686</v>
      </c>
      <c r="AS6" s="16">
        <v>5096</v>
      </c>
      <c r="AT6" s="16">
        <v>1493</v>
      </c>
      <c r="AU6" s="16">
        <v>1136</v>
      </c>
      <c r="AV6" s="16">
        <v>627</v>
      </c>
      <c r="AW6" s="16">
        <v>799</v>
      </c>
      <c r="AX6" s="16">
        <v>360</v>
      </c>
      <c r="AY6" s="16">
        <v>895</v>
      </c>
      <c r="AZ6" s="16">
        <v>499</v>
      </c>
      <c r="BA6" s="16">
        <v>655</v>
      </c>
      <c r="BB6" s="16">
        <v>458</v>
      </c>
      <c r="BC6" s="16">
        <v>0</v>
      </c>
      <c r="BD6" s="16">
        <v>193</v>
      </c>
      <c r="BE6" s="16">
        <v>96</v>
      </c>
      <c r="BF6" s="16">
        <v>129</v>
      </c>
      <c r="BG6" s="16">
        <v>144</v>
      </c>
      <c r="BH6" s="16">
        <v>129</v>
      </c>
      <c r="BI6" s="16">
        <v>0</v>
      </c>
      <c r="BJ6" s="16">
        <v>193</v>
      </c>
      <c r="BK6" s="16">
        <v>424</v>
      </c>
      <c r="BL6" s="16">
        <v>247</v>
      </c>
      <c r="BM6" s="16">
        <v>771</v>
      </c>
      <c r="BN6" s="16">
        <v>387</v>
      </c>
      <c r="BO6" s="16">
        <v>2117</v>
      </c>
      <c r="BP6" s="16">
        <v>986</v>
      </c>
      <c r="BQ6" s="16">
        <v>2142</v>
      </c>
      <c r="BR6" s="16">
        <v>638</v>
      </c>
      <c r="BS6" s="16">
        <v>56304</v>
      </c>
      <c r="BT6" s="16">
        <v>1896</v>
      </c>
      <c r="BU6" s="16">
        <v>49770</v>
      </c>
      <c r="BV6" s="16">
        <v>2085</v>
      </c>
      <c r="BW6" s="16">
        <v>42449</v>
      </c>
      <c r="BX6" s="16">
        <v>2191</v>
      </c>
      <c r="BY6" s="16">
        <v>7321</v>
      </c>
      <c r="BZ6" s="16">
        <v>1539</v>
      </c>
      <c r="CA6" s="16">
        <v>5309</v>
      </c>
      <c r="CB6" s="16">
        <v>1470</v>
      </c>
      <c r="CC6" s="16">
        <v>967</v>
      </c>
      <c r="CD6" s="16">
        <v>465</v>
      </c>
      <c r="CE6" s="16">
        <v>1045</v>
      </c>
      <c r="CF6" s="16">
        <v>598</v>
      </c>
      <c r="CG6" s="16">
        <v>868</v>
      </c>
      <c r="CH6" s="16">
        <v>509</v>
      </c>
      <c r="CI6" s="16">
        <v>715</v>
      </c>
      <c r="CJ6" s="16">
        <v>452</v>
      </c>
      <c r="CK6" s="16">
        <v>0</v>
      </c>
      <c r="CL6" s="16">
        <v>193</v>
      </c>
      <c r="CM6" s="16">
        <v>103</v>
      </c>
      <c r="CN6" s="16">
        <v>163</v>
      </c>
      <c r="CO6" s="16">
        <v>50</v>
      </c>
      <c r="CP6" s="16">
        <v>86</v>
      </c>
      <c r="CQ6" s="16">
        <v>0</v>
      </c>
      <c r="CR6" s="16">
        <v>193</v>
      </c>
      <c r="CS6" s="16">
        <v>252</v>
      </c>
      <c r="CT6" s="16">
        <v>334</v>
      </c>
      <c r="CU6" s="16">
        <v>474</v>
      </c>
      <c r="CV6" s="16">
        <v>283</v>
      </c>
      <c r="CW6" s="16">
        <v>547</v>
      </c>
      <c r="CX6" s="16">
        <v>408</v>
      </c>
      <c r="CY6" s="16">
        <v>4393</v>
      </c>
      <c r="CZ6" s="16">
        <v>864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CZ6"/>
  <sheetViews>
    <sheetView workbookViewId="0"/>
  </sheetViews>
  <sheetFormatPr defaultColWidth="14.42578125" defaultRowHeight="15.75" customHeight="1" x14ac:dyDescent="0.2"/>
  <sheetData>
    <row r="1" spans="1:104" ht="15.75" customHeight="1" x14ac:dyDescent="0.2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5" t="s">
        <v>41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  <c r="AP1" s="15" t="s">
        <v>54</v>
      </c>
      <c r="AQ1" s="15" t="s">
        <v>55</v>
      </c>
      <c r="AR1" s="15" t="s">
        <v>56</v>
      </c>
      <c r="AS1" s="15" t="s">
        <v>57</v>
      </c>
      <c r="AT1" s="15" t="s">
        <v>58</v>
      </c>
      <c r="AU1" s="15" t="s">
        <v>59</v>
      </c>
      <c r="AV1" s="15" t="s">
        <v>60</v>
      </c>
      <c r="AW1" s="15" t="s">
        <v>61</v>
      </c>
      <c r="AX1" s="15" t="s">
        <v>62</v>
      </c>
      <c r="AY1" s="15" t="s">
        <v>63</v>
      </c>
      <c r="AZ1" s="15" t="s">
        <v>64</v>
      </c>
      <c r="BA1" s="15" t="s">
        <v>65</v>
      </c>
      <c r="BB1" s="15" t="s">
        <v>66</v>
      </c>
      <c r="BC1" s="15" t="s">
        <v>67</v>
      </c>
      <c r="BD1" s="15" t="s">
        <v>68</v>
      </c>
      <c r="BE1" s="15" t="s">
        <v>69</v>
      </c>
      <c r="BF1" s="15" t="s">
        <v>70</v>
      </c>
      <c r="BG1" s="15" t="s">
        <v>71</v>
      </c>
      <c r="BH1" s="15" t="s">
        <v>72</v>
      </c>
      <c r="BI1" s="15" t="s">
        <v>73</v>
      </c>
      <c r="BJ1" s="15" t="s">
        <v>74</v>
      </c>
      <c r="BK1" s="15" t="s">
        <v>75</v>
      </c>
      <c r="BL1" s="15" t="s">
        <v>76</v>
      </c>
      <c r="BM1" s="15" t="s">
        <v>77</v>
      </c>
      <c r="BN1" s="15" t="s">
        <v>78</v>
      </c>
      <c r="BO1" s="15" t="s">
        <v>79</v>
      </c>
      <c r="BP1" s="15" t="s">
        <v>80</v>
      </c>
      <c r="BQ1" s="15" t="s">
        <v>81</v>
      </c>
      <c r="BR1" s="15" t="s">
        <v>82</v>
      </c>
      <c r="BS1" s="15" t="s">
        <v>83</v>
      </c>
      <c r="BT1" s="15" t="s">
        <v>84</v>
      </c>
      <c r="BU1" s="15" t="s">
        <v>85</v>
      </c>
      <c r="BV1" s="15" t="s">
        <v>86</v>
      </c>
      <c r="BW1" s="15" t="s">
        <v>87</v>
      </c>
      <c r="BX1" s="15" t="s">
        <v>88</v>
      </c>
      <c r="BY1" s="15" t="s">
        <v>89</v>
      </c>
      <c r="BZ1" s="15" t="s">
        <v>90</v>
      </c>
      <c r="CA1" s="15" t="s">
        <v>91</v>
      </c>
      <c r="CB1" s="15" t="s">
        <v>92</v>
      </c>
      <c r="CC1" s="15" t="s">
        <v>93</v>
      </c>
      <c r="CD1" s="15" t="s">
        <v>94</v>
      </c>
      <c r="CE1" s="15" t="s">
        <v>95</v>
      </c>
      <c r="CF1" s="15" t="s">
        <v>96</v>
      </c>
      <c r="CG1" s="15" t="s">
        <v>97</v>
      </c>
      <c r="CH1" s="15" t="s">
        <v>98</v>
      </c>
      <c r="CI1" s="15" t="s">
        <v>99</v>
      </c>
      <c r="CJ1" s="15" t="s">
        <v>100</v>
      </c>
      <c r="CK1" s="15" t="s">
        <v>101</v>
      </c>
      <c r="CL1" s="15" t="s">
        <v>102</v>
      </c>
      <c r="CM1" s="15" t="s">
        <v>103</v>
      </c>
      <c r="CN1" s="15" t="s">
        <v>104</v>
      </c>
      <c r="CO1" s="15" t="s">
        <v>105</v>
      </c>
      <c r="CP1" s="15" t="s">
        <v>106</v>
      </c>
      <c r="CQ1" s="15" t="s">
        <v>107</v>
      </c>
      <c r="CR1" s="15" t="s">
        <v>108</v>
      </c>
      <c r="CS1" s="15" t="s">
        <v>109</v>
      </c>
      <c r="CT1" s="15" t="s">
        <v>110</v>
      </c>
      <c r="CU1" s="15" t="s">
        <v>111</v>
      </c>
      <c r="CV1" s="15" t="s">
        <v>112</v>
      </c>
      <c r="CW1" s="15" t="s">
        <v>113</v>
      </c>
      <c r="CX1" s="15" t="s">
        <v>114</v>
      </c>
      <c r="CY1" s="15" t="s">
        <v>115</v>
      </c>
      <c r="CZ1" s="15" t="s">
        <v>116</v>
      </c>
    </row>
    <row r="2" spans="1:104" ht="15.75" customHeight="1" x14ac:dyDescent="0.25">
      <c r="A2" s="15" t="s">
        <v>117</v>
      </c>
      <c r="B2" s="15" t="s">
        <v>118</v>
      </c>
      <c r="C2" s="15" t="s">
        <v>229</v>
      </c>
      <c r="D2" s="15" t="s">
        <v>230</v>
      </c>
      <c r="E2" s="15" t="s">
        <v>231</v>
      </c>
      <c r="F2" s="15" t="s">
        <v>232</v>
      </c>
      <c r="G2" s="15" t="s">
        <v>233</v>
      </c>
      <c r="H2" s="15" t="s">
        <v>234</v>
      </c>
      <c r="I2" s="15" t="s">
        <v>235</v>
      </c>
      <c r="J2" s="15" t="s">
        <v>236</v>
      </c>
      <c r="K2" s="15" t="s">
        <v>237</v>
      </c>
      <c r="L2" s="15" t="s">
        <v>238</v>
      </c>
      <c r="M2" s="15" t="s">
        <v>239</v>
      </c>
      <c r="N2" s="15" t="s">
        <v>240</v>
      </c>
      <c r="O2" s="15" t="s">
        <v>241</v>
      </c>
      <c r="P2" s="15" t="s">
        <v>242</v>
      </c>
      <c r="Q2" s="15" t="s">
        <v>243</v>
      </c>
      <c r="R2" s="15" t="s">
        <v>244</v>
      </c>
      <c r="S2" s="15" t="s">
        <v>245</v>
      </c>
      <c r="T2" s="15" t="s">
        <v>246</v>
      </c>
      <c r="U2" s="15" t="s">
        <v>247</v>
      </c>
      <c r="V2" s="15" t="s">
        <v>248</v>
      </c>
      <c r="W2" s="15" t="s">
        <v>249</v>
      </c>
      <c r="X2" s="15" t="s">
        <v>250</v>
      </c>
      <c r="Y2" s="15" t="s">
        <v>251</v>
      </c>
      <c r="Z2" s="15" t="s">
        <v>252</v>
      </c>
      <c r="AA2" s="15" t="s">
        <v>253</v>
      </c>
      <c r="AB2" s="15" t="s">
        <v>254</v>
      </c>
      <c r="AC2" s="15" t="s">
        <v>255</v>
      </c>
      <c r="AD2" s="15" t="s">
        <v>256</v>
      </c>
      <c r="AE2" s="15" t="s">
        <v>257</v>
      </c>
      <c r="AF2" s="15" t="s">
        <v>258</v>
      </c>
      <c r="AG2" s="15" t="s">
        <v>259</v>
      </c>
      <c r="AH2" s="15" t="s">
        <v>260</v>
      </c>
      <c r="AI2" s="15" t="s">
        <v>261</v>
      </c>
      <c r="AJ2" s="15" t="s">
        <v>262</v>
      </c>
      <c r="AK2" s="15" t="s">
        <v>263</v>
      </c>
      <c r="AL2" s="15" t="s">
        <v>264</v>
      </c>
      <c r="AM2" s="15" t="s">
        <v>265</v>
      </c>
      <c r="AN2" s="15" t="s">
        <v>266</v>
      </c>
      <c r="AO2" s="15" t="s">
        <v>267</v>
      </c>
      <c r="AP2" s="15" t="s">
        <v>268</v>
      </c>
      <c r="AQ2" s="15" t="s">
        <v>269</v>
      </c>
      <c r="AR2" s="15" t="s">
        <v>270</v>
      </c>
      <c r="AS2" s="15" t="s">
        <v>271</v>
      </c>
      <c r="AT2" s="15" t="s">
        <v>272</v>
      </c>
      <c r="AU2" s="15" t="s">
        <v>273</v>
      </c>
      <c r="AV2" s="15" t="s">
        <v>274</v>
      </c>
      <c r="AW2" s="15" t="s">
        <v>275</v>
      </c>
      <c r="AX2" s="15" t="s">
        <v>276</v>
      </c>
      <c r="AY2" s="15" t="s">
        <v>277</v>
      </c>
      <c r="AZ2" s="15" t="s">
        <v>278</v>
      </c>
      <c r="BA2" s="15" t="s">
        <v>279</v>
      </c>
      <c r="BB2" s="15" t="s">
        <v>280</v>
      </c>
      <c r="BC2" s="15" t="s">
        <v>281</v>
      </c>
      <c r="BD2" s="15" t="s">
        <v>282</v>
      </c>
      <c r="BE2" s="15" t="s">
        <v>283</v>
      </c>
      <c r="BF2" s="15" t="s">
        <v>284</v>
      </c>
      <c r="BG2" s="15" t="s">
        <v>285</v>
      </c>
      <c r="BH2" s="15" t="s">
        <v>286</v>
      </c>
      <c r="BI2" s="15" t="s">
        <v>287</v>
      </c>
      <c r="BJ2" s="15" t="s">
        <v>288</v>
      </c>
      <c r="BK2" s="15" t="s">
        <v>289</v>
      </c>
      <c r="BL2" s="15" t="s">
        <v>290</v>
      </c>
      <c r="BM2" s="15" t="s">
        <v>291</v>
      </c>
      <c r="BN2" s="15" t="s">
        <v>292</v>
      </c>
      <c r="BO2" s="15" t="s">
        <v>293</v>
      </c>
      <c r="BP2" s="15" t="s">
        <v>294</v>
      </c>
      <c r="BQ2" s="15" t="s">
        <v>295</v>
      </c>
      <c r="BR2" s="15" t="s">
        <v>296</v>
      </c>
      <c r="BS2" s="15" t="s">
        <v>297</v>
      </c>
      <c r="BT2" s="15" t="s">
        <v>298</v>
      </c>
      <c r="BU2" s="15" t="s">
        <v>299</v>
      </c>
      <c r="BV2" s="15" t="s">
        <v>300</v>
      </c>
      <c r="BW2" s="15" t="s">
        <v>301</v>
      </c>
      <c r="BX2" s="15" t="s">
        <v>302</v>
      </c>
      <c r="BY2" s="15" t="s">
        <v>303</v>
      </c>
      <c r="BZ2" s="15" t="s">
        <v>304</v>
      </c>
      <c r="CA2" s="15" t="s">
        <v>305</v>
      </c>
      <c r="CB2" s="15" t="s">
        <v>306</v>
      </c>
      <c r="CC2" s="15" t="s">
        <v>307</v>
      </c>
      <c r="CD2" s="15" t="s">
        <v>308</v>
      </c>
      <c r="CE2" s="15" t="s">
        <v>309</v>
      </c>
      <c r="CF2" s="15" t="s">
        <v>310</v>
      </c>
      <c r="CG2" s="15" t="s">
        <v>311</v>
      </c>
      <c r="CH2" s="15" t="s">
        <v>312</v>
      </c>
      <c r="CI2" s="15" t="s">
        <v>313</v>
      </c>
      <c r="CJ2" s="15" t="s">
        <v>314</v>
      </c>
      <c r="CK2" s="15" t="s">
        <v>315</v>
      </c>
      <c r="CL2" s="15" t="s">
        <v>316</v>
      </c>
      <c r="CM2" s="15" t="s">
        <v>317</v>
      </c>
      <c r="CN2" s="15" t="s">
        <v>318</v>
      </c>
      <c r="CO2" s="15" t="s">
        <v>319</v>
      </c>
      <c r="CP2" s="15" t="s">
        <v>320</v>
      </c>
      <c r="CQ2" s="15" t="s">
        <v>321</v>
      </c>
      <c r="CR2" s="15" t="s">
        <v>322</v>
      </c>
      <c r="CS2" s="15" t="s">
        <v>323</v>
      </c>
      <c r="CT2" s="15" t="s">
        <v>324</v>
      </c>
      <c r="CU2" s="15" t="s">
        <v>325</v>
      </c>
      <c r="CV2" s="15" t="s">
        <v>326</v>
      </c>
      <c r="CW2" s="15" t="s">
        <v>327</v>
      </c>
      <c r="CX2" s="15" t="s">
        <v>328</v>
      </c>
      <c r="CY2" s="15" t="s">
        <v>329</v>
      </c>
      <c r="CZ2" s="15" t="s">
        <v>330</v>
      </c>
    </row>
    <row r="3" spans="1:104" ht="15.75" customHeight="1" x14ac:dyDescent="0.25">
      <c r="A3" s="15" t="s">
        <v>221</v>
      </c>
      <c r="B3" s="15" t="s">
        <v>222</v>
      </c>
      <c r="C3" s="16">
        <v>174354</v>
      </c>
      <c r="D3" s="16">
        <v>3504</v>
      </c>
      <c r="E3" s="16">
        <v>154753</v>
      </c>
      <c r="F3" s="16">
        <v>4166</v>
      </c>
      <c r="G3" s="16">
        <v>140867</v>
      </c>
      <c r="H3" s="16">
        <v>4607</v>
      </c>
      <c r="I3" s="16">
        <v>13886</v>
      </c>
      <c r="J3" s="16">
        <v>1974</v>
      </c>
      <c r="K3" s="16">
        <v>9970</v>
      </c>
      <c r="L3" s="16">
        <v>1782</v>
      </c>
      <c r="M3" s="16">
        <v>1667</v>
      </c>
      <c r="N3" s="16">
        <v>598</v>
      </c>
      <c r="O3" s="16">
        <v>2249</v>
      </c>
      <c r="P3" s="16">
        <v>1230</v>
      </c>
      <c r="Q3" s="16">
        <v>2609</v>
      </c>
      <c r="R3" s="16">
        <v>684</v>
      </c>
      <c r="S3" s="16">
        <v>844</v>
      </c>
      <c r="T3" s="16">
        <v>391</v>
      </c>
      <c r="U3" s="16">
        <v>71</v>
      </c>
      <c r="V3" s="16">
        <v>88</v>
      </c>
      <c r="W3" s="16">
        <v>1462</v>
      </c>
      <c r="X3" s="16">
        <v>518</v>
      </c>
      <c r="Y3" s="16">
        <v>127</v>
      </c>
      <c r="Z3" s="16">
        <v>154</v>
      </c>
      <c r="AA3" s="16">
        <v>105</v>
      </c>
      <c r="AB3" s="16">
        <v>176</v>
      </c>
      <c r="AC3" s="16">
        <v>655</v>
      </c>
      <c r="AD3" s="16">
        <v>435</v>
      </c>
      <c r="AE3" s="16">
        <v>1803</v>
      </c>
      <c r="AF3" s="16">
        <v>631</v>
      </c>
      <c r="AG3" s="16">
        <v>1843</v>
      </c>
      <c r="AH3" s="16">
        <v>999</v>
      </c>
      <c r="AI3" s="16">
        <v>12691</v>
      </c>
      <c r="AJ3" s="16">
        <v>2091</v>
      </c>
      <c r="AK3" s="16">
        <v>97534</v>
      </c>
      <c r="AL3" s="16">
        <v>2572</v>
      </c>
      <c r="AM3" s="16">
        <v>86730</v>
      </c>
      <c r="AN3" s="16">
        <v>3215</v>
      </c>
      <c r="AO3" s="16">
        <v>79093</v>
      </c>
      <c r="AP3" s="16">
        <v>3351</v>
      </c>
      <c r="AQ3" s="16">
        <v>7637</v>
      </c>
      <c r="AR3" s="16">
        <v>1513</v>
      </c>
      <c r="AS3" s="16">
        <v>5394</v>
      </c>
      <c r="AT3" s="16">
        <v>1316</v>
      </c>
      <c r="AU3" s="16">
        <v>771</v>
      </c>
      <c r="AV3" s="16">
        <v>354</v>
      </c>
      <c r="AW3" s="16">
        <v>1472</v>
      </c>
      <c r="AX3" s="16">
        <v>982</v>
      </c>
      <c r="AY3" s="16">
        <v>1509</v>
      </c>
      <c r="AZ3" s="16">
        <v>502</v>
      </c>
      <c r="BA3" s="16">
        <v>315</v>
      </c>
      <c r="BB3" s="16">
        <v>240</v>
      </c>
      <c r="BC3" s="16">
        <v>47</v>
      </c>
      <c r="BD3" s="16">
        <v>78</v>
      </c>
      <c r="BE3" s="16">
        <v>1026</v>
      </c>
      <c r="BF3" s="16">
        <v>429</v>
      </c>
      <c r="BG3" s="16">
        <v>66</v>
      </c>
      <c r="BH3" s="16">
        <v>114</v>
      </c>
      <c r="BI3" s="16">
        <v>55</v>
      </c>
      <c r="BJ3" s="16">
        <v>93</v>
      </c>
      <c r="BK3" s="16">
        <v>292</v>
      </c>
      <c r="BL3" s="16">
        <v>198</v>
      </c>
      <c r="BM3" s="16">
        <v>1337</v>
      </c>
      <c r="BN3" s="16">
        <v>575</v>
      </c>
      <c r="BO3" s="16">
        <v>1106</v>
      </c>
      <c r="BP3" s="16">
        <v>748</v>
      </c>
      <c r="BQ3" s="16">
        <v>6560</v>
      </c>
      <c r="BR3" s="16">
        <v>1564</v>
      </c>
      <c r="BS3" s="16">
        <v>76820</v>
      </c>
      <c r="BT3" s="16">
        <v>2784</v>
      </c>
      <c r="BU3" s="16">
        <v>68023</v>
      </c>
      <c r="BV3" s="16">
        <v>2938</v>
      </c>
      <c r="BW3" s="16">
        <v>61774</v>
      </c>
      <c r="BX3" s="16">
        <v>3002</v>
      </c>
      <c r="BY3" s="16">
        <v>6249</v>
      </c>
      <c r="BZ3" s="16">
        <v>1106</v>
      </c>
      <c r="CA3" s="16">
        <v>4576</v>
      </c>
      <c r="CB3" s="16">
        <v>1090</v>
      </c>
      <c r="CC3" s="16">
        <v>896</v>
      </c>
      <c r="CD3" s="16">
        <v>383</v>
      </c>
      <c r="CE3" s="16">
        <v>777</v>
      </c>
      <c r="CF3" s="16">
        <v>432</v>
      </c>
      <c r="CG3" s="16">
        <v>1100</v>
      </c>
      <c r="CH3" s="16">
        <v>426</v>
      </c>
      <c r="CI3" s="16">
        <v>529</v>
      </c>
      <c r="CJ3" s="16">
        <v>297</v>
      </c>
      <c r="CK3" s="16">
        <v>24</v>
      </c>
      <c r="CL3" s="16">
        <v>41</v>
      </c>
      <c r="CM3" s="16">
        <v>436</v>
      </c>
      <c r="CN3" s="16">
        <v>263</v>
      </c>
      <c r="CO3" s="16">
        <v>61</v>
      </c>
      <c r="CP3" s="16">
        <v>103</v>
      </c>
      <c r="CQ3" s="16">
        <v>50</v>
      </c>
      <c r="CR3" s="16">
        <v>83</v>
      </c>
      <c r="CS3" s="16">
        <v>363</v>
      </c>
      <c r="CT3" s="16">
        <v>348</v>
      </c>
      <c r="CU3" s="16">
        <v>466</v>
      </c>
      <c r="CV3" s="16">
        <v>274</v>
      </c>
      <c r="CW3" s="16">
        <v>737</v>
      </c>
      <c r="CX3" s="16">
        <v>473</v>
      </c>
      <c r="CY3" s="16">
        <v>6131</v>
      </c>
      <c r="CZ3" s="16">
        <v>1336</v>
      </c>
    </row>
    <row r="4" spans="1:104" ht="15.75" customHeight="1" x14ac:dyDescent="0.25">
      <c r="A4" s="15" t="s">
        <v>223</v>
      </c>
      <c r="B4" s="15" t="s">
        <v>224</v>
      </c>
      <c r="C4" s="16">
        <v>611513</v>
      </c>
      <c r="D4" s="16">
        <v>6598</v>
      </c>
      <c r="E4" s="16">
        <v>530367</v>
      </c>
      <c r="F4" s="16">
        <v>7592</v>
      </c>
      <c r="G4" s="16">
        <v>469954</v>
      </c>
      <c r="H4" s="16">
        <v>8557</v>
      </c>
      <c r="I4" s="16">
        <v>60413</v>
      </c>
      <c r="J4" s="16">
        <v>5305</v>
      </c>
      <c r="K4" s="16">
        <v>46824</v>
      </c>
      <c r="L4" s="16">
        <v>4740</v>
      </c>
      <c r="M4" s="16">
        <v>6968</v>
      </c>
      <c r="N4" s="16">
        <v>2130</v>
      </c>
      <c r="O4" s="16">
        <v>6621</v>
      </c>
      <c r="P4" s="16">
        <v>1621</v>
      </c>
      <c r="Q4" s="16">
        <v>22247</v>
      </c>
      <c r="R4" s="16">
        <v>3234</v>
      </c>
      <c r="S4" s="16">
        <v>10460</v>
      </c>
      <c r="T4" s="16">
        <v>2044</v>
      </c>
      <c r="U4" s="16">
        <v>1383</v>
      </c>
      <c r="V4" s="16">
        <v>589</v>
      </c>
      <c r="W4" s="16">
        <v>3269</v>
      </c>
      <c r="X4" s="16">
        <v>1162</v>
      </c>
      <c r="Y4" s="16">
        <v>7135</v>
      </c>
      <c r="Z4" s="16">
        <v>1701</v>
      </c>
      <c r="AA4" s="16">
        <v>0</v>
      </c>
      <c r="AB4" s="16">
        <v>198</v>
      </c>
      <c r="AC4" s="16">
        <v>3439</v>
      </c>
      <c r="AD4" s="16">
        <v>782</v>
      </c>
      <c r="AE4" s="16">
        <v>9752</v>
      </c>
      <c r="AF4" s="16">
        <v>1862</v>
      </c>
      <c r="AG4" s="16">
        <v>5275</v>
      </c>
      <c r="AH4" s="16">
        <v>1182</v>
      </c>
      <c r="AI4" s="16">
        <v>40433</v>
      </c>
      <c r="AJ4" s="16">
        <v>3371</v>
      </c>
      <c r="AK4" s="16">
        <v>332595</v>
      </c>
      <c r="AL4" s="16">
        <v>4938</v>
      </c>
      <c r="AM4" s="16">
        <v>289278</v>
      </c>
      <c r="AN4" s="16">
        <v>5724</v>
      </c>
      <c r="AO4" s="16">
        <v>259849</v>
      </c>
      <c r="AP4" s="16">
        <v>6009</v>
      </c>
      <c r="AQ4" s="16">
        <v>29429</v>
      </c>
      <c r="AR4" s="16">
        <v>3593</v>
      </c>
      <c r="AS4" s="16">
        <v>22592</v>
      </c>
      <c r="AT4" s="16">
        <v>3062</v>
      </c>
      <c r="AU4" s="16">
        <v>3456</v>
      </c>
      <c r="AV4" s="16">
        <v>1341</v>
      </c>
      <c r="AW4" s="16">
        <v>3381</v>
      </c>
      <c r="AX4" s="16">
        <v>987</v>
      </c>
      <c r="AY4" s="16">
        <v>11945</v>
      </c>
      <c r="AZ4" s="16">
        <v>1823</v>
      </c>
      <c r="BA4" s="16">
        <v>5182</v>
      </c>
      <c r="BB4" s="16">
        <v>1411</v>
      </c>
      <c r="BC4" s="16">
        <v>641</v>
      </c>
      <c r="BD4" s="16">
        <v>384</v>
      </c>
      <c r="BE4" s="16">
        <v>1640</v>
      </c>
      <c r="BF4" s="16">
        <v>569</v>
      </c>
      <c r="BG4" s="16">
        <v>4482</v>
      </c>
      <c r="BH4" s="16">
        <v>1227</v>
      </c>
      <c r="BI4" s="16">
        <v>0</v>
      </c>
      <c r="BJ4" s="16">
        <v>198</v>
      </c>
      <c r="BK4" s="16">
        <v>2532</v>
      </c>
      <c r="BL4" s="16">
        <v>690</v>
      </c>
      <c r="BM4" s="16">
        <v>6104</v>
      </c>
      <c r="BN4" s="16">
        <v>1332</v>
      </c>
      <c r="BO4" s="16">
        <v>3782</v>
      </c>
      <c r="BP4" s="16">
        <v>936</v>
      </c>
      <c r="BQ4" s="16">
        <v>18954</v>
      </c>
      <c r="BR4" s="16">
        <v>2566</v>
      </c>
      <c r="BS4" s="16">
        <v>278918</v>
      </c>
      <c r="BT4" s="16">
        <v>5361</v>
      </c>
      <c r="BU4" s="16">
        <v>241089</v>
      </c>
      <c r="BV4" s="16">
        <v>5451</v>
      </c>
      <c r="BW4" s="16">
        <v>210105</v>
      </c>
      <c r="BX4" s="16">
        <v>5764</v>
      </c>
      <c r="BY4" s="16">
        <v>30984</v>
      </c>
      <c r="BZ4" s="16">
        <v>3029</v>
      </c>
      <c r="CA4" s="16">
        <v>24232</v>
      </c>
      <c r="CB4" s="16">
        <v>2924</v>
      </c>
      <c r="CC4" s="16">
        <v>3512</v>
      </c>
      <c r="CD4" s="16">
        <v>1041</v>
      </c>
      <c r="CE4" s="16">
        <v>3240</v>
      </c>
      <c r="CF4" s="16">
        <v>975</v>
      </c>
      <c r="CG4" s="16">
        <v>10302</v>
      </c>
      <c r="CH4" s="16">
        <v>2527</v>
      </c>
      <c r="CI4" s="16">
        <v>5278</v>
      </c>
      <c r="CJ4" s="16">
        <v>1512</v>
      </c>
      <c r="CK4" s="16">
        <v>742</v>
      </c>
      <c r="CL4" s="16">
        <v>440</v>
      </c>
      <c r="CM4" s="16">
        <v>1629</v>
      </c>
      <c r="CN4" s="16">
        <v>1083</v>
      </c>
      <c r="CO4" s="16">
        <v>2653</v>
      </c>
      <c r="CP4" s="16">
        <v>918</v>
      </c>
      <c r="CQ4" s="16">
        <v>0</v>
      </c>
      <c r="CR4" s="16">
        <v>198</v>
      </c>
      <c r="CS4" s="16">
        <v>907</v>
      </c>
      <c r="CT4" s="16">
        <v>404</v>
      </c>
      <c r="CU4" s="16">
        <v>3648</v>
      </c>
      <c r="CV4" s="16">
        <v>1011</v>
      </c>
      <c r="CW4" s="16">
        <v>1493</v>
      </c>
      <c r="CX4" s="16">
        <v>667</v>
      </c>
      <c r="CY4" s="16">
        <v>21479</v>
      </c>
      <c r="CZ4" s="16">
        <v>2173</v>
      </c>
    </row>
    <row r="5" spans="1:104" ht="15.75" customHeight="1" x14ac:dyDescent="0.25">
      <c r="A5" s="15" t="s">
        <v>225</v>
      </c>
      <c r="B5" s="15" t="s">
        <v>226</v>
      </c>
      <c r="C5" s="16">
        <v>304392</v>
      </c>
      <c r="D5" s="16">
        <v>4443</v>
      </c>
      <c r="E5" s="16">
        <v>256495</v>
      </c>
      <c r="F5" s="16">
        <v>5368</v>
      </c>
      <c r="G5" s="16">
        <v>219569</v>
      </c>
      <c r="H5" s="16">
        <v>5924</v>
      </c>
      <c r="I5" s="16">
        <v>36926</v>
      </c>
      <c r="J5" s="16">
        <v>4215</v>
      </c>
      <c r="K5" s="16">
        <v>29166</v>
      </c>
      <c r="L5" s="16">
        <v>3952</v>
      </c>
      <c r="M5" s="16">
        <v>3969</v>
      </c>
      <c r="N5" s="16">
        <v>909</v>
      </c>
      <c r="O5" s="16">
        <v>3791</v>
      </c>
      <c r="P5" s="16">
        <v>1119</v>
      </c>
      <c r="Q5" s="16">
        <v>8422</v>
      </c>
      <c r="R5" s="16">
        <v>1628</v>
      </c>
      <c r="S5" s="16">
        <v>4481</v>
      </c>
      <c r="T5" s="16">
        <v>1112</v>
      </c>
      <c r="U5" s="16">
        <v>96</v>
      </c>
      <c r="V5" s="16">
        <v>115</v>
      </c>
      <c r="W5" s="16">
        <v>3211</v>
      </c>
      <c r="X5" s="16">
        <v>767</v>
      </c>
      <c r="Y5" s="16">
        <v>634</v>
      </c>
      <c r="Z5" s="16">
        <v>706</v>
      </c>
      <c r="AA5" s="16">
        <v>0</v>
      </c>
      <c r="AB5" s="16">
        <v>198</v>
      </c>
      <c r="AC5" s="16">
        <v>2266</v>
      </c>
      <c r="AD5" s="16">
        <v>801</v>
      </c>
      <c r="AE5" s="16">
        <v>10790</v>
      </c>
      <c r="AF5" s="16">
        <v>1770</v>
      </c>
      <c r="AG5" s="16">
        <v>2932</v>
      </c>
      <c r="AH5" s="16">
        <v>901</v>
      </c>
      <c r="AI5" s="16">
        <v>23487</v>
      </c>
      <c r="AJ5" s="16">
        <v>2305</v>
      </c>
      <c r="AK5" s="16">
        <v>174096</v>
      </c>
      <c r="AL5" s="16">
        <v>3095</v>
      </c>
      <c r="AM5" s="16">
        <v>146770</v>
      </c>
      <c r="AN5" s="16">
        <v>3540</v>
      </c>
      <c r="AO5" s="16">
        <v>127282</v>
      </c>
      <c r="AP5" s="16">
        <v>3893</v>
      </c>
      <c r="AQ5" s="16">
        <v>19488</v>
      </c>
      <c r="AR5" s="16">
        <v>3271</v>
      </c>
      <c r="AS5" s="16">
        <v>15909</v>
      </c>
      <c r="AT5" s="16">
        <v>3083</v>
      </c>
      <c r="AU5" s="16">
        <v>1603</v>
      </c>
      <c r="AV5" s="16">
        <v>570</v>
      </c>
      <c r="AW5" s="16">
        <v>1976</v>
      </c>
      <c r="AX5" s="16">
        <v>752</v>
      </c>
      <c r="AY5" s="16">
        <v>5206</v>
      </c>
      <c r="AZ5" s="16">
        <v>1213</v>
      </c>
      <c r="BA5" s="16">
        <v>2669</v>
      </c>
      <c r="BB5" s="16">
        <v>813</v>
      </c>
      <c r="BC5" s="16">
        <v>96</v>
      </c>
      <c r="BD5" s="16">
        <v>115</v>
      </c>
      <c r="BE5" s="16">
        <v>1873</v>
      </c>
      <c r="BF5" s="16">
        <v>556</v>
      </c>
      <c r="BG5" s="16">
        <v>568</v>
      </c>
      <c r="BH5" s="16">
        <v>673</v>
      </c>
      <c r="BI5" s="16">
        <v>0</v>
      </c>
      <c r="BJ5" s="16">
        <v>198</v>
      </c>
      <c r="BK5" s="16">
        <v>1509</v>
      </c>
      <c r="BL5" s="16">
        <v>642</v>
      </c>
      <c r="BM5" s="16">
        <v>5574</v>
      </c>
      <c r="BN5" s="16">
        <v>1038</v>
      </c>
      <c r="BO5" s="16">
        <v>1996</v>
      </c>
      <c r="BP5" s="16">
        <v>618</v>
      </c>
      <c r="BQ5" s="16">
        <v>13041</v>
      </c>
      <c r="BR5" s="16">
        <v>1734</v>
      </c>
      <c r="BS5" s="16">
        <v>130296</v>
      </c>
      <c r="BT5" s="16">
        <v>2805</v>
      </c>
      <c r="BU5" s="16">
        <v>109725</v>
      </c>
      <c r="BV5" s="16">
        <v>3158</v>
      </c>
      <c r="BW5" s="16">
        <v>92287</v>
      </c>
      <c r="BX5" s="16">
        <v>3543</v>
      </c>
      <c r="BY5" s="16">
        <v>17438</v>
      </c>
      <c r="BZ5" s="16">
        <v>2042</v>
      </c>
      <c r="CA5" s="16">
        <v>13257</v>
      </c>
      <c r="CB5" s="16">
        <v>1879</v>
      </c>
      <c r="CC5" s="16">
        <v>2366</v>
      </c>
      <c r="CD5" s="16">
        <v>602</v>
      </c>
      <c r="CE5" s="16">
        <v>1815</v>
      </c>
      <c r="CF5" s="16">
        <v>700</v>
      </c>
      <c r="CG5" s="16">
        <v>3216</v>
      </c>
      <c r="CH5" s="16">
        <v>837</v>
      </c>
      <c r="CI5" s="16">
        <v>1812</v>
      </c>
      <c r="CJ5" s="16">
        <v>590</v>
      </c>
      <c r="CK5" s="16">
        <v>0</v>
      </c>
      <c r="CL5" s="16">
        <v>198</v>
      </c>
      <c r="CM5" s="16">
        <v>1338</v>
      </c>
      <c r="CN5" s="16">
        <v>518</v>
      </c>
      <c r="CO5" s="16">
        <v>66</v>
      </c>
      <c r="CP5" s="16">
        <v>58</v>
      </c>
      <c r="CQ5" s="16">
        <v>0</v>
      </c>
      <c r="CR5" s="16">
        <v>198</v>
      </c>
      <c r="CS5" s="16">
        <v>757</v>
      </c>
      <c r="CT5" s="16">
        <v>384</v>
      </c>
      <c r="CU5" s="16">
        <v>5216</v>
      </c>
      <c r="CV5" s="16">
        <v>1319</v>
      </c>
      <c r="CW5" s="16">
        <v>936</v>
      </c>
      <c r="CX5" s="16">
        <v>605</v>
      </c>
      <c r="CY5" s="16">
        <v>10446</v>
      </c>
      <c r="CZ5" s="16">
        <v>1397</v>
      </c>
    </row>
    <row r="6" spans="1:104" ht="15.75" customHeight="1" x14ac:dyDescent="0.25">
      <c r="A6" s="15" t="s">
        <v>227</v>
      </c>
      <c r="B6" s="15" t="s">
        <v>228</v>
      </c>
      <c r="C6" s="16">
        <v>132803</v>
      </c>
      <c r="D6" s="16">
        <v>3393</v>
      </c>
      <c r="E6" s="16">
        <v>116630</v>
      </c>
      <c r="F6" s="16">
        <v>3791</v>
      </c>
      <c r="G6" s="16">
        <v>104049</v>
      </c>
      <c r="H6" s="16">
        <v>4184</v>
      </c>
      <c r="I6" s="16">
        <v>12581</v>
      </c>
      <c r="J6" s="16">
        <v>1976</v>
      </c>
      <c r="K6" s="16">
        <v>9505</v>
      </c>
      <c r="L6" s="16">
        <v>1561</v>
      </c>
      <c r="M6" s="16">
        <v>2006</v>
      </c>
      <c r="N6" s="16">
        <v>842</v>
      </c>
      <c r="O6" s="16">
        <v>1070</v>
      </c>
      <c r="P6" s="16">
        <v>553</v>
      </c>
      <c r="Q6" s="16">
        <v>2622</v>
      </c>
      <c r="R6" s="16">
        <v>1041</v>
      </c>
      <c r="S6" s="16">
        <v>1520</v>
      </c>
      <c r="T6" s="16">
        <v>814</v>
      </c>
      <c r="U6" s="16">
        <v>0</v>
      </c>
      <c r="V6" s="16">
        <v>198</v>
      </c>
      <c r="W6" s="16">
        <v>1068</v>
      </c>
      <c r="X6" s="16">
        <v>507</v>
      </c>
      <c r="Y6" s="16">
        <v>34</v>
      </c>
      <c r="Z6" s="16">
        <v>56</v>
      </c>
      <c r="AA6" s="16">
        <v>0</v>
      </c>
      <c r="AB6" s="16">
        <v>198</v>
      </c>
      <c r="AC6" s="16">
        <v>376</v>
      </c>
      <c r="AD6" s="16">
        <v>329</v>
      </c>
      <c r="AE6" s="16">
        <v>1246</v>
      </c>
      <c r="AF6" s="16">
        <v>622</v>
      </c>
      <c r="AG6" s="16">
        <v>2363</v>
      </c>
      <c r="AH6" s="16">
        <v>1247</v>
      </c>
      <c r="AI6" s="16">
        <v>9566</v>
      </c>
      <c r="AJ6" s="16">
        <v>2054</v>
      </c>
      <c r="AK6" s="16">
        <v>72486</v>
      </c>
      <c r="AL6" s="16">
        <v>2309</v>
      </c>
      <c r="AM6" s="16">
        <v>64000</v>
      </c>
      <c r="AN6" s="16">
        <v>2628</v>
      </c>
      <c r="AO6" s="16">
        <v>57978</v>
      </c>
      <c r="AP6" s="16">
        <v>2688</v>
      </c>
      <c r="AQ6" s="16">
        <v>6022</v>
      </c>
      <c r="AR6" s="16">
        <v>1093</v>
      </c>
      <c r="AS6" s="16">
        <v>4261</v>
      </c>
      <c r="AT6" s="16">
        <v>893</v>
      </c>
      <c r="AU6" s="16">
        <v>1134</v>
      </c>
      <c r="AV6" s="16">
        <v>577</v>
      </c>
      <c r="AW6" s="16">
        <v>627</v>
      </c>
      <c r="AX6" s="16">
        <v>351</v>
      </c>
      <c r="AY6" s="16">
        <v>1531</v>
      </c>
      <c r="AZ6" s="16">
        <v>755</v>
      </c>
      <c r="BA6" s="16">
        <v>996</v>
      </c>
      <c r="BB6" s="16">
        <v>698</v>
      </c>
      <c r="BC6" s="16">
        <v>0</v>
      </c>
      <c r="BD6" s="16">
        <v>198</v>
      </c>
      <c r="BE6" s="16">
        <v>535</v>
      </c>
      <c r="BF6" s="16">
        <v>296</v>
      </c>
      <c r="BG6" s="16">
        <v>0</v>
      </c>
      <c r="BH6" s="16">
        <v>198</v>
      </c>
      <c r="BI6" s="16">
        <v>0</v>
      </c>
      <c r="BJ6" s="16">
        <v>198</v>
      </c>
      <c r="BK6" s="16">
        <v>338</v>
      </c>
      <c r="BL6" s="16">
        <v>321</v>
      </c>
      <c r="BM6" s="16">
        <v>657</v>
      </c>
      <c r="BN6" s="16">
        <v>392</v>
      </c>
      <c r="BO6" s="16">
        <v>1638</v>
      </c>
      <c r="BP6" s="16">
        <v>1197</v>
      </c>
      <c r="BQ6" s="16">
        <v>4322</v>
      </c>
      <c r="BR6" s="16">
        <v>1273</v>
      </c>
      <c r="BS6" s="16">
        <v>60317</v>
      </c>
      <c r="BT6" s="16">
        <v>1866</v>
      </c>
      <c r="BU6" s="16">
        <v>52630</v>
      </c>
      <c r="BV6" s="16">
        <v>2125</v>
      </c>
      <c r="BW6" s="16">
        <v>46071</v>
      </c>
      <c r="BX6" s="16">
        <v>2508</v>
      </c>
      <c r="BY6" s="16">
        <v>6559</v>
      </c>
      <c r="BZ6" s="16">
        <v>1442</v>
      </c>
      <c r="CA6" s="16">
        <v>5244</v>
      </c>
      <c r="CB6" s="16">
        <v>1195</v>
      </c>
      <c r="CC6" s="16">
        <v>872</v>
      </c>
      <c r="CD6" s="16">
        <v>513</v>
      </c>
      <c r="CE6" s="16">
        <v>443</v>
      </c>
      <c r="CF6" s="16">
        <v>358</v>
      </c>
      <c r="CG6" s="16">
        <v>1091</v>
      </c>
      <c r="CH6" s="16">
        <v>605</v>
      </c>
      <c r="CI6" s="16">
        <v>524</v>
      </c>
      <c r="CJ6" s="16">
        <v>397</v>
      </c>
      <c r="CK6" s="16">
        <v>0</v>
      </c>
      <c r="CL6" s="16">
        <v>198</v>
      </c>
      <c r="CM6" s="16">
        <v>533</v>
      </c>
      <c r="CN6" s="16">
        <v>377</v>
      </c>
      <c r="CO6" s="16">
        <v>34</v>
      </c>
      <c r="CP6" s="16">
        <v>56</v>
      </c>
      <c r="CQ6" s="16">
        <v>0</v>
      </c>
      <c r="CR6" s="16">
        <v>198</v>
      </c>
      <c r="CS6" s="16">
        <v>38</v>
      </c>
      <c r="CT6" s="16">
        <v>66</v>
      </c>
      <c r="CU6" s="16">
        <v>589</v>
      </c>
      <c r="CV6" s="16">
        <v>367</v>
      </c>
      <c r="CW6" s="16">
        <v>725</v>
      </c>
      <c r="CX6" s="16">
        <v>505</v>
      </c>
      <c r="CY6" s="16">
        <v>5244</v>
      </c>
      <c r="CZ6" s="16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Summary by County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Worthen</cp:lastModifiedBy>
  <dcterms:modified xsi:type="dcterms:W3CDTF">2021-08-27T20:12:46Z</dcterms:modified>
</cp:coreProperties>
</file>