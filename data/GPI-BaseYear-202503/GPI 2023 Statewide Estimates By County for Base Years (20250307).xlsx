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I 2023 Estimates" sheetId="1" r:id="rId4"/>
    <sheet state="visible" name="TDM" sheetId="2" r:id="rId5"/>
    <sheet state="visible" name="Job Sector Field Names" sheetId="3" r:id="rId6"/>
    <sheet state="visible" name="SrcTablePopHH" sheetId="4" r:id="rId7"/>
    <sheet state="visible" name="SrcTable2023-JobsbyIndustry" sheetId="5" r:id="rId8"/>
    <sheet state="visible" name="SrcTablePopGQHHBreakdown" sheetId="6" r:id="rId9"/>
  </sheets>
  <definedNames/>
  <calcPr/>
  <extLst>
    <ext uri="GoogleSheetsCustomDataVersion2">
      <go:sheetsCustomData xmlns:go="http://customooxmlschemas.google.com/" r:id="rId10" roundtripDataChecksum="5uJpyGVq+zPV0nNMt6Bw3A8YDnCeqszh8EbViVM5LJI="/>
    </ext>
  </extLst>
</workbook>
</file>

<file path=xl/sharedStrings.xml><?xml version="1.0" encoding="utf-8"?>
<sst xmlns="http://schemas.openxmlformats.org/spreadsheetml/2006/main" count="1840" uniqueCount="184">
  <si>
    <t>COUNTY</t>
  </si>
  <si>
    <t>FIPS</t>
  </si>
  <si>
    <t>YEAR</t>
  </si>
  <si>
    <t>POP_ALL</t>
  </si>
  <si>
    <t>POP_HH</t>
  </si>
  <si>
    <t>POP_GQ</t>
  </si>
  <si>
    <t>HH</t>
  </si>
  <si>
    <t>ACCOM_FOOD</t>
  </si>
  <si>
    <t>ADMIN_W_R</t>
  </si>
  <si>
    <t>ENT_REC</t>
  </si>
  <si>
    <t>CONST</t>
  </si>
  <si>
    <t>EDUCATION</t>
  </si>
  <si>
    <t>FARM</t>
  </si>
  <si>
    <t>FIN_INS</t>
  </si>
  <si>
    <t>FORR_HUNT</t>
  </si>
  <si>
    <t>GOV_FED</t>
  </si>
  <si>
    <t>GOV_LOC</t>
  </si>
  <si>
    <t>GOV_STATE</t>
  </si>
  <si>
    <t>HEALTH_SOC</t>
  </si>
  <si>
    <t>INFO</t>
  </si>
  <si>
    <t>MGMT</t>
  </si>
  <si>
    <t>MANU</t>
  </si>
  <si>
    <t>MILITARY</t>
  </si>
  <si>
    <t>MINING</t>
  </si>
  <si>
    <t>OTHER_SERV</t>
  </si>
  <si>
    <t>PRTECH_SERV</t>
  </si>
  <si>
    <t>REALESTATE</t>
  </si>
  <si>
    <t>RETAIL</t>
  </si>
  <si>
    <t>TRANS_WARE</t>
  </si>
  <si>
    <t>UTILITIES</t>
  </si>
  <si>
    <t>WHOLESALE</t>
  </si>
  <si>
    <t>ALL_JOBS</t>
  </si>
  <si>
    <t>Beaver</t>
  </si>
  <si>
    <t>001</t>
  </si>
  <si>
    <t>Box Elder</t>
  </si>
  <si>
    <t>003</t>
  </si>
  <si>
    <t>Cache</t>
  </si>
  <si>
    <t>005</t>
  </si>
  <si>
    <t>Carbon</t>
  </si>
  <si>
    <t>007</t>
  </si>
  <si>
    <t>Daggett</t>
  </si>
  <si>
    <t>009</t>
  </si>
  <si>
    <t>Davis</t>
  </si>
  <si>
    <t>011</t>
  </si>
  <si>
    <t>Duchesne</t>
  </si>
  <si>
    <t>013</t>
  </si>
  <si>
    <t>Emery</t>
  </si>
  <si>
    <t>015</t>
  </si>
  <si>
    <t>Garfield</t>
  </si>
  <si>
    <t>017</t>
  </si>
  <si>
    <t>Grand</t>
  </si>
  <si>
    <t>019</t>
  </si>
  <si>
    <t>Iron</t>
  </si>
  <si>
    <t>021</t>
  </si>
  <si>
    <t>Juab</t>
  </si>
  <si>
    <t>023</t>
  </si>
  <si>
    <t>Kane</t>
  </si>
  <si>
    <t>025</t>
  </si>
  <si>
    <t>Millard</t>
  </si>
  <si>
    <t>027</t>
  </si>
  <si>
    <t>Morgan</t>
  </si>
  <si>
    <t>029</t>
  </si>
  <si>
    <t>Piute</t>
  </si>
  <si>
    <t>031</t>
  </si>
  <si>
    <t>Rich</t>
  </si>
  <si>
    <t>033</t>
  </si>
  <si>
    <t>Salt Lake</t>
  </si>
  <si>
    <t>035</t>
  </si>
  <si>
    <t>San Juan</t>
  </si>
  <si>
    <t>037</t>
  </si>
  <si>
    <t>Sanpete</t>
  </si>
  <si>
    <t>039</t>
  </si>
  <si>
    <t>Sevier</t>
  </si>
  <si>
    <t>041</t>
  </si>
  <si>
    <t>Summit</t>
  </si>
  <si>
    <t>043</t>
  </si>
  <si>
    <t>Tooele</t>
  </si>
  <si>
    <t>045</t>
  </si>
  <si>
    <t>Uintah</t>
  </si>
  <si>
    <t>047</t>
  </si>
  <si>
    <t>Utah</t>
  </si>
  <si>
    <t>049</t>
  </si>
  <si>
    <t>Wasatch</t>
  </si>
  <si>
    <t>051</t>
  </si>
  <si>
    <t>Washington</t>
  </si>
  <si>
    <t>053</t>
  </si>
  <si>
    <t>Wayne</t>
  </si>
  <si>
    <t>055</t>
  </si>
  <si>
    <t>Weber</t>
  </si>
  <si>
    <t>057</t>
  </si>
  <si>
    <t>Grand Total</t>
  </si>
  <si>
    <t>na</t>
  </si>
  <si>
    <t>CO_NAME</t>
  </si>
  <si>
    <t>CO_FIPS</t>
  </si>
  <si>
    <t>TOTHH</t>
  </si>
  <si>
    <t>HHPOP</t>
  </si>
  <si>
    <t>HHSIZE</t>
  </si>
  <si>
    <t>GQPOP</t>
  </si>
  <si>
    <t>TOTPOP</t>
  </si>
  <si>
    <t>RETL</t>
  </si>
  <si>
    <t>FOOD</t>
  </si>
  <si>
    <t>WSLE</t>
  </si>
  <si>
    <t>OFFI</t>
  </si>
  <si>
    <t>GVED</t>
  </si>
  <si>
    <t>HLTH</t>
  </si>
  <si>
    <t>OTHR</t>
  </si>
  <si>
    <t>FM_AGRI</t>
  </si>
  <si>
    <t>FM_MING</t>
  </si>
  <si>
    <t>FM_CONS</t>
  </si>
  <si>
    <t>HBJ</t>
  </si>
  <si>
    <t>ALLEMP</t>
  </si>
  <si>
    <t>HBJ % from v9.1 SE Control Total Source</t>
  </si>
  <si>
    <t>AGRI</t>
  </si>
  <si>
    <t>MING</t>
  </si>
  <si>
    <t>CONS</t>
  </si>
  <si>
    <t>From GPI 2023 Estimates Tab</t>
  </si>
  <si>
    <t>FIELDNAME</t>
  </si>
  <si>
    <t>DESCRIPTION</t>
  </si>
  <si>
    <t>TDM_Sector</t>
  </si>
  <si>
    <t>Accommodation and food services</t>
  </si>
  <si>
    <t>Administrative, support, waste management, and remediation services</t>
  </si>
  <si>
    <t>ART_ENT_RC</t>
  </si>
  <si>
    <t>Arts, entertainment, and recreation</t>
  </si>
  <si>
    <t>Construction</t>
  </si>
  <si>
    <t>Educational services; private</t>
  </si>
  <si>
    <t>Farm</t>
  </si>
  <si>
    <t>Finance and insurance</t>
  </si>
  <si>
    <t>Forestry, fishing, and hunting</t>
  </si>
  <si>
    <t>Federal Civilian</t>
  </si>
  <si>
    <t>Local Government</t>
  </si>
  <si>
    <t>State Government</t>
  </si>
  <si>
    <t>Health care and social assistance</t>
  </si>
  <si>
    <t>Information</t>
  </si>
  <si>
    <t>Manufacturing</t>
  </si>
  <si>
    <t>Management of companies and enterprises</t>
  </si>
  <si>
    <t>Federal Military</t>
  </si>
  <si>
    <t>Mining</t>
  </si>
  <si>
    <t>Other services (except public administration)</t>
  </si>
  <si>
    <t>PR_SCITECH</t>
  </si>
  <si>
    <t>Professional, scientific, and technical services</t>
  </si>
  <si>
    <t>Real estate and rental and leasing</t>
  </si>
  <si>
    <t>Retail trade</t>
  </si>
  <si>
    <t>Transportation and warehousing</t>
  </si>
  <si>
    <t>Utilities</t>
  </si>
  <si>
    <t>Wholesale trade</t>
  </si>
  <si>
    <t>Total across all sectors</t>
  </si>
  <si>
    <t>Geography</t>
  </si>
  <si>
    <t>POP</t>
  </si>
  <si>
    <t>BEAVER COUNTY</t>
  </si>
  <si>
    <t>BOX ELDER COUNTY</t>
  </si>
  <si>
    <t>CACHE COUNTY</t>
  </si>
  <si>
    <t>CARBON COUNTY</t>
  </si>
  <si>
    <t>DAGGETT COUNTY</t>
  </si>
  <si>
    <t>DAVIS COUNTY</t>
  </si>
  <si>
    <t>DUCHESNE COUNTY</t>
  </si>
  <si>
    <t>EMERY COUNTY</t>
  </si>
  <si>
    <t>GARFIELD COUNTY</t>
  </si>
  <si>
    <t>GRAND COUNTY</t>
  </si>
  <si>
    <t>IRON COUNTY</t>
  </si>
  <si>
    <t>JUAB COUNTY</t>
  </si>
  <si>
    <t>KANE COUNTY</t>
  </si>
  <si>
    <t>MILLARD COUNTY</t>
  </si>
  <si>
    <t>MORGAN COUNTY</t>
  </si>
  <si>
    <t>PIUTE COUNTY</t>
  </si>
  <si>
    <t>RICH COUNTY</t>
  </si>
  <si>
    <t>SALT LAKE COUNTY</t>
  </si>
  <si>
    <t>SAN JUAN COUNTY</t>
  </si>
  <si>
    <t>SANPETE COUNTY</t>
  </si>
  <si>
    <t>SEVIER COUNTY</t>
  </si>
  <si>
    <t>SUMMIT COUNTY</t>
  </si>
  <si>
    <t>TOOELE COUNTY</t>
  </si>
  <si>
    <t>UINTAH COUNTY</t>
  </si>
  <si>
    <t>UTAH COUNTY</t>
  </si>
  <si>
    <t>WASATCH COUNTY</t>
  </si>
  <si>
    <t>WASHINGTON COUNTY</t>
  </si>
  <si>
    <t>WAYNE COUNTY</t>
  </si>
  <si>
    <t>WEBER COUNTY</t>
  </si>
  <si>
    <t>STATE OF UTAH</t>
  </si>
  <si>
    <t>Year</t>
  </si>
  <si>
    <t>Industry</t>
  </si>
  <si>
    <t>County</t>
  </si>
  <si>
    <t>Jobs</t>
  </si>
  <si>
    <t>GQ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</si>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</sst>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.00_);_(@_)"/>
  </numFmts>
  <fonts count="8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  <font>
      <b/>
      <color theme="1"/>
      <name val="Arial"/>
    </font>
    <font>
      <sz val="11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3" numFmtId="3" xfId="0" applyAlignment="1" applyFont="1" applyNumberFormat="1">
      <alignment readingOrder="0"/>
    </xf>
    <xf borderId="0" fillId="0" fontId="4" numFmtId="164" xfId="0" applyAlignment="1" applyFont="1" applyNumberFormat="1">
      <alignment horizontal="right"/>
    </xf>
    <xf borderId="0" fillId="0" fontId="5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7" numFmtId="0" xfId="0" applyFont="1"/>
    <xf borderId="0" fillId="0" fontId="2" numFmtId="3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3" xfId="0" applyAlignment="1" applyFont="1" applyNumberForma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0.38"/>
    <col customWidth="1" min="4" max="4" width="13.88"/>
    <col customWidth="1" min="5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</row>
    <row r="2">
      <c r="A2" s="2" t="s">
        <v>32</v>
      </c>
      <c r="B2" s="3" t="s">
        <v>33</v>
      </c>
      <c r="C2" s="3">
        <v>2023.0</v>
      </c>
      <c r="D2" s="4">
        <v>7313.58165297087</v>
      </c>
      <c r="E2" s="5">
        <v>7014.58165297087</v>
      </c>
      <c r="F2" s="6">
        <v>299.0</v>
      </c>
      <c r="G2" s="4">
        <v>2280.83726117628</v>
      </c>
      <c r="H2" s="2">
        <v>517.0</v>
      </c>
      <c r="I2" s="2">
        <v>192.0</v>
      </c>
      <c r="J2" s="2">
        <v>68.0</v>
      </c>
      <c r="K2" s="2">
        <v>278.0</v>
      </c>
      <c r="L2" s="2">
        <v>14.0</v>
      </c>
      <c r="M2" s="2">
        <v>695.0</v>
      </c>
      <c r="N2" s="2">
        <v>135.0</v>
      </c>
      <c r="O2" s="2">
        <v>43.0</v>
      </c>
      <c r="P2" s="2">
        <v>45.0</v>
      </c>
      <c r="Q2" s="2">
        <v>678.0</v>
      </c>
      <c r="R2" s="2">
        <v>47.0</v>
      </c>
      <c r="S2" s="2">
        <v>160.0</v>
      </c>
      <c r="T2" s="2">
        <v>15.0</v>
      </c>
      <c r="U2" s="2">
        <v>43.0</v>
      </c>
      <c r="V2" s="2">
        <v>223.0</v>
      </c>
      <c r="W2" s="2">
        <v>26.0</v>
      </c>
      <c r="X2" s="2">
        <v>102.0</v>
      </c>
      <c r="Y2" s="2">
        <v>264.0</v>
      </c>
      <c r="Z2" s="2">
        <v>88.0</v>
      </c>
      <c r="AA2" s="2">
        <v>278.0</v>
      </c>
      <c r="AB2" s="2">
        <v>542.0</v>
      </c>
      <c r="AC2" s="2">
        <v>169.0</v>
      </c>
      <c r="AD2" s="2">
        <v>45.0</v>
      </c>
      <c r="AE2" s="2">
        <v>61.0</v>
      </c>
      <c r="AF2" s="2">
        <v>4728.0</v>
      </c>
    </row>
    <row r="3">
      <c r="A3" s="2" t="s">
        <v>34</v>
      </c>
      <c r="B3" s="3" t="s">
        <v>35</v>
      </c>
      <c r="C3" s="3">
        <v>2023.0</v>
      </c>
      <c r="D3" s="4">
        <v>61250.7760262901</v>
      </c>
      <c r="E3" s="5">
        <v>61084.7760262901</v>
      </c>
      <c r="F3" s="6">
        <v>166.0</v>
      </c>
      <c r="G3" s="4">
        <v>20024.4210002052</v>
      </c>
      <c r="H3" s="2">
        <v>2000.0</v>
      </c>
      <c r="I3" s="2">
        <v>928.0</v>
      </c>
      <c r="J3" s="2">
        <v>460.0</v>
      </c>
      <c r="K3" s="2">
        <v>2747.0</v>
      </c>
      <c r="L3" s="2">
        <v>481.0</v>
      </c>
      <c r="M3" s="2">
        <v>1499.0</v>
      </c>
      <c r="N3" s="2">
        <v>1149.0</v>
      </c>
      <c r="O3" s="2">
        <v>195.0</v>
      </c>
      <c r="P3" s="2">
        <v>217.0</v>
      </c>
      <c r="Q3" s="2">
        <v>2651.0</v>
      </c>
      <c r="R3" s="2">
        <v>208.0</v>
      </c>
      <c r="S3" s="2">
        <v>2148.0</v>
      </c>
      <c r="T3" s="2">
        <v>165.0</v>
      </c>
      <c r="U3" s="2">
        <v>93.0</v>
      </c>
      <c r="V3" s="2">
        <v>8010.0</v>
      </c>
      <c r="W3" s="2">
        <v>227.0</v>
      </c>
      <c r="X3" s="2">
        <v>88.0</v>
      </c>
      <c r="Y3" s="2">
        <v>1669.0</v>
      </c>
      <c r="Z3" s="2">
        <v>1106.0</v>
      </c>
      <c r="AA3" s="2">
        <v>2109.0</v>
      </c>
      <c r="AB3" s="2">
        <v>3061.0</v>
      </c>
      <c r="AC3" s="2">
        <v>2300.0</v>
      </c>
      <c r="AD3" s="2">
        <v>53.0</v>
      </c>
      <c r="AE3" s="2">
        <v>806.0</v>
      </c>
      <c r="AF3" s="2">
        <v>34370.0</v>
      </c>
    </row>
    <row r="4">
      <c r="A4" s="2" t="s">
        <v>36</v>
      </c>
      <c r="B4" s="3" t="s">
        <v>37</v>
      </c>
      <c r="C4" s="3">
        <v>2023.0</v>
      </c>
      <c r="D4" s="4">
        <v>141699.722550596</v>
      </c>
      <c r="E4" s="5">
        <v>137232.722550596</v>
      </c>
      <c r="F4" s="6">
        <v>4467.0</v>
      </c>
      <c r="G4" s="4">
        <v>44622.6052737326</v>
      </c>
      <c r="H4" s="2">
        <v>4787.0</v>
      </c>
      <c r="I4" s="2">
        <v>2631.0</v>
      </c>
      <c r="J4" s="2">
        <v>1999.0</v>
      </c>
      <c r="K4" s="2">
        <v>4652.0</v>
      </c>
      <c r="L4" s="2">
        <v>1667.0</v>
      </c>
      <c r="M4" s="2">
        <v>1559.0</v>
      </c>
      <c r="N4" s="2">
        <v>4751.0</v>
      </c>
      <c r="O4" s="2">
        <v>298.0</v>
      </c>
      <c r="P4" s="2">
        <v>356.0</v>
      </c>
      <c r="Q4" s="2">
        <v>5972.0</v>
      </c>
      <c r="R4" s="2">
        <v>6144.0</v>
      </c>
      <c r="S4" s="2">
        <v>8115.0</v>
      </c>
      <c r="T4" s="2">
        <v>851.0</v>
      </c>
      <c r="U4" s="2">
        <v>1439.0</v>
      </c>
      <c r="V4" s="2">
        <v>13034.0</v>
      </c>
      <c r="W4" s="2">
        <v>515.0</v>
      </c>
      <c r="X4" s="2">
        <v>155.0</v>
      </c>
      <c r="Y4" s="2">
        <v>4151.0</v>
      </c>
      <c r="Z4" s="2">
        <v>8227.0</v>
      </c>
      <c r="AA4" s="2">
        <v>6866.0</v>
      </c>
      <c r="AB4" s="2">
        <v>9824.0</v>
      </c>
      <c r="AC4" s="2">
        <v>2182.0</v>
      </c>
      <c r="AD4" s="2">
        <v>103.0</v>
      </c>
      <c r="AE4" s="2">
        <v>1811.0</v>
      </c>
      <c r="AF4" s="2">
        <v>92089.0</v>
      </c>
    </row>
    <row r="5">
      <c r="A5" s="2" t="s">
        <v>38</v>
      </c>
      <c r="B5" s="3" t="s">
        <v>39</v>
      </c>
      <c r="C5" s="3">
        <v>2023.0</v>
      </c>
      <c r="D5" s="4">
        <v>20653.592476724</v>
      </c>
      <c r="E5" s="5">
        <v>20537.592476724</v>
      </c>
      <c r="F5" s="6">
        <v>116.0</v>
      </c>
      <c r="G5" s="4">
        <v>7861.55455850307</v>
      </c>
      <c r="H5" s="2">
        <v>798.0</v>
      </c>
      <c r="I5" s="2">
        <v>448.0</v>
      </c>
      <c r="J5" s="2">
        <v>178.0</v>
      </c>
      <c r="K5" s="2">
        <v>518.0</v>
      </c>
      <c r="L5" s="2">
        <v>172.0</v>
      </c>
      <c r="M5" s="2">
        <v>321.0</v>
      </c>
      <c r="N5" s="2">
        <v>398.0</v>
      </c>
      <c r="O5" s="2">
        <v>108.0</v>
      </c>
      <c r="P5" s="2">
        <v>148.0</v>
      </c>
      <c r="Q5" s="2">
        <v>1326.0</v>
      </c>
      <c r="R5" s="2">
        <v>731.0</v>
      </c>
      <c r="S5" s="2">
        <v>1259.0</v>
      </c>
      <c r="T5" s="2">
        <v>65.0</v>
      </c>
      <c r="U5" s="2">
        <v>34.0</v>
      </c>
      <c r="V5" s="2">
        <v>539.0</v>
      </c>
      <c r="W5" s="2">
        <v>75.0</v>
      </c>
      <c r="X5" s="2">
        <v>637.0</v>
      </c>
      <c r="Y5" s="2">
        <v>932.0</v>
      </c>
      <c r="Z5" s="2">
        <v>332.0</v>
      </c>
      <c r="AA5" s="2">
        <v>537.0</v>
      </c>
      <c r="AB5" s="2">
        <v>1321.0</v>
      </c>
      <c r="AC5" s="2">
        <v>537.0</v>
      </c>
      <c r="AD5" s="2">
        <v>62.0</v>
      </c>
      <c r="AE5" s="2">
        <v>331.0</v>
      </c>
      <c r="AF5" s="2">
        <v>11807.0</v>
      </c>
    </row>
    <row r="6">
      <c r="A6" s="2" t="s">
        <v>40</v>
      </c>
      <c r="B6" s="3" t="s">
        <v>41</v>
      </c>
      <c r="C6" s="3">
        <v>2023.0</v>
      </c>
      <c r="D6" s="4">
        <v>997.721919134078</v>
      </c>
      <c r="E6" s="5">
        <v>997.721919134078</v>
      </c>
      <c r="F6" s="7">
        <v>0.0</v>
      </c>
      <c r="G6" s="4">
        <v>405.24978741408</v>
      </c>
      <c r="H6" s="2">
        <v>117.0</v>
      </c>
      <c r="I6" s="2">
        <v>20.0</v>
      </c>
      <c r="J6" s="2">
        <v>30.0</v>
      </c>
      <c r="K6" s="2">
        <v>14.0</v>
      </c>
      <c r="L6" s="2">
        <v>5.0</v>
      </c>
      <c r="M6" s="2">
        <v>68.0</v>
      </c>
      <c r="N6" s="2">
        <v>10.0</v>
      </c>
      <c r="O6" s="2">
        <v>0.0</v>
      </c>
      <c r="P6" s="2">
        <v>51.0</v>
      </c>
      <c r="Q6" s="2">
        <v>114.0</v>
      </c>
      <c r="R6" s="2">
        <v>6.0</v>
      </c>
      <c r="S6" s="2">
        <v>7.0</v>
      </c>
      <c r="T6" s="2">
        <v>3.0</v>
      </c>
      <c r="U6" s="2">
        <v>24.0</v>
      </c>
      <c r="V6" s="2">
        <v>15.0</v>
      </c>
      <c r="W6" s="2">
        <v>4.0</v>
      </c>
      <c r="X6" s="2">
        <v>2.0</v>
      </c>
      <c r="Y6" s="2">
        <v>4.0</v>
      </c>
      <c r="Z6" s="2">
        <v>4.0</v>
      </c>
      <c r="AA6" s="2">
        <v>37.0</v>
      </c>
      <c r="AB6" s="2">
        <v>68.0</v>
      </c>
      <c r="AC6" s="2">
        <v>36.0</v>
      </c>
      <c r="AD6" s="2">
        <v>0.0</v>
      </c>
      <c r="AE6" s="2">
        <v>6.0</v>
      </c>
      <c r="AF6" s="2">
        <v>645.0</v>
      </c>
    </row>
    <row r="7">
      <c r="A7" s="2" t="s">
        <v>42</v>
      </c>
      <c r="B7" s="3" t="s">
        <v>43</v>
      </c>
      <c r="C7" s="3">
        <v>2023.0</v>
      </c>
      <c r="D7" s="4">
        <v>377378.472348828</v>
      </c>
      <c r="E7" s="5">
        <v>374949.472348828</v>
      </c>
      <c r="F7" s="6">
        <v>2429.0</v>
      </c>
      <c r="G7" s="4">
        <v>120087.090578934</v>
      </c>
      <c r="H7" s="2">
        <v>12261.0</v>
      </c>
      <c r="I7" s="2">
        <v>9401.0</v>
      </c>
      <c r="J7" s="2">
        <v>6312.0</v>
      </c>
      <c r="K7" s="2">
        <v>15195.0</v>
      </c>
      <c r="L7" s="2">
        <v>7271.0</v>
      </c>
      <c r="M7" s="2">
        <v>677.0</v>
      </c>
      <c r="N7" s="2">
        <v>15700.0</v>
      </c>
      <c r="O7" s="2">
        <v>205.0</v>
      </c>
      <c r="P7" s="2">
        <v>14415.0</v>
      </c>
      <c r="Q7" s="2">
        <v>14398.0</v>
      </c>
      <c r="R7" s="2">
        <v>2045.0</v>
      </c>
      <c r="S7" s="2">
        <v>18658.0</v>
      </c>
      <c r="T7" s="2">
        <v>2307.0</v>
      </c>
      <c r="U7" s="2">
        <v>2553.0</v>
      </c>
      <c r="V7" s="2">
        <v>14428.0</v>
      </c>
      <c r="W7" s="2">
        <v>5855.0</v>
      </c>
      <c r="X7" s="2">
        <v>339.0</v>
      </c>
      <c r="Y7" s="2">
        <v>12230.0</v>
      </c>
      <c r="Z7" s="2">
        <v>15591.0</v>
      </c>
      <c r="AA7" s="2">
        <v>15663.0</v>
      </c>
      <c r="AB7" s="2">
        <v>22041.0</v>
      </c>
      <c r="AC7" s="2">
        <v>10099.0</v>
      </c>
      <c r="AD7" s="2">
        <v>206.0</v>
      </c>
      <c r="AE7" s="2">
        <v>3628.0</v>
      </c>
      <c r="AF7" s="2">
        <v>221478.0</v>
      </c>
    </row>
    <row r="8">
      <c r="A8" s="2" t="s">
        <v>44</v>
      </c>
      <c r="B8" s="3" t="s">
        <v>45</v>
      </c>
      <c r="C8" s="3">
        <v>2023.0</v>
      </c>
      <c r="D8" s="4">
        <v>20111.9228966598</v>
      </c>
      <c r="E8" s="5">
        <v>20024.9228966598</v>
      </c>
      <c r="F8" s="6">
        <v>87.0</v>
      </c>
      <c r="G8" s="4">
        <v>6560.57840420365</v>
      </c>
      <c r="H8" s="2">
        <v>532.0</v>
      </c>
      <c r="I8" s="2">
        <v>198.0</v>
      </c>
      <c r="J8" s="2">
        <v>76.0</v>
      </c>
      <c r="K8" s="2">
        <v>698.0</v>
      </c>
      <c r="L8" s="2">
        <v>62.0</v>
      </c>
      <c r="M8" s="2">
        <v>1050.0</v>
      </c>
      <c r="N8" s="2">
        <v>282.0</v>
      </c>
      <c r="O8" s="2">
        <v>255.0</v>
      </c>
      <c r="P8" s="2">
        <v>70.0</v>
      </c>
      <c r="Q8" s="2">
        <v>2415.0</v>
      </c>
      <c r="R8" s="2">
        <v>107.0</v>
      </c>
      <c r="S8" s="2">
        <v>350.0</v>
      </c>
      <c r="T8" s="2">
        <v>269.0</v>
      </c>
      <c r="U8" s="2">
        <v>155.0</v>
      </c>
      <c r="V8" s="2">
        <v>256.0</v>
      </c>
      <c r="W8" s="2">
        <v>73.0</v>
      </c>
      <c r="X8" s="2">
        <v>1928.0</v>
      </c>
      <c r="Y8" s="2">
        <v>807.0</v>
      </c>
      <c r="Z8" s="2">
        <v>352.0</v>
      </c>
      <c r="AA8" s="2">
        <v>877.0</v>
      </c>
      <c r="AB8" s="2">
        <v>1276.0</v>
      </c>
      <c r="AC8" s="2">
        <v>845.0</v>
      </c>
      <c r="AD8" s="2">
        <v>73.0</v>
      </c>
      <c r="AE8" s="2">
        <v>171.0</v>
      </c>
      <c r="AF8" s="2">
        <v>13177.0</v>
      </c>
    </row>
    <row r="9">
      <c r="A9" s="2" t="s">
        <v>46</v>
      </c>
      <c r="B9" s="3" t="s">
        <v>47</v>
      </c>
      <c r="C9" s="3">
        <v>2023.0</v>
      </c>
      <c r="D9" s="4">
        <v>10035.2331671617</v>
      </c>
      <c r="E9" s="5">
        <v>9977.2331671617</v>
      </c>
      <c r="F9" s="6">
        <v>58.0</v>
      </c>
      <c r="G9" s="4">
        <v>3756.87466986425</v>
      </c>
      <c r="H9" s="2">
        <v>277.0</v>
      </c>
      <c r="I9" s="2">
        <v>155.0</v>
      </c>
      <c r="J9" s="2">
        <v>34.0</v>
      </c>
      <c r="K9" s="2">
        <v>706.0</v>
      </c>
      <c r="L9" s="2">
        <v>16.0</v>
      </c>
      <c r="M9" s="2">
        <v>603.0</v>
      </c>
      <c r="N9" s="2">
        <v>182.0</v>
      </c>
      <c r="O9" s="2">
        <v>0.0</v>
      </c>
      <c r="P9" s="2">
        <v>51.0</v>
      </c>
      <c r="Q9" s="2">
        <v>655.0</v>
      </c>
      <c r="R9" s="2">
        <v>80.0</v>
      </c>
      <c r="S9" s="2">
        <v>229.0</v>
      </c>
      <c r="T9" s="2">
        <v>118.0</v>
      </c>
      <c r="U9" s="2">
        <v>41.0</v>
      </c>
      <c r="V9" s="2">
        <v>50.0</v>
      </c>
      <c r="W9" s="2">
        <v>37.0</v>
      </c>
      <c r="X9" s="2">
        <v>418.0</v>
      </c>
      <c r="Y9" s="2">
        <v>377.0</v>
      </c>
      <c r="Z9" s="2">
        <v>213.0</v>
      </c>
      <c r="AA9" s="2">
        <v>249.0</v>
      </c>
      <c r="AB9" s="2">
        <v>721.0</v>
      </c>
      <c r="AC9" s="2">
        <v>89.0</v>
      </c>
      <c r="AD9" s="2">
        <v>353.0</v>
      </c>
      <c r="AE9" s="2">
        <v>31.0</v>
      </c>
      <c r="AF9" s="2">
        <v>5685.0</v>
      </c>
    </row>
    <row r="10">
      <c r="A10" s="2" t="s">
        <v>48</v>
      </c>
      <c r="B10" s="3" t="s">
        <v>49</v>
      </c>
      <c r="C10" s="3">
        <v>2023.0</v>
      </c>
      <c r="D10" s="4">
        <v>5140.64742839758</v>
      </c>
      <c r="E10" s="5">
        <v>4936.64742839758</v>
      </c>
      <c r="F10" s="6">
        <v>204.0</v>
      </c>
      <c r="G10" s="4">
        <v>1877.98138279702</v>
      </c>
      <c r="H10" s="2">
        <v>1123.0</v>
      </c>
      <c r="I10" s="2">
        <v>53.0</v>
      </c>
      <c r="J10" s="2">
        <v>64.0</v>
      </c>
      <c r="K10" s="2">
        <v>162.0</v>
      </c>
      <c r="L10" s="2">
        <v>35.0</v>
      </c>
      <c r="M10" s="2">
        <v>291.0</v>
      </c>
      <c r="N10" s="2">
        <v>73.0</v>
      </c>
      <c r="O10" s="2">
        <v>2.0</v>
      </c>
      <c r="P10" s="2">
        <v>146.0</v>
      </c>
      <c r="Q10" s="2">
        <v>357.0</v>
      </c>
      <c r="R10" s="2">
        <v>46.0</v>
      </c>
      <c r="S10" s="2">
        <v>264.0</v>
      </c>
      <c r="T10" s="2">
        <v>87.0</v>
      </c>
      <c r="U10" s="2">
        <v>35.0</v>
      </c>
      <c r="V10" s="2">
        <v>54.0</v>
      </c>
      <c r="W10" s="2">
        <v>19.0</v>
      </c>
      <c r="X10" s="2">
        <v>13.0</v>
      </c>
      <c r="Y10" s="2">
        <v>163.0</v>
      </c>
      <c r="Z10" s="2">
        <v>61.0</v>
      </c>
      <c r="AA10" s="2">
        <v>177.0</v>
      </c>
      <c r="AB10" s="2">
        <v>296.0</v>
      </c>
      <c r="AC10" s="2">
        <v>58.0</v>
      </c>
      <c r="AD10" s="2">
        <v>34.0</v>
      </c>
      <c r="AE10" s="2">
        <v>52.0</v>
      </c>
      <c r="AF10" s="2">
        <v>3665.0</v>
      </c>
    </row>
    <row r="11">
      <c r="A11" s="2" t="s">
        <v>50</v>
      </c>
      <c r="B11" s="3" t="s">
        <v>51</v>
      </c>
      <c r="C11" s="3">
        <v>2023.0</v>
      </c>
      <c r="D11" s="4">
        <v>9842.42227352314</v>
      </c>
      <c r="E11" s="5">
        <v>9686.42227352314</v>
      </c>
      <c r="F11" s="6">
        <v>156.0</v>
      </c>
      <c r="G11" s="4">
        <v>3984.92193917147</v>
      </c>
      <c r="H11" s="2">
        <v>2512.0</v>
      </c>
      <c r="I11" s="2">
        <v>422.0</v>
      </c>
      <c r="J11" s="2">
        <v>625.0</v>
      </c>
      <c r="K11" s="2">
        <v>462.0</v>
      </c>
      <c r="L11" s="2">
        <v>152.0</v>
      </c>
      <c r="M11" s="2">
        <v>103.0</v>
      </c>
      <c r="N11" s="2">
        <v>157.0</v>
      </c>
      <c r="O11" s="2">
        <v>0.0</v>
      </c>
      <c r="P11" s="2">
        <v>268.0</v>
      </c>
      <c r="Q11" s="2">
        <v>748.0</v>
      </c>
      <c r="R11" s="2">
        <v>108.0</v>
      </c>
      <c r="S11" s="2">
        <v>632.0</v>
      </c>
      <c r="T11" s="2">
        <v>72.0</v>
      </c>
      <c r="U11" s="2">
        <v>18.0</v>
      </c>
      <c r="V11" s="2">
        <v>162.0</v>
      </c>
      <c r="W11" s="2">
        <v>36.0</v>
      </c>
      <c r="X11" s="2">
        <v>117.0</v>
      </c>
      <c r="Y11" s="2">
        <v>362.0</v>
      </c>
      <c r="Z11" s="2">
        <v>490.0</v>
      </c>
      <c r="AA11" s="2">
        <v>636.0</v>
      </c>
      <c r="AB11" s="2">
        <v>1005.0</v>
      </c>
      <c r="AC11" s="2">
        <v>204.0</v>
      </c>
      <c r="AD11" s="2">
        <v>34.0</v>
      </c>
      <c r="AE11" s="2">
        <v>151.0</v>
      </c>
      <c r="AF11" s="2">
        <v>9476.0</v>
      </c>
    </row>
    <row r="12">
      <c r="A12" s="2" t="s">
        <v>52</v>
      </c>
      <c r="B12" s="3" t="s">
        <v>53</v>
      </c>
      <c r="C12" s="3">
        <v>2023.0</v>
      </c>
      <c r="D12" s="4">
        <v>66044.4681197315</v>
      </c>
      <c r="E12" s="5">
        <v>64351.46811973149</v>
      </c>
      <c r="F12" s="6">
        <v>1693.0</v>
      </c>
      <c r="G12" s="4">
        <v>21467.7260208368</v>
      </c>
      <c r="H12" s="2">
        <v>3009.0</v>
      </c>
      <c r="I12" s="2">
        <v>1482.0</v>
      </c>
      <c r="J12" s="2">
        <v>761.0</v>
      </c>
      <c r="K12" s="2">
        <v>3232.0</v>
      </c>
      <c r="L12" s="2">
        <v>664.0</v>
      </c>
      <c r="M12" s="2">
        <v>834.0</v>
      </c>
      <c r="N12" s="2">
        <v>1696.0</v>
      </c>
      <c r="O12" s="2">
        <v>378.0</v>
      </c>
      <c r="P12" s="2">
        <v>332.0</v>
      </c>
      <c r="Q12" s="2">
        <v>2537.0</v>
      </c>
      <c r="R12" s="2">
        <v>2545.0</v>
      </c>
      <c r="S12" s="2">
        <v>3112.0</v>
      </c>
      <c r="T12" s="2">
        <v>293.0</v>
      </c>
      <c r="U12" s="2">
        <v>210.0</v>
      </c>
      <c r="V12" s="2">
        <v>2791.0</v>
      </c>
      <c r="W12" s="2">
        <v>226.0</v>
      </c>
      <c r="X12" s="2">
        <v>361.0</v>
      </c>
      <c r="Y12" s="2">
        <v>2031.0</v>
      </c>
      <c r="Z12" s="2">
        <v>1907.0</v>
      </c>
      <c r="AA12" s="2">
        <v>2470.0</v>
      </c>
      <c r="AB12" s="2">
        <v>3814.0</v>
      </c>
      <c r="AC12" s="2">
        <v>719.0</v>
      </c>
      <c r="AD12" s="2">
        <v>115.0</v>
      </c>
      <c r="AE12" s="2">
        <v>593.0</v>
      </c>
      <c r="AF12" s="2">
        <v>36112.0</v>
      </c>
    </row>
    <row r="13">
      <c r="A13" s="2" t="s">
        <v>54</v>
      </c>
      <c r="B13" s="3" t="s">
        <v>55</v>
      </c>
      <c r="C13" s="3">
        <v>2023.0</v>
      </c>
      <c r="D13" s="4">
        <v>12766.2571565521</v>
      </c>
      <c r="E13" s="5">
        <v>12665.2571565521</v>
      </c>
      <c r="F13" s="6">
        <v>101.0</v>
      </c>
      <c r="G13" s="4">
        <v>3975.0170026328</v>
      </c>
      <c r="H13" s="2">
        <v>394.0</v>
      </c>
      <c r="I13" s="2">
        <v>135.0</v>
      </c>
      <c r="J13" s="2">
        <v>67.0</v>
      </c>
      <c r="K13" s="2">
        <v>566.0</v>
      </c>
      <c r="L13" s="2">
        <v>82.0</v>
      </c>
      <c r="M13" s="2">
        <v>395.0</v>
      </c>
      <c r="N13" s="2">
        <v>144.0</v>
      </c>
      <c r="O13" s="2">
        <v>90.0</v>
      </c>
      <c r="P13" s="2">
        <v>27.0</v>
      </c>
      <c r="Q13" s="2">
        <v>884.0</v>
      </c>
      <c r="R13" s="2">
        <v>52.0</v>
      </c>
      <c r="S13" s="2">
        <v>674.0</v>
      </c>
      <c r="T13" s="2">
        <v>20.0</v>
      </c>
      <c r="U13" s="2">
        <v>38.0</v>
      </c>
      <c r="V13" s="2">
        <v>903.0</v>
      </c>
      <c r="W13" s="2">
        <v>46.0</v>
      </c>
      <c r="X13" s="2">
        <v>98.0</v>
      </c>
      <c r="Y13" s="2">
        <v>390.0</v>
      </c>
      <c r="Z13" s="2">
        <v>376.0</v>
      </c>
      <c r="AA13" s="2">
        <v>260.0</v>
      </c>
      <c r="AB13" s="2">
        <v>533.0</v>
      </c>
      <c r="AC13" s="2">
        <v>62.0</v>
      </c>
      <c r="AD13" s="2">
        <v>18.0</v>
      </c>
      <c r="AE13" s="2">
        <v>67.0</v>
      </c>
      <c r="AF13" s="2">
        <v>6321.0</v>
      </c>
    </row>
    <row r="14">
      <c r="A14" s="2" t="s">
        <v>56</v>
      </c>
      <c r="B14" s="3" t="s">
        <v>57</v>
      </c>
      <c r="C14" s="3">
        <v>2023.0</v>
      </c>
      <c r="D14" s="4">
        <v>8387.49527728593</v>
      </c>
      <c r="E14" s="5">
        <v>8219.49527728593</v>
      </c>
      <c r="F14" s="6">
        <v>168.0</v>
      </c>
      <c r="G14" s="4">
        <v>3104.05697880098</v>
      </c>
      <c r="H14" s="2">
        <v>1255.0</v>
      </c>
      <c r="I14" s="2">
        <v>304.0</v>
      </c>
      <c r="J14" s="2">
        <v>330.0</v>
      </c>
      <c r="K14" s="2">
        <v>306.0</v>
      </c>
      <c r="L14" s="2">
        <v>31.0</v>
      </c>
      <c r="M14" s="2">
        <v>170.0</v>
      </c>
      <c r="N14" s="2">
        <v>118.0</v>
      </c>
      <c r="O14" s="2">
        <v>0.0</v>
      </c>
      <c r="P14" s="2">
        <v>78.0</v>
      </c>
      <c r="Q14" s="2">
        <v>661.0</v>
      </c>
      <c r="R14" s="2">
        <v>42.0</v>
      </c>
      <c r="S14" s="2">
        <v>188.0</v>
      </c>
      <c r="T14" s="2">
        <v>47.0</v>
      </c>
      <c r="U14" s="2">
        <v>40.0</v>
      </c>
      <c r="V14" s="2">
        <v>166.0</v>
      </c>
      <c r="W14" s="2">
        <v>29.0</v>
      </c>
      <c r="X14" s="2">
        <v>40.0</v>
      </c>
      <c r="Y14" s="2">
        <v>739.0</v>
      </c>
      <c r="Z14" s="2">
        <v>223.0</v>
      </c>
      <c r="AA14" s="2">
        <v>685.0</v>
      </c>
      <c r="AB14" s="2">
        <v>610.0</v>
      </c>
      <c r="AC14" s="2">
        <v>94.0</v>
      </c>
      <c r="AD14" s="2">
        <v>66.0</v>
      </c>
      <c r="AE14" s="2">
        <v>51.0</v>
      </c>
      <c r="AF14" s="2">
        <v>6273.0</v>
      </c>
    </row>
    <row r="15">
      <c r="A15" s="2" t="s">
        <v>58</v>
      </c>
      <c r="B15" s="3" t="s">
        <v>59</v>
      </c>
      <c r="C15" s="3">
        <v>2023.0</v>
      </c>
      <c r="D15" s="4">
        <v>13484.4708844449</v>
      </c>
      <c r="E15" s="5">
        <v>13299.4708844449</v>
      </c>
      <c r="F15" s="6">
        <v>185.0</v>
      </c>
      <c r="G15" s="4">
        <v>4370.90353765359</v>
      </c>
      <c r="H15" s="2">
        <v>375.0</v>
      </c>
      <c r="I15" s="2">
        <v>629.0</v>
      </c>
      <c r="J15" s="2">
        <v>77.0</v>
      </c>
      <c r="K15" s="2">
        <v>460.0</v>
      </c>
      <c r="L15" s="2">
        <v>57.0</v>
      </c>
      <c r="M15" s="2">
        <v>1115.0</v>
      </c>
      <c r="N15" s="2">
        <v>256.0</v>
      </c>
      <c r="O15" s="2">
        <v>177.0</v>
      </c>
      <c r="P15" s="2">
        <v>102.0</v>
      </c>
      <c r="Q15" s="2">
        <v>902.0</v>
      </c>
      <c r="R15" s="2">
        <v>70.0</v>
      </c>
      <c r="S15" s="2">
        <v>696.0</v>
      </c>
      <c r="T15" s="2">
        <v>32.0</v>
      </c>
      <c r="U15" s="2">
        <v>8.0</v>
      </c>
      <c r="V15" s="2">
        <v>297.0</v>
      </c>
      <c r="W15" s="2">
        <v>49.0</v>
      </c>
      <c r="X15" s="2">
        <v>137.0</v>
      </c>
      <c r="Y15" s="2">
        <v>387.0</v>
      </c>
      <c r="Z15" s="2">
        <v>229.0</v>
      </c>
      <c r="AA15" s="2">
        <v>303.0</v>
      </c>
      <c r="AB15" s="2">
        <v>875.0</v>
      </c>
      <c r="AC15" s="2">
        <v>181.0</v>
      </c>
      <c r="AD15" s="2">
        <v>386.0</v>
      </c>
      <c r="AE15" s="2">
        <v>185.0</v>
      </c>
      <c r="AF15" s="2">
        <v>7985.0</v>
      </c>
    </row>
    <row r="16">
      <c r="A16" s="2" t="s">
        <v>60</v>
      </c>
      <c r="B16" s="3" t="s">
        <v>61</v>
      </c>
      <c r="C16" s="3">
        <v>2023.0</v>
      </c>
      <c r="D16" s="4">
        <v>13059.4863619048</v>
      </c>
      <c r="E16" s="5">
        <v>13059.4863619048</v>
      </c>
      <c r="F16" s="7">
        <v>0.0</v>
      </c>
      <c r="G16" s="4">
        <v>4211.84809040394</v>
      </c>
      <c r="H16" s="2">
        <v>230.0</v>
      </c>
      <c r="I16" s="2">
        <v>124.0</v>
      </c>
      <c r="J16" s="2">
        <v>296.0</v>
      </c>
      <c r="K16" s="2">
        <v>816.0</v>
      </c>
      <c r="L16" s="2">
        <v>82.0</v>
      </c>
      <c r="M16" s="2">
        <v>305.0</v>
      </c>
      <c r="N16" s="2">
        <v>643.0</v>
      </c>
      <c r="O16" s="2">
        <v>152.0</v>
      </c>
      <c r="P16" s="2">
        <v>17.0</v>
      </c>
      <c r="Q16" s="2">
        <v>676.0</v>
      </c>
      <c r="R16" s="2">
        <v>19.0</v>
      </c>
      <c r="S16" s="2">
        <v>194.0</v>
      </c>
      <c r="T16" s="2">
        <v>31.0</v>
      </c>
      <c r="U16" s="2">
        <v>3.0</v>
      </c>
      <c r="V16" s="2">
        <v>201.0</v>
      </c>
      <c r="W16" s="2">
        <v>47.0</v>
      </c>
      <c r="X16" s="2">
        <v>80.0</v>
      </c>
      <c r="Y16" s="2">
        <v>271.0</v>
      </c>
      <c r="Z16" s="2">
        <v>457.0</v>
      </c>
      <c r="AA16" s="2">
        <v>777.0</v>
      </c>
      <c r="AB16" s="2">
        <v>566.0</v>
      </c>
      <c r="AC16" s="2">
        <v>83.0</v>
      </c>
      <c r="AD16" s="2">
        <v>25.0</v>
      </c>
      <c r="AE16" s="2">
        <v>164.0</v>
      </c>
      <c r="AF16" s="2">
        <v>6259.0</v>
      </c>
    </row>
    <row r="17">
      <c r="A17" s="2" t="s">
        <v>62</v>
      </c>
      <c r="B17" s="3" t="s">
        <v>63</v>
      </c>
      <c r="C17" s="3">
        <v>2023.0</v>
      </c>
      <c r="D17" s="4">
        <v>1564.5950949531</v>
      </c>
      <c r="E17" s="5">
        <v>1564.5950949531</v>
      </c>
      <c r="F17" s="7">
        <v>0.0</v>
      </c>
      <c r="G17" s="4">
        <v>605.846243735018</v>
      </c>
      <c r="H17" s="2">
        <v>48.0</v>
      </c>
      <c r="I17" s="2">
        <v>14.0</v>
      </c>
      <c r="J17" s="2">
        <v>16.0</v>
      </c>
      <c r="K17" s="2">
        <v>20.0</v>
      </c>
      <c r="L17" s="2">
        <v>6.0</v>
      </c>
      <c r="M17" s="2">
        <v>156.0</v>
      </c>
      <c r="N17" s="2">
        <v>18.0</v>
      </c>
      <c r="O17" s="2">
        <v>0.0</v>
      </c>
      <c r="P17" s="2">
        <v>2.0</v>
      </c>
      <c r="Q17" s="2">
        <v>112.0</v>
      </c>
      <c r="R17" s="2">
        <v>5.0</v>
      </c>
      <c r="S17" s="2">
        <v>47.0</v>
      </c>
      <c r="T17" s="2">
        <v>7.0</v>
      </c>
      <c r="U17" s="2">
        <v>0.0</v>
      </c>
      <c r="V17" s="2">
        <v>21.0</v>
      </c>
      <c r="W17" s="2">
        <v>5.0</v>
      </c>
      <c r="X17" s="2">
        <v>25.0</v>
      </c>
      <c r="Y17" s="2">
        <v>27.0</v>
      </c>
      <c r="Z17" s="2">
        <v>18.0</v>
      </c>
      <c r="AA17" s="2">
        <v>72.0</v>
      </c>
      <c r="AB17" s="2">
        <v>31.0</v>
      </c>
      <c r="AC17" s="2">
        <v>34.0</v>
      </c>
      <c r="AD17" s="2">
        <v>0.0</v>
      </c>
      <c r="AE17" s="2">
        <v>8.0</v>
      </c>
      <c r="AF17" s="2">
        <v>692.0</v>
      </c>
    </row>
    <row r="18">
      <c r="A18" s="2" t="s">
        <v>64</v>
      </c>
      <c r="B18" s="3" t="s">
        <v>65</v>
      </c>
      <c r="C18" s="3">
        <v>2023.0</v>
      </c>
      <c r="D18" s="8">
        <v>2725.0</v>
      </c>
      <c r="E18" s="5">
        <v>2670.55141848867</v>
      </c>
      <c r="F18" s="6">
        <v>54.0</v>
      </c>
      <c r="G18" s="4">
        <v>958.119028374583</v>
      </c>
      <c r="H18" s="2">
        <v>209.0</v>
      </c>
      <c r="I18" s="2">
        <v>110.0</v>
      </c>
      <c r="J18" s="2">
        <v>48.0</v>
      </c>
      <c r="K18" s="2">
        <v>142.0</v>
      </c>
      <c r="L18" s="2">
        <v>23.0</v>
      </c>
      <c r="M18" s="2">
        <v>202.0</v>
      </c>
      <c r="N18" s="2">
        <v>39.0</v>
      </c>
      <c r="O18" s="2">
        <v>0.0</v>
      </c>
      <c r="P18" s="2">
        <v>10.0</v>
      </c>
      <c r="Q18" s="2">
        <v>183.0</v>
      </c>
      <c r="R18" s="2">
        <v>24.0</v>
      </c>
      <c r="S18" s="2">
        <v>69.0</v>
      </c>
      <c r="T18" s="2">
        <v>18.0</v>
      </c>
      <c r="U18" s="2">
        <v>24.0</v>
      </c>
      <c r="V18" s="2">
        <v>48.0</v>
      </c>
      <c r="W18" s="2">
        <v>9.0</v>
      </c>
      <c r="X18" s="2">
        <v>37.0</v>
      </c>
      <c r="Y18" s="2">
        <v>137.0</v>
      </c>
      <c r="Z18" s="2">
        <v>60.0</v>
      </c>
      <c r="AA18" s="2">
        <v>300.0</v>
      </c>
      <c r="AB18" s="2">
        <v>222.0</v>
      </c>
      <c r="AC18" s="2">
        <v>57.0</v>
      </c>
      <c r="AD18" s="2">
        <v>39.0</v>
      </c>
      <c r="AE18" s="2">
        <v>18.0</v>
      </c>
      <c r="AF18" s="2">
        <v>2028.0</v>
      </c>
    </row>
    <row r="19">
      <c r="A19" s="2" t="s">
        <v>66</v>
      </c>
      <c r="B19" s="3" t="s">
        <v>67</v>
      </c>
      <c r="C19" s="3">
        <v>2023.0</v>
      </c>
      <c r="D19" s="4">
        <v>1220554.46887834</v>
      </c>
      <c r="E19" s="5">
        <v>1201972.46887834</v>
      </c>
      <c r="F19" s="6">
        <v>18582.0</v>
      </c>
      <c r="G19" s="4">
        <v>428373.988122279</v>
      </c>
      <c r="H19" s="2">
        <v>60895.0</v>
      </c>
      <c r="I19" s="2">
        <v>60648.0</v>
      </c>
      <c r="J19" s="2">
        <v>20191.0</v>
      </c>
      <c r="K19" s="2">
        <v>66705.0</v>
      </c>
      <c r="L19" s="2">
        <v>31934.0</v>
      </c>
      <c r="M19" s="2">
        <v>776.0</v>
      </c>
      <c r="N19" s="2">
        <v>92226.0</v>
      </c>
      <c r="O19" s="2">
        <v>493.0</v>
      </c>
      <c r="P19" s="2">
        <v>11449.0</v>
      </c>
      <c r="Q19" s="2">
        <v>46371.0</v>
      </c>
      <c r="R19" s="2">
        <v>57276.0</v>
      </c>
      <c r="S19" s="2">
        <v>83975.0</v>
      </c>
      <c r="T19" s="2">
        <v>26217.0</v>
      </c>
      <c r="U19" s="2">
        <v>21526.0</v>
      </c>
      <c r="V19" s="2">
        <v>64169.0</v>
      </c>
      <c r="W19" s="2">
        <v>4567.0</v>
      </c>
      <c r="X19" s="2">
        <v>4558.0</v>
      </c>
      <c r="Y19" s="2">
        <v>44293.0</v>
      </c>
      <c r="Z19" s="2">
        <v>100565.0</v>
      </c>
      <c r="AA19" s="2">
        <v>64508.0</v>
      </c>
      <c r="AB19" s="2">
        <v>89596.0</v>
      </c>
      <c r="AC19" s="2">
        <v>61415.0</v>
      </c>
      <c r="AD19" s="2">
        <v>1767.0</v>
      </c>
      <c r="AE19" s="2">
        <v>40607.0</v>
      </c>
      <c r="AF19" s="2">
        <v>1056727.0</v>
      </c>
    </row>
    <row r="20">
      <c r="A20" s="2" t="s">
        <v>68</v>
      </c>
      <c r="B20" s="3" t="s">
        <v>69</v>
      </c>
      <c r="C20" s="3">
        <v>2023.0</v>
      </c>
      <c r="D20" s="4">
        <v>14953.6144466165</v>
      </c>
      <c r="E20" s="5">
        <v>14544.6144466165</v>
      </c>
      <c r="F20" s="6">
        <v>409.0</v>
      </c>
      <c r="G20" s="4">
        <v>5167.48176938899</v>
      </c>
      <c r="H20" s="2">
        <v>712.0</v>
      </c>
      <c r="I20" s="2">
        <v>122.0</v>
      </c>
      <c r="J20" s="2">
        <v>215.0</v>
      </c>
      <c r="K20" s="2">
        <v>317.0</v>
      </c>
      <c r="L20" s="2">
        <v>107.0</v>
      </c>
      <c r="M20" s="2">
        <v>719.0</v>
      </c>
      <c r="N20" s="2">
        <v>147.0</v>
      </c>
      <c r="O20" s="2">
        <v>89.0</v>
      </c>
      <c r="P20" s="2">
        <v>148.0</v>
      </c>
      <c r="Q20" s="2">
        <v>1227.0</v>
      </c>
      <c r="R20" s="2">
        <v>308.0</v>
      </c>
      <c r="S20" s="2">
        <v>973.0</v>
      </c>
      <c r="T20" s="2">
        <v>21.0</v>
      </c>
      <c r="U20" s="2">
        <v>16.0</v>
      </c>
      <c r="V20" s="2">
        <v>117.0</v>
      </c>
      <c r="W20" s="2">
        <v>51.0</v>
      </c>
      <c r="X20" s="2">
        <v>370.0</v>
      </c>
      <c r="Y20" s="2">
        <v>496.0</v>
      </c>
      <c r="Z20" s="2">
        <v>158.0</v>
      </c>
      <c r="AA20" s="2">
        <v>290.0</v>
      </c>
      <c r="AB20" s="2">
        <v>473.0</v>
      </c>
      <c r="AC20" s="2">
        <v>50.0</v>
      </c>
      <c r="AD20" s="2">
        <v>24.0</v>
      </c>
      <c r="AE20" s="2">
        <v>46.0</v>
      </c>
      <c r="AF20" s="2">
        <v>7196.0</v>
      </c>
    </row>
    <row r="21">
      <c r="A21" s="2" t="s">
        <v>70</v>
      </c>
      <c r="B21" s="3" t="s">
        <v>71</v>
      </c>
      <c r="C21" s="3">
        <v>2023.0</v>
      </c>
      <c r="D21" s="4">
        <v>30346.8967424496</v>
      </c>
      <c r="E21" s="5">
        <v>27538.8967424496</v>
      </c>
      <c r="F21" s="6">
        <v>2808.0</v>
      </c>
      <c r="G21" s="4">
        <v>9226.19960511491</v>
      </c>
      <c r="H21" s="2">
        <v>647.0</v>
      </c>
      <c r="I21" s="2">
        <v>467.0</v>
      </c>
      <c r="J21" s="2">
        <v>171.0</v>
      </c>
      <c r="K21" s="2">
        <v>1103.0</v>
      </c>
      <c r="L21" s="2">
        <v>420.0</v>
      </c>
      <c r="M21" s="2">
        <v>1036.0</v>
      </c>
      <c r="N21" s="2">
        <v>653.0</v>
      </c>
      <c r="O21" s="2">
        <v>225.0</v>
      </c>
      <c r="P21" s="2">
        <v>88.0</v>
      </c>
      <c r="Q21" s="2">
        <v>1796.0</v>
      </c>
      <c r="R21" s="2">
        <v>1423.0</v>
      </c>
      <c r="S21" s="2">
        <v>935.0</v>
      </c>
      <c r="T21" s="2">
        <v>269.0</v>
      </c>
      <c r="U21" s="2">
        <v>98.0</v>
      </c>
      <c r="V21" s="2">
        <v>1512.0</v>
      </c>
      <c r="W21" s="2">
        <v>99.0</v>
      </c>
      <c r="X21" s="2">
        <v>123.0</v>
      </c>
      <c r="Y21" s="2">
        <v>865.0</v>
      </c>
      <c r="Z21" s="2">
        <v>559.0</v>
      </c>
      <c r="AA21" s="2">
        <v>716.0</v>
      </c>
      <c r="AB21" s="2">
        <v>1442.0</v>
      </c>
      <c r="AC21" s="2">
        <v>273.0</v>
      </c>
      <c r="AD21" s="2">
        <v>28.0</v>
      </c>
      <c r="AE21" s="2">
        <v>236.0</v>
      </c>
      <c r="AF21" s="2">
        <v>15184.0</v>
      </c>
    </row>
    <row r="22">
      <c r="A22" s="2" t="s">
        <v>72</v>
      </c>
      <c r="B22" s="3" t="s">
        <v>73</v>
      </c>
      <c r="C22" s="3">
        <v>2023.0</v>
      </c>
      <c r="D22" s="4">
        <v>22164.0028135878</v>
      </c>
      <c r="E22" s="5">
        <v>21883.0028135878</v>
      </c>
      <c r="F22" s="6">
        <v>281.0</v>
      </c>
      <c r="G22" s="4">
        <v>7586.12346808955</v>
      </c>
      <c r="H22" s="2">
        <v>1143.0</v>
      </c>
      <c r="I22" s="2">
        <v>338.0</v>
      </c>
      <c r="J22" s="2">
        <v>147.0</v>
      </c>
      <c r="K22" s="2">
        <v>747.0</v>
      </c>
      <c r="L22" s="2">
        <v>86.0</v>
      </c>
      <c r="M22" s="2">
        <v>740.0</v>
      </c>
      <c r="N22" s="2">
        <v>418.0</v>
      </c>
      <c r="O22" s="2">
        <v>210.0</v>
      </c>
      <c r="P22" s="2">
        <v>196.0</v>
      </c>
      <c r="Q22" s="2">
        <v>1261.0</v>
      </c>
      <c r="R22" s="2">
        <v>557.0</v>
      </c>
      <c r="S22" s="2">
        <v>1142.0</v>
      </c>
      <c r="T22" s="2">
        <v>57.0</v>
      </c>
      <c r="U22" s="2">
        <v>162.0</v>
      </c>
      <c r="V22" s="2">
        <v>570.0</v>
      </c>
      <c r="W22" s="2">
        <v>80.0</v>
      </c>
      <c r="X22" s="2">
        <v>689.0</v>
      </c>
      <c r="Y22" s="2">
        <v>835.0</v>
      </c>
      <c r="Z22" s="2">
        <v>554.0</v>
      </c>
      <c r="AA22" s="2">
        <v>469.0</v>
      </c>
      <c r="AB22" s="2">
        <v>1843.0</v>
      </c>
      <c r="AC22" s="2">
        <v>1101.0</v>
      </c>
      <c r="AD22" s="2">
        <v>56.0</v>
      </c>
      <c r="AE22" s="2">
        <v>350.0</v>
      </c>
      <c r="AF22" s="2">
        <v>13751.0</v>
      </c>
    </row>
    <row r="23">
      <c r="A23" s="2" t="s">
        <v>74</v>
      </c>
      <c r="B23" s="3" t="s">
        <v>75</v>
      </c>
      <c r="C23" s="3">
        <v>2023.0</v>
      </c>
      <c r="D23" s="4">
        <v>43490.9106490997</v>
      </c>
      <c r="E23" s="5">
        <v>43361.9106490997</v>
      </c>
      <c r="F23" s="6">
        <v>129.0</v>
      </c>
      <c r="G23" s="4">
        <v>14382.4560763673</v>
      </c>
      <c r="H23" s="2">
        <v>7598.0</v>
      </c>
      <c r="I23" s="2">
        <v>1608.0</v>
      </c>
      <c r="J23" s="2">
        <v>4628.0</v>
      </c>
      <c r="K23" s="2">
        <v>3384.0</v>
      </c>
      <c r="L23" s="2">
        <v>985.0</v>
      </c>
      <c r="M23" s="2">
        <v>624.0</v>
      </c>
      <c r="N23" s="2">
        <v>3891.0</v>
      </c>
      <c r="O23" s="2">
        <v>299.0</v>
      </c>
      <c r="P23" s="2">
        <v>61.0</v>
      </c>
      <c r="Q23" s="2">
        <v>2602.0</v>
      </c>
      <c r="R23" s="2">
        <v>111.0</v>
      </c>
      <c r="S23" s="2">
        <v>2429.0</v>
      </c>
      <c r="T23" s="2">
        <v>699.0</v>
      </c>
      <c r="U23" s="2">
        <v>875.0</v>
      </c>
      <c r="V23" s="2">
        <v>1380.0</v>
      </c>
      <c r="W23" s="2">
        <v>158.0</v>
      </c>
      <c r="X23" s="2">
        <v>91.0</v>
      </c>
      <c r="Y23" s="2">
        <v>2342.0</v>
      </c>
      <c r="Z23" s="2">
        <v>3904.0</v>
      </c>
      <c r="AA23" s="2">
        <v>6420.0</v>
      </c>
      <c r="AB23" s="2">
        <v>4332.0</v>
      </c>
      <c r="AC23" s="2">
        <v>522.0</v>
      </c>
      <c r="AD23" s="2">
        <v>81.0</v>
      </c>
      <c r="AE23" s="2">
        <v>735.0</v>
      </c>
      <c r="AF23" s="2">
        <v>49759.0</v>
      </c>
    </row>
    <row r="24">
      <c r="A24" s="2" t="s">
        <v>76</v>
      </c>
      <c r="B24" s="3" t="s">
        <v>77</v>
      </c>
      <c r="C24" s="3">
        <v>2023.0</v>
      </c>
      <c r="D24" s="4">
        <v>79407.6559746058</v>
      </c>
      <c r="E24" s="5">
        <v>79109.6559746058</v>
      </c>
      <c r="F24" s="6">
        <v>298.0</v>
      </c>
      <c r="G24" s="4">
        <v>24833.7616100811</v>
      </c>
      <c r="H24" s="2">
        <v>1930.0</v>
      </c>
      <c r="I24" s="2">
        <v>1602.0</v>
      </c>
      <c r="J24" s="2">
        <v>487.0</v>
      </c>
      <c r="K24" s="2">
        <v>1851.0</v>
      </c>
      <c r="L24" s="2">
        <v>800.0</v>
      </c>
      <c r="M24" s="2">
        <v>563.0</v>
      </c>
      <c r="N24" s="2">
        <v>1079.0</v>
      </c>
      <c r="O24" s="2">
        <v>1.0</v>
      </c>
      <c r="P24" s="2">
        <v>1271.0</v>
      </c>
      <c r="Q24" s="2">
        <v>3120.0</v>
      </c>
      <c r="R24" s="2">
        <v>280.0</v>
      </c>
      <c r="S24" s="2">
        <v>2312.0</v>
      </c>
      <c r="T24" s="2">
        <v>169.0</v>
      </c>
      <c r="U24" s="2">
        <v>85.0</v>
      </c>
      <c r="V24" s="2">
        <v>2117.0</v>
      </c>
      <c r="W24" s="2">
        <v>320.0</v>
      </c>
      <c r="X24" s="2">
        <v>263.0</v>
      </c>
      <c r="Y24" s="2">
        <v>1983.0</v>
      </c>
      <c r="Z24" s="2">
        <v>1224.0</v>
      </c>
      <c r="AA24" s="2">
        <v>1344.0</v>
      </c>
      <c r="AB24" s="2">
        <v>3089.0</v>
      </c>
      <c r="AC24" s="2">
        <v>2360.0</v>
      </c>
      <c r="AD24" s="2">
        <v>112.0</v>
      </c>
      <c r="AE24" s="2">
        <v>290.0</v>
      </c>
      <c r="AF24" s="2">
        <v>28652.0</v>
      </c>
    </row>
    <row r="25">
      <c r="A25" s="2" t="s">
        <v>78</v>
      </c>
      <c r="B25" s="3" t="s">
        <v>79</v>
      </c>
      <c r="C25" s="3">
        <v>2023.0</v>
      </c>
      <c r="D25" s="4">
        <v>36527.0282532865</v>
      </c>
      <c r="E25" s="5">
        <v>36412.0282532865</v>
      </c>
      <c r="F25" s="6">
        <v>115.0</v>
      </c>
      <c r="G25" s="4">
        <v>12148.5174370102</v>
      </c>
      <c r="H25" s="2">
        <v>1351.0</v>
      </c>
      <c r="I25" s="2">
        <v>392.0</v>
      </c>
      <c r="J25" s="2">
        <v>202.0</v>
      </c>
      <c r="K25" s="2">
        <v>1756.0</v>
      </c>
      <c r="L25" s="2">
        <v>291.0</v>
      </c>
      <c r="M25" s="2">
        <v>1224.0</v>
      </c>
      <c r="N25" s="2">
        <v>867.0</v>
      </c>
      <c r="O25" s="2">
        <v>109.0</v>
      </c>
      <c r="P25" s="2">
        <v>382.0</v>
      </c>
      <c r="Q25" s="2">
        <v>2496.0</v>
      </c>
      <c r="R25" s="2">
        <v>304.0</v>
      </c>
      <c r="S25" s="2">
        <v>1211.0</v>
      </c>
      <c r="T25" s="2">
        <v>195.0</v>
      </c>
      <c r="U25" s="2">
        <v>57.0</v>
      </c>
      <c r="V25" s="2">
        <v>488.0</v>
      </c>
      <c r="W25" s="2">
        <v>137.0</v>
      </c>
      <c r="X25" s="2">
        <v>2228.0</v>
      </c>
      <c r="Y25" s="2">
        <v>1291.0</v>
      </c>
      <c r="Z25" s="2">
        <v>729.0</v>
      </c>
      <c r="AA25" s="2">
        <v>1127.0</v>
      </c>
      <c r="AB25" s="2">
        <v>2175.0</v>
      </c>
      <c r="AC25" s="2">
        <v>1165.0</v>
      </c>
      <c r="AD25" s="2">
        <v>163.0</v>
      </c>
      <c r="AE25" s="2">
        <v>476.0</v>
      </c>
      <c r="AF25" s="2">
        <v>20816.0</v>
      </c>
    </row>
    <row r="26">
      <c r="A26" s="2" t="s">
        <v>80</v>
      </c>
      <c r="B26" s="3" t="s">
        <v>81</v>
      </c>
      <c r="C26" s="3">
        <v>2023.0</v>
      </c>
      <c r="D26" s="4">
        <v>727751.710925635</v>
      </c>
      <c r="E26" s="5">
        <v>710816.710925635</v>
      </c>
      <c r="F26" s="6">
        <v>16935.0</v>
      </c>
      <c r="G26" s="4">
        <v>211379.054338927</v>
      </c>
      <c r="H26" s="2">
        <v>25780.0</v>
      </c>
      <c r="I26" s="2">
        <v>21551.0</v>
      </c>
      <c r="J26" s="2">
        <v>10315.0</v>
      </c>
      <c r="K26" s="2">
        <v>36923.0</v>
      </c>
      <c r="L26" s="2">
        <v>28496.0</v>
      </c>
      <c r="M26" s="2">
        <v>3084.0</v>
      </c>
      <c r="N26" s="2">
        <v>29786.0</v>
      </c>
      <c r="O26" s="2">
        <v>775.0</v>
      </c>
      <c r="P26" s="2">
        <v>1157.0</v>
      </c>
      <c r="Q26" s="2">
        <v>24201.0</v>
      </c>
      <c r="R26" s="2">
        <v>9524.0</v>
      </c>
      <c r="S26" s="2">
        <v>41008.0</v>
      </c>
      <c r="T26" s="2">
        <v>16535.0</v>
      </c>
      <c r="U26" s="2">
        <v>7889.0</v>
      </c>
      <c r="V26" s="2">
        <v>25700.0</v>
      </c>
      <c r="W26" s="2">
        <v>2574.0</v>
      </c>
      <c r="X26" s="2">
        <v>885.0</v>
      </c>
      <c r="Y26" s="2">
        <v>21948.0</v>
      </c>
      <c r="Z26" s="2">
        <v>42166.0</v>
      </c>
      <c r="AA26" s="2">
        <v>30991.0</v>
      </c>
      <c r="AB26" s="2">
        <v>49869.0</v>
      </c>
      <c r="AC26" s="2">
        <v>11583.0</v>
      </c>
      <c r="AD26" s="2">
        <v>1019.0</v>
      </c>
      <c r="AE26" s="2">
        <v>9045.0</v>
      </c>
      <c r="AF26" s="2">
        <v>452804.0</v>
      </c>
    </row>
    <row r="27">
      <c r="A27" s="2" t="s">
        <v>82</v>
      </c>
      <c r="B27" s="3" t="s">
        <v>83</v>
      </c>
      <c r="C27" s="3">
        <v>2023.0</v>
      </c>
      <c r="D27" s="4">
        <v>37932.8260005542</v>
      </c>
      <c r="E27" s="5">
        <v>37716.8260005542</v>
      </c>
      <c r="F27" s="6">
        <v>216.0</v>
      </c>
      <c r="G27" s="4">
        <v>12556.5957953645</v>
      </c>
      <c r="H27" s="2">
        <v>1634.0</v>
      </c>
      <c r="I27" s="2">
        <v>1465.0</v>
      </c>
      <c r="J27" s="2">
        <v>1136.0</v>
      </c>
      <c r="K27" s="2">
        <v>2542.0</v>
      </c>
      <c r="L27" s="2">
        <v>506.0</v>
      </c>
      <c r="M27" s="2">
        <v>466.0</v>
      </c>
      <c r="N27" s="2">
        <v>1862.0</v>
      </c>
      <c r="O27" s="2">
        <v>54.0</v>
      </c>
      <c r="P27" s="2">
        <v>53.0</v>
      </c>
      <c r="Q27" s="2">
        <v>1664.0</v>
      </c>
      <c r="R27" s="2">
        <v>344.0</v>
      </c>
      <c r="S27" s="2">
        <v>1586.0</v>
      </c>
      <c r="T27" s="2">
        <v>192.0</v>
      </c>
      <c r="U27" s="2">
        <v>596.0</v>
      </c>
      <c r="V27" s="2">
        <v>743.0</v>
      </c>
      <c r="W27" s="2">
        <v>134.0</v>
      </c>
      <c r="X27" s="2">
        <v>87.0</v>
      </c>
      <c r="Y27" s="2">
        <v>1159.0</v>
      </c>
      <c r="Z27" s="2">
        <v>1819.0</v>
      </c>
      <c r="AA27" s="2">
        <v>2774.0</v>
      </c>
      <c r="AB27" s="2">
        <v>1974.0</v>
      </c>
      <c r="AC27" s="2">
        <v>423.0</v>
      </c>
      <c r="AD27" s="2">
        <v>30.0</v>
      </c>
      <c r="AE27" s="2">
        <v>326.0</v>
      </c>
      <c r="AF27" s="2">
        <v>23569.0</v>
      </c>
    </row>
    <row r="28">
      <c r="A28" s="2" t="s">
        <v>84</v>
      </c>
      <c r="B28" s="3" t="s">
        <v>85</v>
      </c>
      <c r="C28" s="3">
        <v>2023.0</v>
      </c>
      <c r="D28" s="4">
        <v>198528.201970499</v>
      </c>
      <c r="E28" s="5">
        <v>195442.201970499</v>
      </c>
      <c r="F28" s="6">
        <v>3086.0</v>
      </c>
      <c r="G28" s="4">
        <v>70844.7814654916</v>
      </c>
      <c r="H28" s="2">
        <v>11049.0</v>
      </c>
      <c r="I28" s="2">
        <v>6892.0</v>
      </c>
      <c r="J28" s="2">
        <v>3179.0</v>
      </c>
      <c r="K28" s="2">
        <v>12376.0</v>
      </c>
      <c r="L28" s="2">
        <v>2095.0</v>
      </c>
      <c r="M28" s="2">
        <v>560.0</v>
      </c>
      <c r="N28" s="2">
        <v>7597.0</v>
      </c>
      <c r="O28" s="2">
        <v>187.0</v>
      </c>
      <c r="P28" s="2">
        <v>715.0</v>
      </c>
      <c r="Q28" s="2">
        <v>7284.0</v>
      </c>
      <c r="R28" s="2">
        <v>2485.0</v>
      </c>
      <c r="S28" s="2">
        <v>14982.0</v>
      </c>
      <c r="T28" s="2">
        <v>1569.0</v>
      </c>
      <c r="U28" s="2">
        <v>1588.0</v>
      </c>
      <c r="V28" s="2">
        <v>4581.0</v>
      </c>
      <c r="W28" s="2">
        <v>723.0</v>
      </c>
      <c r="X28" s="2">
        <v>708.0</v>
      </c>
      <c r="Y28" s="2">
        <v>7353.0</v>
      </c>
      <c r="Z28" s="2">
        <v>8231.0</v>
      </c>
      <c r="AA28" s="2">
        <v>11396.0</v>
      </c>
      <c r="AB28" s="2">
        <v>16002.0</v>
      </c>
      <c r="AC28" s="2">
        <v>6086.0</v>
      </c>
      <c r="AD28" s="2">
        <v>269.0</v>
      </c>
      <c r="AE28" s="2">
        <v>2523.0</v>
      </c>
      <c r="AF28" s="2">
        <v>130430.0</v>
      </c>
    </row>
    <row r="29">
      <c r="A29" s="2" t="s">
        <v>86</v>
      </c>
      <c r="B29" s="3" t="s">
        <v>87</v>
      </c>
      <c r="C29" s="3">
        <v>2023.0</v>
      </c>
      <c r="D29" s="4">
        <v>2522.74183261254</v>
      </c>
      <c r="E29" s="5">
        <v>2522.74183261254</v>
      </c>
      <c r="F29" s="7">
        <v>0.0</v>
      </c>
      <c r="G29" s="4">
        <v>947.104284458391</v>
      </c>
      <c r="H29" s="2">
        <v>336.0</v>
      </c>
      <c r="I29" s="2">
        <v>50.0</v>
      </c>
      <c r="J29" s="2">
        <v>42.0</v>
      </c>
      <c r="K29" s="2">
        <v>286.0</v>
      </c>
      <c r="L29" s="2">
        <v>9.0</v>
      </c>
      <c r="M29" s="2">
        <v>199.0</v>
      </c>
      <c r="N29" s="2">
        <v>40.0</v>
      </c>
      <c r="O29" s="2">
        <v>0.0</v>
      </c>
      <c r="P29" s="2">
        <v>89.0</v>
      </c>
      <c r="Q29" s="2">
        <v>181.0</v>
      </c>
      <c r="R29" s="2">
        <v>20.0</v>
      </c>
      <c r="S29" s="2">
        <v>151.0</v>
      </c>
      <c r="T29" s="2">
        <v>11.0</v>
      </c>
      <c r="U29" s="2">
        <v>26.0</v>
      </c>
      <c r="V29" s="2">
        <v>38.0</v>
      </c>
      <c r="W29" s="2">
        <v>9.0</v>
      </c>
      <c r="X29" s="2">
        <v>27.0</v>
      </c>
      <c r="Y29" s="2">
        <v>153.0</v>
      </c>
      <c r="Z29" s="2">
        <v>44.0</v>
      </c>
      <c r="AA29" s="2">
        <v>232.0</v>
      </c>
      <c r="AB29" s="2">
        <v>196.0</v>
      </c>
      <c r="AC29" s="2">
        <v>42.0</v>
      </c>
      <c r="AD29" s="2">
        <v>17.0</v>
      </c>
      <c r="AE29" s="2">
        <v>32.0</v>
      </c>
      <c r="AF29" s="2">
        <v>2230.0</v>
      </c>
    </row>
    <row r="30">
      <c r="A30" s="2" t="s">
        <v>88</v>
      </c>
      <c r="B30" s="3" t="s">
        <v>89</v>
      </c>
      <c r="C30" s="3">
        <v>2023.0</v>
      </c>
      <c r="D30" s="4">
        <v>269810.698495116</v>
      </c>
      <c r="E30" s="5">
        <v>266037.698495116</v>
      </c>
      <c r="F30" s="6">
        <v>3773.0</v>
      </c>
      <c r="G30" s="4">
        <v>94481.6646945673</v>
      </c>
      <c r="H30" s="2">
        <v>9677.0</v>
      </c>
      <c r="I30" s="2">
        <v>8542.0</v>
      </c>
      <c r="J30" s="2">
        <v>3813.0</v>
      </c>
      <c r="K30" s="2">
        <v>11015.0</v>
      </c>
      <c r="L30" s="2">
        <v>2850.0</v>
      </c>
      <c r="M30" s="2">
        <v>1164.0</v>
      </c>
      <c r="N30" s="2">
        <v>9288.0</v>
      </c>
      <c r="O30" s="2">
        <v>448.0</v>
      </c>
      <c r="P30" s="2">
        <v>8102.0</v>
      </c>
      <c r="Q30" s="2">
        <v>10323.0</v>
      </c>
      <c r="R30" s="2">
        <v>4855.0</v>
      </c>
      <c r="S30" s="2">
        <v>16256.0</v>
      </c>
      <c r="T30" s="2">
        <v>1254.0</v>
      </c>
      <c r="U30" s="2">
        <v>1288.0</v>
      </c>
      <c r="V30" s="2">
        <v>19516.0</v>
      </c>
      <c r="W30" s="2">
        <v>1012.0</v>
      </c>
      <c r="X30" s="2">
        <v>210.0</v>
      </c>
      <c r="Y30" s="2">
        <v>8754.0</v>
      </c>
      <c r="Z30" s="2">
        <v>8955.0</v>
      </c>
      <c r="AA30" s="2">
        <v>8818.0</v>
      </c>
      <c r="AB30" s="2">
        <v>16106.0</v>
      </c>
      <c r="AC30" s="2">
        <v>5475.0</v>
      </c>
      <c r="AD30" s="2">
        <v>274.0</v>
      </c>
      <c r="AE30" s="2">
        <v>4726.0</v>
      </c>
      <c r="AF30" s="2">
        <v>162721.0</v>
      </c>
    </row>
    <row r="31">
      <c r="A31" s="2" t="s">
        <v>90</v>
      </c>
      <c r="B31" s="3" t="s">
        <v>91</v>
      </c>
      <c r="C31" s="3">
        <v>2023.0</v>
      </c>
      <c r="D31" s="4">
        <v>3456446.17403605</v>
      </c>
      <c r="E31" s="5">
        <v>3399631.17403605</v>
      </c>
      <c r="F31" s="9">
        <v>56815.0</v>
      </c>
      <c r="G31" s="4">
        <v>1142083.36042558</v>
      </c>
      <c r="H31" s="2">
        <v>153196.0</v>
      </c>
      <c r="I31" s="2">
        <v>120923.0</v>
      </c>
      <c r="J31" s="2">
        <v>55967.0</v>
      </c>
      <c r="K31" s="2">
        <v>169979.0</v>
      </c>
      <c r="L31" s="2">
        <v>79399.0</v>
      </c>
      <c r="M31" s="2">
        <v>21198.0</v>
      </c>
      <c r="N31" s="2">
        <v>173605.0</v>
      </c>
      <c r="O31" s="2">
        <v>4793.0</v>
      </c>
      <c r="P31" s="2">
        <v>40046.0</v>
      </c>
      <c r="Q31" s="2">
        <v>137795.0</v>
      </c>
      <c r="R31" s="2">
        <v>89766.0</v>
      </c>
      <c r="S31" s="2">
        <v>203762.0</v>
      </c>
      <c r="T31" s="2">
        <v>51588.0</v>
      </c>
      <c r="U31" s="2">
        <v>38964.0</v>
      </c>
      <c r="V31" s="2">
        <v>162129.0</v>
      </c>
      <c r="W31" s="2">
        <v>17142.0</v>
      </c>
      <c r="X31" s="2">
        <v>14816.0</v>
      </c>
      <c r="Y31" s="2">
        <v>116413.0</v>
      </c>
      <c r="Z31" s="2">
        <v>198642.0</v>
      </c>
      <c r="AA31" s="2">
        <v>161381.0</v>
      </c>
      <c r="AB31" s="2">
        <v>233903.0</v>
      </c>
      <c r="AC31" s="2">
        <v>108244.0</v>
      </c>
      <c r="AD31" s="2">
        <v>5452.0</v>
      </c>
      <c r="AE31" s="2">
        <v>67526.0</v>
      </c>
      <c r="AF31" s="2">
        <v>2426629.0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.88"/>
    <col customWidth="1" min="3" max="3" width="6.0"/>
    <col customWidth="1" min="4" max="5" width="10.38"/>
    <col customWidth="1" min="6" max="7" width="7.88"/>
    <col customWidth="1" min="8" max="8" width="10.38"/>
    <col customWidth="1" min="9" max="16" width="7.13"/>
    <col customWidth="1" min="17" max="17" width="9.13"/>
    <col customWidth="1" min="18" max="18" width="9.5"/>
    <col customWidth="1" min="19" max="19" width="10.0"/>
    <col customWidth="1" min="20" max="20" width="7.75"/>
    <col customWidth="1" min="21" max="22" width="8.25"/>
  </cols>
  <sheetData>
    <row r="1">
      <c r="A1" s="10" t="s">
        <v>92</v>
      </c>
      <c r="B1" s="10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21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0" t="s">
        <v>106</v>
      </c>
      <c r="R1" s="10" t="s">
        <v>107</v>
      </c>
      <c r="S1" s="10" t="s">
        <v>108</v>
      </c>
      <c r="T1" s="11" t="s">
        <v>109</v>
      </c>
      <c r="U1" s="12" t="s">
        <v>110</v>
      </c>
      <c r="V1" s="12"/>
    </row>
    <row r="2">
      <c r="A2" s="2" t="s">
        <v>32</v>
      </c>
      <c r="B2" s="3" t="s">
        <v>33</v>
      </c>
      <c r="C2" s="3">
        <v>2023.0</v>
      </c>
      <c r="D2" s="4">
        <v>2280.83726117628</v>
      </c>
      <c r="E2" s="5">
        <v>7014.58165297087</v>
      </c>
      <c r="F2" s="13">
        <f t="shared" ref="F2:F30" si="2">E2/D2</f>
        <v>3.075441537</v>
      </c>
      <c r="G2" s="6">
        <v>299.0</v>
      </c>
      <c r="H2" s="4">
        <v>7313.58165297087</v>
      </c>
      <c r="I2" s="2">
        <f t="shared" ref="I2:S2" si="1">I101-I68</f>
        <v>524</v>
      </c>
      <c r="J2" s="2">
        <f t="shared" si="1"/>
        <v>505</v>
      </c>
      <c r="K2" s="2">
        <f t="shared" si="1"/>
        <v>218</v>
      </c>
      <c r="L2" s="2">
        <f t="shared" si="1"/>
        <v>264</v>
      </c>
      <c r="M2" s="2">
        <f t="shared" si="1"/>
        <v>134</v>
      </c>
      <c r="N2" s="2">
        <f t="shared" si="1"/>
        <v>796</v>
      </c>
      <c r="O2" s="2">
        <f t="shared" si="1"/>
        <v>155</v>
      </c>
      <c r="P2" s="2">
        <f t="shared" si="1"/>
        <v>883</v>
      </c>
      <c r="Q2" s="2">
        <f t="shared" si="1"/>
        <v>659</v>
      </c>
      <c r="R2" s="2">
        <f t="shared" si="1"/>
        <v>102</v>
      </c>
      <c r="S2" s="2">
        <f t="shared" si="1"/>
        <v>267</v>
      </c>
      <c r="T2" s="11">
        <f t="shared" ref="T2:T30" si="4">sum(I68:S68)</f>
        <v>221</v>
      </c>
      <c r="U2" s="1">
        <v>4728.0</v>
      </c>
    </row>
    <row r="3">
      <c r="A3" s="2" t="s">
        <v>34</v>
      </c>
      <c r="B3" s="3" t="s">
        <v>35</v>
      </c>
      <c r="C3" s="3">
        <v>2023.0</v>
      </c>
      <c r="D3" s="4">
        <v>20024.4210002052</v>
      </c>
      <c r="E3" s="5">
        <v>61084.7760262901</v>
      </c>
      <c r="F3" s="13">
        <f t="shared" si="2"/>
        <v>3.050513971</v>
      </c>
      <c r="G3" s="6">
        <v>166.0</v>
      </c>
      <c r="H3" s="4">
        <v>61250.7760262901</v>
      </c>
      <c r="I3" s="2">
        <f t="shared" ref="I3:S3" si="3">I102-I69</f>
        <v>2967</v>
      </c>
      <c r="J3" s="2">
        <f t="shared" si="3"/>
        <v>1957</v>
      </c>
      <c r="K3" s="2">
        <f t="shared" si="3"/>
        <v>7824</v>
      </c>
      <c r="L3" s="2">
        <f t="shared" si="3"/>
        <v>3042</v>
      </c>
      <c r="M3" s="2">
        <f t="shared" si="3"/>
        <v>1259</v>
      </c>
      <c r="N3" s="2">
        <f t="shared" si="3"/>
        <v>3717</v>
      </c>
      <c r="O3" s="2">
        <f t="shared" si="3"/>
        <v>2082</v>
      </c>
      <c r="P3" s="2">
        <f t="shared" si="3"/>
        <v>5924</v>
      </c>
      <c r="Q3" s="2">
        <f t="shared" si="3"/>
        <v>1553</v>
      </c>
      <c r="R3" s="2">
        <f t="shared" si="3"/>
        <v>88</v>
      </c>
      <c r="S3" s="2">
        <f t="shared" si="3"/>
        <v>2644</v>
      </c>
      <c r="T3" s="11">
        <f t="shared" si="4"/>
        <v>1313</v>
      </c>
      <c r="U3" s="2">
        <v>34370.0</v>
      </c>
    </row>
    <row r="4">
      <c r="A4" s="2" t="s">
        <v>36</v>
      </c>
      <c r="B4" s="3" t="s">
        <v>37</v>
      </c>
      <c r="C4" s="3">
        <v>2023.0</v>
      </c>
      <c r="D4" s="4">
        <v>44622.6052737326</v>
      </c>
      <c r="E4" s="5">
        <v>137232.722550596</v>
      </c>
      <c r="F4" s="13">
        <f t="shared" si="2"/>
        <v>3.075408119</v>
      </c>
      <c r="G4" s="6">
        <v>4467.0</v>
      </c>
      <c r="H4" s="4">
        <v>141699.722550596</v>
      </c>
      <c r="I4" s="2">
        <f t="shared" ref="I4:S4" si="5">I103-I70</f>
        <v>9585</v>
      </c>
      <c r="J4" s="2">
        <f t="shared" si="5"/>
        <v>4707</v>
      </c>
      <c r="K4" s="2">
        <f t="shared" si="5"/>
        <v>12795</v>
      </c>
      <c r="L4" s="2">
        <f t="shared" si="5"/>
        <v>3974</v>
      </c>
      <c r="M4" s="2">
        <f t="shared" si="5"/>
        <v>9870</v>
      </c>
      <c r="N4" s="2">
        <f t="shared" si="5"/>
        <v>14442</v>
      </c>
      <c r="O4" s="2">
        <f t="shared" si="5"/>
        <v>7918</v>
      </c>
      <c r="P4" s="2">
        <f t="shared" si="5"/>
        <v>19430</v>
      </c>
      <c r="Q4" s="2">
        <f t="shared" si="5"/>
        <v>1742</v>
      </c>
      <c r="R4" s="2">
        <f t="shared" si="5"/>
        <v>155</v>
      </c>
      <c r="S4" s="2">
        <f t="shared" si="5"/>
        <v>4514</v>
      </c>
      <c r="T4" s="11">
        <f t="shared" si="4"/>
        <v>2957</v>
      </c>
      <c r="U4" s="2">
        <v>92089.0</v>
      </c>
    </row>
    <row r="5">
      <c r="A5" s="2" t="s">
        <v>38</v>
      </c>
      <c r="B5" s="3" t="s">
        <v>39</v>
      </c>
      <c r="C5" s="3">
        <v>2023.0</v>
      </c>
      <c r="D5" s="4">
        <v>7861.55455850307</v>
      </c>
      <c r="E5" s="5">
        <v>20537.592476724</v>
      </c>
      <c r="F5" s="13">
        <f t="shared" si="2"/>
        <v>2.612408567</v>
      </c>
      <c r="G5" s="6">
        <v>116.0</v>
      </c>
      <c r="H5" s="4">
        <v>20653.592476724</v>
      </c>
      <c r="I5" s="2">
        <f t="shared" ref="I5:S5" si="6">I104-I71</f>
        <v>1271</v>
      </c>
      <c r="J5" s="2">
        <f t="shared" si="6"/>
        <v>777</v>
      </c>
      <c r="K5" s="2">
        <f t="shared" si="6"/>
        <v>524</v>
      </c>
      <c r="L5" s="2">
        <f t="shared" si="6"/>
        <v>888</v>
      </c>
      <c r="M5" s="2">
        <f t="shared" si="6"/>
        <v>391</v>
      </c>
      <c r="N5" s="2">
        <f t="shared" si="6"/>
        <v>2401</v>
      </c>
      <c r="O5" s="2">
        <f t="shared" si="6"/>
        <v>1212</v>
      </c>
      <c r="P5" s="2">
        <f t="shared" si="6"/>
        <v>2310</v>
      </c>
      <c r="Q5" s="2">
        <f t="shared" si="6"/>
        <v>385</v>
      </c>
      <c r="R5" s="2">
        <f t="shared" si="6"/>
        <v>633</v>
      </c>
      <c r="S5" s="2">
        <f t="shared" si="6"/>
        <v>495</v>
      </c>
      <c r="T5" s="11">
        <f t="shared" si="4"/>
        <v>520</v>
      </c>
      <c r="U5" s="2">
        <v>11807.0</v>
      </c>
    </row>
    <row r="6">
      <c r="A6" s="2" t="s">
        <v>40</v>
      </c>
      <c r="B6" s="3" t="s">
        <v>41</v>
      </c>
      <c r="C6" s="3">
        <v>2023.0</v>
      </c>
      <c r="D6" s="4">
        <v>405.24978741408</v>
      </c>
      <c r="E6" s="5">
        <v>997.721919134078</v>
      </c>
      <c r="F6" s="13">
        <f t="shared" si="2"/>
        <v>2.461992455</v>
      </c>
      <c r="G6" s="7">
        <v>0.0</v>
      </c>
      <c r="H6" s="4">
        <v>997.721919134078</v>
      </c>
      <c r="I6" s="2">
        <f t="shared" ref="I6:S6" si="7">I105-I72</f>
        <v>66</v>
      </c>
      <c r="J6" s="2">
        <f t="shared" si="7"/>
        <v>114</v>
      </c>
      <c r="K6" s="2">
        <f t="shared" si="7"/>
        <v>15</v>
      </c>
      <c r="L6" s="2">
        <f t="shared" si="7"/>
        <v>40</v>
      </c>
      <c r="M6" s="2">
        <f t="shared" si="7"/>
        <v>28</v>
      </c>
      <c r="N6" s="2">
        <f t="shared" si="7"/>
        <v>177</v>
      </c>
      <c r="O6" s="2">
        <f t="shared" si="7"/>
        <v>7</v>
      </c>
      <c r="P6" s="2">
        <f t="shared" si="7"/>
        <v>98</v>
      </c>
      <c r="Q6" s="2">
        <f t="shared" si="7"/>
        <v>61</v>
      </c>
      <c r="R6" s="2">
        <f t="shared" si="7"/>
        <v>2</v>
      </c>
      <c r="S6" s="2">
        <f t="shared" si="7"/>
        <v>14</v>
      </c>
      <c r="T6" s="11">
        <f t="shared" si="4"/>
        <v>23</v>
      </c>
      <c r="U6" s="2">
        <v>645.0</v>
      </c>
    </row>
    <row r="7">
      <c r="A7" s="2" t="s">
        <v>42</v>
      </c>
      <c r="B7" s="3" t="s">
        <v>43</v>
      </c>
      <c r="C7" s="3">
        <v>2023.0</v>
      </c>
      <c r="D7" s="4">
        <v>120087.090578934</v>
      </c>
      <c r="E7" s="5">
        <v>374949.472348828</v>
      </c>
      <c r="F7" s="13">
        <f t="shared" si="2"/>
        <v>3.122312903</v>
      </c>
      <c r="G7" s="6">
        <v>2429.0</v>
      </c>
      <c r="H7" s="4">
        <v>377378.472348828</v>
      </c>
      <c r="I7" s="2">
        <f t="shared" ref="I7:S7" si="8">I106-I73</f>
        <v>21583</v>
      </c>
      <c r="J7" s="2">
        <f t="shared" si="8"/>
        <v>12085</v>
      </c>
      <c r="K7" s="2">
        <f t="shared" si="8"/>
        <v>14203</v>
      </c>
      <c r="L7" s="2">
        <f t="shared" si="8"/>
        <v>13587</v>
      </c>
      <c r="M7" s="2">
        <f t="shared" si="8"/>
        <v>19382</v>
      </c>
      <c r="N7" s="2">
        <f t="shared" si="8"/>
        <v>43443</v>
      </c>
      <c r="O7" s="2">
        <f t="shared" si="8"/>
        <v>18274</v>
      </c>
      <c r="P7" s="2">
        <f t="shared" si="8"/>
        <v>56940</v>
      </c>
      <c r="Q7" s="2">
        <f t="shared" si="8"/>
        <v>847</v>
      </c>
      <c r="R7" s="2">
        <f t="shared" si="8"/>
        <v>338</v>
      </c>
      <c r="S7" s="2">
        <f t="shared" si="8"/>
        <v>14813</v>
      </c>
      <c r="T7" s="11">
        <f t="shared" si="4"/>
        <v>5983</v>
      </c>
      <c r="U7" s="2">
        <v>221478.0</v>
      </c>
    </row>
    <row r="8">
      <c r="A8" s="2" t="s">
        <v>44</v>
      </c>
      <c r="B8" s="3" t="s">
        <v>45</v>
      </c>
      <c r="C8" s="3">
        <v>2023.0</v>
      </c>
      <c r="D8" s="4">
        <v>6560.57840420365</v>
      </c>
      <c r="E8" s="5">
        <v>20024.9228966598</v>
      </c>
      <c r="F8" s="13">
        <f t="shared" si="2"/>
        <v>3.052310583</v>
      </c>
      <c r="G8" s="6">
        <v>87.0</v>
      </c>
      <c r="H8" s="4">
        <v>20111.9228966598</v>
      </c>
      <c r="I8" s="2">
        <f t="shared" ref="I8:S8" si="9">I107-I74</f>
        <v>1232</v>
      </c>
      <c r="J8" s="2">
        <f t="shared" si="9"/>
        <v>520</v>
      </c>
      <c r="K8" s="2">
        <f t="shared" si="9"/>
        <v>250</v>
      </c>
      <c r="L8" s="2">
        <f t="shared" si="9"/>
        <v>1044</v>
      </c>
      <c r="M8" s="2">
        <f t="shared" si="9"/>
        <v>712</v>
      </c>
      <c r="N8" s="2">
        <f t="shared" si="9"/>
        <v>2677</v>
      </c>
      <c r="O8" s="2">
        <f t="shared" si="9"/>
        <v>338</v>
      </c>
      <c r="P8" s="2">
        <f t="shared" si="9"/>
        <v>2085</v>
      </c>
      <c r="Q8" s="2">
        <f t="shared" si="9"/>
        <v>1177</v>
      </c>
      <c r="R8" s="2">
        <f t="shared" si="9"/>
        <v>1915</v>
      </c>
      <c r="S8" s="2">
        <f t="shared" si="9"/>
        <v>669</v>
      </c>
      <c r="T8" s="11">
        <f t="shared" si="4"/>
        <v>558</v>
      </c>
      <c r="U8" s="2">
        <v>13177.0</v>
      </c>
    </row>
    <row r="9">
      <c r="A9" s="2" t="s">
        <v>46</v>
      </c>
      <c r="B9" s="3" t="s">
        <v>47</v>
      </c>
      <c r="C9" s="3">
        <v>2023.0</v>
      </c>
      <c r="D9" s="4">
        <v>3756.87466986425</v>
      </c>
      <c r="E9" s="5">
        <v>9977.2331671617</v>
      </c>
      <c r="F9" s="13">
        <f t="shared" si="2"/>
        <v>2.655726912</v>
      </c>
      <c r="G9" s="6">
        <v>58.0</v>
      </c>
      <c r="H9" s="4">
        <v>10035.2331671617</v>
      </c>
      <c r="I9" s="2">
        <f t="shared" ref="I9:S9" si="10">I108-I75</f>
        <v>699</v>
      </c>
      <c r="J9" s="2">
        <f t="shared" si="10"/>
        <v>271</v>
      </c>
      <c r="K9" s="2">
        <f t="shared" si="10"/>
        <v>49</v>
      </c>
      <c r="L9" s="2">
        <f t="shared" si="10"/>
        <v>456</v>
      </c>
      <c r="M9" s="2">
        <f t="shared" si="10"/>
        <v>346</v>
      </c>
      <c r="N9" s="2">
        <f t="shared" si="10"/>
        <v>826</v>
      </c>
      <c r="O9" s="2">
        <f t="shared" si="10"/>
        <v>222</v>
      </c>
      <c r="P9" s="2">
        <f t="shared" si="10"/>
        <v>938</v>
      </c>
      <c r="Q9" s="2">
        <f t="shared" si="10"/>
        <v>545</v>
      </c>
      <c r="R9" s="2">
        <f t="shared" si="10"/>
        <v>416</v>
      </c>
      <c r="S9" s="2">
        <f t="shared" si="10"/>
        <v>679</v>
      </c>
      <c r="T9" s="11">
        <f t="shared" si="4"/>
        <v>238</v>
      </c>
      <c r="U9" s="2">
        <v>5685.0</v>
      </c>
    </row>
    <row r="10">
      <c r="A10" s="2" t="s">
        <v>48</v>
      </c>
      <c r="B10" s="3" t="s">
        <v>49</v>
      </c>
      <c r="C10" s="3">
        <v>2023.0</v>
      </c>
      <c r="D10" s="4">
        <v>1877.98138279702</v>
      </c>
      <c r="E10" s="5">
        <v>4936.64742839758</v>
      </c>
      <c r="F10" s="13">
        <f t="shared" si="2"/>
        <v>2.628698811</v>
      </c>
      <c r="G10" s="6">
        <v>204.0</v>
      </c>
      <c r="H10" s="4">
        <v>5140.64742839758</v>
      </c>
      <c r="I10" s="2">
        <f t="shared" ref="I10:S10" si="11">I109-I76</f>
        <v>285</v>
      </c>
      <c r="J10" s="2">
        <f t="shared" si="11"/>
        <v>1094</v>
      </c>
      <c r="K10" s="2">
        <f t="shared" si="11"/>
        <v>53</v>
      </c>
      <c r="L10" s="2">
        <f t="shared" si="11"/>
        <v>138</v>
      </c>
      <c r="M10" s="2">
        <f t="shared" si="11"/>
        <v>166</v>
      </c>
      <c r="N10" s="2">
        <f t="shared" si="11"/>
        <v>591</v>
      </c>
      <c r="O10" s="2">
        <f t="shared" si="11"/>
        <v>255</v>
      </c>
      <c r="P10" s="2">
        <f t="shared" si="11"/>
        <v>493</v>
      </c>
      <c r="Q10" s="2">
        <f t="shared" si="11"/>
        <v>260</v>
      </c>
      <c r="R10" s="2">
        <f t="shared" si="11"/>
        <v>13</v>
      </c>
      <c r="S10" s="2">
        <f t="shared" si="11"/>
        <v>155</v>
      </c>
      <c r="T10" s="11">
        <f t="shared" si="4"/>
        <v>162</v>
      </c>
      <c r="U10" s="2">
        <v>3665.0</v>
      </c>
    </row>
    <row r="11">
      <c r="A11" s="2" t="s">
        <v>50</v>
      </c>
      <c r="B11" s="3" t="s">
        <v>51</v>
      </c>
      <c r="C11" s="3">
        <v>2023.0</v>
      </c>
      <c r="D11" s="4">
        <v>3984.92193917147</v>
      </c>
      <c r="E11" s="5">
        <v>9686.42227352314</v>
      </c>
      <c r="F11" s="13">
        <f t="shared" si="2"/>
        <v>2.430768387</v>
      </c>
      <c r="G11" s="6">
        <v>156.0</v>
      </c>
      <c r="H11" s="4">
        <v>9842.42227352314</v>
      </c>
      <c r="I11" s="2">
        <f t="shared" ref="I11:S11" si="12">I110-I77</f>
        <v>966</v>
      </c>
      <c r="J11" s="2">
        <f t="shared" si="12"/>
        <v>2444</v>
      </c>
      <c r="K11" s="2">
        <f t="shared" si="12"/>
        <v>158</v>
      </c>
      <c r="L11" s="2">
        <f t="shared" si="12"/>
        <v>371</v>
      </c>
      <c r="M11" s="2">
        <f t="shared" si="12"/>
        <v>533</v>
      </c>
      <c r="N11" s="2">
        <f t="shared" si="12"/>
        <v>1282</v>
      </c>
      <c r="O11" s="2">
        <f t="shared" si="12"/>
        <v>608</v>
      </c>
      <c r="P11" s="2">
        <f t="shared" si="12"/>
        <v>2045</v>
      </c>
      <c r="Q11" s="2">
        <f t="shared" si="12"/>
        <v>92</v>
      </c>
      <c r="R11" s="2">
        <f t="shared" si="12"/>
        <v>117</v>
      </c>
      <c r="S11" s="2">
        <f t="shared" si="12"/>
        <v>440</v>
      </c>
      <c r="T11" s="11">
        <f t="shared" si="4"/>
        <v>420</v>
      </c>
      <c r="U11" s="2">
        <v>9476.0</v>
      </c>
    </row>
    <row r="12">
      <c r="A12" s="2" t="s">
        <v>52</v>
      </c>
      <c r="B12" s="3" t="s">
        <v>53</v>
      </c>
      <c r="C12" s="3">
        <v>2023.0</v>
      </c>
      <c r="D12" s="4">
        <v>21467.7260208368</v>
      </c>
      <c r="E12" s="5">
        <v>64351.46811973149</v>
      </c>
      <c r="F12" s="13">
        <f t="shared" si="2"/>
        <v>2.997591271</v>
      </c>
      <c r="G12" s="6">
        <v>1693.0</v>
      </c>
      <c r="H12" s="4">
        <v>66044.4681197315</v>
      </c>
      <c r="I12" s="2">
        <f t="shared" ref="I12:S12" si="13">I111-I78</f>
        <v>3717</v>
      </c>
      <c r="J12" s="2">
        <f t="shared" si="13"/>
        <v>2956</v>
      </c>
      <c r="K12" s="2">
        <f t="shared" si="13"/>
        <v>2738</v>
      </c>
      <c r="L12" s="2">
        <f t="shared" si="13"/>
        <v>1383</v>
      </c>
      <c r="M12" s="2">
        <f t="shared" si="13"/>
        <v>2256</v>
      </c>
      <c r="N12" s="2">
        <f t="shared" si="13"/>
        <v>6211</v>
      </c>
      <c r="O12" s="2">
        <f t="shared" si="13"/>
        <v>3033</v>
      </c>
      <c r="P12" s="2">
        <f t="shared" si="13"/>
        <v>8021</v>
      </c>
      <c r="Q12" s="2">
        <f t="shared" si="13"/>
        <v>1149</v>
      </c>
      <c r="R12" s="2">
        <f t="shared" si="13"/>
        <v>360</v>
      </c>
      <c r="S12" s="2">
        <f t="shared" si="13"/>
        <v>3132</v>
      </c>
      <c r="T12" s="11">
        <f t="shared" si="4"/>
        <v>1156</v>
      </c>
      <c r="U12" s="2">
        <v>36112.0</v>
      </c>
    </row>
    <row r="13">
      <c r="A13" s="2" t="s">
        <v>54</v>
      </c>
      <c r="B13" s="3" t="s">
        <v>55</v>
      </c>
      <c r="C13" s="3">
        <v>2023.0</v>
      </c>
      <c r="D13" s="4">
        <v>3975.0170026328</v>
      </c>
      <c r="E13" s="5">
        <v>12665.2571565521</v>
      </c>
      <c r="F13" s="13">
        <f t="shared" si="2"/>
        <v>3.186214587</v>
      </c>
      <c r="G13" s="6">
        <v>101.0</v>
      </c>
      <c r="H13" s="4">
        <v>12766.2571565521</v>
      </c>
      <c r="I13" s="2">
        <f t="shared" ref="I13:S13" si="14">I112-I79</f>
        <v>515</v>
      </c>
      <c r="J13" s="2">
        <f t="shared" si="14"/>
        <v>385</v>
      </c>
      <c r="K13" s="2">
        <f t="shared" si="14"/>
        <v>880</v>
      </c>
      <c r="L13" s="2">
        <f t="shared" si="14"/>
        <v>141</v>
      </c>
      <c r="M13" s="2">
        <f t="shared" si="14"/>
        <v>396</v>
      </c>
      <c r="N13" s="2">
        <f t="shared" si="14"/>
        <v>1066</v>
      </c>
      <c r="O13" s="2">
        <f t="shared" si="14"/>
        <v>651</v>
      </c>
      <c r="P13" s="2">
        <f t="shared" si="14"/>
        <v>924</v>
      </c>
      <c r="Q13" s="2">
        <f t="shared" si="14"/>
        <v>435</v>
      </c>
      <c r="R13" s="2">
        <f t="shared" si="14"/>
        <v>98</v>
      </c>
      <c r="S13" s="2">
        <f t="shared" si="14"/>
        <v>543</v>
      </c>
      <c r="T13" s="11">
        <f t="shared" si="4"/>
        <v>287</v>
      </c>
      <c r="U13" s="2">
        <v>6321.0</v>
      </c>
    </row>
    <row r="14">
      <c r="A14" s="2" t="s">
        <v>56</v>
      </c>
      <c r="B14" s="3" t="s">
        <v>57</v>
      </c>
      <c r="C14" s="3">
        <v>2023.0</v>
      </c>
      <c r="D14" s="4">
        <v>3104.05697880098</v>
      </c>
      <c r="E14" s="5">
        <v>8219.49527728593</v>
      </c>
      <c r="F14" s="13">
        <f t="shared" si="2"/>
        <v>2.647984664</v>
      </c>
      <c r="G14" s="6">
        <v>168.0</v>
      </c>
      <c r="H14" s="4">
        <v>8387.49527728593</v>
      </c>
      <c r="I14" s="2">
        <f t="shared" ref="I14:S14" si="15">I113-I80</f>
        <v>591</v>
      </c>
      <c r="J14" s="2">
        <f t="shared" si="15"/>
        <v>1227</v>
      </c>
      <c r="K14" s="2">
        <f t="shared" si="15"/>
        <v>162</v>
      </c>
      <c r="L14" s="2">
        <f t="shared" si="15"/>
        <v>203</v>
      </c>
      <c r="M14" s="2">
        <f t="shared" si="15"/>
        <v>285</v>
      </c>
      <c r="N14" s="2">
        <f t="shared" si="15"/>
        <v>827</v>
      </c>
      <c r="O14" s="2">
        <f t="shared" si="15"/>
        <v>182</v>
      </c>
      <c r="P14" s="2">
        <f t="shared" si="15"/>
        <v>2046</v>
      </c>
      <c r="Q14" s="2">
        <f t="shared" si="15"/>
        <v>154</v>
      </c>
      <c r="R14" s="2">
        <f t="shared" si="15"/>
        <v>40</v>
      </c>
      <c r="S14" s="2">
        <f t="shared" si="15"/>
        <v>294</v>
      </c>
      <c r="T14" s="11">
        <f t="shared" si="4"/>
        <v>262</v>
      </c>
      <c r="U14" s="2">
        <v>6273.0</v>
      </c>
    </row>
    <row r="15">
      <c r="A15" s="2" t="s">
        <v>58</v>
      </c>
      <c r="B15" s="3" t="s">
        <v>59</v>
      </c>
      <c r="C15" s="3">
        <v>2023.0</v>
      </c>
      <c r="D15" s="4">
        <v>4370.90353765359</v>
      </c>
      <c r="E15" s="5">
        <v>13299.4708844449</v>
      </c>
      <c r="F15" s="13">
        <f t="shared" si="2"/>
        <v>3.04272807</v>
      </c>
      <c r="G15" s="6">
        <v>185.0</v>
      </c>
      <c r="H15" s="4">
        <v>13484.4708844449</v>
      </c>
      <c r="I15" s="2">
        <f t="shared" ref="I15:S15" si="16">I114-I81</f>
        <v>850</v>
      </c>
      <c r="J15" s="2">
        <f t="shared" si="16"/>
        <v>368</v>
      </c>
      <c r="K15" s="2">
        <f t="shared" si="16"/>
        <v>291</v>
      </c>
      <c r="L15" s="2">
        <f t="shared" si="16"/>
        <v>727</v>
      </c>
      <c r="M15" s="2">
        <f t="shared" si="16"/>
        <v>250</v>
      </c>
      <c r="N15" s="2">
        <f t="shared" si="16"/>
        <v>1163</v>
      </c>
      <c r="O15" s="2">
        <f t="shared" si="16"/>
        <v>677</v>
      </c>
      <c r="P15" s="2">
        <f t="shared" si="16"/>
        <v>1550</v>
      </c>
      <c r="Q15" s="2">
        <f t="shared" si="16"/>
        <v>1197</v>
      </c>
      <c r="R15" s="2">
        <f t="shared" si="16"/>
        <v>137</v>
      </c>
      <c r="S15" s="2">
        <f t="shared" si="16"/>
        <v>444</v>
      </c>
      <c r="T15" s="11">
        <f t="shared" si="4"/>
        <v>331</v>
      </c>
      <c r="U15" s="2">
        <v>7985.0</v>
      </c>
    </row>
    <row r="16">
      <c r="A16" s="2" t="s">
        <v>60</v>
      </c>
      <c r="B16" s="3" t="s">
        <v>61</v>
      </c>
      <c r="C16" s="3">
        <v>2023.0</v>
      </c>
      <c r="D16" s="4">
        <v>4211.84809040394</v>
      </c>
      <c r="E16" s="5">
        <v>13059.4863619048</v>
      </c>
      <c r="F16" s="13">
        <f t="shared" si="2"/>
        <v>3.100654649</v>
      </c>
      <c r="G16" s="7">
        <v>0.0</v>
      </c>
      <c r="H16" s="4">
        <v>13059.4863619048</v>
      </c>
      <c r="I16" s="2">
        <f t="shared" ref="I16:S16" si="17">I115-I82</f>
        <v>550</v>
      </c>
      <c r="J16" s="2">
        <f t="shared" si="17"/>
        <v>226</v>
      </c>
      <c r="K16" s="2">
        <f t="shared" si="17"/>
        <v>197</v>
      </c>
      <c r="L16" s="2">
        <f t="shared" si="17"/>
        <v>263</v>
      </c>
      <c r="M16" s="2">
        <f t="shared" si="17"/>
        <v>456</v>
      </c>
      <c r="N16" s="2">
        <f t="shared" si="17"/>
        <v>828</v>
      </c>
      <c r="O16" s="2">
        <f t="shared" si="17"/>
        <v>189</v>
      </c>
      <c r="P16" s="2">
        <f t="shared" si="17"/>
        <v>1994</v>
      </c>
      <c r="Q16" s="2">
        <f t="shared" si="17"/>
        <v>420</v>
      </c>
      <c r="R16" s="2">
        <f t="shared" si="17"/>
        <v>80</v>
      </c>
      <c r="S16" s="2">
        <f t="shared" si="17"/>
        <v>788</v>
      </c>
      <c r="T16" s="11">
        <f t="shared" si="4"/>
        <v>268</v>
      </c>
      <c r="U16" s="2">
        <v>6259.0</v>
      </c>
    </row>
    <row r="17">
      <c r="A17" s="2" t="s">
        <v>62</v>
      </c>
      <c r="B17" s="3" t="s">
        <v>63</v>
      </c>
      <c r="C17" s="3">
        <v>2023.0</v>
      </c>
      <c r="D17" s="4">
        <v>605.846243735018</v>
      </c>
      <c r="E17" s="5">
        <v>1564.5950949531</v>
      </c>
      <c r="F17" s="13">
        <f t="shared" si="2"/>
        <v>2.58249533</v>
      </c>
      <c r="G17" s="7">
        <v>0.0</v>
      </c>
      <c r="H17" s="4">
        <v>1564.5950949531</v>
      </c>
      <c r="I17" s="2">
        <f t="shared" ref="I17:S17" si="18">I116-I83</f>
        <v>31</v>
      </c>
      <c r="J17" s="2">
        <f t="shared" si="18"/>
        <v>48</v>
      </c>
      <c r="K17" s="2">
        <f t="shared" si="18"/>
        <v>21</v>
      </c>
      <c r="L17" s="2">
        <f t="shared" si="18"/>
        <v>41</v>
      </c>
      <c r="M17" s="2">
        <f t="shared" si="18"/>
        <v>24</v>
      </c>
      <c r="N17" s="2">
        <f t="shared" si="18"/>
        <v>128</v>
      </c>
      <c r="O17" s="2">
        <f t="shared" si="18"/>
        <v>46</v>
      </c>
      <c r="P17" s="2">
        <f t="shared" si="18"/>
        <v>140</v>
      </c>
      <c r="Q17" s="2">
        <f t="shared" si="18"/>
        <v>143</v>
      </c>
      <c r="R17" s="2">
        <f t="shared" si="18"/>
        <v>25</v>
      </c>
      <c r="S17" s="2">
        <f t="shared" si="18"/>
        <v>20</v>
      </c>
      <c r="T17" s="11">
        <f t="shared" si="4"/>
        <v>25</v>
      </c>
      <c r="U17" s="2">
        <v>692.0</v>
      </c>
    </row>
    <row r="18">
      <c r="A18" s="2" t="s">
        <v>64</v>
      </c>
      <c r="B18" s="3" t="s">
        <v>65</v>
      </c>
      <c r="C18" s="3">
        <v>2023.0</v>
      </c>
      <c r="D18" s="4">
        <v>958.119028374583</v>
      </c>
      <c r="E18" s="5">
        <v>2670.55141848867</v>
      </c>
      <c r="F18" s="13">
        <f t="shared" si="2"/>
        <v>2.78728565</v>
      </c>
      <c r="G18" s="6">
        <v>54.0</v>
      </c>
      <c r="H18" s="4">
        <v>2724.55141848867</v>
      </c>
      <c r="I18" s="2">
        <f t="shared" ref="I18:S18" si="19">I117-I84</f>
        <v>216</v>
      </c>
      <c r="J18" s="2">
        <f t="shared" si="19"/>
        <v>205</v>
      </c>
      <c r="K18" s="2">
        <f t="shared" si="19"/>
        <v>47</v>
      </c>
      <c r="L18" s="2">
        <f t="shared" si="19"/>
        <v>111</v>
      </c>
      <c r="M18" s="2">
        <f t="shared" si="19"/>
        <v>96</v>
      </c>
      <c r="N18" s="2">
        <f t="shared" si="19"/>
        <v>246</v>
      </c>
      <c r="O18" s="2">
        <f t="shared" si="19"/>
        <v>68</v>
      </c>
      <c r="P18" s="2">
        <f t="shared" si="19"/>
        <v>598</v>
      </c>
      <c r="Q18" s="2">
        <f t="shared" si="19"/>
        <v>185</v>
      </c>
      <c r="R18" s="2">
        <f t="shared" si="19"/>
        <v>37</v>
      </c>
      <c r="S18" s="2">
        <f t="shared" si="19"/>
        <v>138</v>
      </c>
      <c r="T18" s="11">
        <f t="shared" si="4"/>
        <v>81</v>
      </c>
      <c r="U18" s="2">
        <v>2028.0</v>
      </c>
    </row>
    <row r="19">
      <c r="A19" s="2" t="s">
        <v>66</v>
      </c>
      <c r="B19" s="3" t="s">
        <v>67</v>
      </c>
      <c r="C19" s="3">
        <v>2023.0</v>
      </c>
      <c r="D19" s="4">
        <v>428373.988122279</v>
      </c>
      <c r="E19" s="5">
        <v>1201972.46887834</v>
      </c>
      <c r="F19" s="13">
        <f t="shared" si="2"/>
        <v>2.805895087</v>
      </c>
      <c r="G19" s="6">
        <v>18582.0</v>
      </c>
      <c r="H19" s="4">
        <v>1220554.46887834</v>
      </c>
      <c r="I19" s="2">
        <f t="shared" ref="I19:S19" si="20">I118-I85</f>
        <v>87706</v>
      </c>
      <c r="J19" s="2">
        <f t="shared" si="20"/>
        <v>60006</v>
      </c>
      <c r="K19" s="2">
        <f t="shared" si="20"/>
        <v>63149</v>
      </c>
      <c r="L19" s="2">
        <f t="shared" si="20"/>
        <v>101133</v>
      </c>
      <c r="M19" s="2">
        <f t="shared" si="20"/>
        <v>140537</v>
      </c>
      <c r="N19" s="2">
        <f t="shared" si="20"/>
        <v>149581</v>
      </c>
      <c r="O19" s="2">
        <f t="shared" si="20"/>
        <v>82212</v>
      </c>
      <c r="P19" s="2">
        <f t="shared" si="20"/>
        <v>269746</v>
      </c>
      <c r="Q19" s="2">
        <f t="shared" si="20"/>
        <v>1221</v>
      </c>
      <c r="R19" s="2">
        <f t="shared" si="20"/>
        <v>4540</v>
      </c>
      <c r="S19" s="2">
        <f t="shared" si="20"/>
        <v>64998</v>
      </c>
      <c r="T19" s="11">
        <f t="shared" si="4"/>
        <v>31898</v>
      </c>
      <c r="U19" s="1">
        <v>1056727.0</v>
      </c>
      <c r="V19" s="1"/>
    </row>
    <row r="20">
      <c r="A20" s="2" t="s">
        <v>68</v>
      </c>
      <c r="B20" s="3" t="s">
        <v>69</v>
      </c>
      <c r="C20" s="3">
        <v>2023.0</v>
      </c>
      <c r="D20" s="4">
        <v>5167.48176938899</v>
      </c>
      <c r="E20" s="5">
        <v>14544.6144466165</v>
      </c>
      <c r="F20" s="13">
        <f t="shared" si="2"/>
        <v>2.814642624</v>
      </c>
      <c r="G20" s="6">
        <v>409.0</v>
      </c>
      <c r="H20" s="4">
        <v>14953.6144466165</v>
      </c>
      <c r="I20" s="2">
        <f t="shared" ref="I20:S20" si="21">I119-I86</f>
        <v>455</v>
      </c>
      <c r="J20" s="2">
        <f t="shared" si="21"/>
        <v>693</v>
      </c>
      <c r="K20" s="2">
        <f t="shared" si="21"/>
        <v>114</v>
      </c>
      <c r="L20" s="2">
        <f t="shared" si="21"/>
        <v>115</v>
      </c>
      <c r="M20" s="2">
        <f t="shared" si="21"/>
        <v>176</v>
      </c>
      <c r="N20" s="2">
        <f t="shared" si="21"/>
        <v>1802</v>
      </c>
      <c r="O20" s="2">
        <f t="shared" si="21"/>
        <v>936</v>
      </c>
      <c r="P20" s="2">
        <f t="shared" si="21"/>
        <v>1174</v>
      </c>
      <c r="Q20" s="2">
        <f t="shared" si="21"/>
        <v>723</v>
      </c>
      <c r="R20" s="2">
        <f t="shared" si="21"/>
        <v>368</v>
      </c>
      <c r="S20" s="2">
        <f t="shared" si="21"/>
        <v>303</v>
      </c>
      <c r="T20" s="11">
        <f t="shared" si="4"/>
        <v>337</v>
      </c>
      <c r="U20" s="2">
        <v>7196.0</v>
      </c>
    </row>
    <row r="21">
      <c r="A21" s="2" t="s">
        <v>70</v>
      </c>
      <c r="B21" s="3" t="s">
        <v>71</v>
      </c>
      <c r="C21" s="3">
        <v>2023.0</v>
      </c>
      <c r="D21" s="4">
        <v>9226.19960511491</v>
      </c>
      <c r="E21" s="5">
        <v>27538.8967424496</v>
      </c>
      <c r="F21" s="13">
        <f t="shared" si="2"/>
        <v>2.984858113</v>
      </c>
      <c r="G21" s="6">
        <v>2808.0</v>
      </c>
      <c r="H21" s="4">
        <v>30346.8967424496</v>
      </c>
      <c r="I21" s="2">
        <f t="shared" ref="I21:S21" si="22">I120-I87</f>
        <v>1390</v>
      </c>
      <c r="J21" s="2">
        <f t="shared" si="22"/>
        <v>631</v>
      </c>
      <c r="K21" s="2">
        <f t="shared" si="22"/>
        <v>1471</v>
      </c>
      <c r="L21" s="2">
        <f t="shared" si="22"/>
        <v>514</v>
      </c>
      <c r="M21" s="2">
        <f t="shared" si="22"/>
        <v>846</v>
      </c>
      <c r="N21" s="2">
        <f t="shared" si="22"/>
        <v>3745</v>
      </c>
      <c r="O21" s="2">
        <f t="shared" si="22"/>
        <v>902</v>
      </c>
      <c r="P21" s="2">
        <f t="shared" si="22"/>
        <v>2676</v>
      </c>
      <c r="Q21" s="2">
        <f t="shared" si="22"/>
        <v>1165</v>
      </c>
      <c r="R21" s="2">
        <f t="shared" si="22"/>
        <v>123</v>
      </c>
      <c r="S21" s="2">
        <f t="shared" si="22"/>
        <v>1055</v>
      </c>
      <c r="T21" s="11">
        <f t="shared" si="4"/>
        <v>666</v>
      </c>
      <c r="U21" s="2">
        <v>15184.0</v>
      </c>
    </row>
    <row r="22">
      <c r="A22" s="2" t="s">
        <v>72</v>
      </c>
      <c r="B22" s="3" t="s">
        <v>73</v>
      </c>
      <c r="C22" s="3">
        <v>2023.0</v>
      </c>
      <c r="D22" s="4">
        <v>7586.12346808955</v>
      </c>
      <c r="E22" s="5">
        <v>21883.0028135878</v>
      </c>
      <c r="F22" s="13">
        <f t="shared" si="2"/>
        <v>2.884609367</v>
      </c>
      <c r="G22" s="6">
        <v>281.0</v>
      </c>
      <c r="H22" s="4">
        <v>22164.0028135878</v>
      </c>
      <c r="I22" s="2">
        <f t="shared" ref="I22:S22" si="23">I121-I88</f>
        <v>1778</v>
      </c>
      <c r="J22" s="2">
        <f t="shared" si="23"/>
        <v>1115</v>
      </c>
      <c r="K22" s="2">
        <f t="shared" si="23"/>
        <v>555</v>
      </c>
      <c r="L22" s="2">
        <f t="shared" si="23"/>
        <v>1444</v>
      </c>
      <c r="M22" s="2">
        <f t="shared" si="23"/>
        <v>704</v>
      </c>
      <c r="N22" s="2">
        <f t="shared" si="23"/>
        <v>2139</v>
      </c>
      <c r="O22" s="2">
        <f t="shared" si="23"/>
        <v>1102</v>
      </c>
      <c r="P22" s="2">
        <f t="shared" si="23"/>
        <v>2053</v>
      </c>
      <c r="Q22" s="2">
        <f t="shared" si="23"/>
        <v>857</v>
      </c>
      <c r="R22" s="2">
        <f t="shared" si="23"/>
        <v>685</v>
      </c>
      <c r="S22" s="2">
        <f t="shared" si="23"/>
        <v>715</v>
      </c>
      <c r="T22" s="11">
        <f t="shared" si="4"/>
        <v>604</v>
      </c>
      <c r="U22" s="2">
        <v>13751.0</v>
      </c>
    </row>
    <row r="23">
      <c r="A23" s="2" t="s">
        <v>74</v>
      </c>
      <c r="B23" s="3" t="s">
        <v>75</v>
      </c>
      <c r="C23" s="3">
        <v>2023.0</v>
      </c>
      <c r="D23" s="4">
        <v>14382.4560763673</v>
      </c>
      <c r="E23" s="5">
        <v>43361.9106490997</v>
      </c>
      <c r="F23" s="13">
        <f t="shared" si="2"/>
        <v>3.014916953</v>
      </c>
      <c r="G23" s="6">
        <v>129.0</v>
      </c>
      <c r="H23" s="4">
        <v>43490.9106490997</v>
      </c>
      <c r="I23" s="2">
        <f t="shared" ref="I23:S23" si="24">I122-I89</f>
        <v>4187</v>
      </c>
      <c r="J23" s="2">
        <f t="shared" si="24"/>
        <v>7421</v>
      </c>
      <c r="K23" s="2">
        <f t="shared" si="24"/>
        <v>1346</v>
      </c>
      <c r="L23" s="2">
        <f t="shared" si="24"/>
        <v>1284</v>
      </c>
      <c r="M23" s="2">
        <f t="shared" si="24"/>
        <v>5017</v>
      </c>
      <c r="N23" s="2">
        <f t="shared" si="24"/>
        <v>3834</v>
      </c>
      <c r="O23" s="2">
        <f t="shared" si="24"/>
        <v>2348</v>
      </c>
      <c r="P23" s="2">
        <f t="shared" si="24"/>
        <v>17826</v>
      </c>
      <c r="Q23" s="2">
        <f t="shared" si="24"/>
        <v>848</v>
      </c>
      <c r="R23" s="2">
        <f t="shared" si="24"/>
        <v>91</v>
      </c>
      <c r="S23" s="2">
        <f t="shared" si="24"/>
        <v>3246</v>
      </c>
      <c r="T23" s="11">
        <f t="shared" si="4"/>
        <v>2311</v>
      </c>
      <c r="U23" s="2">
        <v>49759.0</v>
      </c>
    </row>
    <row r="24">
      <c r="A24" s="2" t="s">
        <v>76</v>
      </c>
      <c r="B24" s="3" t="s">
        <v>77</v>
      </c>
      <c r="C24" s="3">
        <v>2023.0</v>
      </c>
      <c r="D24" s="4">
        <v>24833.7616100811</v>
      </c>
      <c r="E24" s="5">
        <v>79109.6559746058</v>
      </c>
      <c r="F24" s="13">
        <f t="shared" si="2"/>
        <v>3.185568792</v>
      </c>
      <c r="G24" s="6">
        <v>298.0</v>
      </c>
      <c r="H24" s="4">
        <v>79407.6559746058</v>
      </c>
      <c r="I24" s="2">
        <f t="shared" ref="I24:S24" si="25">I123-I90</f>
        <v>3029</v>
      </c>
      <c r="J24" s="2">
        <f t="shared" si="25"/>
        <v>1904</v>
      </c>
      <c r="K24" s="2">
        <f t="shared" si="25"/>
        <v>2086</v>
      </c>
      <c r="L24" s="2">
        <f t="shared" si="25"/>
        <v>2698</v>
      </c>
      <c r="M24" s="2">
        <f t="shared" si="25"/>
        <v>1407</v>
      </c>
      <c r="N24" s="2">
        <f t="shared" si="25"/>
        <v>5724</v>
      </c>
      <c r="O24" s="2">
        <f t="shared" si="25"/>
        <v>2267</v>
      </c>
      <c r="P24" s="2">
        <f t="shared" si="25"/>
        <v>6243</v>
      </c>
      <c r="Q24" s="2">
        <f t="shared" si="25"/>
        <v>534</v>
      </c>
      <c r="R24" s="2">
        <f t="shared" si="25"/>
        <v>262</v>
      </c>
      <c r="S24" s="2">
        <f t="shared" si="25"/>
        <v>1807</v>
      </c>
      <c r="T24" s="11">
        <f t="shared" si="4"/>
        <v>691</v>
      </c>
      <c r="U24" s="2">
        <v>28652.0</v>
      </c>
    </row>
    <row r="25">
      <c r="A25" s="2" t="s">
        <v>78</v>
      </c>
      <c r="B25" s="3" t="s">
        <v>79</v>
      </c>
      <c r="C25" s="3">
        <v>2023.0</v>
      </c>
      <c r="D25" s="4">
        <v>12148.5174370102</v>
      </c>
      <c r="E25" s="5">
        <v>36412.0282532865</v>
      </c>
      <c r="F25" s="13">
        <f t="shared" si="2"/>
        <v>2.997240482</v>
      </c>
      <c r="G25" s="6">
        <v>115.0</v>
      </c>
      <c r="H25" s="4">
        <v>36527.0282532865</v>
      </c>
      <c r="I25" s="2">
        <f t="shared" ref="I25:S25" si="26">I124-I91</f>
        <v>2095</v>
      </c>
      <c r="J25" s="2">
        <f t="shared" si="26"/>
        <v>1317</v>
      </c>
      <c r="K25" s="2">
        <f t="shared" si="26"/>
        <v>475</v>
      </c>
      <c r="L25" s="2">
        <f t="shared" si="26"/>
        <v>1725</v>
      </c>
      <c r="M25" s="2">
        <f t="shared" si="26"/>
        <v>893</v>
      </c>
      <c r="N25" s="2">
        <f t="shared" si="26"/>
        <v>3535</v>
      </c>
      <c r="O25" s="2">
        <f t="shared" si="26"/>
        <v>1167</v>
      </c>
      <c r="P25" s="2">
        <f t="shared" si="26"/>
        <v>3601</v>
      </c>
      <c r="Q25" s="2">
        <f t="shared" si="26"/>
        <v>1197</v>
      </c>
      <c r="R25" s="2">
        <f t="shared" si="26"/>
        <v>2212</v>
      </c>
      <c r="S25" s="2">
        <f t="shared" si="26"/>
        <v>1678</v>
      </c>
      <c r="T25" s="11">
        <f t="shared" si="4"/>
        <v>921</v>
      </c>
      <c r="U25" s="2">
        <v>20816.0</v>
      </c>
    </row>
    <row r="26">
      <c r="A26" s="2" t="s">
        <v>80</v>
      </c>
      <c r="B26" s="3" t="s">
        <v>81</v>
      </c>
      <c r="C26" s="3">
        <v>2023.0</v>
      </c>
      <c r="D26" s="4">
        <v>211379.054338927</v>
      </c>
      <c r="E26" s="5">
        <v>710816.710925635</v>
      </c>
      <c r="F26" s="13">
        <f t="shared" si="2"/>
        <v>3.362758496</v>
      </c>
      <c r="G26" s="6">
        <v>16935.0</v>
      </c>
      <c r="H26" s="4">
        <v>727751.710925635</v>
      </c>
      <c r="I26" s="2">
        <f t="shared" ref="I26:S26" si="27">I125-I92</f>
        <v>48653</v>
      </c>
      <c r="J26" s="2">
        <f t="shared" si="27"/>
        <v>25345</v>
      </c>
      <c r="K26" s="2">
        <f t="shared" si="27"/>
        <v>25230</v>
      </c>
      <c r="L26" s="2">
        <f t="shared" si="27"/>
        <v>21002</v>
      </c>
      <c r="M26" s="2">
        <f t="shared" si="27"/>
        <v>62628</v>
      </c>
      <c r="N26" s="2">
        <f t="shared" si="27"/>
        <v>64779</v>
      </c>
      <c r="O26" s="2">
        <f t="shared" si="27"/>
        <v>40016</v>
      </c>
      <c r="P26" s="2">
        <f t="shared" si="27"/>
        <v>109034</v>
      </c>
      <c r="Q26" s="2">
        <f t="shared" si="27"/>
        <v>3624</v>
      </c>
      <c r="R26" s="2">
        <f t="shared" si="27"/>
        <v>881</v>
      </c>
      <c r="S26" s="2">
        <f t="shared" si="27"/>
        <v>35827</v>
      </c>
      <c r="T26" s="11">
        <f t="shared" si="4"/>
        <v>15785</v>
      </c>
      <c r="U26" s="2">
        <v>452804.0</v>
      </c>
    </row>
    <row r="27">
      <c r="A27" s="2" t="s">
        <v>82</v>
      </c>
      <c r="B27" s="3" t="s">
        <v>83</v>
      </c>
      <c r="C27" s="3">
        <v>2023.0</v>
      </c>
      <c r="D27" s="4">
        <v>12556.5957953645</v>
      </c>
      <c r="E27" s="5">
        <v>37716.8260005542</v>
      </c>
      <c r="F27" s="13">
        <f t="shared" si="2"/>
        <v>3.003746128</v>
      </c>
      <c r="G27" s="6">
        <v>216.0</v>
      </c>
      <c r="H27" s="4">
        <v>37932.8260005542</v>
      </c>
      <c r="I27" s="2">
        <f t="shared" ref="I27:S27" si="28">I126-I93</f>
        <v>1916</v>
      </c>
      <c r="J27" s="2">
        <f t="shared" si="28"/>
        <v>1601</v>
      </c>
      <c r="K27" s="2">
        <f t="shared" si="28"/>
        <v>727</v>
      </c>
      <c r="L27" s="2">
        <f t="shared" si="28"/>
        <v>752</v>
      </c>
      <c r="M27" s="2">
        <f t="shared" si="28"/>
        <v>2414</v>
      </c>
      <c r="N27" s="2">
        <f t="shared" si="28"/>
        <v>2654</v>
      </c>
      <c r="O27" s="2">
        <f t="shared" si="28"/>
        <v>1540</v>
      </c>
      <c r="P27" s="2">
        <f t="shared" si="28"/>
        <v>7925</v>
      </c>
      <c r="Q27" s="2">
        <f t="shared" si="28"/>
        <v>485</v>
      </c>
      <c r="R27" s="2">
        <f t="shared" si="28"/>
        <v>87</v>
      </c>
      <c r="S27" s="2">
        <f t="shared" si="28"/>
        <v>2451</v>
      </c>
      <c r="T27" s="11">
        <f t="shared" si="4"/>
        <v>1017</v>
      </c>
      <c r="U27" s="2">
        <v>23569.0</v>
      </c>
    </row>
    <row r="28">
      <c r="A28" s="2" t="s">
        <v>84</v>
      </c>
      <c r="B28" s="3" t="s">
        <v>85</v>
      </c>
      <c r="C28" s="3">
        <v>2023.0</v>
      </c>
      <c r="D28" s="4">
        <v>70844.7814654916</v>
      </c>
      <c r="E28" s="5">
        <v>195442.201970499</v>
      </c>
      <c r="F28" s="13">
        <f t="shared" si="2"/>
        <v>2.758738159</v>
      </c>
      <c r="G28" s="6">
        <v>3086.0</v>
      </c>
      <c r="H28" s="4">
        <v>198528.201970499</v>
      </c>
      <c r="I28" s="2">
        <f t="shared" ref="I28:S28" si="29">I127-I94</f>
        <v>15529</v>
      </c>
      <c r="J28" s="2">
        <f t="shared" si="29"/>
        <v>10823</v>
      </c>
      <c r="K28" s="2">
        <f t="shared" si="29"/>
        <v>4480</v>
      </c>
      <c r="L28" s="2">
        <f t="shared" si="29"/>
        <v>8564</v>
      </c>
      <c r="M28" s="2">
        <f t="shared" si="29"/>
        <v>10547</v>
      </c>
      <c r="N28" s="2">
        <f t="shared" si="29"/>
        <v>13068</v>
      </c>
      <c r="O28" s="2">
        <f t="shared" si="29"/>
        <v>14542</v>
      </c>
      <c r="P28" s="2">
        <f t="shared" si="29"/>
        <v>34309</v>
      </c>
      <c r="Q28" s="2">
        <f t="shared" si="29"/>
        <v>710</v>
      </c>
      <c r="R28" s="2">
        <f t="shared" si="29"/>
        <v>704</v>
      </c>
      <c r="S28" s="2">
        <f t="shared" si="29"/>
        <v>11931</v>
      </c>
      <c r="T28" s="11">
        <f t="shared" si="4"/>
        <v>5223</v>
      </c>
      <c r="U28" s="2">
        <v>130430.0</v>
      </c>
    </row>
    <row r="29">
      <c r="A29" s="2" t="s">
        <v>86</v>
      </c>
      <c r="B29" s="3" t="s">
        <v>87</v>
      </c>
      <c r="C29" s="3">
        <v>2023.0</v>
      </c>
      <c r="D29" s="4">
        <v>947.104284458391</v>
      </c>
      <c r="E29" s="5">
        <v>2522.74183261254</v>
      </c>
      <c r="F29" s="13">
        <f t="shared" si="2"/>
        <v>2.663636807</v>
      </c>
      <c r="G29" s="7">
        <v>0.0</v>
      </c>
      <c r="H29" s="4">
        <v>2522.74183261254</v>
      </c>
      <c r="I29" s="2">
        <f t="shared" ref="I29:S29" si="30">I128-I95</f>
        <v>190</v>
      </c>
      <c r="J29" s="2">
        <f t="shared" si="30"/>
        <v>329</v>
      </c>
      <c r="K29" s="2">
        <f t="shared" si="30"/>
        <v>38</v>
      </c>
      <c r="L29" s="2">
        <f t="shared" si="30"/>
        <v>88</v>
      </c>
      <c r="M29" s="2">
        <f t="shared" si="30"/>
        <v>75</v>
      </c>
      <c r="N29" s="2">
        <f t="shared" si="30"/>
        <v>303</v>
      </c>
      <c r="O29" s="2">
        <f t="shared" si="30"/>
        <v>147</v>
      </c>
      <c r="P29" s="2">
        <f t="shared" si="30"/>
        <v>486</v>
      </c>
      <c r="Q29" s="2">
        <f t="shared" si="30"/>
        <v>180</v>
      </c>
      <c r="R29" s="2">
        <f t="shared" si="30"/>
        <v>27</v>
      </c>
      <c r="S29" s="2">
        <f t="shared" si="30"/>
        <v>275</v>
      </c>
      <c r="T29" s="11">
        <f t="shared" si="4"/>
        <v>92</v>
      </c>
      <c r="U29" s="2">
        <v>2230.0</v>
      </c>
    </row>
    <row r="30">
      <c r="A30" s="2" t="s">
        <v>88</v>
      </c>
      <c r="B30" s="3" t="s">
        <v>89</v>
      </c>
      <c r="C30" s="3">
        <v>2023.0</v>
      </c>
      <c r="D30" s="4">
        <v>94481.6646945673</v>
      </c>
      <c r="E30" s="5">
        <v>266037.698495116</v>
      </c>
      <c r="F30" s="13">
        <f t="shared" si="2"/>
        <v>2.815760067</v>
      </c>
      <c r="G30" s="6">
        <v>3773.0</v>
      </c>
      <c r="H30" s="4">
        <v>269810.698495116</v>
      </c>
      <c r="I30" s="2">
        <f t="shared" ref="I30:S30" si="31">I129-I96</f>
        <v>15804</v>
      </c>
      <c r="J30" s="2">
        <f t="shared" si="31"/>
        <v>9552</v>
      </c>
      <c r="K30" s="2">
        <f t="shared" si="31"/>
        <v>19241</v>
      </c>
      <c r="L30" s="2">
        <f t="shared" si="31"/>
        <v>10237</v>
      </c>
      <c r="M30" s="2">
        <f t="shared" si="31"/>
        <v>10956</v>
      </c>
      <c r="N30" s="2">
        <f t="shared" si="31"/>
        <v>26847</v>
      </c>
      <c r="O30" s="2">
        <f t="shared" si="31"/>
        <v>15953</v>
      </c>
      <c r="P30" s="2">
        <f t="shared" si="31"/>
        <v>37733</v>
      </c>
      <c r="Q30" s="2">
        <f t="shared" si="31"/>
        <v>1544</v>
      </c>
      <c r="R30" s="2">
        <f t="shared" si="31"/>
        <v>210</v>
      </c>
      <c r="S30" s="2">
        <f t="shared" si="31"/>
        <v>10764</v>
      </c>
      <c r="T30" s="11">
        <f t="shared" si="4"/>
        <v>3880</v>
      </c>
      <c r="U30" s="2">
        <v>162721.0</v>
      </c>
    </row>
    <row r="32">
      <c r="A32" s="2" t="str">
        <f>A3</f>
        <v>Box Elder</v>
      </c>
      <c r="B32" s="14">
        <f t="shared" ref="B32:C32" si="32">D3</f>
        <v>20024.421</v>
      </c>
      <c r="C32" s="14">
        <f t="shared" si="32"/>
        <v>61084.77603</v>
      </c>
    </row>
    <row r="33">
      <c r="A33" s="2" t="str">
        <f>A7</f>
        <v>Davis</v>
      </c>
      <c r="B33" s="14">
        <f t="shared" ref="B33:C33" si="33">D7</f>
        <v>120087.0906</v>
      </c>
      <c r="C33" s="14">
        <f t="shared" si="33"/>
        <v>374949.4723</v>
      </c>
      <c r="H33" s="15" t="s">
        <v>111</v>
      </c>
    </row>
    <row r="34">
      <c r="A34" s="2" t="str">
        <f>A19</f>
        <v>Salt Lake</v>
      </c>
      <c r="B34" s="14">
        <f t="shared" ref="B34:C34" si="34">D19</f>
        <v>428373.9881</v>
      </c>
      <c r="C34" s="14">
        <f t="shared" si="34"/>
        <v>1201972.469</v>
      </c>
      <c r="I34" s="12" t="s">
        <v>99</v>
      </c>
      <c r="J34" s="12" t="s">
        <v>100</v>
      </c>
      <c r="K34" s="12" t="s">
        <v>21</v>
      </c>
      <c r="L34" s="12" t="s">
        <v>101</v>
      </c>
      <c r="M34" s="12" t="s">
        <v>102</v>
      </c>
      <c r="N34" s="12" t="s">
        <v>103</v>
      </c>
      <c r="O34" s="12" t="s">
        <v>104</v>
      </c>
      <c r="P34" s="12" t="s">
        <v>105</v>
      </c>
      <c r="Q34" s="12" t="s">
        <v>112</v>
      </c>
      <c r="R34" s="12" t="s">
        <v>113</v>
      </c>
      <c r="S34" s="12" t="s">
        <v>114</v>
      </c>
    </row>
    <row r="35">
      <c r="A35" s="2" t="str">
        <f>A26</f>
        <v>Utah</v>
      </c>
      <c r="B35" s="14">
        <f t="shared" ref="B35:C35" si="35">D26</f>
        <v>211379.0543</v>
      </c>
      <c r="C35" s="14">
        <f t="shared" si="35"/>
        <v>710816.7109</v>
      </c>
      <c r="F35" s="16"/>
      <c r="G35" s="16"/>
      <c r="H35" s="2" t="s">
        <v>32</v>
      </c>
      <c r="I35" s="16">
        <v>0.0349</v>
      </c>
      <c r="J35" s="16">
        <v>0.0242</v>
      </c>
      <c r="K35" s="16">
        <v>0.0263</v>
      </c>
      <c r="L35" s="16">
        <v>0.0411</v>
      </c>
      <c r="M35" s="16">
        <v>0.0876</v>
      </c>
      <c r="N35" s="16">
        <v>0.0185</v>
      </c>
      <c r="O35" s="16">
        <v>0.0348</v>
      </c>
      <c r="P35" s="16">
        <v>0.0581</v>
      </c>
      <c r="Q35" s="16">
        <v>0.1073</v>
      </c>
      <c r="R35" s="16">
        <v>0.0069</v>
      </c>
      <c r="S35" s="16">
        <v>0.0425</v>
      </c>
    </row>
    <row r="36">
      <c r="A36" s="2" t="str">
        <f>A30</f>
        <v>Weber</v>
      </c>
      <c r="B36" s="14">
        <f t="shared" ref="B36:C36" si="36">D30</f>
        <v>94481.66469</v>
      </c>
      <c r="C36" s="14">
        <f t="shared" si="36"/>
        <v>266037.6985</v>
      </c>
      <c r="F36" s="16"/>
      <c r="G36" s="16"/>
      <c r="H36" s="2" t="s">
        <v>34</v>
      </c>
      <c r="I36" s="16">
        <v>0.031</v>
      </c>
      <c r="J36" s="16">
        <v>0.0215</v>
      </c>
      <c r="K36" s="16">
        <v>0.0233</v>
      </c>
      <c r="L36" s="16">
        <v>0.0371</v>
      </c>
      <c r="M36" s="16">
        <v>0.0774</v>
      </c>
      <c r="N36" s="16">
        <v>0.0178</v>
      </c>
      <c r="O36" s="16">
        <v>0.0308</v>
      </c>
      <c r="P36" s="16">
        <v>0.062</v>
      </c>
      <c r="Q36" s="16">
        <v>0.0834</v>
      </c>
      <c r="R36" s="16">
        <v>0.0061</v>
      </c>
      <c r="S36" s="16">
        <v>0.0377</v>
      </c>
    </row>
    <row r="37">
      <c r="F37" s="16"/>
      <c r="G37" s="16"/>
      <c r="H37" s="2" t="s">
        <v>36</v>
      </c>
      <c r="I37" s="16">
        <v>0.0244</v>
      </c>
      <c r="J37" s="16">
        <v>0.0169</v>
      </c>
      <c r="K37" s="16">
        <v>0.0184</v>
      </c>
      <c r="L37" s="16">
        <v>0.0298</v>
      </c>
      <c r="M37" s="16">
        <v>0.0616</v>
      </c>
      <c r="N37" s="16">
        <v>0.0145</v>
      </c>
      <c r="O37" s="16">
        <v>0.0243</v>
      </c>
      <c r="P37" s="16">
        <v>0.0475</v>
      </c>
      <c r="Q37" s="16">
        <v>0.0622</v>
      </c>
      <c r="R37" s="16">
        <v>0.0048</v>
      </c>
      <c r="S37" s="16">
        <v>0.0297</v>
      </c>
    </row>
    <row r="38">
      <c r="F38" s="16"/>
      <c r="G38" s="16"/>
      <c r="H38" s="2" t="s">
        <v>38</v>
      </c>
      <c r="I38" s="16">
        <v>0.0381</v>
      </c>
      <c r="J38" s="16">
        <v>0.0265</v>
      </c>
      <c r="K38" s="16">
        <v>0.0287</v>
      </c>
      <c r="L38" s="16">
        <v>0.0462</v>
      </c>
      <c r="M38" s="16">
        <v>0.0948</v>
      </c>
      <c r="N38" s="16">
        <v>0.0208</v>
      </c>
      <c r="O38" s="16">
        <v>0.038</v>
      </c>
      <c r="P38" s="16">
        <v>0.0735</v>
      </c>
      <c r="Q38" s="16">
        <v>0.103</v>
      </c>
      <c r="R38" s="16">
        <v>0.0075</v>
      </c>
      <c r="S38" s="16">
        <v>0.0463</v>
      </c>
    </row>
    <row r="39">
      <c r="B39" s="16"/>
      <c r="F39" s="16"/>
      <c r="G39" s="16"/>
      <c r="H39" s="2" t="s">
        <v>40</v>
      </c>
      <c r="I39" s="16">
        <v>0.0387</v>
      </c>
      <c r="J39" s="16">
        <v>0.0264</v>
      </c>
      <c r="K39" s="16">
        <v>0.03</v>
      </c>
      <c r="L39" s="16">
        <v>0.0479</v>
      </c>
      <c r="M39" s="16">
        <v>0.0979</v>
      </c>
      <c r="N39" s="16">
        <v>0.0211</v>
      </c>
      <c r="O39" s="16">
        <v>0.04</v>
      </c>
      <c r="P39" s="16">
        <v>0.0337</v>
      </c>
      <c r="Q39" s="16">
        <v>0.1175</v>
      </c>
      <c r="R39" s="16">
        <v>0.008</v>
      </c>
      <c r="S39" s="16">
        <v>0.0467</v>
      </c>
    </row>
    <row r="40">
      <c r="B40" s="16"/>
      <c r="F40" s="16"/>
      <c r="G40" s="16"/>
      <c r="H40" s="2" t="s">
        <v>42</v>
      </c>
      <c r="I40" s="16">
        <v>0.0208</v>
      </c>
      <c r="J40" s="16">
        <v>0.0144</v>
      </c>
      <c r="K40" s="16">
        <v>0.0156</v>
      </c>
      <c r="L40" s="16">
        <v>0.0249</v>
      </c>
      <c r="M40" s="16">
        <v>0.0523</v>
      </c>
      <c r="N40" s="16">
        <v>0.0123</v>
      </c>
      <c r="O40" s="16">
        <v>0.0206</v>
      </c>
      <c r="P40" s="16">
        <v>0.0399</v>
      </c>
      <c r="Q40" s="16">
        <v>0.0407</v>
      </c>
      <c r="R40" s="16">
        <v>0.004</v>
      </c>
      <c r="S40" s="16">
        <v>0.0252</v>
      </c>
    </row>
    <row r="41">
      <c r="B41" s="16"/>
      <c r="F41" s="16"/>
      <c r="G41" s="16"/>
      <c r="H41" s="2" t="s">
        <v>44</v>
      </c>
      <c r="I41" s="16">
        <v>0.035</v>
      </c>
      <c r="J41" s="16">
        <v>0.0243</v>
      </c>
      <c r="K41" s="16">
        <v>0.0264</v>
      </c>
      <c r="L41" s="16">
        <v>0.0419</v>
      </c>
      <c r="M41" s="16">
        <v>0.0837</v>
      </c>
      <c r="N41" s="16">
        <v>0.0184</v>
      </c>
      <c r="O41" s="16">
        <v>0.0349</v>
      </c>
      <c r="P41" s="16">
        <v>0.0695</v>
      </c>
      <c r="Q41" s="16">
        <v>0.0984</v>
      </c>
      <c r="R41" s="16">
        <v>0.0069</v>
      </c>
      <c r="S41" s="16">
        <v>0.0426</v>
      </c>
    </row>
    <row r="42">
      <c r="B42" s="16"/>
      <c r="F42" s="16"/>
      <c r="G42" s="16"/>
      <c r="H42" s="2" t="s">
        <v>46</v>
      </c>
      <c r="I42" s="16">
        <v>0.0317</v>
      </c>
      <c r="J42" s="16">
        <v>0.0221</v>
      </c>
      <c r="K42" s="16">
        <v>0.0238</v>
      </c>
      <c r="L42" s="16">
        <v>0.0375</v>
      </c>
      <c r="M42" s="16">
        <v>0.0722</v>
      </c>
      <c r="N42" s="16">
        <v>0.0165</v>
      </c>
      <c r="O42" s="16">
        <v>0.0317</v>
      </c>
      <c r="P42" s="16">
        <v>0.0598</v>
      </c>
      <c r="Q42" s="16">
        <v>0.097</v>
      </c>
      <c r="R42" s="16">
        <v>0.0062</v>
      </c>
      <c r="S42" s="16">
        <v>0.0386</v>
      </c>
    </row>
    <row r="43">
      <c r="B43" s="16"/>
      <c r="F43" s="16"/>
      <c r="G43" s="16"/>
      <c r="H43" s="2" t="s">
        <v>48</v>
      </c>
      <c r="I43" s="16">
        <v>0.0377</v>
      </c>
      <c r="J43" s="16">
        <v>0.0262</v>
      </c>
      <c r="K43" s="16">
        <v>0.0284</v>
      </c>
      <c r="L43" s="16">
        <v>0.0449</v>
      </c>
      <c r="M43" s="16">
        <v>0.095</v>
      </c>
      <c r="N43" s="16">
        <v>0.0202</v>
      </c>
      <c r="O43" s="16">
        <v>0.0376</v>
      </c>
      <c r="P43" s="16">
        <v>0.0709</v>
      </c>
      <c r="Q43" s="16">
        <v>0.1149</v>
      </c>
      <c r="R43" s="16">
        <v>0.0067</v>
      </c>
      <c r="S43" s="16">
        <v>0.0459</v>
      </c>
    </row>
    <row r="44">
      <c r="B44" s="16"/>
      <c r="F44" s="16"/>
      <c r="G44" s="16"/>
      <c r="H44" s="2" t="s">
        <v>50</v>
      </c>
      <c r="I44" s="16">
        <v>0.0395</v>
      </c>
      <c r="J44" s="16">
        <v>0.0274</v>
      </c>
      <c r="K44" s="16">
        <v>0.0297</v>
      </c>
      <c r="L44" s="16">
        <v>0.0477</v>
      </c>
      <c r="M44" s="16">
        <v>0.0824</v>
      </c>
      <c r="N44" s="16">
        <v>0.0232</v>
      </c>
      <c r="O44" s="16">
        <v>0.0394</v>
      </c>
      <c r="P44" s="17">
        <v>0.0716</v>
      </c>
      <c r="Q44" s="16">
        <v>0.1098</v>
      </c>
      <c r="R44" s="16">
        <v>0.0078</v>
      </c>
      <c r="S44" s="16">
        <v>0.0481</v>
      </c>
    </row>
    <row r="45">
      <c r="B45" s="16"/>
      <c r="F45" s="16"/>
      <c r="G45" s="16"/>
      <c r="H45" s="2" t="s">
        <v>52</v>
      </c>
      <c r="I45" s="16">
        <v>0.0256</v>
      </c>
      <c r="J45" s="16">
        <v>0.0178</v>
      </c>
      <c r="K45" s="16">
        <v>0.0192</v>
      </c>
      <c r="L45" s="16">
        <v>0.0311</v>
      </c>
      <c r="M45" s="16">
        <v>0.064</v>
      </c>
      <c r="N45" s="16">
        <v>0.0148</v>
      </c>
      <c r="O45" s="16">
        <v>0.0255</v>
      </c>
      <c r="P45" s="16">
        <v>0.0497</v>
      </c>
      <c r="Q45" s="16">
        <v>0.0527</v>
      </c>
      <c r="R45" s="16">
        <v>0.005</v>
      </c>
      <c r="S45" s="16">
        <v>0.0312</v>
      </c>
    </row>
    <row r="46">
      <c r="B46" s="16"/>
      <c r="F46" s="16"/>
      <c r="G46" s="16"/>
      <c r="H46" s="2" t="s">
        <v>54</v>
      </c>
      <c r="I46" s="16">
        <v>0.0344</v>
      </c>
      <c r="J46" s="16">
        <v>0.0239</v>
      </c>
      <c r="K46" s="16">
        <v>0.0259</v>
      </c>
      <c r="L46" s="16">
        <v>0.0415</v>
      </c>
      <c r="M46" s="16">
        <v>0.0876</v>
      </c>
      <c r="N46" s="16">
        <v>0.0232</v>
      </c>
      <c r="O46" s="16">
        <v>0.0343</v>
      </c>
      <c r="P46" s="16">
        <v>0.0725</v>
      </c>
      <c r="Q46" s="16">
        <v>0.1048</v>
      </c>
      <c r="R46" s="16">
        <v>0.0067</v>
      </c>
      <c r="S46" s="16">
        <v>0.0419</v>
      </c>
    </row>
    <row r="47">
      <c r="B47" s="16"/>
      <c r="F47" s="16"/>
      <c r="G47" s="16"/>
      <c r="H47" s="2" t="s">
        <v>56</v>
      </c>
      <c r="I47" s="16">
        <v>0.0326</v>
      </c>
      <c r="J47" s="16">
        <v>0.0226</v>
      </c>
      <c r="K47" s="16">
        <v>0.0245</v>
      </c>
      <c r="L47" s="16">
        <v>0.0403</v>
      </c>
      <c r="M47" s="16">
        <v>0.0823</v>
      </c>
      <c r="N47" s="16">
        <v>0.0174</v>
      </c>
      <c r="O47" s="16">
        <v>0.0325</v>
      </c>
      <c r="P47" s="16">
        <v>0.0602</v>
      </c>
      <c r="Q47" s="16">
        <v>0.0972</v>
      </c>
      <c r="R47" s="16">
        <v>0.0067</v>
      </c>
      <c r="S47" s="16">
        <v>0.0396</v>
      </c>
    </row>
    <row r="48">
      <c r="B48" s="16"/>
      <c r="F48" s="16"/>
      <c r="G48" s="16"/>
      <c r="H48" s="2" t="s">
        <v>58</v>
      </c>
      <c r="I48" s="16">
        <v>0.0286</v>
      </c>
      <c r="J48" s="16">
        <v>0.0199</v>
      </c>
      <c r="K48" s="16">
        <v>0.0215</v>
      </c>
      <c r="L48" s="16">
        <v>0.0344</v>
      </c>
      <c r="M48" s="16">
        <v>0.0729</v>
      </c>
      <c r="N48" s="16">
        <v>0.0149</v>
      </c>
      <c r="O48" s="16">
        <v>0.0285</v>
      </c>
      <c r="P48" s="16">
        <v>0.0623</v>
      </c>
      <c r="Q48" s="16">
        <v>0.0743</v>
      </c>
      <c r="R48" s="16">
        <v>0.0056</v>
      </c>
      <c r="S48" s="16">
        <v>0.0348</v>
      </c>
    </row>
    <row r="49">
      <c r="B49" s="16"/>
      <c r="F49" s="16"/>
      <c r="G49" s="16"/>
      <c r="H49" s="2" t="s">
        <v>60</v>
      </c>
      <c r="I49" s="16">
        <v>0.0285</v>
      </c>
      <c r="J49" s="16">
        <v>0.0198</v>
      </c>
      <c r="K49" s="16">
        <v>0.0215</v>
      </c>
      <c r="L49" s="16">
        <v>0.0355</v>
      </c>
      <c r="M49" s="16">
        <v>0.0731</v>
      </c>
      <c r="N49" s="16">
        <v>0.0164</v>
      </c>
      <c r="O49" s="16">
        <v>0.0285</v>
      </c>
      <c r="P49" s="16">
        <v>0.0556</v>
      </c>
      <c r="Q49" s="16">
        <v>0.0825</v>
      </c>
      <c r="R49" s="16">
        <v>0.0059</v>
      </c>
      <c r="S49" s="16">
        <v>0.0347</v>
      </c>
    </row>
    <row r="50">
      <c r="B50" s="16"/>
      <c r="F50" s="16"/>
      <c r="G50" s="16"/>
      <c r="H50" s="2" t="s">
        <v>62</v>
      </c>
      <c r="I50" s="16">
        <v>0.0292</v>
      </c>
      <c r="J50" s="16">
        <v>0.0205</v>
      </c>
      <c r="K50" s="16">
        <v>0.02</v>
      </c>
      <c r="L50" s="16">
        <v>0.0345</v>
      </c>
      <c r="M50" s="16">
        <v>0.0611</v>
      </c>
      <c r="N50" s="16">
        <v>0.0165</v>
      </c>
      <c r="O50" s="16">
        <v>0.03</v>
      </c>
      <c r="P50" s="16">
        <v>0.0511</v>
      </c>
      <c r="Q50" s="16">
        <v>0.0895</v>
      </c>
      <c r="R50" s="16">
        <v>0.0</v>
      </c>
      <c r="S50" s="16">
        <v>0.0355</v>
      </c>
    </row>
    <row r="51">
      <c r="B51" s="16"/>
      <c r="F51" s="16"/>
      <c r="G51" s="16"/>
      <c r="H51" s="2" t="s">
        <v>64</v>
      </c>
      <c r="I51" s="16">
        <v>0.0284</v>
      </c>
      <c r="J51" s="16">
        <v>0.0198</v>
      </c>
      <c r="K51" s="16">
        <v>0.0214</v>
      </c>
      <c r="L51" s="16">
        <v>0.0339</v>
      </c>
      <c r="M51" s="16">
        <v>0.0665</v>
      </c>
      <c r="N51" s="16">
        <v>0.0159</v>
      </c>
      <c r="O51" s="16">
        <v>0.0282</v>
      </c>
      <c r="P51" s="16">
        <v>0.0581</v>
      </c>
      <c r="Q51" s="16">
        <v>0.0875</v>
      </c>
      <c r="R51" s="16">
        <v>0.0057</v>
      </c>
      <c r="S51" s="16">
        <v>0.0346</v>
      </c>
    </row>
    <row r="52">
      <c r="B52" s="16"/>
      <c r="F52" s="16"/>
      <c r="G52" s="16"/>
      <c r="H52" s="2" t="s">
        <v>66</v>
      </c>
      <c r="I52" s="16">
        <v>0.0211</v>
      </c>
      <c r="J52" s="16">
        <v>0.0146</v>
      </c>
      <c r="K52" s="16">
        <v>0.0159</v>
      </c>
      <c r="L52" s="16">
        <v>0.0256</v>
      </c>
      <c r="M52" s="16">
        <v>0.0524</v>
      </c>
      <c r="N52" s="16">
        <v>0.0133</v>
      </c>
      <c r="O52" s="16">
        <v>0.021</v>
      </c>
      <c r="P52" s="16">
        <v>0.043</v>
      </c>
      <c r="Q52" s="16">
        <v>0.0386</v>
      </c>
      <c r="R52" s="16">
        <v>0.0041</v>
      </c>
      <c r="S52" s="16">
        <v>0.0256</v>
      </c>
    </row>
    <row r="53">
      <c r="B53" s="16"/>
      <c r="F53" s="16"/>
      <c r="G53" s="16"/>
      <c r="H53" s="2" t="s">
        <v>68</v>
      </c>
      <c r="I53" s="16">
        <v>0.0389</v>
      </c>
      <c r="J53" s="16">
        <v>0.027</v>
      </c>
      <c r="K53" s="16">
        <v>0.0293</v>
      </c>
      <c r="L53" s="16">
        <v>0.0472</v>
      </c>
      <c r="M53" s="16">
        <v>0.0993</v>
      </c>
      <c r="N53" s="16">
        <v>0.0216</v>
      </c>
      <c r="O53" s="16">
        <v>0.0387</v>
      </c>
      <c r="P53" s="16">
        <v>0.0758</v>
      </c>
      <c r="Q53" s="16">
        <v>0.1061</v>
      </c>
      <c r="R53" s="16">
        <v>0.0076</v>
      </c>
      <c r="S53" s="16">
        <v>0.0473</v>
      </c>
    </row>
    <row r="54">
      <c r="B54" s="16"/>
      <c r="F54" s="16"/>
      <c r="G54" s="16"/>
      <c r="H54" s="2" t="s">
        <v>70</v>
      </c>
      <c r="I54" s="16">
        <v>0.0362</v>
      </c>
      <c r="J54" s="16">
        <v>0.0252</v>
      </c>
      <c r="K54" s="16">
        <v>0.0273</v>
      </c>
      <c r="L54" s="16">
        <v>0.0438</v>
      </c>
      <c r="M54" s="16">
        <v>0.0873</v>
      </c>
      <c r="N54" s="16">
        <v>0.0213</v>
      </c>
      <c r="O54" s="16">
        <v>0.0361</v>
      </c>
      <c r="P54" s="16">
        <v>0.0683</v>
      </c>
      <c r="Q54" s="16">
        <v>0.0767</v>
      </c>
      <c r="R54" s="16">
        <v>0.007</v>
      </c>
      <c r="S54" s="16">
        <v>0.0441</v>
      </c>
    </row>
    <row r="55">
      <c r="B55" s="16"/>
      <c r="F55" s="16"/>
      <c r="G55" s="16"/>
      <c r="H55" s="2" t="s">
        <v>72</v>
      </c>
      <c r="I55" s="16">
        <v>0.0355</v>
      </c>
      <c r="J55" s="16">
        <v>0.0247</v>
      </c>
      <c r="K55" s="16">
        <v>0.0267</v>
      </c>
      <c r="L55" s="16">
        <v>0.0422</v>
      </c>
      <c r="M55" s="16">
        <v>0.0899</v>
      </c>
      <c r="N55" s="16">
        <v>0.0189</v>
      </c>
      <c r="O55" s="16">
        <v>0.0354</v>
      </c>
      <c r="P55" s="16">
        <v>0.0701</v>
      </c>
      <c r="Q55" s="16">
        <v>0.0988</v>
      </c>
      <c r="R55" s="16">
        <v>0.007</v>
      </c>
      <c r="S55" s="16">
        <v>0.0432</v>
      </c>
    </row>
    <row r="56">
      <c r="B56" s="16"/>
      <c r="F56" s="16"/>
      <c r="G56" s="16"/>
      <c r="H56" s="2" t="s">
        <v>74</v>
      </c>
      <c r="I56" s="16">
        <v>0.0336</v>
      </c>
      <c r="J56" s="16">
        <v>0.0233</v>
      </c>
      <c r="K56" s="16">
        <v>0.0253</v>
      </c>
      <c r="L56" s="16">
        <v>0.0408</v>
      </c>
      <c r="M56" s="16">
        <v>0.0842</v>
      </c>
      <c r="N56" s="16">
        <v>0.0213</v>
      </c>
      <c r="O56" s="16">
        <v>0.0334</v>
      </c>
      <c r="P56" s="16">
        <v>0.0563</v>
      </c>
      <c r="Q56" s="16">
        <v>0.0821</v>
      </c>
      <c r="R56" s="16">
        <v>0.0066</v>
      </c>
      <c r="S56" s="16">
        <v>0.0409</v>
      </c>
    </row>
    <row r="57">
      <c r="B57" s="16"/>
      <c r="F57" s="16"/>
      <c r="G57" s="16"/>
      <c r="H57" s="2" t="s">
        <v>76</v>
      </c>
      <c r="I57" s="16">
        <v>0.0196</v>
      </c>
      <c r="J57" s="16">
        <v>0.0136</v>
      </c>
      <c r="K57" s="16">
        <v>0.0148</v>
      </c>
      <c r="L57" s="16">
        <v>0.0233</v>
      </c>
      <c r="M57" s="16">
        <v>0.0483</v>
      </c>
      <c r="N57" s="16">
        <v>0.0117</v>
      </c>
      <c r="O57" s="16">
        <v>0.0196</v>
      </c>
      <c r="P57" s="16">
        <v>0.0388</v>
      </c>
      <c r="Q57" s="16">
        <v>0.0546</v>
      </c>
      <c r="R57" s="16">
        <v>0.0039</v>
      </c>
      <c r="S57" s="16">
        <v>0.0239</v>
      </c>
    </row>
    <row r="58">
      <c r="B58" s="16"/>
      <c r="F58" s="16"/>
      <c r="G58" s="16"/>
      <c r="H58" s="2" t="s">
        <v>78</v>
      </c>
      <c r="I58" s="16">
        <v>0.0368</v>
      </c>
      <c r="J58" s="16">
        <v>0.0256</v>
      </c>
      <c r="K58" s="16">
        <v>0.0277</v>
      </c>
      <c r="L58" s="16">
        <v>0.0443</v>
      </c>
      <c r="M58" s="16">
        <v>0.0906</v>
      </c>
      <c r="N58" s="16">
        <v>0.0208</v>
      </c>
      <c r="O58" s="16">
        <v>0.0367</v>
      </c>
      <c r="P58" s="16">
        <v>0.0717</v>
      </c>
      <c r="Q58" s="16">
        <v>0.1025</v>
      </c>
      <c r="R58" s="16">
        <v>0.0072</v>
      </c>
      <c r="S58" s="16">
        <v>0.0447</v>
      </c>
    </row>
    <row r="59">
      <c r="B59" s="16"/>
      <c r="F59" s="16"/>
      <c r="G59" s="16"/>
      <c r="H59" s="2" t="s">
        <v>80</v>
      </c>
      <c r="I59" s="16">
        <v>0.0244</v>
      </c>
      <c r="J59" s="16">
        <v>0.0169</v>
      </c>
      <c r="K59" s="16">
        <v>0.0183</v>
      </c>
      <c r="L59" s="16">
        <v>0.0298</v>
      </c>
      <c r="M59" s="16">
        <v>0.0595</v>
      </c>
      <c r="N59" s="16">
        <v>0.0178</v>
      </c>
      <c r="O59" s="16">
        <v>0.0242</v>
      </c>
      <c r="P59" s="16">
        <v>0.0485</v>
      </c>
      <c r="Q59" s="16">
        <v>0.061</v>
      </c>
      <c r="R59" s="16">
        <v>0.0048</v>
      </c>
      <c r="S59" s="16">
        <v>0.0297</v>
      </c>
    </row>
    <row r="60">
      <c r="B60" s="16"/>
      <c r="F60" s="16"/>
      <c r="G60" s="16"/>
      <c r="H60" s="2" t="s">
        <v>82</v>
      </c>
      <c r="I60" s="16">
        <v>0.0294</v>
      </c>
      <c r="J60" s="16">
        <v>0.0204</v>
      </c>
      <c r="K60" s="16">
        <v>0.0221</v>
      </c>
      <c r="L60" s="16">
        <v>0.0359</v>
      </c>
      <c r="M60" s="16">
        <v>0.0742</v>
      </c>
      <c r="N60" s="16">
        <v>0.0177</v>
      </c>
      <c r="O60" s="16">
        <v>0.0293</v>
      </c>
      <c r="P60" s="16">
        <v>0.0561</v>
      </c>
      <c r="Q60" s="16">
        <v>0.0683</v>
      </c>
      <c r="R60" s="16">
        <v>0.0062</v>
      </c>
      <c r="S60" s="16">
        <v>0.0358</v>
      </c>
    </row>
    <row r="61">
      <c r="B61" s="16"/>
      <c r="F61" s="16"/>
      <c r="G61" s="16"/>
      <c r="H61" s="2" t="s">
        <v>84</v>
      </c>
      <c r="I61" s="16">
        <v>0.0296</v>
      </c>
      <c r="J61" s="16">
        <v>0.0205</v>
      </c>
      <c r="K61" s="16">
        <v>0.0222</v>
      </c>
      <c r="L61" s="16">
        <v>0.0354</v>
      </c>
      <c r="M61" s="16">
        <v>0.0739</v>
      </c>
      <c r="N61" s="16">
        <v>0.0176</v>
      </c>
      <c r="O61" s="16">
        <v>0.0294</v>
      </c>
      <c r="P61" s="16">
        <v>0.0579</v>
      </c>
      <c r="Q61" s="16">
        <v>0.0504</v>
      </c>
      <c r="R61" s="16">
        <v>0.0058</v>
      </c>
      <c r="S61" s="16">
        <v>0.036</v>
      </c>
    </row>
    <row r="62">
      <c r="B62" s="16"/>
      <c r="F62" s="16"/>
      <c r="G62" s="16"/>
      <c r="H62" s="2" t="s">
        <v>86</v>
      </c>
      <c r="I62" s="16">
        <v>0.0325</v>
      </c>
      <c r="J62" s="16">
        <v>0.0226</v>
      </c>
      <c r="K62" s="16">
        <v>0.0244</v>
      </c>
      <c r="L62" s="16">
        <v>0.0407</v>
      </c>
      <c r="M62" s="16">
        <v>0.0827</v>
      </c>
      <c r="N62" s="16">
        <v>0.0174</v>
      </c>
      <c r="O62" s="16">
        <v>0.0324</v>
      </c>
      <c r="P62" s="16">
        <v>0.0609</v>
      </c>
      <c r="Q62" s="16">
        <v>0.0999</v>
      </c>
      <c r="R62" s="16">
        <v>0.01</v>
      </c>
      <c r="S62" s="16">
        <v>0.0395</v>
      </c>
    </row>
    <row r="63">
      <c r="B63" s="16"/>
      <c r="F63" s="16"/>
      <c r="G63" s="16"/>
      <c r="H63" s="2" t="s">
        <v>88</v>
      </c>
      <c r="I63" s="16">
        <v>0.0188</v>
      </c>
      <c r="J63" s="16">
        <v>0.013</v>
      </c>
      <c r="K63" s="16">
        <v>0.0141</v>
      </c>
      <c r="L63" s="16">
        <v>0.0228</v>
      </c>
      <c r="M63" s="16">
        <v>0.0471</v>
      </c>
      <c r="N63" s="16">
        <v>0.0109</v>
      </c>
      <c r="O63" s="16">
        <v>0.0187</v>
      </c>
      <c r="P63" s="16">
        <v>0.0378</v>
      </c>
      <c r="Q63" s="16">
        <v>0.0428</v>
      </c>
      <c r="R63" s="16">
        <v>0.0037</v>
      </c>
      <c r="S63" s="16">
        <v>0.0228</v>
      </c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6">
      <c r="H66" s="15" t="s">
        <v>109</v>
      </c>
    </row>
    <row r="67">
      <c r="I67" s="1" t="s">
        <v>99</v>
      </c>
      <c r="J67" s="1" t="s">
        <v>100</v>
      </c>
      <c r="K67" s="1" t="s">
        <v>21</v>
      </c>
      <c r="L67" s="1" t="s">
        <v>101</v>
      </c>
      <c r="M67" s="1" t="s">
        <v>102</v>
      </c>
      <c r="N67" s="1" t="s">
        <v>103</v>
      </c>
      <c r="O67" s="1" t="s">
        <v>104</v>
      </c>
      <c r="P67" s="1" t="s">
        <v>105</v>
      </c>
      <c r="Q67" s="10" t="s">
        <v>106</v>
      </c>
      <c r="R67" s="10" t="s">
        <v>107</v>
      </c>
      <c r="S67" s="10" t="s">
        <v>108</v>
      </c>
    </row>
    <row r="68">
      <c r="H68" s="2" t="s">
        <v>32</v>
      </c>
      <c r="I68" s="2">
        <f t="shared" ref="I68:S68" si="37">ROUNDDOWN(I101*I35,0)</f>
        <v>18</v>
      </c>
      <c r="J68" s="2">
        <f t="shared" si="37"/>
        <v>12</v>
      </c>
      <c r="K68" s="2">
        <f t="shared" si="37"/>
        <v>5</v>
      </c>
      <c r="L68" s="2">
        <f t="shared" si="37"/>
        <v>11</v>
      </c>
      <c r="M68" s="2">
        <f t="shared" si="37"/>
        <v>12</v>
      </c>
      <c r="N68" s="2">
        <f t="shared" si="37"/>
        <v>14</v>
      </c>
      <c r="O68" s="2">
        <f t="shared" si="37"/>
        <v>5</v>
      </c>
      <c r="P68" s="2">
        <f t="shared" si="37"/>
        <v>54</v>
      </c>
      <c r="Q68" s="2">
        <f t="shared" si="37"/>
        <v>79</v>
      </c>
      <c r="R68" s="2">
        <f t="shared" si="37"/>
        <v>0</v>
      </c>
      <c r="S68" s="2">
        <f t="shared" si="37"/>
        <v>11</v>
      </c>
    </row>
    <row r="69">
      <c r="H69" s="2" t="s">
        <v>34</v>
      </c>
      <c r="I69" s="2">
        <f t="shared" ref="I69:S69" si="38">ROUNDDOWN(I102*I36,0)</f>
        <v>94</v>
      </c>
      <c r="J69" s="2">
        <f t="shared" si="38"/>
        <v>43</v>
      </c>
      <c r="K69" s="2">
        <f t="shared" si="38"/>
        <v>186</v>
      </c>
      <c r="L69" s="2">
        <f t="shared" si="38"/>
        <v>117</v>
      </c>
      <c r="M69" s="2">
        <f t="shared" si="38"/>
        <v>105</v>
      </c>
      <c r="N69" s="2">
        <f t="shared" si="38"/>
        <v>67</v>
      </c>
      <c r="O69" s="2">
        <f t="shared" si="38"/>
        <v>66</v>
      </c>
      <c r="P69" s="2">
        <f t="shared" si="38"/>
        <v>391</v>
      </c>
      <c r="Q69" s="2">
        <f t="shared" si="38"/>
        <v>141</v>
      </c>
      <c r="R69" s="2">
        <f t="shared" si="38"/>
        <v>0</v>
      </c>
      <c r="S69" s="2">
        <f t="shared" si="38"/>
        <v>103</v>
      </c>
    </row>
    <row r="70">
      <c r="H70" s="2" t="s">
        <v>36</v>
      </c>
      <c r="I70" s="2">
        <f t="shared" ref="I70:S70" si="39">ROUNDDOWN(I103*I37,0)</f>
        <v>239</v>
      </c>
      <c r="J70" s="2">
        <f t="shared" si="39"/>
        <v>80</v>
      </c>
      <c r="K70" s="2">
        <f t="shared" si="39"/>
        <v>239</v>
      </c>
      <c r="L70" s="2">
        <f t="shared" si="39"/>
        <v>122</v>
      </c>
      <c r="M70" s="2">
        <f t="shared" si="39"/>
        <v>647</v>
      </c>
      <c r="N70" s="2">
        <f t="shared" si="39"/>
        <v>212</v>
      </c>
      <c r="O70" s="2">
        <f t="shared" si="39"/>
        <v>197</v>
      </c>
      <c r="P70" s="2">
        <f t="shared" si="39"/>
        <v>968</v>
      </c>
      <c r="Q70" s="2">
        <f t="shared" si="39"/>
        <v>115</v>
      </c>
      <c r="R70" s="2">
        <f t="shared" si="39"/>
        <v>0</v>
      </c>
      <c r="S70" s="2">
        <f t="shared" si="39"/>
        <v>138</v>
      </c>
    </row>
    <row r="71">
      <c r="H71" s="2" t="s">
        <v>38</v>
      </c>
      <c r="I71" s="2">
        <f t="shared" ref="I71:S71" si="40">ROUNDDOWN(I104*I38,0)</f>
        <v>50</v>
      </c>
      <c r="J71" s="2">
        <f t="shared" si="40"/>
        <v>21</v>
      </c>
      <c r="K71" s="2">
        <f t="shared" si="40"/>
        <v>15</v>
      </c>
      <c r="L71" s="2">
        <f t="shared" si="40"/>
        <v>42</v>
      </c>
      <c r="M71" s="2">
        <f t="shared" si="40"/>
        <v>40</v>
      </c>
      <c r="N71" s="2">
        <f t="shared" si="40"/>
        <v>51</v>
      </c>
      <c r="O71" s="2">
        <f t="shared" si="40"/>
        <v>47</v>
      </c>
      <c r="P71" s="2">
        <f t="shared" si="40"/>
        <v>183</v>
      </c>
      <c r="Q71" s="2">
        <f t="shared" si="40"/>
        <v>44</v>
      </c>
      <c r="R71" s="2">
        <f t="shared" si="40"/>
        <v>4</v>
      </c>
      <c r="S71" s="2">
        <f t="shared" si="40"/>
        <v>23</v>
      </c>
    </row>
    <row r="72">
      <c r="H72" s="2" t="s">
        <v>40</v>
      </c>
      <c r="I72" s="2">
        <f t="shared" ref="I72:S72" si="41">ROUNDDOWN(I105*I39,0)</f>
        <v>2</v>
      </c>
      <c r="J72" s="2">
        <f t="shared" si="41"/>
        <v>3</v>
      </c>
      <c r="K72" s="2">
        <f t="shared" si="41"/>
        <v>0</v>
      </c>
      <c r="L72" s="2">
        <f t="shared" si="41"/>
        <v>2</v>
      </c>
      <c r="M72" s="2">
        <f t="shared" si="41"/>
        <v>3</v>
      </c>
      <c r="N72" s="2">
        <f t="shared" si="41"/>
        <v>3</v>
      </c>
      <c r="O72" s="2">
        <f t="shared" si="41"/>
        <v>0</v>
      </c>
      <c r="P72" s="2">
        <f t="shared" si="41"/>
        <v>3</v>
      </c>
      <c r="Q72" s="2">
        <f t="shared" si="41"/>
        <v>7</v>
      </c>
      <c r="R72" s="2">
        <f t="shared" si="41"/>
        <v>0</v>
      </c>
      <c r="S72" s="2">
        <f t="shared" si="41"/>
        <v>0</v>
      </c>
    </row>
    <row r="73">
      <c r="H73" s="2" t="s">
        <v>42</v>
      </c>
      <c r="I73" s="2">
        <f t="shared" ref="I73:S73" si="42">ROUNDDOWN(I106*I40,0)</f>
        <v>458</v>
      </c>
      <c r="J73" s="2">
        <f t="shared" si="42"/>
        <v>176</v>
      </c>
      <c r="K73" s="2">
        <f t="shared" si="42"/>
        <v>225</v>
      </c>
      <c r="L73" s="2">
        <f t="shared" si="42"/>
        <v>346</v>
      </c>
      <c r="M73" s="2">
        <f t="shared" si="42"/>
        <v>1069</v>
      </c>
      <c r="N73" s="2">
        <f t="shared" si="42"/>
        <v>541</v>
      </c>
      <c r="O73" s="2">
        <f t="shared" si="42"/>
        <v>384</v>
      </c>
      <c r="P73" s="2">
        <f t="shared" si="42"/>
        <v>2366</v>
      </c>
      <c r="Q73" s="2">
        <f t="shared" si="42"/>
        <v>35</v>
      </c>
      <c r="R73" s="2">
        <f t="shared" si="42"/>
        <v>1</v>
      </c>
      <c r="S73" s="2">
        <f t="shared" si="42"/>
        <v>382</v>
      </c>
    </row>
    <row r="74">
      <c r="H74" s="2" t="s">
        <v>44</v>
      </c>
      <c r="I74" s="2">
        <f t="shared" ref="I74:S74" si="43">ROUNDDOWN(I107*I41,0)</f>
        <v>44</v>
      </c>
      <c r="J74" s="2">
        <f t="shared" si="43"/>
        <v>12</v>
      </c>
      <c r="K74" s="2">
        <f t="shared" si="43"/>
        <v>6</v>
      </c>
      <c r="L74" s="2">
        <f t="shared" si="43"/>
        <v>45</v>
      </c>
      <c r="M74" s="2">
        <f t="shared" si="43"/>
        <v>64</v>
      </c>
      <c r="N74" s="2">
        <f t="shared" si="43"/>
        <v>50</v>
      </c>
      <c r="O74" s="2">
        <f t="shared" si="43"/>
        <v>12</v>
      </c>
      <c r="P74" s="2">
        <f t="shared" si="43"/>
        <v>155</v>
      </c>
      <c r="Q74" s="2">
        <f t="shared" si="43"/>
        <v>128</v>
      </c>
      <c r="R74" s="2">
        <f t="shared" si="43"/>
        <v>13</v>
      </c>
      <c r="S74" s="2">
        <f t="shared" si="43"/>
        <v>29</v>
      </c>
    </row>
    <row r="75">
      <c r="H75" s="2" t="s">
        <v>46</v>
      </c>
      <c r="I75" s="2">
        <f t="shared" ref="I75:S75" si="44">ROUNDDOWN(I108*I42,0)</f>
        <v>22</v>
      </c>
      <c r="J75" s="2">
        <f t="shared" si="44"/>
        <v>6</v>
      </c>
      <c r="K75" s="2">
        <f t="shared" si="44"/>
        <v>1</v>
      </c>
      <c r="L75" s="2">
        <f t="shared" si="44"/>
        <v>17</v>
      </c>
      <c r="M75" s="2">
        <f t="shared" si="44"/>
        <v>26</v>
      </c>
      <c r="N75" s="2">
        <f t="shared" si="44"/>
        <v>13</v>
      </c>
      <c r="O75" s="2">
        <f t="shared" si="44"/>
        <v>7</v>
      </c>
      <c r="P75" s="2">
        <f t="shared" si="44"/>
        <v>59</v>
      </c>
      <c r="Q75" s="2">
        <f t="shared" si="44"/>
        <v>58</v>
      </c>
      <c r="R75" s="2">
        <f t="shared" si="44"/>
        <v>2</v>
      </c>
      <c r="S75" s="2">
        <f t="shared" si="44"/>
        <v>27</v>
      </c>
    </row>
    <row r="76">
      <c r="H76" s="2" t="s">
        <v>48</v>
      </c>
      <c r="I76" s="2">
        <f t="shared" ref="I76:S76" si="45">ROUNDDOWN(I109*I43,0)</f>
        <v>11</v>
      </c>
      <c r="J76" s="2">
        <f t="shared" si="45"/>
        <v>29</v>
      </c>
      <c r="K76" s="2">
        <f t="shared" si="45"/>
        <v>1</v>
      </c>
      <c r="L76" s="2">
        <f t="shared" si="45"/>
        <v>6</v>
      </c>
      <c r="M76" s="2">
        <f t="shared" si="45"/>
        <v>17</v>
      </c>
      <c r="N76" s="2">
        <f t="shared" si="45"/>
        <v>12</v>
      </c>
      <c r="O76" s="2">
        <f t="shared" si="45"/>
        <v>9</v>
      </c>
      <c r="P76" s="2">
        <f t="shared" si="45"/>
        <v>37</v>
      </c>
      <c r="Q76" s="2">
        <f t="shared" si="45"/>
        <v>33</v>
      </c>
      <c r="R76" s="2">
        <f t="shared" si="45"/>
        <v>0</v>
      </c>
      <c r="S76" s="2">
        <f t="shared" si="45"/>
        <v>7</v>
      </c>
    </row>
    <row r="77">
      <c r="H77" s="2" t="s">
        <v>50</v>
      </c>
      <c r="I77" s="2">
        <f t="shared" ref="I77:S77" si="46">ROUNDDOWN(I110*I44,0)</f>
        <v>39</v>
      </c>
      <c r="J77" s="2">
        <f t="shared" si="46"/>
        <v>68</v>
      </c>
      <c r="K77" s="2">
        <f t="shared" si="46"/>
        <v>4</v>
      </c>
      <c r="L77" s="2">
        <f t="shared" si="46"/>
        <v>18</v>
      </c>
      <c r="M77" s="2">
        <f t="shared" si="46"/>
        <v>47</v>
      </c>
      <c r="N77" s="2">
        <f t="shared" si="46"/>
        <v>30</v>
      </c>
      <c r="O77" s="2">
        <f t="shared" si="46"/>
        <v>24</v>
      </c>
      <c r="P77" s="2">
        <f t="shared" si="46"/>
        <v>157</v>
      </c>
      <c r="Q77" s="2">
        <f t="shared" si="46"/>
        <v>11</v>
      </c>
      <c r="R77" s="2">
        <f t="shared" si="46"/>
        <v>0</v>
      </c>
      <c r="S77" s="2">
        <f t="shared" si="46"/>
        <v>22</v>
      </c>
    </row>
    <row r="78">
      <c r="H78" s="2" t="s">
        <v>52</v>
      </c>
      <c r="I78" s="2">
        <f t="shared" ref="I78:S78" si="47">ROUNDDOWN(I111*I45,0)</f>
        <v>97</v>
      </c>
      <c r="J78" s="2">
        <f t="shared" si="47"/>
        <v>53</v>
      </c>
      <c r="K78" s="2">
        <f t="shared" si="47"/>
        <v>53</v>
      </c>
      <c r="L78" s="2">
        <f t="shared" si="47"/>
        <v>44</v>
      </c>
      <c r="M78" s="2">
        <f t="shared" si="47"/>
        <v>154</v>
      </c>
      <c r="N78" s="2">
        <f t="shared" si="47"/>
        <v>93</v>
      </c>
      <c r="O78" s="2">
        <f t="shared" si="47"/>
        <v>79</v>
      </c>
      <c r="P78" s="2">
        <f t="shared" si="47"/>
        <v>419</v>
      </c>
      <c r="Q78" s="2">
        <f t="shared" si="47"/>
        <v>63</v>
      </c>
      <c r="R78" s="2">
        <f t="shared" si="47"/>
        <v>1</v>
      </c>
      <c r="S78" s="2">
        <f t="shared" si="47"/>
        <v>100</v>
      </c>
    </row>
    <row r="79">
      <c r="H79" s="2" t="s">
        <v>54</v>
      </c>
      <c r="I79" s="2">
        <f t="shared" ref="I79:S79" si="48">ROUNDDOWN(I112*I46,0)</f>
        <v>18</v>
      </c>
      <c r="J79" s="2">
        <f t="shared" si="48"/>
        <v>9</v>
      </c>
      <c r="K79" s="2">
        <f t="shared" si="48"/>
        <v>23</v>
      </c>
      <c r="L79" s="2">
        <f t="shared" si="48"/>
        <v>6</v>
      </c>
      <c r="M79" s="2">
        <f t="shared" si="48"/>
        <v>38</v>
      </c>
      <c r="N79" s="2">
        <f t="shared" si="48"/>
        <v>25</v>
      </c>
      <c r="O79" s="2">
        <f t="shared" si="48"/>
        <v>23</v>
      </c>
      <c r="P79" s="2">
        <f t="shared" si="48"/>
        <v>72</v>
      </c>
      <c r="Q79" s="2">
        <f t="shared" si="48"/>
        <v>50</v>
      </c>
      <c r="R79" s="2">
        <f t="shared" si="48"/>
        <v>0</v>
      </c>
      <c r="S79" s="2">
        <f t="shared" si="48"/>
        <v>23</v>
      </c>
    </row>
    <row r="80">
      <c r="H80" s="2" t="s">
        <v>56</v>
      </c>
      <c r="I80" s="2">
        <f t="shared" ref="I80:S80" si="49">ROUNDDOWN(I113*I47,0)</f>
        <v>19</v>
      </c>
      <c r="J80" s="2">
        <f t="shared" si="49"/>
        <v>28</v>
      </c>
      <c r="K80" s="2">
        <f t="shared" si="49"/>
        <v>4</v>
      </c>
      <c r="L80" s="2">
        <f t="shared" si="49"/>
        <v>8</v>
      </c>
      <c r="M80" s="2">
        <f t="shared" si="49"/>
        <v>25</v>
      </c>
      <c r="N80" s="2">
        <f t="shared" si="49"/>
        <v>14</v>
      </c>
      <c r="O80" s="2">
        <f t="shared" si="49"/>
        <v>6</v>
      </c>
      <c r="P80" s="2">
        <f t="shared" si="49"/>
        <v>130</v>
      </c>
      <c r="Q80" s="2">
        <f t="shared" si="49"/>
        <v>16</v>
      </c>
      <c r="R80" s="2">
        <f t="shared" si="49"/>
        <v>0</v>
      </c>
      <c r="S80" s="2">
        <f t="shared" si="49"/>
        <v>12</v>
      </c>
    </row>
    <row r="81">
      <c r="H81" s="2" t="s">
        <v>58</v>
      </c>
      <c r="I81" s="2">
        <f t="shared" ref="I81:S81" si="50">ROUNDDOWN(I114*I48,0)</f>
        <v>25</v>
      </c>
      <c r="J81" s="2">
        <f t="shared" si="50"/>
        <v>7</v>
      </c>
      <c r="K81" s="2">
        <f t="shared" si="50"/>
        <v>6</v>
      </c>
      <c r="L81" s="2">
        <f t="shared" si="50"/>
        <v>25</v>
      </c>
      <c r="M81" s="2">
        <f t="shared" si="50"/>
        <v>19</v>
      </c>
      <c r="N81" s="2">
        <f t="shared" si="50"/>
        <v>17</v>
      </c>
      <c r="O81" s="2">
        <f t="shared" si="50"/>
        <v>19</v>
      </c>
      <c r="P81" s="2">
        <f t="shared" si="50"/>
        <v>102</v>
      </c>
      <c r="Q81" s="2">
        <f t="shared" si="50"/>
        <v>95</v>
      </c>
      <c r="R81" s="2">
        <f t="shared" si="50"/>
        <v>0</v>
      </c>
      <c r="S81" s="2">
        <f t="shared" si="50"/>
        <v>16</v>
      </c>
    </row>
    <row r="82">
      <c r="H82" s="2" t="s">
        <v>60</v>
      </c>
      <c r="I82" s="2">
        <f t="shared" ref="I82:S82" si="51">ROUNDDOWN(I115*I49,0)</f>
        <v>16</v>
      </c>
      <c r="J82" s="2">
        <f t="shared" si="51"/>
        <v>4</v>
      </c>
      <c r="K82" s="2">
        <f t="shared" si="51"/>
        <v>4</v>
      </c>
      <c r="L82" s="2">
        <f t="shared" si="51"/>
        <v>9</v>
      </c>
      <c r="M82" s="2">
        <f t="shared" si="51"/>
        <v>35</v>
      </c>
      <c r="N82" s="2">
        <f t="shared" si="51"/>
        <v>13</v>
      </c>
      <c r="O82" s="2">
        <f t="shared" si="51"/>
        <v>5</v>
      </c>
      <c r="P82" s="2">
        <f t="shared" si="51"/>
        <v>117</v>
      </c>
      <c r="Q82" s="2">
        <f t="shared" si="51"/>
        <v>37</v>
      </c>
      <c r="R82" s="2">
        <f t="shared" si="51"/>
        <v>0</v>
      </c>
      <c r="S82" s="2">
        <f t="shared" si="51"/>
        <v>28</v>
      </c>
    </row>
    <row r="83">
      <c r="H83" s="2" t="s">
        <v>62</v>
      </c>
      <c r="I83" s="2">
        <f t="shared" ref="I83:S83" si="52">ROUNDDOWN(I116*I50,0)</f>
        <v>0</v>
      </c>
      <c r="J83" s="2">
        <f t="shared" si="52"/>
        <v>0</v>
      </c>
      <c r="K83" s="2">
        <f t="shared" si="52"/>
        <v>0</v>
      </c>
      <c r="L83" s="2">
        <f t="shared" si="52"/>
        <v>1</v>
      </c>
      <c r="M83" s="2">
        <f t="shared" si="52"/>
        <v>1</v>
      </c>
      <c r="N83" s="2">
        <f t="shared" si="52"/>
        <v>2</v>
      </c>
      <c r="O83" s="2">
        <f t="shared" si="52"/>
        <v>1</v>
      </c>
      <c r="P83" s="2">
        <f t="shared" si="52"/>
        <v>7</v>
      </c>
      <c r="Q83" s="2">
        <f t="shared" si="52"/>
        <v>13</v>
      </c>
      <c r="R83" s="2">
        <f t="shared" si="52"/>
        <v>0</v>
      </c>
      <c r="S83" s="2">
        <f t="shared" si="52"/>
        <v>0</v>
      </c>
    </row>
    <row r="84">
      <c r="H84" s="2" t="s">
        <v>64</v>
      </c>
      <c r="I84" s="2">
        <f t="shared" ref="I84:S84" si="53">ROUNDDOWN(I117*I51,0)</f>
        <v>6</v>
      </c>
      <c r="J84" s="2">
        <f t="shared" si="53"/>
        <v>4</v>
      </c>
      <c r="K84" s="2">
        <f t="shared" si="53"/>
        <v>1</v>
      </c>
      <c r="L84" s="2">
        <f t="shared" si="53"/>
        <v>3</v>
      </c>
      <c r="M84" s="2">
        <f t="shared" si="53"/>
        <v>6</v>
      </c>
      <c r="N84" s="2">
        <f t="shared" si="53"/>
        <v>3</v>
      </c>
      <c r="O84" s="2">
        <f t="shared" si="53"/>
        <v>1</v>
      </c>
      <c r="P84" s="2">
        <f t="shared" si="53"/>
        <v>36</v>
      </c>
      <c r="Q84" s="2">
        <f t="shared" si="53"/>
        <v>17</v>
      </c>
      <c r="R84" s="2">
        <f t="shared" si="53"/>
        <v>0</v>
      </c>
      <c r="S84" s="2">
        <f t="shared" si="53"/>
        <v>4</v>
      </c>
    </row>
    <row r="85">
      <c r="H85" s="2" t="s">
        <v>66</v>
      </c>
      <c r="I85" s="2">
        <f t="shared" ref="I85:S85" si="54">ROUNDDOWN(I118*I52,0)</f>
        <v>1890</v>
      </c>
      <c r="J85" s="2">
        <f t="shared" si="54"/>
        <v>889</v>
      </c>
      <c r="K85" s="2">
        <f t="shared" si="54"/>
        <v>1020</v>
      </c>
      <c r="L85" s="2">
        <f t="shared" si="54"/>
        <v>2656</v>
      </c>
      <c r="M85" s="2">
        <f t="shared" si="54"/>
        <v>7771</v>
      </c>
      <c r="N85" s="2">
        <f t="shared" si="54"/>
        <v>2016</v>
      </c>
      <c r="O85" s="2">
        <f t="shared" si="54"/>
        <v>1763</v>
      </c>
      <c r="P85" s="2">
        <f t="shared" si="54"/>
        <v>12120</v>
      </c>
      <c r="Q85" s="2">
        <f t="shared" si="54"/>
        <v>48</v>
      </c>
      <c r="R85" s="2">
        <f t="shared" si="54"/>
        <v>18</v>
      </c>
      <c r="S85" s="2">
        <f t="shared" si="54"/>
        <v>1707</v>
      </c>
    </row>
    <row r="86">
      <c r="H86" s="2" t="s">
        <v>68</v>
      </c>
      <c r="I86" s="2">
        <f t="shared" ref="I86:S86" si="55">ROUNDDOWN(I119*I53,0)</f>
        <v>18</v>
      </c>
      <c r="J86" s="2">
        <f t="shared" si="55"/>
        <v>19</v>
      </c>
      <c r="K86" s="2">
        <f t="shared" si="55"/>
        <v>3</v>
      </c>
      <c r="L86" s="2">
        <f t="shared" si="55"/>
        <v>5</v>
      </c>
      <c r="M86" s="2">
        <f t="shared" si="55"/>
        <v>19</v>
      </c>
      <c r="N86" s="2">
        <f t="shared" si="55"/>
        <v>39</v>
      </c>
      <c r="O86" s="2">
        <f t="shared" si="55"/>
        <v>37</v>
      </c>
      <c r="P86" s="2">
        <f t="shared" si="55"/>
        <v>96</v>
      </c>
      <c r="Q86" s="2">
        <f t="shared" si="55"/>
        <v>85</v>
      </c>
      <c r="R86" s="2">
        <f t="shared" si="55"/>
        <v>2</v>
      </c>
      <c r="S86" s="2">
        <f t="shared" si="55"/>
        <v>14</v>
      </c>
    </row>
    <row r="87">
      <c r="H87" s="2" t="s">
        <v>70</v>
      </c>
      <c r="I87" s="2">
        <f t="shared" ref="I87:S87" si="56">ROUNDDOWN(I120*I54,0)</f>
        <v>52</v>
      </c>
      <c r="J87" s="2">
        <f t="shared" si="56"/>
        <v>16</v>
      </c>
      <c r="K87" s="2">
        <f t="shared" si="56"/>
        <v>41</v>
      </c>
      <c r="L87" s="2">
        <f t="shared" si="56"/>
        <v>23</v>
      </c>
      <c r="M87" s="2">
        <f t="shared" si="56"/>
        <v>80</v>
      </c>
      <c r="N87" s="2">
        <f t="shared" si="56"/>
        <v>81</v>
      </c>
      <c r="O87" s="2">
        <f t="shared" si="56"/>
        <v>33</v>
      </c>
      <c r="P87" s="2">
        <f t="shared" si="56"/>
        <v>196</v>
      </c>
      <c r="Q87" s="2">
        <f t="shared" si="56"/>
        <v>96</v>
      </c>
      <c r="R87" s="2">
        <f t="shared" si="56"/>
        <v>0</v>
      </c>
      <c r="S87" s="2">
        <f t="shared" si="56"/>
        <v>48</v>
      </c>
    </row>
    <row r="88">
      <c r="H88" s="2" t="s">
        <v>72</v>
      </c>
      <c r="I88" s="2">
        <f t="shared" ref="I88:S88" si="57">ROUNDDOWN(I121*I55,0)</f>
        <v>65</v>
      </c>
      <c r="J88" s="2">
        <f t="shared" si="57"/>
        <v>28</v>
      </c>
      <c r="K88" s="2">
        <f t="shared" si="57"/>
        <v>15</v>
      </c>
      <c r="L88" s="2">
        <f t="shared" si="57"/>
        <v>63</v>
      </c>
      <c r="M88" s="2">
        <f t="shared" si="57"/>
        <v>69</v>
      </c>
      <c r="N88" s="2">
        <f t="shared" si="57"/>
        <v>41</v>
      </c>
      <c r="O88" s="2">
        <f t="shared" si="57"/>
        <v>40</v>
      </c>
      <c r="P88" s="2">
        <f t="shared" si="57"/>
        <v>154</v>
      </c>
      <c r="Q88" s="2">
        <f t="shared" si="57"/>
        <v>93</v>
      </c>
      <c r="R88" s="2">
        <f t="shared" si="57"/>
        <v>4</v>
      </c>
      <c r="S88" s="2">
        <f t="shared" si="57"/>
        <v>32</v>
      </c>
    </row>
    <row r="89">
      <c r="H89" s="2" t="s">
        <v>74</v>
      </c>
      <c r="I89" s="2">
        <f t="shared" ref="I89:S89" si="58">ROUNDDOWN(I122*I56,0)</f>
        <v>145</v>
      </c>
      <c r="J89" s="2">
        <f t="shared" si="58"/>
        <v>177</v>
      </c>
      <c r="K89" s="2">
        <f t="shared" si="58"/>
        <v>34</v>
      </c>
      <c r="L89" s="2">
        <f t="shared" si="58"/>
        <v>54</v>
      </c>
      <c r="M89" s="2">
        <f t="shared" si="58"/>
        <v>461</v>
      </c>
      <c r="N89" s="2">
        <f t="shared" si="58"/>
        <v>83</v>
      </c>
      <c r="O89" s="2">
        <f t="shared" si="58"/>
        <v>81</v>
      </c>
      <c r="P89" s="2">
        <f t="shared" si="58"/>
        <v>1063</v>
      </c>
      <c r="Q89" s="2">
        <f t="shared" si="58"/>
        <v>75</v>
      </c>
      <c r="R89" s="2">
        <f t="shared" si="58"/>
        <v>0</v>
      </c>
      <c r="S89" s="2">
        <f t="shared" si="58"/>
        <v>138</v>
      </c>
    </row>
    <row r="90">
      <c r="H90" s="2" t="s">
        <v>76</v>
      </c>
      <c r="I90" s="2">
        <f t="shared" ref="I90:S90" si="59">ROUNDDOWN(I123*I57,0)</f>
        <v>60</v>
      </c>
      <c r="J90" s="2">
        <f t="shared" si="59"/>
        <v>26</v>
      </c>
      <c r="K90" s="2">
        <f t="shared" si="59"/>
        <v>31</v>
      </c>
      <c r="L90" s="2">
        <f t="shared" si="59"/>
        <v>64</v>
      </c>
      <c r="M90" s="2">
        <f t="shared" si="59"/>
        <v>71</v>
      </c>
      <c r="N90" s="2">
        <f t="shared" si="59"/>
        <v>67</v>
      </c>
      <c r="O90" s="2">
        <f t="shared" si="59"/>
        <v>45</v>
      </c>
      <c r="P90" s="2">
        <f t="shared" si="59"/>
        <v>252</v>
      </c>
      <c r="Q90" s="2">
        <f t="shared" si="59"/>
        <v>30</v>
      </c>
      <c r="R90" s="2">
        <f t="shared" si="59"/>
        <v>1</v>
      </c>
      <c r="S90" s="2">
        <f t="shared" si="59"/>
        <v>44</v>
      </c>
    </row>
    <row r="91">
      <c r="H91" s="2" t="s">
        <v>78</v>
      </c>
      <c r="I91" s="2">
        <f t="shared" ref="I91:S91" si="60">ROUNDDOWN(I124*I58,0)</f>
        <v>80</v>
      </c>
      <c r="J91" s="2">
        <f t="shared" si="60"/>
        <v>34</v>
      </c>
      <c r="K91" s="2">
        <f t="shared" si="60"/>
        <v>13</v>
      </c>
      <c r="L91" s="2">
        <f t="shared" si="60"/>
        <v>79</v>
      </c>
      <c r="M91" s="2">
        <f t="shared" si="60"/>
        <v>88</v>
      </c>
      <c r="N91" s="2">
        <f t="shared" si="60"/>
        <v>75</v>
      </c>
      <c r="O91" s="2">
        <f t="shared" si="60"/>
        <v>44</v>
      </c>
      <c r="P91" s="2">
        <f t="shared" si="60"/>
        <v>278</v>
      </c>
      <c r="Q91" s="2">
        <f t="shared" si="60"/>
        <v>136</v>
      </c>
      <c r="R91" s="2">
        <f t="shared" si="60"/>
        <v>16</v>
      </c>
      <c r="S91" s="2">
        <f t="shared" si="60"/>
        <v>78</v>
      </c>
    </row>
    <row r="92">
      <c r="H92" s="2" t="s">
        <v>80</v>
      </c>
      <c r="I92" s="2">
        <f t="shared" ref="I92:S92" si="61">ROUNDDOWN(I125*I59,0)</f>
        <v>1216</v>
      </c>
      <c r="J92" s="2">
        <f t="shared" si="61"/>
        <v>435</v>
      </c>
      <c r="K92" s="2">
        <f t="shared" si="61"/>
        <v>470</v>
      </c>
      <c r="L92" s="2">
        <f t="shared" si="61"/>
        <v>645</v>
      </c>
      <c r="M92" s="2">
        <f t="shared" si="61"/>
        <v>3962</v>
      </c>
      <c r="N92" s="2">
        <f t="shared" si="61"/>
        <v>1173</v>
      </c>
      <c r="O92" s="2">
        <f t="shared" si="61"/>
        <v>992</v>
      </c>
      <c r="P92" s="2">
        <f t="shared" si="61"/>
        <v>5557</v>
      </c>
      <c r="Q92" s="2">
        <f t="shared" si="61"/>
        <v>235</v>
      </c>
      <c r="R92" s="2">
        <f t="shared" si="61"/>
        <v>4</v>
      </c>
      <c r="S92" s="2">
        <f t="shared" si="61"/>
        <v>1096</v>
      </c>
    </row>
    <row r="93">
      <c r="H93" s="2" t="s">
        <v>82</v>
      </c>
      <c r="I93" s="2">
        <f t="shared" ref="I93:S93" si="62">ROUNDDOWN(I126*I60,0)</f>
        <v>58</v>
      </c>
      <c r="J93" s="2">
        <f t="shared" si="62"/>
        <v>33</v>
      </c>
      <c r="K93" s="2">
        <f t="shared" si="62"/>
        <v>16</v>
      </c>
      <c r="L93" s="2">
        <f t="shared" si="62"/>
        <v>27</v>
      </c>
      <c r="M93" s="2">
        <f t="shared" si="62"/>
        <v>193</v>
      </c>
      <c r="N93" s="2">
        <f t="shared" si="62"/>
        <v>47</v>
      </c>
      <c r="O93" s="2">
        <f t="shared" si="62"/>
        <v>46</v>
      </c>
      <c r="P93" s="2">
        <f t="shared" si="62"/>
        <v>471</v>
      </c>
      <c r="Q93" s="2">
        <f t="shared" si="62"/>
        <v>35</v>
      </c>
      <c r="R93" s="2">
        <f t="shared" si="62"/>
        <v>0</v>
      </c>
      <c r="S93" s="2">
        <f t="shared" si="62"/>
        <v>91</v>
      </c>
    </row>
    <row r="94">
      <c r="H94" s="2" t="s">
        <v>84</v>
      </c>
      <c r="I94" s="2">
        <f t="shared" ref="I94:S94" si="63">ROUNDDOWN(I127*I61,0)</f>
        <v>473</v>
      </c>
      <c r="J94" s="2">
        <f t="shared" si="63"/>
        <v>226</v>
      </c>
      <c r="K94" s="2">
        <f t="shared" si="63"/>
        <v>101</v>
      </c>
      <c r="L94" s="2">
        <f t="shared" si="63"/>
        <v>314</v>
      </c>
      <c r="M94" s="2">
        <f t="shared" si="63"/>
        <v>841</v>
      </c>
      <c r="N94" s="2">
        <f t="shared" si="63"/>
        <v>234</v>
      </c>
      <c r="O94" s="2">
        <f t="shared" si="63"/>
        <v>440</v>
      </c>
      <c r="P94" s="2">
        <f t="shared" si="63"/>
        <v>2108</v>
      </c>
      <c r="Q94" s="2">
        <f t="shared" si="63"/>
        <v>37</v>
      </c>
      <c r="R94" s="2">
        <f t="shared" si="63"/>
        <v>4</v>
      </c>
      <c r="S94" s="2">
        <f t="shared" si="63"/>
        <v>445</v>
      </c>
    </row>
    <row r="95">
      <c r="H95" s="2" t="s">
        <v>86</v>
      </c>
      <c r="I95" s="2">
        <f t="shared" ref="I95:S95" si="64">ROUNDDOWN(I128*I62,0)</f>
        <v>6</v>
      </c>
      <c r="J95" s="2">
        <f t="shared" si="64"/>
        <v>7</v>
      </c>
      <c r="K95" s="2">
        <f t="shared" si="64"/>
        <v>0</v>
      </c>
      <c r="L95" s="2">
        <f t="shared" si="64"/>
        <v>3</v>
      </c>
      <c r="M95" s="2">
        <f t="shared" si="64"/>
        <v>6</v>
      </c>
      <c r="N95" s="2">
        <f t="shared" si="64"/>
        <v>5</v>
      </c>
      <c r="O95" s="2">
        <f t="shared" si="64"/>
        <v>4</v>
      </c>
      <c r="P95" s="2">
        <f t="shared" si="64"/>
        <v>31</v>
      </c>
      <c r="Q95" s="2">
        <f t="shared" si="64"/>
        <v>19</v>
      </c>
      <c r="R95" s="2">
        <f t="shared" si="64"/>
        <v>0</v>
      </c>
      <c r="S95" s="2">
        <f t="shared" si="64"/>
        <v>11</v>
      </c>
    </row>
    <row r="96">
      <c r="H96" s="2" t="s">
        <v>88</v>
      </c>
      <c r="I96" s="2">
        <f t="shared" ref="I96:S96" si="65">ROUNDDOWN(I129*I63,0)</f>
        <v>302</v>
      </c>
      <c r="J96" s="2">
        <f t="shared" si="65"/>
        <v>125</v>
      </c>
      <c r="K96" s="2">
        <f t="shared" si="65"/>
        <v>275</v>
      </c>
      <c r="L96" s="2">
        <f t="shared" si="65"/>
        <v>238</v>
      </c>
      <c r="M96" s="2">
        <f t="shared" si="65"/>
        <v>541</v>
      </c>
      <c r="N96" s="2">
        <f t="shared" si="65"/>
        <v>295</v>
      </c>
      <c r="O96" s="2">
        <f t="shared" si="65"/>
        <v>303</v>
      </c>
      <c r="P96" s="2">
        <f t="shared" si="65"/>
        <v>1482</v>
      </c>
      <c r="Q96" s="2">
        <f t="shared" si="65"/>
        <v>68</v>
      </c>
      <c r="R96" s="2">
        <f t="shared" si="65"/>
        <v>0</v>
      </c>
      <c r="S96" s="2">
        <f t="shared" si="65"/>
        <v>251</v>
      </c>
    </row>
    <row r="99">
      <c r="H99" s="15" t="s">
        <v>115</v>
      </c>
    </row>
    <row r="100">
      <c r="I100" s="1" t="s">
        <v>99</v>
      </c>
      <c r="J100" s="1" t="s">
        <v>100</v>
      </c>
      <c r="K100" s="1" t="s">
        <v>21</v>
      </c>
      <c r="L100" s="1" t="s">
        <v>101</v>
      </c>
      <c r="M100" s="1" t="s">
        <v>102</v>
      </c>
      <c r="N100" s="1" t="s">
        <v>103</v>
      </c>
      <c r="O100" s="1" t="s">
        <v>104</v>
      </c>
      <c r="P100" s="1" t="s">
        <v>105</v>
      </c>
      <c r="Q100" s="10" t="s">
        <v>106</v>
      </c>
      <c r="R100" s="10" t="s">
        <v>107</v>
      </c>
      <c r="S100" s="10" t="s">
        <v>108</v>
      </c>
    </row>
    <row r="101">
      <c r="H101" s="2" t="s">
        <v>32</v>
      </c>
      <c r="I101" s="2">
        <v>542.0</v>
      </c>
      <c r="J101" s="18">
        <v>517.0</v>
      </c>
      <c r="K101" s="2">
        <v>223.0</v>
      </c>
      <c r="L101" s="2">
        <v>275.0</v>
      </c>
      <c r="M101" s="2">
        <v>146.0</v>
      </c>
      <c r="N101" s="2">
        <v>810.0</v>
      </c>
      <c r="O101" s="2">
        <v>160.0</v>
      </c>
      <c r="P101" s="2">
        <v>937.0</v>
      </c>
      <c r="Q101" s="2">
        <v>738.0</v>
      </c>
      <c r="R101" s="2">
        <v>102.0</v>
      </c>
      <c r="S101" s="2">
        <v>278.0</v>
      </c>
    </row>
    <row r="102">
      <c r="H102" s="2" t="s">
        <v>34</v>
      </c>
      <c r="I102" s="2">
        <v>3061.0</v>
      </c>
      <c r="J102" s="18">
        <v>2000.0</v>
      </c>
      <c r="K102" s="2">
        <v>8010.0</v>
      </c>
      <c r="L102" s="2">
        <v>3159.0</v>
      </c>
      <c r="M102" s="2">
        <v>1364.0</v>
      </c>
      <c r="N102" s="2">
        <v>3784.0</v>
      </c>
      <c r="O102" s="2">
        <v>2148.0</v>
      </c>
      <c r="P102" s="2">
        <v>6315.0</v>
      </c>
      <c r="Q102" s="2">
        <v>1694.0</v>
      </c>
      <c r="R102" s="2">
        <v>88.0</v>
      </c>
      <c r="S102" s="2">
        <v>2747.0</v>
      </c>
    </row>
    <row r="103">
      <c r="H103" s="2" t="s">
        <v>36</v>
      </c>
      <c r="I103" s="2">
        <v>9824.0</v>
      </c>
      <c r="J103" s="18">
        <v>4787.0</v>
      </c>
      <c r="K103" s="2">
        <v>13034.0</v>
      </c>
      <c r="L103" s="2">
        <v>4096.0</v>
      </c>
      <c r="M103" s="2">
        <v>10517.0</v>
      </c>
      <c r="N103" s="2">
        <v>14654.0</v>
      </c>
      <c r="O103" s="2">
        <v>8115.0</v>
      </c>
      <c r="P103" s="2">
        <v>20398.0</v>
      </c>
      <c r="Q103" s="2">
        <v>1857.0</v>
      </c>
      <c r="R103" s="2">
        <v>155.0</v>
      </c>
      <c r="S103" s="2">
        <v>4652.0</v>
      </c>
    </row>
    <row r="104">
      <c r="H104" s="2" t="s">
        <v>38</v>
      </c>
      <c r="I104" s="2">
        <v>1321.0</v>
      </c>
      <c r="J104" s="19">
        <v>798.0</v>
      </c>
      <c r="K104" s="2">
        <v>539.0</v>
      </c>
      <c r="L104" s="2">
        <v>930.0</v>
      </c>
      <c r="M104" s="2">
        <v>431.0</v>
      </c>
      <c r="N104" s="2">
        <v>2452.0</v>
      </c>
      <c r="O104" s="2">
        <v>1259.0</v>
      </c>
      <c r="P104" s="2">
        <v>2493.0</v>
      </c>
      <c r="Q104" s="2">
        <v>429.0</v>
      </c>
      <c r="R104" s="2">
        <v>637.0</v>
      </c>
      <c r="S104" s="2">
        <v>518.0</v>
      </c>
    </row>
    <row r="105">
      <c r="H105" s="2" t="s">
        <v>40</v>
      </c>
      <c r="I105" s="2">
        <v>68.0</v>
      </c>
      <c r="J105" s="18">
        <v>117.0</v>
      </c>
      <c r="K105" s="2">
        <v>15.0</v>
      </c>
      <c r="L105" s="2">
        <v>42.0</v>
      </c>
      <c r="M105" s="2">
        <v>31.0</v>
      </c>
      <c r="N105" s="2">
        <v>180.0</v>
      </c>
      <c r="O105" s="2">
        <v>7.0</v>
      </c>
      <c r="P105" s="2">
        <v>101.0</v>
      </c>
      <c r="Q105" s="2">
        <v>68.0</v>
      </c>
      <c r="R105" s="2">
        <v>2.0</v>
      </c>
      <c r="S105" s="2">
        <v>14.0</v>
      </c>
    </row>
    <row r="106">
      <c r="H106" s="2" t="s">
        <v>42</v>
      </c>
      <c r="I106" s="2">
        <v>22041.0</v>
      </c>
      <c r="J106" s="18">
        <v>12261.0</v>
      </c>
      <c r="K106" s="2">
        <v>14428.0</v>
      </c>
      <c r="L106" s="2">
        <v>13933.0</v>
      </c>
      <c r="M106" s="2">
        <v>20451.0</v>
      </c>
      <c r="N106" s="2">
        <v>43984.0</v>
      </c>
      <c r="O106" s="2">
        <v>18658.0</v>
      </c>
      <c r="P106" s="2">
        <v>59306.0</v>
      </c>
      <c r="Q106" s="2">
        <v>882.0</v>
      </c>
      <c r="R106" s="2">
        <v>339.0</v>
      </c>
      <c r="S106" s="2">
        <v>15195.0</v>
      </c>
    </row>
    <row r="107">
      <c r="H107" s="2" t="s">
        <v>44</v>
      </c>
      <c r="I107" s="2">
        <v>1276.0</v>
      </c>
      <c r="J107" s="18">
        <v>532.0</v>
      </c>
      <c r="K107" s="2">
        <v>256.0</v>
      </c>
      <c r="L107" s="2">
        <v>1089.0</v>
      </c>
      <c r="M107" s="2">
        <v>776.0</v>
      </c>
      <c r="N107" s="2">
        <v>2727.0</v>
      </c>
      <c r="O107" s="2">
        <v>350.0</v>
      </c>
      <c r="P107" s="2">
        <v>2240.0</v>
      </c>
      <c r="Q107" s="2">
        <v>1305.0</v>
      </c>
      <c r="R107" s="2">
        <v>1928.0</v>
      </c>
      <c r="S107" s="2">
        <v>698.0</v>
      </c>
    </row>
    <row r="108">
      <c r="H108" s="2" t="s">
        <v>46</v>
      </c>
      <c r="I108" s="2">
        <v>721.0</v>
      </c>
      <c r="J108" s="18">
        <v>277.0</v>
      </c>
      <c r="K108" s="2">
        <v>50.0</v>
      </c>
      <c r="L108" s="2">
        <v>473.0</v>
      </c>
      <c r="M108" s="2">
        <v>372.0</v>
      </c>
      <c r="N108" s="2">
        <v>839.0</v>
      </c>
      <c r="O108" s="2">
        <v>229.0</v>
      </c>
      <c r="P108" s="2">
        <v>997.0</v>
      </c>
      <c r="Q108" s="2">
        <v>603.0</v>
      </c>
      <c r="R108" s="2">
        <v>418.0</v>
      </c>
      <c r="S108" s="2">
        <v>706.0</v>
      </c>
    </row>
    <row r="109">
      <c r="H109" s="2" t="s">
        <v>48</v>
      </c>
      <c r="I109" s="2">
        <v>296.0</v>
      </c>
      <c r="J109" s="18">
        <v>1123.0</v>
      </c>
      <c r="K109" s="2">
        <v>54.0</v>
      </c>
      <c r="L109" s="2">
        <v>144.0</v>
      </c>
      <c r="M109" s="2">
        <v>183.0</v>
      </c>
      <c r="N109" s="2">
        <v>603.0</v>
      </c>
      <c r="O109" s="2">
        <v>264.0</v>
      </c>
      <c r="P109" s="2">
        <v>530.0</v>
      </c>
      <c r="Q109" s="2">
        <v>293.0</v>
      </c>
      <c r="R109" s="2">
        <v>13.0</v>
      </c>
      <c r="S109" s="2">
        <v>162.0</v>
      </c>
    </row>
    <row r="110">
      <c r="H110" s="2" t="s">
        <v>50</v>
      </c>
      <c r="I110" s="2">
        <v>1005.0</v>
      </c>
      <c r="J110" s="18">
        <v>2512.0</v>
      </c>
      <c r="K110" s="2">
        <v>162.0</v>
      </c>
      <c r="L110" s="2">
        <v>389.0</v>
      </c>
      <c r="M110" s="2">
        <v>580.0</v>
      </c>
      <c r="N110" s="2">
        <v>1312.0</v>
      </c>
      <c r="O110" s="2">
        <v>632.0</v>
      </c>
      <c r="P110" s="2">
        <v>2202.0</v>
      </c>
      <c r="Q110" s="2">
        <v>103.0</v>
      </c>
      <c r="R110" s="2">
        <v>117.0</v>
      </c>
      <c r="S110" s="2">
        <v>462.0</v>
      </c>
    </row>
    <row r="111">
      <c r="H111" s="2" t="s">
        <v>52</v>
      </c>
      <c r="I111" s="2">
        <v>3814.0</v>
      </c>
      <c r="J111" s="18">
        <v>3009.0</v>
      </c>
      <c r="K111" s="2">
        <v>2791.0</v>
      </c>
      <c r="L111" s="2">
        <v>1427.0</v>
      </c>
      <c r="M111" s="2">
        <v>2410.0</v>
      </c>
      <c r="N111" s="2">
        <v>6304.0</v>
      </c>
      <c r="O111" s="2">
        <v>3112.0</v>
      </c>
      <c r="P111" s="2">
        <v>8440.0</v>
      </c>
      <c r="Q111" s="2">
        <v>1212.0</v>
      </c>
      <c r="R111" s="2">
        <v>361.0</v>
      </c>
      <c r="S111" s="2">
        <v>3232.0</v>
      </c>
    </row>
    <row r="112">
      <c r="H112" s="2" t="s">
        <v>54</v>
      </c>
      <c r="I112" s="2">
        <v>533.0</v>
      </c>
      <c r="J112" s="18">
        <v>394.0</v>
      </c>
      <c r="K112" s="2">
        <v>903.0</v>
      </c>
      <c r="L112" s="2">
        <v>147.0</v>
      </c>
      <c r="M112" s="2">
        <v>434.0</v>
      </c>
      <c r="N112" s="2">
        <v>1091.0</v>
      </c>
      <c r="O112" s="2">
        <v>674.0</v>
      </c>
      <c r="P112" s="2">
        <v>996.0</v>
      </c>
      <c r="Q112" s="2">
        <v>485.0</v>
      </c>
      <c r="R112" s="2">
        <v>98.0</v>
      </c>
      <c r="S112" s="2">
        <v>566.0</v>
      </c>
    </row>
    <row r="113">
      <c r="H113" s="2" t="s">
        <v>56</v>
      </c>
      <c r="I113" s="2">
        <v>610.0</v>
      </c>
      <c r="J113" s="18">
        <v>1255.0</v>
      </c>
      <c r="K113" s="2">
        <v>166.0</v>
      </c>
      <c r="L113" s="2">
        <v>211.0</v>
      </c>
      <c r="M113" s="2">
        <v>310.0</v>
      </c>
      <c r="N113" s="2">
        <v>841.0</v>
      </c>
      <c r="O113" s="2">
        <v>188.0</v>
      </c>
      <c r="P113" s="2">
        <v>2176.0</v>
      </c>
      <c r="Q113" s="2">
        <v>170.0</v>
      </c>
      <c r="R113" s="2">
        <v>40.0</v>
      </c>
      <c r="S113" s="2">
        <v>306.0</v>
      </c>
    </row>
    <row r="114">
      <c r="H114" s="2" t="s">
        <v>58</v>
      </c>
      <c r="I114" s="2">
        <v>875.0</v>
      </c>
      <c r="J114" s="19">
        <v>375.0</v>
      </c>
      <c r="K114" s="2">
        <v>297.0</v>
      </c>
      <c r="L114" s="2">
        <v>752.0</v>
      </c>
      <c r="M114" s="2">
        <v>269.0</v>
      </c>
      <c r="N114" s="2">
        <v>1180.0</v>
      </c>
      <c r="O114" s="2">
        <v>696.0</v>
      </c>
      <c r="P114" s="2">
        <v>1652.0</v>
      </c>
      <c r="Q114" s="2">
        <v>1292.0</v>
      </c>
      <c r="R114" s="2">
        <v>137.0</v>
      </c>
      <c r="S114" s="2">
        <v>460.0</v>
      </c>
    </row>
    <row r="115">
      <c r="H115" s="2" t="s">
        <v>60</v>
      </c>
      <c r="I115" s="2">
        <v>566.0</v>
      </c>
      <c r="J115" s="19">
        <v>230.0</v>
      </c>
      <c r="K115" s="2">
        <v>201.0</v>
      </c>
      <c r="L115" s="2">
        <v>272.0</v>
      </c>
      <c r="M115" s="2">
        <v>491.0</v>
      </c>
      <c r="N115" s="2">
        <v>841.0</v>
      </c>
      <c r="O115" s="2">
        <v>194.0</v>
      </c>
      <c r="P115" s="2">
        <v>2111.0</v>
      </c>
      <c r="Q115" s="2">
        <v>457.0</v>
      </c>
      <c r="R115" s="2">
        <v>80.0</v>
      </c>
      <c r="S115" s="2">
        <v>816.0</v>
      </c>
    </row>
    <row r="116">
      <c r="H116" s="2" t="s">
        <v>62</v>
      </c>
      <c r="I116" s="2">
        <v>31.0</v>
      </c>
      <c r="J116" s="18">
        <v>48.0</v>
      </c>
      <c r="K116" s="2">
        <v>21.0</v>
      </c>
      <c r="L116" s="2">
        <v>42.0</v>
      </c>
      <c r="M116" s="2">
        <v>25.0</v>
      </c>
      <c r="N116" s="2">
        <v>130.0</v>
      </c>
      <c r="O116" s="2">
        <v>47.0</v>
      </c>
      <c r="P116" s="2">
        <v>147.0</v>
      </c>
      <c r="Q116" s="2">
        <v>156.0</v>
      </c>
      <c r="R116" s="2">
        <v>25.0</v>
      </c>
      <c r="S116" s="2">
        <v>20.0</v>
      </c>
    </row>
    <row r="117">
      <c r="H117" s="2" t="s">
        <v>64</v>
      </c>
      <c r="I117" s="2">
        <v>222.0</v>
      </c>
      <c r="J117" s="18">
        <v>209.0</v>
      </c>
      <c r="K117" s="2">
        <v>48.0</v>
      </c>
      <c r="L117" s="2">
        <v>114.0</v>
      </c>
      <c r="M117" s="2">
        <v>102.0</v>
      </c>
      <c r="N117" s="2">
        <v>249.0</v>
      </c>
      <c r="O117" s="2">
        <v>69.0</v>
      </c>
      <c r="P117" s="2">
        <v>634.0</v>
      </c>
      <c r="Q117" s="2">
        <v>202.0</v>
      </c>
      <c r="R117" s="2">
        <v>37.0</v>
      </c>
      <c r="S117" s="2">
        <v>142.0</v>
      </c>
    </row>
    <row r="118">
      <c r="H118" s="2" t="s">
        <v>66</v>
      </c>
      <c r="I118" s="2">
        <v>89596.0</v>
      </c>
      <c r="J118" s="18">
        <v>60895.0</v>
      </c>
      <c r="K118" s="2">
        <v>64169.0</v>
      </c>
      <c r="L118" s="2">
        <v>103789.0</v>
      </c>
      <c r="M118" s="2">
        <v>148308.0</v>
      </c>
      <c r="N118" s="2">
        <v>151597.0</v>
      </c>
      <c r="O118" s="2">
        <v>83975.0</v>
      </c>
      <c r="P118" s="2">
        <v>281866.0</v>
      </c>
      <c r="Q118" s="2">
        <v>1269.0</v>
      </c>
      <c r="R118" s="2">
        <v>4558.0</v>
      </c>
      <c r="S118" s="2">
        <v>66705.0</v>
      </c>
    </row>
    <row r="119">
      <c r="H119" s="2" t="s">
        <v>68</v>
      </c>
      <c r="I119" s="2">
        <v>473.0</v>
      </c>
      <c r="J119" s="18">
        <v>712.0</v>
      </c>
      <c r="K119" s="2">
        <v>117.0</v>
      </c>
      <c r="L119" s="2">
        <v>120.0</v>
      </c>
      <c r="M119" s="2">
        <v>195.0</v>
      </c>
      <c r="N119" s="2">
        <v>1841.0</v>
      </c>
      <c r="O119" s="2">
        <v>973.0</v>
      </c>
      <c r="P119" s="2">
        <v>1270.0</v>
      </c>
      <c r="Q119" s="2">
        <v>808.0</v>
      </c>
      <c r="R119" s="2">
        <v>370.0</v>
      </c>
      <c r="S119" s="2">
        <v>317.0</v>
      </c>
    </row>
    <row r="120">
      <c r="H120" s="2" t="s">
        <v>70</v>
      </c>
      <c r="I120" s="2">
        <v>1442.0</v>
      </c>
      <c r="J120" s="18">
        <v>647.0</v>
      </c>
      <c r="K120" s="2">
        <v>1512.0</v>
      </c>
      <c r="L120" s="2">
        <v>537.0</v>
      </c>
      <c r="M120" s="2">
        <v>926.0</v>
      </c>
      <c r="N120" s="2">
        <v>3826.0</v>
      </c>
      <c r="O120" s="2">
        <v>935.0</v>
      </c>
      <c r="P120" s="2">
        <v>2872.0</v>
      </c>
      <c r="Q120" s="2">
        <v>1261.0</v>
      </c>
      <c r="R120" s="2">
        <v>123.0</v>
      </c>
      <c r="S120" s="2">
        <v>1103.0</v>
      </c>
    </row>
    <row r="121">
      <c r="H121" s="2" t="s">
        <v>72</v>
      </c>
      <c r="I121" s="2">
        <v>1843.0</v>
      </c>
      <c r="J121" s="18">
        <v>1143.0</v>
      </c>
      <c r="K121" s="2">
        <v>570.0</v>
      </c>
      <c r="L121" s="2">
        <v>1507.0</v>
      </c>
      <c r="M121" s="2">
        <v>773.0</v>
      </c>
      <c r="N121" s="2">
        <v>2180.0</v>
      </c>
      <c r="O121" s="2">
        <v>1142.0</v>
      </c>
      <c r="P121" s="2">
        <v>2207.0</v>
      </c>
      <c r="Q121" s="2">
        <v>950.0</v>
      </c>
      <c r="R121" s="2">
        <v>689.0</v>
      </c>
      <c r="S121" s="2">
        <v>747.0</v>
      </c>
    </row>
    <row r="122">
      <c r="H122" s="2" t="s">
        <v>74</v>
      </c>
      <c r="I122" s="2">
        <v>4332.0</v>
      </c>
      <c r="J122" s="18">
        <v>7598.0</v>
      </c>
      <c r="K122" s="2">
        <v>1380.0</v>
      </c>
      <c r="L122" s="2">
        <v>1338.0</v>
      </c>
      <c r="M122" s="2">
        <v>5478.0</v>
      </c>
      <c r="N122" s="2">
        <v>3917.0</v>
      </c>
      <c r="O122" s="2">
        <v>2429.0</v>
      </c>
      <c r="P122" s="2">
        <v>18889.0</v>
      </c>
      <c r="Q122" s="2">
        <v>923.0</v>
      </c>
      <c r="R122" s="2">
        <v>91.0</v>
      </c>
      <c r="S122" s="2">
        <v>3384.0</v>
      </c>
    </row>
    <row r="123">
      <c r="H123" s="2" t="s">
        <v>76</v>
      </c>
      <c r="I123" s="2">
        <v>3089.0</v>
      </c>
      <c r="J123" s="18">
        <v>1930.0</v>
      </c>
      <c r="K123" s="2">
        <v>2117.0</v>
      </c>
      <c r="L123" s="2">
        <v>2762.0</v>
      </c>
      <c r="M123" s="2">
        <v>1478.0</v>
      </c>
      <c r="N123" s="2">
        <v>5791.0</v>
      </c>
      <c r="O123" s="2">
        <v>2312.0</v>
      </c>
      <c r="P123" s="2">
        <v>6495.0</v>
      </c>
      <c r="Q123" s="2">
        <v>564.0</v>
      </c>
      <c r="R123" s="2">
        <v>263.0</v>
      </c>
      <c r="S123" s="2">
        <v>1851.0</v>
      </c>
    </row>
    <row r="124">
      <c r="H124" s="2" t="s">
        <v>78</v>
      </c>
      <c r="I124" s="2">
        <v>2175.0</v>
      </c>
      <c r="J124" s="18">
        <v>1351.0</v>
      </c>
      <c r="K124" s="2">
        <v>488.0</v>
      </c>
      <c r="L124" s="2">
        <v>1804.0</v>
      </c>
      <c r="M124" s="2">
        <v>981.0</v>
      </c>
      <c r="N124" s="2">
        <v>3610.0</v>
      </c>
      <c r="O124" s="2">
        <v>1211.0</v>
      </c>
      <c r="P124" s="2">
        <v>3879.0</v>
      </c>
      <c r="Q124" s="2">
        <v>1333.0</v>
      </c>
      <c r="R124" s="2">
        <v>2228.0</v>
      </c>
      <c r="S124" s="2">
        <v>1756.0</v>
      </c>
    </row>
    <row r="125">
      <c r="H125" s="2" t="s">
        <v>80</v>
      </c>
      <c r="I125" s="2">
        <v>49869.0</v>
      </c>
      <c r="J125" s="18">
        <v>25780.0</v>
      </c>
      <c r="K125" s="2">
        <v>25700.0</v>
      </c>
      <c r="L125" s="2">
        <v>21647.0</v>
      </c>
      <c r="M125" s="2">
        <v>66590.0</v>
      </c>
      <c r="N125" s="2">
        <v>65952.0</v>
      </c>
      <c r="O125" s="2">
        <v>41008.0</v>
      </c>
      <c r="P125" s="2">
        <v>114591.0</v>
      </c>
      <c r="Q125" s="2">
        <v>3859.0</v>
      </c>
      <c r="R125" s="2">
        <v>885.0</v>
      </c>
      <c r="S125" s="2">
        <v>36923.0</v>
      </c>
    </row>
    <row r="126">
      <c r="H126" s="2" t="s">
        <v>82</v>
      </c>
      <c r="I126" s="2">
        <v>1974.0</v>
      </c>
      <c r="J126" s="18">
        <v>1634.0</v>
      </c>
      <c r="K126" s="2">
        <v>743.0</v>
      </c>
      <c r="L126" s="2">
        <v>779.0</v>
      </c>
      <c r="M126" s="2">
        <v>2607.0</v>
      </c>
      <c r="N126" s="2">
        <v>2701.0</v>
      </c>
      <c r="O126" s="2">
        <v>1586.0</v>
      </c>
      <c r="P126" s="2">
        <v>8396.0</v>
      </c>
      <c r="Q126" s="2">
        <v>520.0</v>
      </c>
      <c r="R126" s="2">
        <v>87.0</v>
      </c>
      <c r="S126" s="2">
        <v>2542.0</v>
      </c>
    </row>
    <row r="127">
      <c r="H127" s="2" t="s">
        <v>84</v>
      </c>
      <c r="I127" s="2">
        <v>16002.0</v>
      </c>
      <c r="J127" s="19">
        <v>11049.0</v>
      </c>
      <c r="K127" s="2">
        <v>4581.0</v>
      </c>
      <c r="L127" s="2">
        <v>8878.0</v>
      </c>
      <c r="M127" s="2">
        <v>11388.0</v>
      </c>
      <c r="N127" s="2">
        <v>13302.0</v>
      </c>
      <c r="O127" s="2">
        <v>14982.0</v>
      </c>
      <c r="P127" s="2">
        <v>36417.0</v>
      </c>
      <c r="Q127" s="2">
        <v>747.0</v>
      </c>
      <c r="R127" s="2">
        <v>708.0</v>
      </c>
      <c r="S127" s="2">
        <v>12376.0</v>
      </c>
    </row>
    <row r="128">
      <c r="H128" s="2" t="s">
        <v>86</v>
      </c>
      <c r="I128" s="2">
        <v>196.0</v>
      </c>
      <c r="J128" s="18">
        <v>336.0</v>
      </c>
      <c r="K128" s="2">
        <v>38.0</v>
      </c>
      <c r="L128" s="2">
        <v>91.0</v>
      </c>
      <c r="M128" s="2">
        <v>81.0</v>
      </c>
      <c r="N128" s="2">
        <v>308.0</v>
      </c>
      <c r="O128" s="2">
        <v>151.0</v>
      </c>
      <c r="P128" s="2">
        <v>517.0</v>
      </c>
      <c r="Q128" s="2">
        <v>199.0</v>
      </c>
      <c r="R128" s="2">
        <v>27.0</v>
      </c>
      <c r="S128" s="2">
        <v>286.0</v>
      </c>
    </row>
    <row r="129">
      <c r="H129" s="2" t="s">
        <v>88</v>
      </c>
      <c r="I129" s="2">
        <v>16106.0</v>
      </c>
      <c r="J129" s="18">
        <v>9677.0</v>
      </c>
      <c r="K129" s="2">
        <v>19516.0</v>
      </c>
      <c r="L129" s="2">
        <v>10475.0</v>
      </c>
      <c r="M129" s="2">
        <v>11497.0</v>
      </c>
      <c r="N129" s="2">
        <v>27142.0</v>
      </c>
      <c r="O129" s="2">
        <v>16256.0</v>
      </c>
      <c r="P129" s="2">
        <v>39215.0</v>
      </c>
      <c r="Q129" s="2">
        <v>1612.0</v>
      </c>
      <c r="R129" s="2">
        <v>210.0</v>
      </c>
      <c r="S129" s="2">
        <v>11015.0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66.25"/>
  </cols>
  <sheetData>
    <row r="1">
      <c r="A1" s="1" t="s">
        <v>116</v>
      </c>
      <c r="B1" s="1" t="s">
        <v>117</v>
      </c>
      <c r="C1" s="1" t="s">
        <v>118</v>
      </c>
    </row>
    <row r="2">
      <c r="A2" s="1" t="s">
        <v>7</v>
      </c>
      <c r="B2" s="20" t="s">
        <v>119</v>
      </c>
      <c r="C2" s="1" t="s">
        <v>100</v>
      </c>
    </row>
    <row r="3">
      <c r="A3" s="1" t="s">
        <v>8</v>
      </c>
      <c r="B3" s="20" t="s">
        <v>120</v>
      </c>
      <c r="C3" s="1" t="s">
        <v>105</v>
      </c>
    </row>
    <row r="4">
      <c r="A4" s="1" t="s">
        <v>121</v>
      </c>
      <c r="B4" s="20" t="s">
        <v>122</v>
      </c>
      <c r="C4" s="1" t="s">
        <v>105</v>
      </c>
    </row>
    <row r="5">
      <c r="A5" s="1" t="s">
        <v>10</v>
      </c>
      <c r="B5" s="20" t="s">
        <v>123</v>
      </c>
      <c r="C5" s="1" t="s">
        <v>114</v>
      </c>
    </row>
    <row r="6">
      <c r="A6" s="1" t="s">
        <v>11</v>
      </c>
      <c r="B6" s="20" t="s">
        <v>124</v>
      </c>
      <c r="C6" s="1" t="s">
        <v>103</v>
      </c>
    </row>
    <row r="7">
      <c r="A7" s="1" t="s">
        <v>12</v>
      </c>
      <c r="B7" s="20" t="s">
        <v>125</v>
      </c>
      <c r="C7" s="1" t="s">
        <v>112</v>
      </c>
    </row>
    <row r="8">
      <c r="A8" s="1" t="s">
        <v>13</v>
      </c>
      <c r="B8" s="20" t="s">
        <v>126</v>
      </c>
      <c r="C8" s="1" t="s">
        <v>105</v>
      </c>
    </row>
    <row r="9">
      <c r="A9" s="1" t="s">
        <v>14</v>
      </c>
      <c r="B9" s="20" t="s">
        <v>127</v>
      </c>
      <c r="C9" s="1" t="s">
        <v>112</v>
      </c>
    </row>
    <row r="10">
      <c r="A10" s="1" t="s">
        <v>15</v>
      </c>
      <c r="B10" s="20" t="s">
        <v>128</v>
      </c>
      <c r="C10" s="1" t="s">
        <v>103</v>
      </c>
    </row>
    <row r="11">
      <c r="A11" s="1" t="s">
        <v>16</v>
      </c>
      <c r="B11" s="20" t="s">
        <v>129</v>
      </c>
      <c r="C11" s="1" t="s">
        <v>103</v>
      </c>
    </row>
    <row r="12">
      <c r="A12" s="1" t="s">
        <v>17</v>
      </c>
      <c r="B12" s="20" t="s">
        <v>130</v>
      </c>
      <c r="C12" s="1" t="s">
        <v>103</v>
      </c>
    </row>
    <row r="13">
      <c r="A13" s="1" t="s">
        <v>18</v>
      </c>
      <c r="B13" s="20" t="s">
        <v>131</v>
      </c>
      <c r="C13" s="1" t="s">
        <v>104</v>
      </c>
    </row>
    <row r="14">
      <c r="A14" s="1" t="s">
        <v>19</v>
      </c>
      <c r="B14" s="20" t="s">
        <v>132</v>
      </c>
      <c r="C14" s="1" t="s">
        <v>102</v>
      </c>
    </row>
    <row r="15">
      <c r="A15" s="1" t="s">
        <v>21</v>
      </c>
      <c r="B15" s="20" t="s">
        <v>133</v>
      </c>
      <c r="C15" s="1" t="s">
        <v>21</v>
      </c>
    </row>
    <row r="16">
      <c r="A16" s="1" t="s">
        <v>20</v>
      </c>
      <c r="B16" s="20" t="s">
        <v>134</v>
      </c>
      <c r="C16" s="1" t="s">
        <v>102</v>
      </c>
    </row>
    <row r="17">
      <c r="A17" s="1" t="s">
        <v>22</v>
      </c>
      <c r="B17" s="20" t="s">
        <v>135</v>
      </c>
      <c r="C17" s="1" t="s">
        <v>103</v>
      </c>
    </row>
    <row r="18">
      <c r="A18" s="1" t="s">
        <v>23</v>
      </c>
      <c r="B18" s="20" t="s">
        <v>136</v>
      </c>
      <c r="C18" s="1" t="s">
        <v>113</v>
      </c>
    </row>
    <row r="19">
      <c r="A19" s="1" t="s">
        <v>24</v>
      </c>
      <c r="B19" s="20" t="s">
        <v>137</v>
      </c>
      <c r="C19" s="1" t="s">
        <v>105</v>
      </c>
    </row>
    <row r="20">
      <c r="A20" s="1" t="s">
        <v>138</v>
      </c>
      <c r="B20" s="20" t="s">
        <v>139</v>
      </c>
      <c r="C20" s="1" t="s">
        <v>102</v>
      </c>
    </row>
    <row r="21">
      <c r="A21" s="1" t="s">
        <v>26</v>
      </c>
      <c r="B21" s="20" t="s">
        <v>140</v>
      </c>
      <c r="C21" s="1" t="s">
        <v>105</v>
      </c>
    </row>
    <row r="22">
      <c r="A22" s="1" t="s">
        <v>27</v>
      </c>
      <c r="B22" s="20" t="s">
        <v>141</v>
      </c>
      <c r="C22" s="1" t="s">
        <v>99</v>
      </c>
    </row>
    <row r="23">
      <c r="A23" s="1" t="s">
        <v>28</v>
      </c>
      <c r="B23" s="20" t="s">
        <v>142</v>
      </c>
      <c r="C23" s="1" t="s">
        <v>101</v>
      </c>
    </row>
    <row r="24">
      <c r="A24" s="1" t="s">
        <v>29</v>
      </c>
      <c r="B24" s="20" t="s">
        <v>143</v>
      </c>
      <c r="C24" s="1" t="s">
        <v>101</v>
      </c>
    </row>
    <row r="25">
      <c r="A25" s="1" t="s">
        <v>30</v>
      </c>
      <c r="B25" s="20" t="s">
        <v>144</v>
      </c>
      <c r="C25" s="1" t="s">
        <v>101</v>
      </c>
    </row>
    <row r="26">
      <c r="A26" s="1" t="s">
        <v>31</v>
      </c>
      <c r="B26" s="1" t="s">
        <v>145</v>
      </c>
      <c r="C26" s="1" t="s">
        <v>110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3" width="13.75"/>
    <col customWidth="1" min="4" max="26" width="8.63"/>
  </cols>
  <sheetData>
    <row r="1" ht="14.25" customHeight="1">
      <c r="A1" s="2" t="s">
        <v>146</v>
      </c>
      <c r="B1" s="2" t="s">
        <v>147</v>
      </c>
      <c r="C1" s="2" t="s">
        <v>6</v>
      </c>
    </row>
    <row r="2" ht="14.25" customHeight="1">
      <c r="A2" s="2" t="s">
        <v>148</v>
      </c>
      <c r="B2" s="4">
        <v>7314.0</v>
      </c>
      <c r="C2" s="4">
        <v>2280.83726117628</v>
      </c>
    </row>
    <row r="3" ht="14.25" customHeight="1">
      <c r="A3" s="2" t="s">
        <v>149</v>
      </c>
      <c r="B3" s="4">
        <v>61250.7760262901</v>
      </c>
      <c r="C3" s="4">
        <v>20024.4210002052</v>
      </c>
    </row>
    <row r="4" ht="14.25" customHeight="1">
      <c r="A4" s="2" t="s">
        <v>150</v>
      </c>
      <c r="B4" s="4">
        <v>141699.722550596</v>
      </c>
      <c r="C4" s="4">
        <v>44622.6052737326</v>
      </c>
    </row>
    <row r="5" ht="14.25" customHeight="1">
      <c r="A5" s="2" t="s">
        <v>151</v>
      </c>
      <c r="B5" s="4">
        <v>20653.592476724</v>
      </c>
      <c r="C5" s="4">
        <v>7861.55455850307</v>
      </c>
    </row>
    <row r="6" ht="14.25" customHeight="1">
      <c r="A6" s="2" t="s">
        <v>152</v>
      </c>
      <c r="B6" s="4">
        <v>997.721919134078</v>
      </c>
      <c r="C6" s="4">
        <v>405.24978741408</v>
      </c>
    </row>
    <row r="7" ht="14.25" customHeight="1">
      <c r="A7" s="2" t="s">
        <v>153</v>
      </c>
      <c r="B7" s="4">
        <v>377378.472348828</v>
      </c>
      <c r="C7" s="4">
        <v>120087.090578934</v>
      </c>
    </row>
    <row r="8" ht="14.25" customHeight="1">
      <c r="A8" s="2" t="s">
        <v>154</v>
      </c>
      <c r="B8" s="4">
        <v>20111.9228966598</v>
      </c>
      <c r="C8" s="4">
        <v>6560.57840420365</v>
      </c>
    </row>
    <row r="9" ht="14.25" customHeight="1">
      <c r="A9" s="2" t="s">
        <v>155</v>
      </c>
      <c r="B9" s="4">
        <v>10035.2331671617</v>
      </c>
      <c r="C9" s="4">
        <v>3756.87466986425</v>
      </c>
    </row>
    <row r="10" ht="14.25" customHeight="1">
      <c r="A10" s="2" t="s">
        <v>156</v>
      </c>
      <c r="B10" s="4">
        <v>5140.64742839758</v>
      </c>
      <c r="C10" s="4">
        <v>1877.98138279702</v>
      </c>
    </row>
    <row r="11" ht="14.25" customHeight="1">
      <c r="A11" s="2" t="s">
        <v>157</v>
      </c>
      <c r="B11" s="4">
        <v>9842.42227352314</v>
      </c>
      <c r="C11" s="4">
        <v>3984.92193917147</v>
      </c>
    </row>
    <row r="12" ht="14.25" customHeight="1">
      <c r="A12" s="2" t="s">
        <v>158</v>
      </c>
      <c r="B12" s="4">
        <v>66044.4681197315</v>
      </c>
      <c r="C12" s="4">
        <v>21467.7260208368</v>
      </c>
    </row>
    <row r="13" ht="14.25" customHeight="1">
      <c r="A13" s="2" t="s">
        <v>159</v>
      </c>
      <c r="B13" s="4">
        <v>12766.2571565521</v>
      </c>
      <c r="C13" s="4">
        <v>3975.0170026328</v>
      </c>
    </row>
    <row r="14" ht="14.25" customHeight="1">
      <c r="A14" s="2" t="s">
        <v>160</v>
      </c>
      <c r="B14" s="4">
        <v>8387.49527728593</v>
      </c>
      <c r="C14" s="4">
        <v>3104.05697880098</v>
      </c>
    </row>
    <row r="15" ht="14.25" customHeight="1">
      <c r="A15" s="2" t="s">
        <v>161</v>
      </c>
      <c r="B15" s="4">
        <v>13484.4708844449</v>
      </c>
      <c r="C15" s="4">
        <v>4370.90353765359</v>
      </c>
    </row>
    <row r="16" ht="14.25" customHeight="1">
      <c r="A16" s="2" t="s">
        <v>162</v>
      </c>
      <c r="B16" s="4">
        <v>13059.4863619048</v>
      </c>
      <c r="C16" s="4">
        <v>4211.84809040394</v>
      </c>
    </row>
    <row r="17" ht="14.25" customHeight="1">
      <c r="A17" s="2" t="s">
        <v>163</v>
      </c>
      <c r="B17" s="4">
        <v>1564.5950949531</v>
      </c>
      <c r="C17" s="4">
        <v>605.846243735018</v>
      </c>
    </row>
    <row r="18" ht="14.25" customHeight="1">
      <c r="A18" s="2" t="s">
        <v>164</v>
      </c>
      <c r="B18" s="4">
        <v>2724.55141848867</v>
      </c>
      <c r="C18" s="4">
        <v>958.119028374583</v>
      </c>
    </row>
    <row r="19" ht="14.25" customHeight="1">
      <c r="A19" s="2" t="s">
        <v>165</v>
      </c>
      <c r="B19" s="4">
        <v>1220554.46887834</v>
      </c>
      <c r="C19" s="4">
        <v>428373.988122279</v>
      </c>
    </row>
    <row r="20" ht="14.25" customHeight="1">
      <c r="A20" s="2" t="s">
        <v>166</v>
      </c>
      <c r="B20" s="4">
        <v>14953.6144466165</v>
      </c>
      <c r="C20" s="4">
        <v>5167.48176938899</v>
      </c>
    </row>
    <row r="21" ht="14.25" customHeight="1">
      <c r="A21" s="2" t="s">
        <v>167</v>
      </c>
      <c r="B21" s="4">
        <v>30346.8967424496</v>
      </c>
      <c r="C21" s="4">
        <v>9226.19960511491</v>
      </c>
    </row>
    <row r="22" ht="14.25" customHeight="1">
      <c r="A22" s="2" t="s">
        <v>168</v>
      </c>
      <c r="B22" s="4">
        <v>22164.0028135878</v>
      </c>
      <c r="C22" s="4">
        <v>7586.12346808955</v>
      </c>
    </row>
    <row r="23" ht="14.25" customHeight="1">
      <c r="A23" s="2" t="s">
        <v>169</v>
      </c>
      <c r="B23" s="4">
        <v>43490.9106490997</v>
      </c>
      <c r="C23" s="4">
        <v>14382.4560763673</v>
      </c>
    </row>
    <row r="24" ht="14.25" customHeight="1">
      <c r="A24" s="2" t="s">
        <v>170</v>
      </c>
      <c r="B24" s="4">
        <v>79407.6559746058</v>
      </c>
      <c r="C24" s="4">
        <v>24833.7616100811</v>
      </c>
    </row>
    <row r="25" ht="14.25" customHeight="1">
      <c r="A25" s="2" t="s">
        <v>171</v>
      </c>
      <c r="B25" s="4">
        <v>36527.0282532865</v>
      </c>
      <c r="C25" s="4">
        <v>12148.5174370102</v>
      </c>
    </row>
    <row r="26" ht="14.25" customHeight="1">
      <c r="A26" s="2" t="s">
        <v>172</v>
      </c>
      <c r="B26" s="4">
        <v>727751.710925635</v>
      </c>
      <c r="C26" s="4">
        <v>211379.054338927</v>
      </c>
    </row>
    <row r="27" ht="14.25" customHeight="1">
      <c r="A27" s="2" t="s">
        <v>173</v>
      </c>
      <c r="B27" s="4">
        <v>37932.8260005542</v>
      </c>
      <c r="C27" s="4">
        <v>12556.5957953645</v>
      </c>
    </row>
    <row r="28" ht="14.25" customHeight="1">
      <c r="A28" s="2" t="s">
        <v>174</v>
      </c>
      <c r="B28" s="4">
        <v>198528.201970499</v>
      </c>
      <c r="C28" s="4">
        <v>70844.7814654916</v>
      </c>
    </row>
    <row r="29" ht="14.25" customHeight="1">
      <c r="A29" s="2" t="s">
        <v>175</v>
      </c>
      <c r="B29" s="4">
        <v>2522.74183261254</v>
      </c>
      <c r="C29" s="4">
        <v>947.104284458391</v>
      </c>
    </row>
    <row r="30" ht="14.25" customHeight="1">
      <c r="A30" s="2" t="s">
        <v>176</v>
      </c>
      <c r="B30" s="4">
        <v>269810.698495116</v>
      </c>
      <c r="C30" s="4">
        <v>94481.6646945673</v>
      </c>
    </row>
    <row r="31" ht="14.25" customHeight="1">
      <c r="A31" s="2" t="s">
        <v>177</v>
      </c>
      <c r="B31" s="4">
        <v>3456446.17403605</v>
      </c>
      <c r="C31" s="4">
        <v>1142083.36042558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4.13"/>
    <col customWidth="1" min="3" max="3" width="46.25"/>
    <col customWidth="1" min="4" max="6" width="8.88"/>
    <col customWidth="1" min="7" max="26" width="8.63"/>
  </cols>
  <sheetData>
    <row r="1" ht="13.5" customHeight="1">
      <c r="A1" s="20" t="s">
        <v>178</v>
      </c>
      <c r="B1" s="20" t="s">
        <v>179</v>
      </c>
      <c r="C1" s="20" t="s">
        <v>180</v>
      </c>
      <c r="D1" s="20" t="s">
        <v>181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3.5" customHeight="1">
      <c r="A2" s="20">
        <v>2023.0</v>
      </c>
      <c r="B2" s="20" t="s">
        <v>119</v>
      </c>
      <c r="C2" s="20" t="s">
        <v>32</v>
      </c>
      <c r="D2" s="20">
        <v>517.0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3.5" customHeight="1">
      <c r="A3" s="20">
        <v>2023.0</v>
      </c>
      <c r="B3" s="20" t="s">
        <v>120</v>
      </c>
      <c r="C3" s="20" t="s">
        <v>32</v>
      </c>
      <c r="D3" s="20">
        <v>192.0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3.5" customHeight="1">
      <c r="A4" s="20">
        <v>2023.0</v>
      </c>
      <c r="B4" s="20" t="s">
        <v>122</v>
      </c>
      <c r="C4" s="20" t="s">
        <v>32</v>
      </c>
      <c r="D4" s="20">
        <v>68.0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3.5" customHeight="1">
      <c r="A5" s="20">
        <v>2023.0</v>
      </c>
      <c r="B5" s="20" t="s">
        <v>123</v>
      </c>
      <c r="C5" s="20" t="s">
        <v>32</v>
      </c>
      <c r="D5" s="20">
        <v>278.0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3.5" customHeight="1">
      <c r="A6" s="20">
        <v>2023.0</v>
      </c>
      <c r="B6" s="20" t="s">
        <v>124</v>
      </c>
      <c r="C6" s="20" t="s">
        <v>32</v>
      </c>
      <c r="D6" s="20">
        <v>14.0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3.5" customHeight="1">
      <c r="A7" s="20">
        <v>2023.0</v>
      </c>
      <c r="B7" s="20" t="s">
        <v>125</v>
      </c>
      <c r="C7" s="20" t="s">
        <v>32</v>
      </c>
      <c r="D7" s="20">
        <v>695.0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3.5" customHeight="1">
      <c r="A8" s="20">
        <v>2023.0</v>
      </c>
      <c r="B8" s="20" t="s">
        <v>128</v>
      </c>
      <c r="C8" s="20" t="s">
        <v>32</v>
      </c>
      <c r="D8" s="20">
        <v>45.0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3.5" customHeight="1">
      <c r="A9" s="20">
        <v>2023.0</v>
      </c>
      <c r="B9" s="20" t="s">
        <v>135</v>
      </c>
      <c r="C9" s="20" t="s">
        <v>32</v>
      </c>
      <c r="D9" s="20">
        <v>26.0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3.5" customHeight="1">
      <c r="A10" s="20">
        <v>2023.0</v>
      </c>
      <c r="B10" s="20" t="s">
        <v>126</v>
      </c>
      <c r="C10" s="20" t="s">
        <v>32</v>
      </c>
      <c r="D10" s="20">
        <v>135.0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3.5" customHeight="1">
      <c r="A11" s="20">
        <v>2023.0</v>
      </c>
      <c r="B11" s="20" t="s">
        <v>127</v>
      </c>
      <c r="C11" s="20" t="s">
        <v>32</v>
      </c>
      <c r="D11" s="20">
        <v>43.0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3.5" customHeight="1">
      <c r="A12" s="20">
        <v>2023.0</v>
      </c>
      <c r="B12" s="20" t="s">
        <v>131</v>
      </c>
      <c r="C12" s="20" t="s">
        <v>32</v>
      </c>
      <c r="D12" s="20">
        <v>160.0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3.5" customHeight="1">
      <c r="A13" s="20">
        <v>2023.0</v>
      </c>
      <c r="B13" s="20" t="s">
        <v>132</v>
      </c>
      <c r="C13" s="20" t="s">
        <v>32</v>
      </c>
      <c r="D13" s="20">
        <v>15.0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3.5" customHeight="1">
      <c r="A14" s="20">
        <v>2023.0</v>
      </c>
      <c r="B14" s="20" t="s">
        <v>129</v>
      </c>
      <c r="C14" s="20" t="s">
        <v>32</v>
      </c>
      <c r="D14" s="20">
        <v>678.0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3.5" customHeight="1">
      <c r="A15" s="20">
        <v>2023.0</v>
      </c>
      <c r="B15" s="20" t="s">
        <v>134</v>
      </c>
      <c r="C15" s="20" t="s">
        <v>32</v>
      </c>
      <c r="D15" s="20">
        <v>43.0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3.5" customHeight="1">
      <c r="A16" s="20">
        <v>2023.0</v>
      </c>
      <c r="B16" s="20" t="s">
        <v>133</v>
      </c>
      <c r="C16" s="20" t="s">
        <v>32</v>
      </c>
      <c r="D16" s="20">
        <v>223.0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3.5" customHeight="1">
      <c r="A17" s="20">
        <v>2023.0</v>
      </c>
      <c r="B17" s="20" t="s">
        <v>136</v>
      </c>
      <c r="C17" s="20" t="s">
        <v>32</v>
      </c>
      <c r="D17" s="20">
        <v>102.0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3.5" customHeight="1">
      <c r="A18" s="20">
        <v>2023.0</v>
      </c>
      <c r="B18" s="20" t="s">
        <v>137</v>
      </c>
      <c r="C18" s="20" t="s">
        <v>32</v>
      </c>
      <c r="D18" s="20">
        <v>264.0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3.5" customHeight="1">
      <c r="A19" s="20">
        <v>2023.0</v>
      </c>
      <c r="B19" s="20" t="s">
        <v>139</v>
      </c>
      <c r="C19" s="20" t="s">
        <v>32</v>
      </c>
      <c r="D19" s="20">
        <v>88.0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3.5" customHeight="1">
      <c r="A20" s="20">
        <v>2023.0</v>
      </c>
      <c r="B20" s="20" t="s">
        <v>140</v>
      </c>
      <c r="C20" s="20" t="s">
        <v>32</v>
      </c>
      <c r="D20" s="20">
        <v>278.0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3.5" customHeight="1">
      <c r="A21" s="20">
        <v>2023.0</v>
      </c>
      <c r="B21" s="20" t="s">
        <v>141</v>
      </c>
      <c r="C21" s="20" t="s">
        <v>32</v>
      </c>
      <c r="D21" s="20">
        <v>542.0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3.5" customHeight="1">
      <c r="A22" s="20">
        <v>2023.0</v>
      </c>
      <c r="B22" s="20" t="s">
        <v>130</v>
      </c>
      <c r="C22" s="20" t="s">
        <v>32</v>
      </c>
      <c r="D22" s="20">
        <v>47.0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3.5" customHeight="1">
      <c r="A23" s="20">
        <v>2023.0</v>
      </c>
      <c r="B23" s="20" t="s">
        <v>142</v>
      </c>
      <c r="C23" s="20" t="s">
        <v>32</v>
      </c>
      <c r="D23" s="20">
        <v>169.0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3.5" customHeight="1">
      <c r="A24" s="20">
        <v>2023.0</v>
      </c>
      <c r="B24" s="20" t="s">
        <v>143</v>
      </c>
      <c r="C24" s="20" t="s">
        <v>32</v>
      </c>
      <c r="D24" s="20">
        <v>45.0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3.5" customHeight="1">
      <c r="A25" s="20">
        <v>2023.0</v>
      </c>
      <c r="B25" s="20" t="s">
        <v>144</v>
      </c>
      <c r="C25" s="20" t="s">
        <v>32</v>
      </c>
      <c r="D25" s="20">
        <v>61.0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3.5" customHeight="1">
      <c r="A26" s="20">
        <v>2023.0</v>
      </c>
      <c r="B26" s="20" t="s">
        <v>119</v>
      </c>
      <c r="C26" s="20" t="s">
        <v>34</v>
      </c>
      <c r="D26" s="20">
        <v>2000.0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3.5" customHeight="1">
      <c r="A27" s="20">
        <v>2023.0</v>
      </c>
      <c r="B27" s="20" t="s">
        <v>120</v>
      </c>
      <c r="C27" s="20" t="s">
        <v>34</v>
      </c>
      <c r="D27" s="20">
        <v>928.0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3.5" customHeight="1">
      <c r="A28" s="20">
        <v>2023.0</v>
      </c>
      <c r="B28" s="20" t="s">
        <v>122</v>
      </c>
      <c r="C28" s="20" t="s">
        <v>34</v>
      </c>
      <c r="D28" s="20">
        <v>460.0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3.5" customHeight="1">
      <c r="A29" s="20">
        <v>2023.0</v>
      </c>
      <c r="B29" s="20" t="s">
        <v>123</v>
      </c>
      <c r="C29" s="20" t="s">
        <v>34</v>
      </c>
      <c r="D29" s="20">
        <v>2747.0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3.5" customHeight="1">
      <c r="A30" s="20">
        <v>2023.0</v>
      </c>
      <c r="B30" s="20" t="s">
        <v>124</v>
      </c>
      <c r="C30" s="20" t="s">
        <v>34</v>
      </c>
      <c r="D30" s="20">
        <v>481.0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3.5" customHeight="1">
      <c r="A31" s="20">
        <v>2023.0</v>
      </c>
      <c r="B31" s="20" t="s">
        <v>125</v>
      </c>
      <c r="C31" s="20" t="s">
        <v>34</v>
      </c>
      <c r="D31" s="20">
        <v>1499.0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3.5" customHeight="1">
      <c r="A32" s="20">
        <v>2023.0</v>
      </c>
      <c r="B32" s="20" t="s">
        <v>128</v>
      </c>
      <c r="C32" s="20" t="s">
        <v>34</v>
      </c>
      <c r="D32" s="20">
        <v>217.0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3.5" customHeight="1">
      <c r="A33" s="20">
        <v>2023.0</v>
      </c>
      <c r="B33" s="20" t="s">
        <v>135</v>
      </c>
      <c r="C33" s="20" t="s">
        <v>34</v>
      </c>
      <c r="D33" s="20">
        <v>227.0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3.5" customHeight="1">
      <c r="A34" s="20">
        <v>2023.0</v>
      </c>
      <c r="B34" s="20" t="s">
        <v>126</v>
      </c>
      <c r="C34" s="20" t="s">
        <v>34</v>
      </c>
      <c r="D34" s="20">
        <v>1149.0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3.5" customHeight="1">
      <c r="A35" s="20">
        <v>2023.0</v>
      </c>
      <c r="B35" s="20" t="s">
        <v>127</v>
      </c>
      <c r="C35" s="20" t="s">
        <v>34</v>
      </c>
      <c r="D35" s="20">
        <v>195.0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3.5" customHeight="1">
      <c r="A36" s="20">
        <v>2023.0</v>
      </c>
      <c r="B36" s="20" t="s">
        <v>131</v>
      </c>
      <c r="C36" s="20" t="s">
        <v>34</v>
      </c>
      <c r="D36" s="20">
        <v>2148.0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3.5" customHeight="1">
      <c r="A37" s="20">
        <v>2023.0</v>
      </c>
      <c r="B37" s="20" t="s">
        <v>132</v>
      </c>
      <c r="C37" s="20" t="s">
        <v>34</v>
      </c>
      <c r="D37" s="20">
        <v>165.0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3.5" customHeight="1">
      <c r="A38" s="20">
        <v>2023.0</v>
      </c>
      <c r="B38" s="20" t="s">
        <v>129</v>
      </c>
      <c r="C38" s="20" t="s">
        <v>34</v>
      </c>
      <c r="D38" s="20">
        <v>2651.0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3.5" customHeight="1">
      <c r="A39" s="20">
        <v>2023.0</v>
      </c>
      <c r="B39" s="20" t="s">
        <v>134</v>
      </c>
      <c r="C39" s="20" t="s">
        <v>34</v>
      </c>
      <c r="D39" s="20">
        <v>93.0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3.5" customHeight="1">
      <c r="A40" s="20">
        <v>2023.0</v>
      </c>
      <c r="B40" s="20" t="s">
        <v>133</v>
      </c>
      <c r="C40" s="20" t="s">
        <v>34</v>
      </c>
      <c r="D40" s="20">
        <v>8010.0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3.5" customHeight="1">
      <c r="A41" s="20">
        <v>2023.0</v>
      </c>
      <c r="B41" s="20" t="s">
        <v>136</v>
      </c>
      <c r="C41" s="20" t="s">
        <v>34</v>
      </c>
      <c r="D41" s="20">
        <v>88.0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3.5" customHeight="1">
      <c r="A42" s="20">
        <v>2023.0</v>
      </c>
      <c r="B42" s="20" t="s">
        <v>137</v>
      </c>
      <c r="C42" s="20" t="s">
        <v>34</v>
      </c>
      <c r="D42" s="20">
        <v>1669.0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3.5" customHeight="1">
      <c r="A43" s="20">
        <v>2023.0</v>
      </c>
      <c r="B43" s="20" t="s">
        <v>139</v>
      </c>
      <c r="C43" s="20" t="s">
        <v>34</v>
      </c>
      <c r="D43" s="20">
        <v>1106.0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3.5" customHeight="1">
      <c r="A44" s="20">
        <v>2023.0</v>
      </c>
      <c r="B44" s="20" t="s">
        <v>140</v>
      </c>
      <c r="C44" s="20" t="s">
        <v>34</v>
      </c>
      <c r="D44" s="20">
        <v>2109.0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3.5" customHeight="1">
      <c r="A45" s="20">
        <v>2023.0</v>
      </c>
      <c r="B45" s="20" t="s">
        <v>141</v>
      </c>
      <c r="C45" s="20" t="s">
        <v>34</v>
      </c>
      <c r="D45" s="20">
        <v>3061.0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3.5" customHeight="1">
      <c r="A46" s="20">
        <v>2023.0</v>
      </c>
      <c r="B46" s="20" t="s">
        <v>130</v>
      </c>
      <c r="C46" s="20" t="s">
        <v>34</v>
      </c>
      <c r="D46" s="20">
        <v>208.0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3.5" customHeight="1">
      <c r="A47" s="20">
        <v>2023.0</v>
      </c>
      <c r="B47" s="20" t="s">
        <v>142</v>
      </c>
      <c r="C47" s="20" t="s">
        <v>34</v>
      </c>
      <c r="D47" s="20">
        <v>2300.0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3.5" customHeight="1">
      <c r="A48" s="20">
        <v>2023.0</v>
      </c>
      <c r="B48" s="20" t="s">
        <v>143</v>
      </c>
      <c r="C48" s="20" t="s">
        <v>34</v>
      </c>
      <c r="D48" s="20">
        <v>53.0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3.5" customHeight="1">
      <c r="A49" s="20">
        <v>2023.0</v>
      </c>
      <c r="B49" s="20" t="s">
        <v>144</v>
      </c>
      <c r="C49" s="20" t="s">
        <v>34</v>
      </c>
      <c r="D49" s="20">
        <v>806.0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3.5" customHeight="1">
      <c r="A50" s="20">
        <v>2023.0</v>
      </c>
      <c r="B50" s="20" t="s">
        <v>119</v>
      </c>
      <c r="C50" s="20" t="s">
        <v>36</v>
      </c>
      <c r="D50" s="20">
        <v>4787.0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3.5" customHeight="1">
      <c r="A51" s="20">
        <v>2023.0</v>
      </c>
      <c r="B51" s="20" t="s">
        <v>120</v>
      </c>
      <c r="C51" s="20" t="s">
        <v>36</v>
      </c>
      <c r="D51" s="20">
        <v>2631.0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3.5" customHeight="1">
      <c r="A52" s="20">
        <v>2023.0</v>
      </c>
      <c r="B52" s="20" t="s">
        <v>122</v>
      </c>
      <c r="C52" s="20" t="s">
        <v>36</v>
      </c>
      <c r="D52" s="20">
        <v>1999.0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3.5" customHeight="1">
      <c r="A53" s="20">
        <v>2023.0</v>
      </c>
      <c r="B53" s="20" t="s">
        <v>123</v>
      </c>
      <c r="C53" s="20" t="s">
        <v>36</v>
      </c>
      <c r="D53" s="20">
        <v>4652.0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3.5" customHeight="1">
      <c r="A54" s="20">
        <v>2023.0</v>
      </c>
      <c r="B54" s="20" t="s">
        <v>124</v>
      </c>
      <c r="C54" s="20" t="s">
        <v>36</v>
      </c>
      <c r="D54" s="20">
        <v>1667.0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3.5" customHeight="1">
      <c r="A55" s="20">
        <v>2023.0</v>
      </c>
      <c r="B55" s="20" t="s">
        <v>125</v>
      </c>
      <c r="C55" s="20" t="s">
        <v>36</v>
      </c>
      <c r="D55" s="20">
        <v>1559.0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3.5" customHeight="1">
      <c r="A56" s="20">
        <v>2023.0</v>
      </c>
      <c r="B56" s="20" t="s">
        <v>128</v>
      </c>
      <c r="C56" s="20" t="s">
        <v>36</v>
      </c>
      <c r="D56" s="20">
        <v>356.0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3.5" customHeight="1">
      <c r="A57" s="20">
        <v>2023.0</v>
      </c>
      <c r="B57" s="20" t="s">
        <v>135</v>
      </c>
      <c r="C57" s="20" t="s">
        <v>36</v>
      </c>
      <c r="D57" s="20">
        <v>515.0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3.5" customHeight="1">
      <c r="A58" s="20">
        <v>2023.0</v>
      </c>
      <c r="B58" s="20" t="s">
        <v>126</v>
      </c>
      <c r="C58" s="20" t="s">
        <v>36</v>
      </c>
      <c r="D58" s="20">
        <v>4751.0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3.5" customHeight="1">
      <c r="A59" s="20">
        <v>2023.0</v>
      </c>
      <c r="B59" s="20" t="s">
        <v>127</v>
      </c>
      <c r="C59" s="20" t="s">
        <v>36</v>
      </c>
      <c r="D59" s="20">
        <v>298.0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3.5" customHeight="1">
      <c r="A60" s="20">
        <v>2023.0</v>
      </c>
      <c r="B60" s="20" t="s">
        <v>131</v>
      </c>
      <c r="C60" s="20" t="s">
        <v>36</v>
      </c>
      <c r="D60" s="20">
        <v>8115.0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3.5" customHeight="1">
      <c r="A61" s="20">
        <v>2023.0</v>
      </c>
      <c r="B61" s="20" t="s">
        <v>132</v>
      </c>
      <c r="C61" s="20" t="s">
        <v>36</v>
      </c>
      <c r="D61" s="20">
        <v>851.0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3.5" customHeight="1">
      <c r="A62" s="20">
        <v>2023.0</v>
      </c>
      <c r="B62" s="20" t="s">
        <v>129</v>
      </c>
      <c r="C62" s="20" t="s">
        <v>36</v>
      </c>
      <c r="D62" s="20">
        <v>5972.0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3.5" customHeight="1">
      <c r="A63" s="20">
        <v>2023.0</v>
      </c>
      <c r="B63" s="20" t="s">
        <v>134</v>
      </c>
      <c r="C63" s="20" t="s">
        <v>36</v>
      </c>
      <c r="D63" s="20">
        <v>1439.0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3.5" customHeight="1">
      <c r="A64" s="20">
        <v>2023.0</v>
      </c>
      <c r="B64" s="20" t="s">
        <v>133</v>
      </c>
      <c r="C64" s="20" t="s">
        <v>36</v>
      </c>
      <c r="D64" s="20">
        <v>13034.0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3.5" customHeight="1">
      <c r="A65" s="20">
        <v>2023.0</v>
      </c>
      <c r="B65" s="20" t="s">
        <v>136</v>
      </c>
      <c r="C65" s="20" t="s">
        <v>36</v>
      </c>
      <c r="D65" s="20">
        <v>155.0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3.5" customHeight="1">
      <c r="A66" s="20">
        <v>2023.0</v>
      </c>
      <c r="B66" s="20" t="s">
        <v>137</v>
      </c>
      <c r="C66" s="20" t="s">
        <v>36</v>
      </c>
      <c r="D66" s="20">
        <v>4151.0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3.5" customHeight="1">
      <c r="A67" s="20">
        <v>2023.0</v>
      </c>
      <c r="B67" s="20" t="s">
        <v>139</v>
      </c>
      <c r="C67" s="20" t="s">
        <v>36</v>
      </c>
      <c r="D67" s="20">
        <v>8227.0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3.5" customHeight="1">
      <c r="A68" s="20">
        <v>2023.0</v>
      </c>
      <c r="B68" s="20" t="s">
        <v>140</v>
      </c>
      <c r="C68" s="20" t="s">
        <v>36</v>
      </c>
      <c r="D68" s="20">
        <v>6866.0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3.5" customHeight="1">
      <c r="A69" s="20">
        <v>2023.0</v>
      </c>
      <c r="B69" s="20" t="s">
        <v>141</v>
      </c>
      <c r="C69" s="20" t="s">
        <v>36</v>
      </c>
      <c r="D69" s="20">
        <v>9824.0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3.5" customHeight="1">
      <c r="A70" s="20">
        <v>2023.0</v>
      </c>
      <c r="B70" s="20" t="s">
        <v>130</v>
      </c>
      <c r="C70" s="20" t="s">
        <v>36</v>
      </c>
      <c r="D70" s="20">
        <v>6144.0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3.5" customHeight="1">
      <c r="A71" s="20">
        <v>2023.0</v>
      </c>
      <c r="B71" s="20" t="s">
        <v>142</v>
      </c>
      <c r="C71" s="20" t="s">
        <v>36</v>
      </c>
      <c r="D71" s="20">
        <v>2182.0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3.5" customHeight="1">
      <c r="A72" s="20">
        <v>2023.0</v>
      </c>
      <c r="B72" s="20" t="s">
        <v>143</v>
      </c>
      <c r="C72" s="20" t="s">
        <v>36</v>
      </c>
      <c r="D72" s="20">
        <v>103.0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3.5" customHeight="1">
      <c r="A73" s="20">
        <v>2023.0</v>
      </c>
      <c r="B73" s="20" t="s">
        <v>144</v>
      </c>
      <c r="C73" s="20" t="s">
        <v>36</v>
      </c>
      <c r="D73" s="20">
        <v>1811.0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3.5" customHeight="1">
      <c r="A74" s="20">
        <v>2023.0</v>
      </c>
      <c r="B74" s="20" t="s">
        <v>119</v>
      </c>
      <c r="C74" s="20" t="s">
        <v>38</v>
      </c>
      <c r="D74" s="20">
        <v>798.0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.5" customHeight="1">
      <c r="A75" s="20">
        <v>2023.0</v>
      </c>
      <c r="B75" s="20" t="s">
        <v>120</v>
      </c>
      <c r="C75" s="20" t="s">
        <v>38</v>
      </c>
      <c r="D75" s="20">
        <v>448.0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3.5" customHeight="1">
      <c r="A76" s="20">
        <v>2023.0</v>
      </c>
      <c r="B76" s="20" t="s">
        <v>122</v>
      </c>
      <c r="C76" s="20" t="s">
        <v>38</v>
      </c>
      <c r="D76" s="20">
        <v>178.0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3.5" customHeight="1">
      <c r="A77" s="20">
        <v>2023.0</v>
      </c>
      <c r="B77" s="20" t="s">
        <v>123</v>
      </c>
      <c r="C77" s="20" t="s">
        <v>38</v>
      </c>
      <c r="D77" s="20">
        <v>518.0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3.5" customHeight="1">
      <c r="A78" s="20">
        <v>2023.0</v>
      </c>
      <c r="B78" s="20" t="s">
        <v>124</v>
      </c>
      <c r="C78" s="20" t="s">
        <v>38</v>
      </c>
      <c r="D78" s="20">
        <v>172.0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3.5" customHeight="1">
      <c r="A79" s="20">
        <v>2023.0</v>
      </c>
      <c r="B79" s="20" t="s">
        <v>125</v>
      </c>
      <c r="C79" s="20" t="s">
        <v>38</v>
      </c>
      <c r="D79" s="20">
        <v>321.0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3.5" customHeight="1">
      <c r="A80" s="20">
        <v>2023.0</v>
      </c>
      <c r="B80" s="20" t="s">
        <v>128</v>
      </c>
      <c r="C80" s="20" t="s">
        <v>38</v>
      </c>
      <c r="D80" s="20">
        <v>148.0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3.5" customHeight="1">
      <c r="A81" s="20">
        <v>2023.0</v>
      </c>
      <c r="B81" s="20" t="s">
        <v>135</v>
      </c>
      <c r="C81" s="20" t="s">
        <v>38</v>
      </c>
      <c r="D81" s="20">
        <v>75.0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3.5" customHeight="1">
      <c r="A82" s="20">
        <v>2023.0</v>
      </c>
      <c r="B82" s="20" t="s">
        <v>126</v>
      </c>
      <c r="C82" s="20" t="s">
        <v>38</v>
      </c>
      <c r="D82" s="20">
        <v>398.0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3.5" customHeight="1">
      <c r="A83" s="20">
        <v>2023.0</v>
      </c>
      <c r="B83" s="20" t="s">
        <v>127</v>
      </c>
      <c r="C83" s="20" t="s">
        <v>38</v>
      </c>
      <c r="D83" s="20">
        <v>108.0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3.5" customHeight="1">
      <c r="A84" s="20">
        <v>2023.0</v>
      </c>
      <c r="B84" s="20" t="s">
        <v>131</v>
      </c>
      <c r="C84" s="20" t="s">
        <v>38</v>
      </c>
      <c r="D84" s="20">
        <v>1259.0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3.5" customHeight="1">
      <c r="A85" s="20">
        <v>2023.0</v>
      </c>
      <c r="B85" s="20" t="s">
        <v>132</v>
      </c>
      <c r="C85" s="20" t="s">
        <v>38</v>
      </c>
      <c r="D85" s="20">
        <v>65.0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3.5" customHeight="1">
      <c r="A86" s="20">
        <v>2023.0</v>
      </c>
      <c r="B86" s="20" t="s">
        <v>129</v>
      </c>
      <c r="C86" s="20" t="s">
        <v>38</v>
      </c>
      <c r="D86" s="20">
        <v>1326.0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3.5" customHeight="1">
      <c r="A87" s="20">
        <v>2023.0</v>
      </c>
      <c r="B87" s="20" t="s">
        <v>134</v>
      </c>
      <c r="C87" s="20" t="s">
        <v>38</v>
      </c>
      <c r="D87" s="20">
        <v>34.0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3.5" customHeight="1">
      <c r="A88" s="20">
        <v>2023.0</v>
      </c>
      <c r="B88" s="20" t="s">
        <v>133</v>
      </c>
      <c r="C88" s="20" t="s">
        <v>38</v>
      </c>
      <c r="D88" s="20">
        <v>539.0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3.5" customHeight="1">
      <c r="A89" s="20">
        <v>2023.0</v>
      </c>
      <c r="B89" s="20" t="s">
        <v>136</v>
      </c>
      <c r="C89" s="20" t="s">
        <v>38</v>
      </c>
      <c r="D89" s="20">
        <v>637.0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3.5" customHeight="1">
      <c r="A90" s="20">
        <v>2023.0</v>
      </c>
      <c r="B90" s="20" t="s">
        <v>137</v>
      </c>
      <c r="C90" s="20" t="s">
        <v>38</v>
      </c>
      <c r="D90" s="20">
        <v>932.0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3.5" customHeight="1">
      <c r="A91" s="20">
        <v>2023.0</v>
      </c>
      <c r="B91" s="20" t="s">
        <v>139</v>
      </c>
      <c r="C91" s="20" t="s">
        <v>38</v>
      </c>
      <c r="D91" s="20">
        <v>332.0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3.5" customHeight="1">
      <c r="A92" s="20">
        <v>2023.0</v>
      </c>
      <c r="B92" s="20" t="s">
        <v>140</v>
      </c>
      <c r="C92" s="20" t="s">
        <v>38</v>
      </c>
      <c r="D92" s="20">
        <v>537.0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3.5" customHeight="1">
      <c r="A93" s="20">
        <v>2023.0</v>
      </c>
      <c r="B93" s="20" t="s">
        <v>141</v>
      </c>
      <c r="C93" s="20" t="s">
        <v>38</v>
      </c>
      <c r="D93" s="20">
        <v>1321.0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3.5" customHeight="1">
      <c r="A94" s="20">
        <v>2023.0</v>
      </c>
      <c r="B94" s="20" t="s">
        <v>130</v>
      </c>
      <c r="C94" s="20" t="s">
        <v>38</v>
      </c>
      <c r="D94" s="20">
        <v>731.0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3.5" customHeight="1">
      <c r="A95" s="20">
        <v>2023.0</v>
      </c>
      <c r="B95" s="20" t="s">
        <v>142</v>
      </c>
      <c r="C95" s="20" t="s">
        <v>38</v>
      </c>
      <c r="D95" s="20">
        <v>537.0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3.5" customHeight="1">
      <c r="A96" s="20">
        <v>2023.0</v>
      </c>
      <c r="B96" s="20" t="s">
        <v>143</v>
      </c>
      <c r="C96" s="20" t="s">
        <v>38</v>
      </c>
      <c r="D96" s="20">
        <v>62.0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3.5" customHeight="1">
      <c r="A97" s="20">
        <v>2023.0</v>
      </c>
      <c r="B97" s="20" t="s">
        <v>144</v>
      </c>
      <c r="C97" s="20" t="s">
        <v>38</v>
      </c>
      <c r="D97" s="20">
        <v>331.0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3.5" customHeight="1">
      <c r="A98" s="20">
        <v>2023.0</v>
      </c>
      <c r="B98" s="20" t="s">
        <v>119</v>
      </c>
      <c r="C98" s="20" t="s">
        <v>40</v>
      </c>
      <c r="D98" s="20">
        <v>117.0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3.5" customHeight="1">
      <c r="A99" s="20">
        <v>2023.0</v>
      </c>
      <c r="B99" s="20" t="s">
        <v>120</v>
      </c>
      <c r="C99" s="20" t="s">
        <v>40</v>
      </c>
      <c r="D99" s="20">
        <v>20.0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3.5" customHeight="1">
      <c r="A100" s="20">
        <v>2023.0</v>
      </c>
      <c r="B100" s="20" t="s">
        <v>122</v>
      </c>
      <c r="C100" s="20" t="s">
        <v>40</v>
      </c>
      <c r="D100" s="20">
        <v>30.0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3.5" customHeight="1">
      <c r="A101" s="20">
        <v>2023.0</v>
      </c>
      <c r="B101" s="20" t="s">
        <v>123</v>
      </c>
      <c r="C101" s="20" t="s">
        <v>40</v>
      </c>
      <c r="D101" s="20">
        <v>14.0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3.5" customHeight="1">
      <c r="A102" s="20">
        <v>2023.0</v>
      </c>
      <c r="B102" s="20" t="s">
        <v>124</v>
      </c>
      <c r="C102" s="20" t="s">
        <v>40</v>
      </c>
      <c r="D102" s="20">
        <v>5.0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3.5" customHeight="1">
      <c r="A103" s="20">
        <v>2023.0</v>
      </c>
      <c r="B103" s="20" t="s">
        <v>125</v>
      </c>
      <c r="C103" s="20" t="s">
        <v>40</v>
      </c>
      <c r="D103" s="20">
        <v>68.0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3.5" customHeight="1">
      <c r="A104" s="20">
        <v>2023.0</v>
      </c>
      <c r="B104" s="20" t="s">
        <v>128</v>
      </c>
      <c r="C104" s="20" t="s">
        <v>40</v>
      </c>
      <c r="D104" s="20">
        <v>51.0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3.5" customHeight="1">
      <c r="A105" s="20">
        <v>2023.0</v>
      </c>
      <c r="B105" s="20" t="s">
        <v>135</v>
      </c>
      <c r="C105" s="20" t="s">
        <v>40</v>
      </c>
      <c r="D105" s="20">
        <v>4.0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3.5" customHeight="1">
      <c r="A106" s="20">
        <v>2023.0</v>
      </c>
      <c r="B106" s="20" t="s">
        <v>126</v>
      </c>
      <c r="C106" s="20" t="s">
        <v>40</v>
      </c>
      <c r="D106" s="20">
        <v>10.0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3.5" customHeight="1">
      <c r="A107" s="20">
        <v>2023.0</v>
      </c>
      <c r="B107" s="20" t="s">
        <v>127</v>
      </c>
      <c r="C107" s="20" t="s">
        <v>40</v>
      </c>
      <c r="D107" s="20">
        <v>0.0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3.5" customHeight="1">
      <c r="A108" s="20">
        <v>2023.0</v>
      </c>
      <c r="B108" s="20" t="s">
        <v>131</v>
      </c>
      <c r="C108" s="20" t="s">
        <v>40</v>
      </c>
      <c r="D108" s="20">
        <v>7.0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3.5" customHeight="1">
      <c r="A109" s="20">
        <v>2023.0</v>
      </c>
      <c r="B109" s="20" t="s">
        <v>132</v>
      </c>
      <c r="C109" s="20" t="s">
        <v>40</v>
      </c>
      <c r="D109" s="20">
        <v>3.0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3.5" customHeight="1">
      <c r="A110" s="20">
        <v>2023.0</v>
      </c>
      <c r="B110" s="20" t="s">
        <v>129</v>
      </c>
      <c r="C110" s="20" t="s">
        <v>40</v>
      </c>
      <c r="D110" s="20">
        <v>114.0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3.5" customHeight="1">
      <c r="A111" s="20">
        <v>2023.0</v>
      </c>
      <c r="B111" s="20" t="s">
        <v>134</v>
      </c>
      <c r="C111" s="20" t="s">
        <v>40</v>
      </c>
      <c r="D111" s="20">
        <v>24.0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3.5" customHeight="1">
      <c r="A112" s="20">
        <v>2023.0</v>
      </c>
      <c r="B112" s="20" t="s">
        <v>133</v>
      </c>
      <c r="C112" s="20" t="s">
        <v>40</v>
      </c>
      <c r="D112" s="20">
        <v>15.0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3.5" customHeight="1">
      <c r="A113" s="20">
        <v>2023.0</v>
      </c>
      <c r="B113" s="20" t="s">
        <v>136</v>
      </c>
      <c r="C113" s="20" t="s">
        <v>40</v>
      </c>
      <c r="D113" s="20">
        <v>2.0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3.5" customHeight="1">
      <c r="A114" s="20">
        <v>2023.0</v>
      </c>
      <c r="B114" s="20" t="s">
        <v>137</v>
      </c>
      <c r="C114" s="20" t="s">
        <v>40</v>
      </c>
      <c r="D114" s="20">
        <v>4.0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3.5" customHeight="1">
      <c r="A115" s="20">
        <v>2023.0</v>
      </c>
      <c r="B115" s="20" t="s">
        <v>139</v>
      </c>
      <c r="C115" s="20" t="s">
        <v>40</v>
      </c>
      <c r="D115" s="20">
        <v>4.0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3.5" customHeight="1">
      <c r="A116" s="20">
        <v>2023.0</v>
      </c>
      <c r="B116" s="20" t="s">
        <v>140</v>
      </c>
      <c r="C116" s="20" t="s">
        <v>40</v>
      </c>
      <c r="D116" s="20">
        <v>37.0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3.5" customHeight="1">
      <c r="A117" s="20">
        <v>2023.0</v>
      </c>
      <c r="B117" s="20" t="s">
        <v>141</v>
      </c>
      <c r="C117" s="20" t="s">
        <v>40</v>
      </c>
      <c r="D117" s="20">
        <v>68.0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3.5" customHeight="1">
      <c r="A118" s="20">
        <v>2023.0</v>
      </c>
      <c r="B118" s="20" t="s">
        <v>130</v>
      </c>
      <c r="C118" s="20" t="s">
        <v>40</v>
      </c>
      <c r="D118" s="20">
        <v>6.0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3.5" customHeight="1">
      <c r="A119" s="20">
        <v>2023.0</v>
      </c>
      <c r="B119" s="20" t="s">
        <v>142</v>
      </c>
      <c r="C119" s="20" t="s">
        <v>40</v>
      </c>
      <c r="D119" s="20">
        <v>36.0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3.5" customHeight="1">
      <c r="A120" s="20">
        <v>2023.0</v>
      </c>
      <c r="B120" s="20" t="s">
        <v>143</v>
      </c>
      <c r="C120" s="20" t="s">
        <v>40</v>
      </c>
      <c r="D120" s="20">
        <v>0.0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3.5" customHeight="1">
      <c r="A121" s="20">
        <v>2023.0</v>
      </c>
      <c r="B121" s="20" t="s">
        <v>144</v>
      </c>
      <c r="C121" s="20" t="s">
        <v>40</v>
      </c>
      <c r="D121" s="20">
        <v>6.0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3.5" customHeight="1">
      <c r="A122" s="20">
        <v>2023.0</v>
      </c>
      <c r="B122" s="20" t="s">
        <v>119</v>
      </c>
      <c r="C122" s="20" t="s">
        <v>42</v>
      </c>
      <c r="D122" s="20">
        <v>12261.0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3.5" customHeight="1">
      <c r="A123" s="20">
        <v>2023.0</v>
      </c>
      <c r="B123" s="20" t="s">
        <v>120</v>
      </c>
      <c r="C123" s="20" t="s">
        <v>42</v>
      </c>
      <c r="D123" s="20">
        <v>9401.0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3.5" customHeight="1">
      <c r="A124" s="20">
        <v>2023.0</v>
      </c>
      <c r="B124" s="20" t="s">
        <v>122</v>
      </c>
      <c r="C124" s="20" t="s">
        <v>42</v>
      </c>
      <c r="D124" s="20">
        <v>6312.0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3.5" customHeight="1">
      <c r="A125" s="20">
        <v>2023.0</v>
      </c>
      <c r="B125" s="20" t="s">
        <v>123</v>
      </c>
      <c r="C125" s="20" t="s">
        <v>42</v>
      </c>
      <c r="D125" s="20">
        <v>15195.0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3.5" customHeight="1">
      <c r="A126" s="20">
        <v>2023.0</v>
      </c>
      <c r="B126" s="20" t="s">
        <v>124</v>
      </c>
      <c r="C126" s="20" t="s">
        <v>42</v>
      </c>
      <c r="D126" s="20">
        <v>7271.0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3.5" customHeight="1">
      <c r="A127" s="20">
        <v>2023.0</v>
      </c>
      <c r="B127" s="20" t="s">
        <v>125</v>
      </c>
      <c r="C127" s="20" t="s">
        <v>42</v>
      </c>
      <c r="D127" s="20">
        <v>677.0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3.5" customHeight="1">
      <c r="A128" s="20">
        <v>2023.0</v>
      </c>
      <c r="B128" s="20" t="s">
        <v>128</v>
      </c>
      <c r="C128" s="20" t="s">
        <v>42</v>
      </c>
      <c r="D128" s="20">
        <v>14415.0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3.5" customHeight="1">
      <c r="A129" s="20">
        <v>2023.0</v>
      </c>
      <c r="B129" s="20" t="s">
        <v>135</v>
      </c>
      <c r="C129" s="20" t="s">
        <v>42</v>
      </c>
      <c r="D129" s="20">
        <v>5855.0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3.5" customHeight="1">
      <c r="A130" s="20">
        <v>2023.0</v>
      </c>
      <c r="B130" s="20" t="s">
        <v>126</v>
      </c>
      <c r="C130" s="20" t="s">
        <v>42</v>
      </c>
      <c r="D130" s="20">
        <v>15700.0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3.5" customHeight="1">
      <c r="A131" s="20">
        <v>2023.0</v>
      </c>
      <c r="B131" s="20" t="s">
        <v>127</v>
      </c>
      <c r="C131" s="20" t="s">
        <v>42</v>
      </c>
      <c r="D131" s="20">
        <v>205.0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3.5" customHeight="1">
      <c r="A132" s="20">
        <v>2023.0</v>
      </c>
      <c r="B132" s="20" t="s">
        <v>131</v>
      </c>
      <c r="C132" s="20" t="s">
        <v>42</v>
      </c>
      <c r="D132" s="20">
        <v>18658.0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3.5" customHeight="1">
      <c r="A133" s="20">
        <v>2023.0</v>
      </c>
      <c r="B133" s="20" t="s">
        <v>132</v>
      </c>
      <c r="C133" s="20" t="s">
        <v>42</v>
      </c>
      <c r="D133" s="20">
        <v>2307.0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3.5" customHeight="1">
      <c r="A134" s="20">
        <v>2023.0</v>
      </c>
      <c r="B134" s="20" t="s">
        <v>129</v>
      </c>
      <c r="C134" s="20" t="s">
        <v>42</v>
      </c>
      <c r="D134" s="20">
        <v>14398.0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3.5" customHeight="1">
      <c r="A135" s="20">
        <v>2023.0</v>
      </c>
      <c r="B135" s="20" t="s">
        <v>134</v>
      </c>
      <c r="C135" s="20" t="s">
        <v>42</v>
      </c>
      <c r="D135" s="20">
        <v>2553.0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3.5" customHeight="1">
      <c r="A136" s="20">
        <v>2023.0</v>
      </c>
      <c r="B136" s="20" t="s">
        <v>133</v>
      </c>
      <c r="C136" s="20" t="s">
        <v>42</v>
      </c>
      <c r="D136" s="20">
        <v>14428.0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3.5" customHeight="1">
      <c r="A137" s="20">
        <v>2023.0</v>
      </c>
      <c r="B137" s="20" t="s">
        <v>136</v>
      </c>
      <c r="C137" s="20" t="s">
        <v>42</v>
      </c>
      <c r="D137" s="20">
        <v>339.0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3.5" customHeight="1">
      <c r="A138" s="20">
        <v>2023.0</v>
      </c>
      <c r="B138" s="20" t="s">
        <v>137</v>
      </c>
      <c r="C138" s="20" t="s">
        <v>42</v>
      </c>
      <c r="D138" s="20">
        <v>12230.0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3.5" customHeight="1">
      <c r="A139" s="20">
        <v>2023.0</v>
      </c>
      <c r="B139" s="20" t="s">
        <v>139</v>
      </c>
      <c r="C139" s="20" t="s">
        <v>42</v>
      </c>
      <c r="D139" s="20">
        <v>15591.0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3.5" customHeight="1">
      <c r="A140" s="20">
        <v>2023.0</v>
      </c>
      <c r="B140" s="20" t="s">
        <v>140</v>
      </c>
      <c r="C140" s="20" t="s">
        <v>42</v>
      </c>
      <c r="D140" s="20">
        <v>15663.0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3.5" customHeight="1">
      <c r="A141" s="20">
        <v>2023.0</v>
      </c>
      <c r="B141" s="20" t="s">
        <v>141</v>
      </c>
      <c r="C141" s="20" t="s">
        <v>42</v>
      </c>
      <c r="D141" s="20">
        <v>22041.0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3.5" customHeight="1">
      <c r="A142" s="20">
        <v>2023.0</v>
      </c>
      <c r="B142" s="20" t="s">
        <v>130</v>
      </c>
      <c r="C142" s="20" t="s">
        <v>42</v>
      </c>
      <c r="D142" s="20">
        <v>2045.0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3.5" customHeight="1">
      <c r="A143" s="20">
        <v>2023.0</v>
      </c>
      <c r="B143" s="20" t="s">
        <v>142</v>
      </c>
      <c r="C143" s="20" t="s">
        <v>42</v>
      </c>
      <c r="D143" s="20">
        <v>10099.0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3.5" customHeight="1">
      <c r="A144" s="20">
        <v>2023.0</v>
      </c>
      <c r="B144" s="20" t="s">
        <v>143</v>
      </c>
      <c r="C144" s="20" t="s">
        <v>42</v>
      </c>
      <c r="D144" s="20">
        <v>206.0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3.5" customHeight="1">
      <c r="A145" s="20">
        <v>2023.0</v>
      </c>
      <c r="B145" s="20" t="s">
        <v>144</v>
      </c>
      <c r="C145" s="20" t="s">
        <v>42</v>
      </c>
      <c r="D145" s="20">
        <v>3628.0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3.5" customHeight="1">
      <c r="A146" s="20">
        <v>2023.0</v>
      </c>
      <c r="B146" s="20" t="s">
        <v>119</v>
      </c>
      <c r="C146" s="20" t="s">
        <v>44</v>
      </c>
      <c r="D146" s="20">
        <v>532.0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3.5" customHeight="1">
      <c r="A147" s="20">
        <v>2023.0</v>
      </c>
      <c r="B147" s="20" t="s">
        <v>120</v>
      </c>
      <c r="C147" s="20" t="s">
        <v>44</v>
      </c>
      <c r="D147" s="20">
        <v>198.0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3.5" customHeight="1">
      <c r="A148" s="20">
        <v>2023.0</v>
      </c>
      <c r="B148" s="20" t="s">
        <v>122</v>
      </c>
      <c r="C148" s="20" t="s">
        <v>44</v>
      </c>
      <c r="D148" s="20">
        <v>76.0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3.5" customHeight="1">
      <c r="A149" s="20">
        <v>2023.0</v>
      </c>
      <c r="B149" s="20" t="s">
        <v>123</v>
      </c>
      <c r="C149" s="20" t="s">
        <v>44</v>
      </c>
      <c r="D149" s="20">
        <v>698.0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3.5" customHeight="1">
      <c r="A150" s="20">
        <v>2023.0</v>
      </c>
      <c r="B150" s="20" t="s">
        <v>124</v>
      </c>
      <c r="C150" s="20" t="s">
        <v>44</v>
      </c>
      <c r="D150" s="20">
        <v>62.0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3.5" customHeight="1">
      <c r="A151" s="20">
        <v>2023.0</v>
      </c>
      <c r="B151" s="20" t="s">
        <v>125</v>
      </c>
      <c r="C151" s="20" t="s">
        <v>44</v>
      </c>
      <c r="D151" s="20">
        <v>1050.0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3.5" customHeight="1">
      <c r="A152" s="20">
        <v>2023.0</v>
      </c>
      <c r="B152" s="20" t="s">
        <v>128</v>
      </c>
      <c r="C152" s="20" t="s">
        <v>44</v>
      </c>
      <c r="D152" s="20">
        <v>70.0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3.5" customHeight="1">
      <c r="A153" s="20">
        <v>2023.0</v>
      </c>
      <c r="B153" s="20" t="s">
        <v>135</v>
      </c>
      <c r="C153" s="20" t="s">
        <v>44</v>
      </c>
      <c r="D153" s="20">
        <v>73.0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3.5" customHeight="1">
      <c r="A154" s="20">
        <v>2023.0</v>
      </c>
      <c r="B154" s="20" t="s">
        <v>126</v>
      </c>
      <c r="C154" s="20" t="s">
        <v>44</v>
      </c>
      <c r="D154" s="20">
        <v>282.0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3.5" customHeight="1">
      <c r="A155" s="20">
        <v>2023.0</v>
      </c>
      <c r="B155" s="20" t="s">
        <v>127</v>
      </c>
      <c r="C155" s="20" t="s">
        <v>44</v>
      </c>
      <c r="D155" s="20">
        <v>255.0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3.5" customHeight="1">
      <c r="A156" s="20">
        <v>2023.0</v>
      </c>
      <c r="B156" s="20" t="s">
        <v>131</v>
      </c>
      <c r="C156" s="20" t="s">
        <v>44</v>
      </c>
      <c r="D156" s="20">
        <v>350.0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3.5" customHeight="1">
      <c r="A157" s="20">
        <v>2023.0</v>
      </c>
      <c r="B157" s="20" t="s">
        <v>132</v>
      </c>
      <c r="C157" s="20" t="s">
        <v>44</v>
      </c>
      <c r="D157" s="20">
        <v>269.0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3.5" customHeight="1">
      <c r="A158" s="20">
        <v>2023.0</v>
      </c>
      <c r="B158" s="20" t="s">
        <v>129</v>
      </c>
      <c r="C158" s="20" t="s">
        <v>44</v>
      </c>
      <c r="D158" s="20">
        <v>2415.0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3.5" customHeight="1">
      <c r="A159" s="20">
        <v>2023.0</v>
      </c>
      <c r="B159" s="20" t="s">
        <v>134</v>
      </c>
      <c r="C159" s="20" t="s">
        <v>44</v>
      </c>
      <c r="D159" s="20">
        <v>155.0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3.5" customHeight="1">
      <c r="A160" s="20">
        <v>2023.0</v>
      </c>
      <c r="B160" s="20" t="s">
        <v>133</v>
      </c>
      <c r="C160" s="20" t="s">
        <v>44</v>
      </c>
      <c r="D160" s="20">
        <v>256.0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3.5" customHeight="1">
      <c r="A161" s="20">
        <v>2023.0</v>
      </c>
      <c r="B161" s="20" t="s">
        <v>136</v>
      </c>
      <c r="C161" s="20" t="s">
        <v>44</v>
      </c>
      <c r="D161" s="20">
        <v>1928.0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3.5" customHeight="1">
      <c r="A162" s="20">
        <v>2023.0</v>
      </c>
      <c r="B162" s="20" t="s">
        <v>137</v>
      </c>
      <c r="C162" s="20" t="s">
        <v>44</v>
      </c>
      <c r="D162" s="20">
        <v>807.0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3.5" customHeight="1">
      <c r="A163" s="20">
        <v>2023.0</v>
      </c>
      <c r="B163" s="20" t="s">
        <v>139</v>
      </c>
      <c r="C163" s="20" t="s">
        <v>44</v>
      </c>
      <c r="D163" s="20">
        <v>352.0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3.5" customHeight="1">
      <c r="A164" s="20">
        <v>2023.0</v>
      </c>
      <c r="B164" s="20" t="s">
        <v>140</v>
      </c>
      <c r="C164" s="20" t="s">
        <v>44</v>
      </c>
      <c r="D164" s="20">
        <v>877.0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3.5" customHeight="1">
      <c r="A165" s="20">
        <v>2023.0</v>
      </c>
      <c r="B165" s="20" t="s">
        <v>141</v>
      </c>
      <c r="C165" s="20" t="s">
        <v>44</v>
      </c>
      <c r="D165" s="20">
        <v>1276.0</v>
      </c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3.5" customHeight="1">
      <c r="A166" s="20">
        <v>2023.0</v>
      </c>
      <c r="B166" s="20" t="s">
        <v>130</v>
      </c>
      <c r="C166" s="20" t="s">
        <v>44</v>
      </c>
      <c r="D166" s="20">
        <v>107.0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3.5" customHeight="1">
      <c r="A167" s="20">
        <v>2023.0</v>
      </c>
      <c r="B167" s="20" t="s">
        <v>142</v>
      </c>
      <c r="C167" s="20" t="s">
        <v>44</v>
      </c>
      <c r="D167" s="20">
        <v>845.0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3.5" customHeight="1">
      <c r="A168" s="20">
        <v>2023.0</v>
      </c>
      <c r="B168" s="20" t="s">
        <v>143</v>
      </c>
      <c r="C168" s="20" t="s">
        <v>44</v>
      </c>
      <c r="D168" s="20">
        <v>73.0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3.5" customHeight="1">
      <c r="A169" s="20">
        <v>2023.0</v>
      </c>
      <c r="B169" s="20" t="s">
        <v>144</v>
      </c>
      <c r="C169" s="20" t="s">
        <v>44</v>
      </c>
      <c r="D169" s="20">
        <v>171.0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3.5" customHeight="1">
      <c r="A170" s="20">
        <v>2023.0</v>
      </c>
      <c r="B170" s="20" t="s">
        <v>119</v>
      </c>
      <c r="C170" s="20" t="s">
        <v>46</v>
      </c>
      <c r="D170" s="20">
        <v>277.0</v>
      </c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3.5" customHeight="1">
      <c r="A171" s="20">
        <v>2023.0</v>
      </c>
      <c r="B171" s="20" t="s">
        <v>120</v>
      </c>
      <c r="C171" s="20" t="s">
        <v>46</v>
      </c>
      <c r="D171" s="20">
        <v>155.0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3.5" customHeight="1">
      <c r="A172" s="20">
        <v>2023.0</v>
      </c>
      <c r="B172" s="20" t="s">
        <v>122</v>
      </c>
      <c r="C172" s="20" t="s">
        <v>46</v>
      </c>
      <c r="D172" s="20">
        <v>34.0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3.5" customHeight="1">
      <c r="A173" s="20">
        <v>2023.0</v>
      </c>
      <c r="B173" s="20" t="s">
        <v>123</v>
      </c>
      <c r="C173" s="20" t="s">
        <v>46</v>
      </c>
      <c r="D173" s="20">
        <v>706.0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3.5" customHeight="1">
      <c r="A174" s="20">
        <v>2023.0</v>
      </c>
      <c r="B174" s="20" t="s">
        <v>124</v>
      </c>
      <c r="C174" s="20" t="s">
        <v>46</v>
      </c>
      <c r="D174" s="20">
        <v>16.0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3.5" customHeight="1">
      <c r="A175" s="20">
        <v>2023.0</v>
      </c>
      <c r="B175" s="20" t="s">
        <v>125</v>
      </c>
      <c r="C175" s="20" t="s">
        <v>46</v>
      </c>
      <c r="D175" s="20">
        <v>603.0</v>
      </c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3.5" customHeight="1">
      <c r="A176" s="20">
        <v>2023.0</v>
      </c>
      <c r="B176" s="20" t="s">
        <v>128</v>
      </c>
      <c r="C176" s="20" t="s">
        <v>46</v>
      </c>
      <c r="D176" s="20">
        <v>51.0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3.5" customHeight="1">
      <c r="A177" s="20">
        <v>2023.0</v>
      </c>
      <c r="B177" s="20" t="s">
        <v>135</v>
      </c>
      <c r="C177" s="20" t="s">
        <v>46</v>
      </c>
      <c r="D177" s="20">
        <v>37.0</v>
      </c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3.5" customHeight="1">
      <c r="A178" s="20">
        <v>2023.0</v>
      </c>
      <c r="B178" s="20" t="s">
        <v>126</v>
      </c>
      <c r="C178" s="20" t="s">
        <v>46</v>
      </c>
      <c r="D178" s="20">
        <v>182.0</v>
      </c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3.5" customHeight="1">
      <c r="A179" s="20">
        <v>2023.0</v>
      </c>
      <c r="B179" s="20" t="s">
        <v>127</v>
      </c>
      <c r="C179" s="20" t="s">
        <v>46</v>
      </c>
      <c r="D179" s="20">
        <v>0.0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3.5" customHeight="1">
      <c r="A180" s="20">
        <v>2023.0</v>
      </c>
      <c r="B180" s="20" t="s">
        <v>131</v>
      </c>
      <c r="C180" s="20" t="s">
        <v>46</v>
      </c>
      <c r="D180" s="20">
        <v>229.0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3.5" customHeight="1">
      <c r="A181" s="20">
        <v>2023.0</v>
      </c>
      <c r="B181" s="20" t="s">
        <v>132</v>
      </c>
      <c r="C181" s="20" t="s">
        <v>46</v>
      </c>
      <c r="D181" s="20">
        <v>118.0</v>
      </c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3.5" customHeight="1">
      <c r="A182" s="20">
        <v>2023.0</v>
      </c>
      <c r="B182" s="20" t="s">
        <v>129</v>
      </c>
      <c r="C182" s="20" t="s">
        <v>46</v>
      </c>
      <c r="D182" s="20">
        <v>655.0</v>
      </c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3.5" customHeight="1">
      <c r="A183" s="20">
        <v>2023.0</v>
      </c>
      <c r="B183" s="20" t="s">
        <v>134</v>
      </c>
      <c r="C183" s="20" t="s">
        <v>46</v>
      </c>
      <c r="D183" s="20">
        <v>41.0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3.5" customHeight="1">
      <c r="A184" s="20">
        <v>2023.0</v>
      </c>
      <c r="B184" s="20" t="s">
        <v>133</v>
      </c>
      <c r="C184" s="20" t="s">
        <v>46</v>
      </c>
      <c r="D184" s="20">
        <v>50.0</v>
      </c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3.5" customHeight="1">
      <c r="A185" s="20">
        <v>2023.0</v>
      </c>
      <c r="B185" s="20" t="s">
        <v>136</v>
      </c>
      <c r="C185" s="20" t="s">
        <v>46</v>
      </c>
      <c r="D185" s="20">
        <v>418.0</v>
      </c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3.5" customHeight="1">
      <c r="A186" s="20">
        <v>2023.0</v>
      </c>
      <c r="B186" s="20" t="s">
        <v>137</v>
      </c>
      <c r="C186" s="20" t="s">
        <v>46</v>
      </c>
      <c r="D186" s="20">
        <v>377.0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3.5" customHeight="1">
      <c r="A187" s="20">
        <v>2023.0</v>
      </c>
      <c r="B187" s="20" t="s">
        <v>139</v>
      </c>
      <c r="C187" s="20" t="s">
        <v>46</v>
      </c>
      <c r="D187" s="20">
        <v>213.0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3.5" customHeight="1">
      <c r="A188" s="20">
        <v>2023.0</v>
      </c>
      <c r="B188" s="20" t="s">
        <v>140</v>
      </c>
      <c r="C188" s="20" t="s">
        <v>46</v>
      </c>
      <c r="D188" s="20">
        <v>249.0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3.5" customHeight="1">
      <c r="A189" s="20">
        <v>2023.0</v>
      </c>
      <c r="B189" s="20" t="s">
        <v>141</v>
      </c>
      <c r="C189" s="20" t="s">
        <v>46</v>
      </c>
      <c r="D189" s="20">
        <v>721.0</v>
      </c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3.5" customHeight="1">
      <c r="A190" s="20">
        <v>2023.0</v>
      </c>
      <c r="B190" s="20" t="s">
        <v>130</v>
      </c>
      <c r="C190" s="20" t="s">
        <v>46</v>
      </c>
      <c r="D190" s="20">
        <v>80.0</v>
      </c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3.5" customHeight="1">
      <c r="A191" s="20">
        <v>2023.0</v>
      </c>
      <c r="B191" s="20" t="s">
        <v>142</v>
      </c>
      <c r="C191" s="20" t="s">
        <v>46</v>
      </c>
      <c r="D191" s="20">
        <v>89.0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3.5" customHeight="1">
      <c r="A192" s="20">
        <v>2023.0</v>
      </c>
      <c r="B192" s="20" t="s">
        <v>143</v>
      </c>
      <c r="C192" s="20" t="s">
        <v>46</v>
      </c>
      <c r="D192" s="20">
        <v>353.0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3.5" customHeight="1">
      <c r="A193" s="20">
        <v>2023.0</v>
      </c>
      <c r="B193" s="20" t="s">
        <v>144</v>
      </c>
      <c r="C193" s="20" t="s">
        <v>46</v>
      </c>
      <c r="D193" s="20">
        <v>31.0</v>
      </c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3.5" customHeight="1">
      <c r="A194" s="20">
        <v>2023.0</v>
      </c>
      <c r="B194" s="20" t="s">
        <v>119</v>
      </c>
      <c r="C194" s="20" t="s">
        <v>48</v>
      </c>
      <c r="D194" s="20">
        <v>1123.0</v>
      </c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3.5" customHeight="1">
      <c r="A195" s="20">
        <v>2023.0</v>
      </c>
      <c r="B195" s="20" t="s">
        <v>120</v>
      </c>
      <c r="C195" s="20" t="s">
        <v>48</v>
      </c>
      <c r="D195" s="20">
        <v>53.0</v>
      </c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3.5" customHeight="1">
      <c r="A196" s="20">
        <v>2023.0</v>
      </c>
      <c r="B196" s="20" t="s">
        <v>122</v>
      </c>
      <c r="C196" s="20" t="s">
        <v>48</v>
      </c>
      <c r="D196" s="20">
        <v>64.0</v>
      </c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3.5" customHeight="1">
      <c r="A197" s="20">
        <v>2023.0</v>
      </c>
      <c r="B197" s="20" t="s">
        <v>123</v>
      </c>
      <c r="C197" s="20" t="s">
        <v>48</v>
      </c>
      <c r="D197" s="20">
        <v>162.0</v>
      </c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3.5" customHeight="1">
      <c r="A198" s="20">
        <v>2023.0</v>
      </c>
      <c r="B198" s="20" t="s">
        <v>124</v>
      </c>
      <c r="C198" s="20" t="s">
        <v>48</v>
      </c>
      <c r="D198" s="20">
        <v>35.0</v>
      </c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3.5" customHeight="1">
      <c r="A199" s="20">
        <v>2023.0</v>
      </c>
      <c r="B199" s="20" t="s">
        <v>125</v>
      </c>
      <c r="C199" s="20" t="s">
        <v>48</v>
      </c>
      <c r="D199" s="20">
        <v>291.0</v>
      </c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3.5" customHeight="1">
      <c r="A200" s="20">
        <v>2023.0</v>
      </c>
      <c r="B200" s="20" t="s">
        <v>128</v>
      </c>
      <c r="C200" s="20" t="s">
        <v>48</v>
      </c>
      <c r="D200" s="20">
        <v>146.0</v>
      </c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3.5" customHeight="1">
      <c r="A201" s="20">
        <v>2023.0</v>
      </c>
      <c r="B201" s="20" t="s">
        <v>135</v>
      </c>
      <c r="C201" s="20" t="s">
        <v>48</v>
      </c>
      <c r="D201" s="20">
        <v>19.0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3.5" customHeight="1">
      <c r="A202" s="20">
        <v>2023.0</v>
      </c>
      <c r="B202" s="20" t="s">
        <v>126</v>
      </c>
      <c r="C202" s="20" t="s">
        <v>48</v>
      </c>
      <c r="D202" s="20">
        <v>73.0</v>
      </c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3.5" customHeight="1">
      <c r="A203" s="20">
        <v>2023.0</v>
      </c>
      <c r="B203" s="20" t="s">
        <v>127</v>
      </c>
      <c r="C203" s="20" t="s">
        <v>48</v>
      </c>
      <c r="D203" s="20">
        <v>2.0</v>
      </c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3.5" customHeight="1">
      <c r="A204" s="20">
        <v>2023.0</v>
      </c>
      <c r="B204" s="20" t="s">
        <v>131</v>
      </c>
      <c r="C204" s="20" t="s">
        <v>48</v>
      </c>
      <c r="D204" s="20">
        <v>264.0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3.5" customHeight="1">
      <c r="A205" s="20">
        <v>2023.0</v>
      </c>
      <c r="B205" s="20" t="s">
        <v>132</v>
      </c>
      <c r="C205" s="20" t="s">
        <v>48</v>
      </c>
      <c r="D205" s="20">
        <v>87.0</v>
      </c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3.5" customHeight="1">
      <c r="A206" s="20">
        <v>2023.0</v>
      </c>
      <c r="B206" s="20" t="s">
        <v>129</v>
      </c>
      <c r="C206" s="20" t="s">
        <v>48</v>
      </c>
      <c r="D206" s="20">
        <v>357.0</v>
      </c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3.5" customHeight="1">
      <c r="A207" s="20">
        <v>2023.0</v>
      </c>
      <c r="B207" s="20" t="s">
        <v>134</v>
      </c>
      <c r="C207" s="20" t="s">
        <v>48</v>
      </c>
      <c r="D207" s="20">
        <v>35.0</v>
      </c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3.5" customHeight="1">
      <c r="A208" s="20">
        <v>2023.0</v>
      </c>
      <c r="B208" s="20" t="s">
        <v>133</v>
      </c>
      <c r="C208" s="20" t="s">
        <v>48</v>
      </c>
      <c r="D208" s="20">
        <v>54.0</v>
      </c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3.5" customHeight="1">
      <c r="A209" s="20">
        <v>2023.0</v>
      </c>
      <c r="B209" s="20" t="s">
        <v>136</v>
      </c>
      <c r="C209" s="20" t="s">
        <v>48</v>
      </c>
      <c r="D209" s="20">
        <v>13.0</v>
      </c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3.5" customHeight="1">
      <c r="A210" s="20">
        <v>2023.0</v>
      </c>
      <c r="B210" s="20" t="s">
        <v>137</v>
      </c>
      <c r="C210" s="20" t="s">
        <v>48</v>
      </c>
      <c r="D210" s="20">
        <v>163.0</v>
      </c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3.5" customHeight="1">
      <c r="A211" s="20">
        <v>2023.0</v>
      </c>
      <c r="B211" s="20" t="s">
        <v>139</v>
      </c>
      <c r="C211" s="20" t="s">
        <v>48</v>
      </c>
      <c r="D211" s="20">
        <v>61.0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3.5" customHeight="1">
      <c r="A212" s="20">
        <v>2023.0</v>
      </c>
      <c r="B212" s="20" t="s">
        <v>140</v>
      </c>
      <c r="C212" s="20" t="s">
        <v>48</v>
      </c>
      <c r="D212" s="20">
        <v>177.0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3.5" customHeight="1">
      <c r="A213" s="20">
        <v>2023.0</v>
      </c>
      <c r="B213" s="20" t="s">
        <v>141</v>
      </c>
      <c r="C213" s="20" t="s">
        <v>48</v>
      </c>
      <c r="D213" s="20">
        <v>296.0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3.5" customHeight="1">
      <c r="A214" s="20">
        <v>2023.0</v>
      </c>
      <c r="B214" s="20" t="s">
        <v>130</v>
      </c>
      <c r="C214" s="20" t="s">
        <v>48</v>
      </c>
      <c r="D214" s="20">
        <v>46.0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3.5" customHeight="1">
      <c r="A215" s="20">
        <v>2023.0</v>
      </c>
      <c r="B215" s="20" t="s">
        <v>142</v>
      </c>
      <c r="C215" s="20" t="s">
        <v>48</v>
      </c>
      <c r="D215" s="20">
        <v>58.0</v>
      </c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3.5" customHeight="1">
      <c r="A216" s="20">
        <v>2023.0</v>
      </c>
      <c r="B216" s="20" t="s">
        <v>143</v>
      </c>
      <c r="C216" s="20" t="s">
        <v>48</v>
      </c>
      <c r="D216" s="20">
        <v>34.0</v>
      </c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3.5" customHeight="1">
      <c r="A217" s="20">
        <v>2023.0</v>
      </c>
      <c r="B217" s="20" t="s">
        <v>144</v>
      </c>
      <c r="C217" s="20" t="s">
        <v>48</v>
      </c>
      <c r="D217" s="20">
        <v>52.0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3.5" customHeight="1">
      <c r="A218" s="20">
        <v>2023.0</v>
      </c>
      <c r="B218" s="20" t="s">
        <v>119</v>
      </c>
      <c r="C218" s="20" t="s">
        <v>50</v>
      </c>
      <c r="D218" s="20">
        <v>2512.0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3.5" customHeight="1">
      <c r="A219" s="20">
        <v>2023.0</v>
      </c>
      <c r="B219" s="20" t="s">
        <v>120</v>
      </c>
      <c r="C219" s="20" t="s">
        <v>50</v>
      </c>
      <c r="D219" s="20">
        <v>422.0</v>
      </c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3.5" customHeight="1">
      <c r="A220" s="20">
        <v>2023.0</v>
      </c>
      <c r="B220" s="20" t="s">
        <v>122</v>
      </c>
      <c r="C220" s="20" t="s">
        <v>50</v>
      </c>
      <c r="D220" s="20">
        <v>625.0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3.5" customHeight="1">
      <c r="A221" s="20">
        <v>2023.0</v>
      </c>
      <c r="B221" s="20" t="s">
        <v>123</v>
      </c>
      <c r="C221" s="20" t="s">
        <v>50</v>
      </c>
      <c r="D221" s="20">
        <v>462.0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3.5" customHeight="1">
      <c r="A222" s="20">
        <v>2023.0</v>
      </c>
      <c r="B222" s="20" t="s">
        <v>124</v>
      </c>
      <c r="C222" s="20" t="s">
        <v>50</v>
      </c>
      <c r="D222" s="20">
        <v>152.0</v>
      </c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3.5" customHeight="1">
      <c r="A223" s="20">
        <v>2023.0</v>
      </c>
      <c r="B223" s="20" t="s">
        <v>125</v>
      </c>
      <c r="C223" s="20" t="s">
        <v>50</v>
      </c>
      <c r="D223" s="20">
        <v>103.0</v>
      </c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3.5" customHeight="1">
      <c r="A224" s="20">
        <v>2023.0</v>
      </c>
      <c r="B224" s="20" t="s">
        <v>128</v>
      </c>
      <c r="C224" s="20" t="s">
        <v>50</v>
      </c>
      <c r="D224" s="20">
        <v>268.0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3.5" customHeight="1">
      <c r="A225" s="20">
        <v>2023.0</v>
      </c>
      <c r="B225" s="20" t="s">
        <v>135</v>
      </c>
      <c r="C225" s="20" t="s">
        <v>50</v>
      </c>
      <c r="D225" s="20">
        <v>36.0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3.5" customHeight="1">
      <c r="A226" s="20">
        <v>2023.0</v>
      </c>
      <c r="B226" s="20" t="s">
        <v>126</v>
      </c>
      <c r="C226" s="20" t="s">
        <v>50</v>
      </c>
      <c r="D226" s="20">
        <v>157.0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3.5" customHeight="1">
      <c r="A227" s="20">
        <v>2023.0</v>
      </c>
      <c r="B227" s="20" t="s">
        <v>127</v>
      </c>
      <c r="C227" s="20" t="s">
        <v>50</v>
      </c>
      <c r="D227" s="20">
        <v>0.0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3.5" customHeight="1">
      <c r="A228" s="20">
        <v>2023.0</v>
      </c>
      <c r="B228" s="20" t="s">
        <v>131</v>
      </c>
      <c r="C228" s="20" t="s">
        <v>50</v>
      </c>
      <c r="D228" s="20">
        <v>632.0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3.5" customHeight="1">
      <c r="A229" s="20">
        <v>2023.0</v>
      </c>
      <c r="B229" s="20" t="s">
        <v>132</v>
      </c>
      <c r="C229" s="20" t="s">
        <v>50</v>
      </c>
      <c r="D229" s="20">
        <v>72.0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3.5" customHeight="1">
      <c r="A230" s="20">
        <v>2023.0</v>
      </c>
      <c r="B230" s="20" t="s">
        <v>129</v>
      </c>
      <c r="C230" s="20" t="s">
        <v>50</v>
      </c>
      <c r="D230" s="20">
        <v>748.0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3.5" customHeight="1">
      <c r="A231" s="20">
        <v>2023.0</v>
      </c>
      <c r="B231" s="20" t="s">
        <v>134</v>
      </c>
      <c r="C231" s="20" t="s">
        <v>50</v>
      </c>
      <c r="D231" s="20">
        <v>18.0</v>
      </c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3.5" customHeight="1">
      <c r="A232" s="20">
        <v>2023.0</v>
      </c>
      <c r="B232" s="20" t="s">
        <v>133</v>
      </c>
      <c r="C232" s="20" t="s">
        <v>50</v>
      </c>
      <c r="D232" s="20">
        <v>162.0</v>
      </c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3.5" customHeight="1">
      <c r="A233" s="20">
        <v>2023.0</v>
      </c>
      <c r="B233" s="20" t="s">
        <v>136</v>
      </c>
      <c r="C233" s="20" t="s">
        <v>50</v>
      </c>
      <c r="D233" s="20">
        <v>117.0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3.5" customHeight="1">
      <c r="A234" s="20">
        <v>2023.0</v>
      </c>
      <c r="B234" s="20" t="s">
        <v>137</v>
      </c>
      <c r="C234" s="20" t="s">
        <v>50</v>
      </c>
      <c r="D234" s="20">
        <v>362.0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3.5" customHeight="1">
      <c r="A235" s="20">
        <v>2023.0</v>
      </c>
      <c r="B235" s="20" t="s">
        <v>139</v>
      </c>
      <c r="C235" s="20" t="s">
        <v>50</v>
      </c>
      <c r="D235" s="20">
        <v>490.0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3.5" customHeight="1">
      <c r="A236" s="20">
        <v>2023.0</v>
      </c>
      <c r="B236" s="20" t="s">
        <v>140</v>
      </c>
      <c r="C236" s="20" t="s">
        <v>50</v>
      </c>
      <c r="D236" s="20">
        <v>636.0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3.5" customHeight="1">
      <c r="A237" s="20">
        <v>2023.0</v>
      </c>
      <c r="B237" s="20" t="s">
        <v>141</v>
      </c>
      <c r="C237" s="20" t="s">
        <v>50</v>
      </c>
      <c r="D237" s="20">
        <v>1005.0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3.5" customHeight="1">
      <c r="A238" s="20">
        <v>2023.0</v>
      </c>
      <c r="B238" s="20" t="s">
        <v>130</v>
      </c>
      <c r="C238" s="20" t="s">
        <v>50</v>
      </c>
      <c r="D238" s="20">
        <v>108.0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3.5" customHeight="1">
      <c r="A239" s="20">
        <v>2023.0</v>
      </c>
      <c r="B239" s="20" t="s">
        <v>142</v>
      </c>
      <c r="C239" s="20" t="s">
        <v>50</v>
      </c>
      <c r="D239" s="20">
        <v>204.0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3.5" customHeight="1">
      <c r="A240" s="20">
        <v>2023.0</v>
      </c>
      <c r="B240" s="20" t="s">
        <v>143</v>
      </c>
      <c r="C240" s="20" t="s">
        <v>50</v>
      </c>
      <c r="D240" s="20">
        <v>34.0</v>
      </c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3.5" customHeight="1">
      <c r="A241" s="20">
        <v>2023.0</v>
      </c>
      <c r="B241" s="20" t="s">
        <v>144</v>
      </c>
      <c r="C241" s="20" t="s">
        <v>50</v>
      </c>
      <c r="D241" s="20">
        <v>151.0</v>
      </c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3.5" customHeight="1">
      <c r="A242" s="20">
        <v>2023.0</v>
      </c>
      <c r="B242" s="20" t="s">
        <v>119</v>
      </c>
      <c r="C242" s="20" t="s">
        <v>52</v>
      </c>
      <c r="D242" s="20">
        <v>3009.0</v>
      </c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3.5" customHeight="1">
      <c r="A243" s="20">
        <v>2023.0</v>
      </c>
      <c r="B243" s="20" t="s">
        <v>120</v>
      </c>
      <c r="C243" s="20" t="s">
        <v>52</v>
      </c>
      <c r="D243" s="20">
        <v>1482.0</v>
      </c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3.5" customHeight="1">
      <c r="A244" s="20">
        <v>2023.0</v>
      </c>
      <c r="B244" s="20" t="s">
        <v>122</v>
      </c>
      <c r="C244" s="20" t="s">
        <v>52</v>
      </c>
      <c r="D244" s="20">
        <v>761.0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3.5" customHeight="1">
      <c r="A245" s="20">
        <v>2023.0</v>
      </c>
      <c r="B245" s="20" t="s">
        <v>123</v>
      </c>
      <c r="C245" s="20" t="s">
        <v>52</v>
      </c>
      <c r="D245" s="20">
        <v>3232.0</v>
      </c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3.5" customHeight="1">
      <c r="A246" s="20">
        <v>2023.0</v>
      </c>
      <c r="B246" s="20" t="s">
        <v>124</v>
      </c>
      <c r="C246" s="20" t="s">
        <v>52</v>
      </c>
      <c r="D246" s="20">
        <v>664.0</v>
      </c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3.5" customHeight="1">
      <c r="A247" s="20">
        <v>2023.0</v>
      </c>
      <c r="B247" s="20" t="s">
        <v>125</v>
      </c>
      <c r="C247" s="20" t="s">
        <v>52</v>
      </c>
      <c r="D247" s="20">
        <v>834.0</v>
      </c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3.5" customHeight="1">
      <c r="A248" s="20">
        <v>2023.0</v>
      </c>
      <c r="B248" s="20" t="s">
        <v>128</v>
      </c>
      <c r="C248" s="20" t="s">
        <v>52</v>
      </c>
      <c r="D248" s="20">
        <v>332.0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3.5" customHeight="1">
      <c r="A249" s="20">
        <v>2023.0</v>
      </c>
      <c r="B249" s="20" t="s">
        <v>135</v>
      </c>
      <c r="C249" s="20" t="s">
        <v>52</v>
      </c>
      <c r="D249" s="20">
        <v>226.0</v>
      </c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3.5" customHeight="1">
      <c r="A250" s="20">
        <v>2023.0</v>
      </c>
      <c r="B250" s="20" t="s">
        <v>126</v>
      </c>
      <c r="C250" s="20" t="s">
        <v>52</v>
      </c>
      <c r="D250" s="20">
        <v>1696.0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3.5" customHeight="1">
      <c r="A251" s="20">
        <v>2023.0</v>
      </c>
      <c r="B251" s="20" t="s">
        <v>127</v>
      </c>
      <c r="C251" s="20" t="s">
        <v>52</v>
      </c>
      <c r="D251" s="20">
        <v>378.0</v>
      </c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3.5" customHeight="1">
      <c r="A252" s="20">
        <v>2023.0</v>
      </c>
      <c r="B252" s="20" t="s">
        <v>131</v>
      </c>
      <c r="C252" s="20" t="s">
        <v>52</v>
      </c>
      <c r="D252" s="20">
        <v>3112.0</v>
      </c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3.5" customHeight="1">
      <c r="A253" s="20">
        <v>2023.0</v>
      </c>
      <c r="B253" s="20" t="s">
        <v>132</v>
      </c>
      <c r="C253" s="20" t="s">
        <v>52</v>
      </c>
      <c r="D253" s="20">
        <v>293.0</v>
      </c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3.5" customHeight="1">
      <c r="A254" s="20">
        <v>2023.0</v>
      </c>
      <c r="B254" s="20" t="s">
        <v>129</v>
      </c>
      <c r="C254" s="20" t="s">
        <v>52</v>
      </c>
      <c r="D254" s="20">
        <v>2537.0</v>
      </c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3.5" customHeight="1">
      <c r="A255" s="20">
        <v>2023.0</v>
      </c>
      <c r="B255" s="20" t="s">
        <v>134</v>
      </c>
      <c r="C255" s="20" t="s">
        <v>52</v>
      </c>
      <c r="D255" s="20">
        <v>210.0</v>
      </c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3.5" customHeight="1">
      <c r="A256" s="20">
        <v>2023.0</v>
      </c>
      <c r="B256" s="20" t="s">
        <v>133</v>
      </c>
      <c r="C256" s="20" t="s">
        <v>52</v>
      </c>
      <c r="D256" s="20">
        <v>2791.0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3.5" customHeight="1">
      <c r="A257" s="20">
        <v>2023.0</v>
      </c>
      <c r="B257" s="20" t="s">
        <v>136</v>
      </c>
      <c r="C257" s="20" t="s">
        <v>52</v>
      </c>
      <c r="D257" s="20">
        <v>361.0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3.5" customHeight="1">
      <c r="A258" s="20">
        <v>2023.0</v>
      </c>
      <c r="B258" s="20" t="s">
        <v>137</v>
      </c>
      <c r="C258" s="20" t="s">
        <v>52</v>
      </c>
      <c r="D258" s="20">
        <v>2031.0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3.5" customHeight="1">
      <c r="A259" s="20">
        <v>2023.0</v>
      </c>
      <c r="B259" s="20" t="s">
        <v>139</v>
      </c>
      <c r="C259" s="20" t="s">
        <v>52</v>
      </c>
      <c r="D259" s="20">
        <v>1907.0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3.5" customHeight="1">
      <c r="A260" s="20">
        <v>2023.0</v>
      </c>
      <c r="B260" s="20" t="s">
        <v>140</v>
      </c>
      <c r="C260" s="20" t="s">
        <v>52</v>
      </c>
      <c r="D260" s="20">
        <v>2470.0</v>
      </c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3.5" customHeight="1">
      <c r="A261" s="20">
        <v>2023.0</v>
      </c>
      <c r="B261" s="20" t="s">
        <v>141</v>
      </c>
      <c r="C261" s="20" t="s">
        <v>52</v>
      </c>
      <c r="D261" s="20">
        <v>3814.0</v>
      </c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3.5" customHeight="1">
      <c r="A262" s="20">
        <v>2023.0</v>
      </c>
      <c r="B262" s="20" t="s">
        <v>130</v>
      </c>
      <c r="C262" s="20" t="s">
        <v>52</v>
      </c>
      <c r="D262" s="20">
        <v>2545.0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3.5" customHeight="1">
      <c r="A263" s="20">
        <v>2023.0</v>
      </c>
      <c r="B263" s="20" t="s">
        <v>142</v>
      </c>
      <c r="C263" s="20" t="s">
        <v>52</v>
      </c>
      <c r="D263" s="20">
        <v>719.0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3.5" customHeight="1">
      <c r="A264" s="20">
        <v>2023.0</v>
      </c>
      <c r="B264" s="20" t="s">
        <v>143</v>
      </c>
      <c r="C264" s="20" t="s">
        <v>52</v>
      </c>
      <c r="D264" s="20">
        <v>115.0</v>
      </c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3.5" customHeight="1">
      <c r="A265" s="20">
        <v>2023.0</v>
      </c>
      <c r="B265" s="20" t="s">
        <v>144</v>
      </c>
      <c r="C265" s="20" t="s">
        <v>52</v>
      </c>
      <c r="D265" s="20">
        <v>593.0</v>
      </c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3.5" customHeight="1">
      <c r="A266" s="20">
        <v>2023.0</v>
      </c>
      <c r="B266" s="20" t="s">
        <v>119</v>
      </c>
      <c r="C266" s="20" t="s">
        <v>54</v>
      </c>
      <c r="D266" s="20">
        <v>394.0</v>
      </c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3.5" customHeight="1">
      <c r="A267" s="20">
        <v>2023.0</v>
      </c>
      <c r="B267" s="20" t="s">
        <v>120</v>
      </c>
      <c r="C267" s="20" t="s">
        <v>54</v>
      </c>
      <c r="D267" s="20">
        <v>135.0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3.5" customHeight="1">
      <c r="A268" s="20">
        <v>2023.0</v>
      </c>
      <c r="B268" s="20" t="s">
        <v>122</v>
      </c>
      <c r="C268" s="20" t="s">
        <v>54</v>
      </c>
      <c r="D268" s="20">
        <v>67.0</v>
      </c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3.5" customHeight="1">
      <c r="A269" s="20">
        <v>2023.0</v>
      </c>
      <c r="B269" s="20" t="s">
        <v>123</v>
      </c>
      <c r="C269" s="20" t="s">
        <v>54</v>
      </c>
      <c r="D269" s="20">
        <v>566.0</v>
      </c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3.5" customHeight="1">
      <c r="A270" s="20">
        <v>2023.0</v>
      </c>
      <c r="B270" s="20" t="s">
        <v>124</v>
      </c>
      <c r="C270" s="20" t="s">
        <v>54</v>
      </c>
      <c r="D270" s="20">
        <v>82.0</v>
      </c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3.5" customHeight="1">
      <c r="A271" s="20">
        <v>2023.0</v>
      </c>
      <c r="B271" s="20" t="s">
        <v>125</v>
      </c>
      <c r="C271" s="20" t="s">
        <v>54</v>
      </c>
      <c r="D271" s="20">
        <v>395.0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3.5" customHeight="1">
      <c r="A272" s="20">
        <v>2023.0</v>
      </c>
      <c r="B272" s="20" t="s">
        <v>128</v>
      </c>
      <c r="C272" s="20" t="s">
        <v>54</v>
      </c>
      <c r="D272" s="20">
        <v>27.0</v>
      </c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3.5" customHeight="1">
      <c r="A273" s="20">
        <v>2023.0</v>
      </c>
      <c r="B273" s="20" t="s">
        <v>135</v>
      </c>
      <c r="C273" s="20" t="s">
        <v>54</v>
      </c>
      <c r="D273" s="20">
        <v>46.0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3.5" customHeight="1">
      <c r="A274" s="20">
        <v>2023.0</v>
      </c>
      <c r="B274" s="20" t="s">
        <v>126</v>
      </c>
      <c r="C274" s="20" t="s">
        <v>54</v>
      </c>
      <c r="D274" s="20">
        <v>144.0</v>
      </c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3.5" customHeight="1">
      <c r="A275" s="20">
        <v>2023.0</v>
      </c>
      <c r="B275" s="20" t="s">
        <v>127</v>
      </c>
      <c r="C275" s="20" t="s">
        <v>54</v>
      </c>
      <c r="D275" s="20">
        <v>90.0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3.5" customHeight="1">
      <c r="A276" s="20">
        <v>2023.0</v>
      </c>
      <c r="B276" s="20" t="s">
        <v>131</v>
      </c>
      <c r="C276" s="20" t="s">
        <v>54</v>
      </c>
      <c r="D276" s="20">
        <v>674.0</v>
      </c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3.5" customHeight="1">
      <c r="A277" s="20">
        <v>2023.0</v>
      </c>
      <c r="B277" s="20" t="s">
        <v>132</v>
      </c>
      <c r="C277" s="20" t="s">
        <v>54</v>
      </c>
      <c r="D277" s="20">
        <v>20.0</v>
      </c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3.5" customHeight="1">
      <c r="A278" s="20">
        <v>2023.0</v>
      </c>
      <c r="B278" s="20" t="s">
        <v>129</v>
      </c>
      <c r="C278" s="20" t="s">
        <v>54</v>
      </c>
      <c r="D278" s="20">
        <v>884.0</v>
      </c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3.5" customHeight="1">
      <c r="A279" s="20">
        <v>2023.0</v>
      </c>
      <c r="B279" s="20" t="s">
        <v>134</v>
      </c>
      <c r="C279" s="20" t="s">
        <v>54</v>
      </c>
      <c r="D279" s="20">
        <v>38.0</v>
      </c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3.5" customHeight="1">
      <c r="A280" s="20">
        <v>2023.0</v>
      </c>
      <c r="B280" s="20" t="s">
        <v>133</v>
      </c>
      <c r="C280" s="20" t="s">
        <v>54</v>
      </c>
      <c r="D280" s="20">
        <v>903.0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3.5" customHeight="1">
      <c r="A281" s="20">
        <v>2023.0</v>
      </c>
      <c r="B281" s="20" t="s">
        <v>136</v>
      </c>
      <c r="C281" s="20" t="s">
        <v>54</v>
      </c>
      <c r="D281" s="20">
        <v>98.0</v>
      </c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3.5" customHeight="1">
      <c r="A282" s="20">
        <v>2023.0</v>
      </c>
      <c r="B282" s="20" t="s">
        <v>137</v>
      </c>
      <c r="C282" s="20" t="s">
        <v>54</v>
      </c>
      <c r="D282" s="20">
        <v>390.0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3.5" customHeight="1">
      <c r="A283" s="20">
        <v>2023.0</v>
      </c>
      <c r="B283" s="20" t="s">
        <v>139</v>
      </c>
      <c r="C283" s="20" t="s">
        <v>54</v>
      </c>
      <c r="D283" s="20">
        <v>376.0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3.5" customHeight="1">
      <c r="A284" s="20">
        <v>2023.0</v>
      </c>
      <c r="B284" s="20" t="s">
        <v>140</v>
      </c>
      <c r="C284" s="20" t="s">
        <v>54</v>
      </c>
      <c r="D284" s="20">
        <v>260.0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3.5" customHeight="1">
      <c r="A285" s="20">
        <v>2023.0</v>
      </c>
      <c r="B285" s="20" t="s">
        <v>141</v>
      </c>
      <c r="C285" s="20" t="s">
        <v>54</v>
      </c>
      <c r="D285" s="20">
        <v>533.0</v>
      </c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3.5" customHeight="1">
      <c r="A286" s="20">
        <v>2023.0</v>
      </c>
      <c r="B286" s="20" t="s">
        <v>130</v>
      </c>
      <c r="C286" s="20" t="s">
        <v>54</v>
      </c>
      <c r="D286" s="20">
        <v>52.0</v>
      </c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3.5" customHeight="1">
      <c r="A287" s="20">
        <v>2023.0</v>
      </c>
      <c r="B287" s="20" t="s">
        <v>142</v>
      </c>
      <c r="C287" s="20" t="s">
        <v>54</v>
      </c>
      <c r="D287" s="20">
        <v>62.0</v>
      </c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3.5" customHeight="1">
      <c r="A288" s="20">
        <v>2023.0</v>
      </c>
      <c r="B288" s="20" t="s">
        <v>143</v>
      </c>
      <c r="C288" s="20" t="s">
        <v>54</v>
      </c>
      <c r="D288" s="20">
        <v>18.0</v>
      </c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3.5" customHeight="1">
      <c r="A289" s="20">
        <v>2023.0</v>
      </c>
      <c r="B289" s="20" t="s">
        <v>144</v>
      </c>
      <c r="C289" s="20" t="s">
        <v>54</v>
      </c>
      <c r="D289" s="20">
        <v>67.0</v>
      </c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3.5" customHeight="1">
      <c r="A290" s="20">
        <v>2023.0</v>
      </c>
      <c r="B290" s="20" t="s">
        <v>119</v>
      </c>
      <c r="C290" s="20" t="s">
        <v>56</v>
      </c>
      <c r="D290" s="20">
        <v>1255.0</v>
      </c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3.5" customHeight="1">
      <c r="A291" s="20">
        <v>2023.0</v>
      </c>
      <c r="B291" s="20" t="s">
        <v>120</v>
      </c>
      <c r="C291" s="20" t="s">
        <v>56</v>
      </c>
      <c r="D291" s="20">
        <v>304.0</v>
      </c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3.5" customHeight="1">
      <c r="A292" s="20">
        <v>2023.0</v>
      </c>
      <c r="B292" s="20" t="s">
        <v>122</v>
      </c>
      <c r="C292" s="20" t="s">
        <v>56</v>
      </c>
      <c r="D292" s="20">
        <v>330.0</v>
      </c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3.5" customHeight="1">
      <c r="A293" s="20">
        <v>2023.0</v>
      </c>
      <c r="B293" s="20" t="s">
        <v>123</v>
      </c>
      <c r="C293" s="20" t="s">
        <v>56</v>
      </c>
      <c r="D293" s="20">
        <v>306.0</v>
      </c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3.5" customHeight="1">
      <c r="A294" s="20">
        <v>2023.0</v>
      </c>
      <c r="B294" s="20" t="s">
        <v>124</v>
      </c>
      <c r="C294" s="20" t="s">
        <v>56</v>
      </c>
      <c r="D294" s="20">
        <v>31.0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3.5" customHeight="1">
      <c r="A295" s="20">
        <v>2023.0</v>
      </c>
      <c r="B295" s="20" t="s">
        <v>125</v>
      </c>
      <c r="C295" s="20" t="s">
        <v>56</v>
      </c>
      <c r="D295" s="20">
        <v>170.0</v>
      </c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3.5" customHeight="1">
      <c r="A296" s="20">
        <v>2023.0</v>
      </c>
      <c r="B296" s="20" t="s">
        <v>128</v>
      </c>
      <c r="C296" s="20" t="s">
        <v>56</v>
      </c>
      <c r="D296" s="20">
        <v>78.0</v>
      </c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3.5" customHeight="1">
      <c r="A297" s="20">
        <v>2023.0</v>
      </c>
      <c r="B297" s="20" t="s">
        <v>135</v>
      </c>
      <c r="C297" s="20" t="s">
        <v>56</v>
      </c>
      <c r="D297" s="20">
        <v>29.0</v>
      </c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3.5" customHeight="1">
      <c r="A298" s="20">
        <v>2023.0</v>
      </c>
      <c r="B298" s="20" t="s">
        <v>126</v>
      </c>
      <c r="C298" s="20" t="s">
        <v>56</v>
      </c>
      <c r="D298" s="20">
        <v>118.0</v>
      </c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3.5" customHeight="1">
      <c r="A299" s="20">
        <v>2023.0</v>
      </c>
      <c r="B299" s="20" t="s">
        <v>127</v>
      </c>
      <c r="C299" s="20" t="s">
        <v>56</v>
      </c>
      <c r="D299" s="20">
        <v>0.0</v>
      </c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3.5" customHeight="1">
      <c r="A300" s="20">
        <v>2023.0</v>
      </c>
      <c r="B300" s="20" t="s">
        <v>131</v>
      </c>
      <c r="C300" s="20" t="s">
        <v>56</v>
      </c>
      <c r="D300" s="20">
        <v>188.0</v>
      </c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3.5" customHeight="1">
      <c r="A301" s="20">
        <v>2023.0</v>
      </c>
      <c r="B301" s="20" t="s">
        <v>132</v>
      </c>
      <c r="C301" s="20" t="s">
        <v>56</v>
      </c>
      <c r="D301" s="20">
        <v>47.0</v>
      </c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3.5" customHeight="1">
      <c r="A302" s="20">
        <v>2023.0</v>
      </c>
      <c r="B302" s="20" t="s">
        <v>129</v>
      </c>
      <c r="C302" s="20" t="s">
        <v>56</v>
      </c>
      <c r="D302" s="20">
        <v>661.0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3.5" customHeight="1">
      <c r="A303" s="20">
        <v>2023.0</v>
      </c>
      <c r="B303" s="20" t="s">
        <v>134</v>
      </c>
      <c r="C303" s="20" t="s">
        <v>56</v>
      </c>
      <c r="D303" s="20">
        <v>40.0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3.5" customHeight="1">
      <c r="A304" s="20">
        <v>2023.0</v>
      </c>
      <c r="B304" s="20" t="s">
        <v>133</v>
      </c>
      <c r="C304" s="20" t="s">
        <v>56</v>
      </c>
      <c r="D304" s="20">
        <v>166.0</v>
      </c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3.5" customHeight="1">
      <c r="A305" s="20">
        <v>2023.0</v>
      </c>
      <c r="B305" s="20" t="s">
        <v>136</v>
      </c>
      <c r="C305" s="20" t="s">
        <v>56</v>
      </c>
      <c r="D305" s="20">
        <v>40.0</v>
      </c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3.5" customHeight="1">
      <c r="A306" s="20">
        <v>2023.0</v>
      </c>
      <c r="B306" s="20" t="s">
        <v>137</v>
      </c>
      <c r="C306" s="20" t="s">
        <v>56</v>
      </c>
      <c r="D306" s="20">
        <v>739.0</v>
      </c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3.5" customHeight="1">
      <c r="A307" s="20">
        <v>2023.0</v>
      </c>
      <c r="B307" s="20" t="s">
        <v>139</v>
      </c>
      <c r="C307" s="20" t="s">
        <v>56</v>
      </c>
      <c r="D307" s="20">
        <v>223.0</v>
      </c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3.5" customHeight="1">
      <c r="A308" s="20">
        <v>2023.0</v>
      </c>
      <c r="B308" s="20" t="s">
        <v>140</v>
      </c>
      <c r="C308" s="20" t="s">
        <v>56</v>
      </c>
      <c r="D308" s="20">
        <v>685.0</v>
      </c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3.5" customHeight="1">
      <c r="A309" s="20">
        <v>2023.0</v>
      </c>
      <c r="B309" s="20" t="s">
        <v>141</v>
      </c>
      <c r="C309" s="20" t="s">
        <v>56</v>
      </c>
      <c r="D309" s="20">
        <v>610.0</v>
      </c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3.5" customHeight="1">
      <c r="A310" s="20">
        <v>2023.0</v>
      </c>
      <c r="B310" s="20" t="s">
        <v>130</v>
      </c>
      <c r="C310" s="20" t="s">
        <v>56</v>
      </c>
      <c r="D310" s="20">
        <v>42.0</v>
      </c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3.5" customHeight="1">
      <c r="A311" s="20">
        <v>2023.0</v>
      </c>
      <c r="B311" s="20" t="s">
        <v>142</v>
      </c>
      <c r="C311" s="20" t="s">
        <v>56</v>
      </c>
      <c r="D311" s="20">
        <v>94.0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3.5" customHeight="1">
      <c r="A312" s="20">
        <v>2023.0</v>
      </c>
      <c r="B312" s="20" t="s">
        <v>143</v>
      </c>
      <c r="C312" s="20" t="s">
        <v>56</v>
      </c>
      <c r="D312" s="20">
        <v>66.0</v>
      </c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3.5" customHeight="1">
      <c r="A313" s="20">
        <v>2023.0</v>
      </c>
      <c r="B313" s="20" t="s">
        <v>144</v>
      </c>
      <c r="C313" s="20" t="s">
        <v>56</v>
      </c>
      <c r="D313" s="20">
        <v>51.0</v>
      </c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3.5" customHeight="1">
      <c r="A314" s="20">
        <v>2023.0</v>
      </c>
      <c r="B314" s="20" t="s">
        <v>119</v>
      </c>
      <c r="C314" s="20" t="s">
        <v>58</v>
      </c>
      <c r="D314" s="20">
        <v>375.0</v>
      </c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3.5" customHeight="1">
      <c r="A315" s="20">
        <v>2023.0</v>
      </c>
      <c r="B315" s="20" t="s">
        <v>120</v>
      </c>
      <c r="C315" s="20" t="s">
        <v>58</v>
      </c>
      <c r="D315" s="20">
        <v>629.0</v>
      </c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3.5" customHeight="1">
      <c r="A316" s="20">
        <v>2023.0</v>
      </c>
      <c r="B316" s="20" t="s">
        <v>122</v>
      </c>
      <c r="C316" s="20" t="s">
        <v>58</v>
      </c>
      <c r="D316" s="20">
        <v>77.0</v>
      </c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3.5" customHeight="1">
      <c r="A317" s="20">
        <v>2023.0</v>
      </c>
      <c r="B317" s="20" t="s">
        <v>123</v>
      </c>
      <c r="C317" s="20" t="s">
        <v>58</v>
      </c>
      <c r="D317" s="20">
        <v>460.0</v>
      </c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3.5" customHeight="1">
      <c r="A318" s="20">
        <v>2023.0</v>
      </c>
      <c r="B318" s="20" t="s">
        <v>124</v>
      </c>
      <c r="C318" s="20" t="s">
        <v>58</v>
      </c>
      <c r="D318" s="20">
        <v>57.0</v>
      </c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3.5" customHeight="1">
      <c r="A319" s="20">
        <v>2023.0</v>
      </c>
      <c r="B319" s="20" t="s">
        <v>125</v>
      </c>
      <c r="C319" s="20" t="s">
        <v>58</v>
      </c>
      <c r="D319" s="20">
        <v>1115.0</v>
      </c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3.5" customHeight="1">
      <c r="A320" s="20">
        <v>2023.0</v>
      </c>
      <c r="B320" s="20" t="s">
        <v>128</v>
      </c>
      <c r="C320" s="20" t="s">
        <v>58</v>
      </c>
      <c r="D320" s="20">
        <v>102.0</v>
      </c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3.5" customHeight="1">
      <c r="A321" s="20">
        <v>2023.0</v>
      </c>
      <c r="B321" s="20" t="s">
        <v>135</v>
      </c>
      <c r="C321" s="20" t="s">
        <v>58</v>
      </c>
      <c r="D321" s="20">
        <v>49.0</v>
      </c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3.5" customHeight="1">
      <c r="A322" s="20">
        <v>2023.0</v>
      </c>
      <c r="B322" s="20" t="s">
        <v>126</v>
      </c>
      <c r="C322" s="20" t="s">
        <v>58</v>
      </c>
      <c r="D322" s="20">
        <v>256.0</v>
      </c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3.5" customHeight="1">
      <c r="A323" s="20">
        <v>2023.0</v>
      </c>
      <c r="B323" s="20" t="s">
        <v>127</v>
      </c>
      <c r="C323" s="20" t="s">
        <v>58</v>
      </c>
      <c r="D323" s="20">
        <v>177.0</v>
      </c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3.5" customHeight="1">
      <c r="A324" s="20">
        <v>2023.0</v>
      </c>
      <c r="B324" s="20" t="s">
        <v>131</v>
      </c>
      <c r="C324" s="20" t="s">
        <v>58</v>
      </c>
      <c r="D324" s="20">
        <v>696.0</v>
      </c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3.5" customHeight="1">
      <c r="A325" s="20">
        <v>2023.0</v>
      </c>
      <c r="B325" s="20" t="s">
        <v>132</v>
      </c>
      <c r="C325" s="20" t="s">
        <v>58</v>
      </c>
      <c r="D325" s="20">
        <v>32.0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3.5" customHeight="1">
      <c r="A326" s="20">
        <v>2023.0</v>
      </c>
      <c r="B326" s="20" t="s">
        <v>129</v>
      </c>
      <c r="C326" s="20" t="s">
        <v>58</v>
      </c>
      <c r="D326" s="20">
        <v>902.0</v>
      </c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3.5" customHeight="1">
      <c r="A327" s="20">
        <v>2023.0</v>
      </c>
      <c r="B327" s="20" t="s">
        <v>134</v>
      </c>
      <c r="C327" s="20" t="s">
        <v>58</v>
      </c>
      <c r="D327" s="20">
        <v>8.0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3.5" customHeight="1">
      <c r="A328" s="20">
        <v>2023.0</v>
      </c>
      <c r="B328" s="20" t="s">
        <v>133</v>
      </c>
      <c r="C328" s="20" t="s">
        <v>58</v>
      </c>
      <c r="D328" s="20">
        <v>297.0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3.5" customHeight="1">
      <c r="A329" s="20">
        <v>2023.0</v>
      </c>
      <c r="B329" s="20" t="s">
        <v>136</v>
      </c>
      <c r="C329" s="20" t="s">
        <v>58</v>
      </c>
      <c r="D329" s="20">
        <v>137.0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3.5" customHeight="1">
      <c r="A330" s="20">
        <v>2023.0</v>
      </c>
      <c r="B330" s="20" t="s">
        <v>137</v>
      </c>
      <c r="C330" s="20" t="s">
        <v>58</v>
      </c>
      <c r="D330" s="20">
        <v>387.0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3.5" customHeight="1">
      <c r="A331" s="20">
        <v>2023.0</v>
      </c>
      <c r="B331" s="20" t="s">
        <v>139</v>
      </c>
      <c r="C331" s="20" t="s">
        <v>58</v>
      </c>
      <c r="D331" s="20">
        <v>229.0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3.5" customHeight="1">
      <c r="A332" s="20">
        <v>2023.0</v>
      </c>
      <c r="B332" s="20" t="s">
        <v>140</v>
      </c>
      <c r="C332" s="20" t="s">
        <v>58</v>
      </c>
      <c r="D332" s="20">
        <v>303.0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3.5" customHeight="1">
      <c r="A333" s="20">
        <v>2023.0</v>
      </c>
      <c r="B333" s="20" t="s">
        <v>141</v>
      </c>
      <c r="C333" s="20" t="s">
        <v>58</v>
      </c>
      <c r="D333" s="20">
        <v>875.0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3.5" customHeight="1">
      <c r="A334" s="20">
        <v>2023.0</v>
      </c>
      <c r="B334" s="20" t="s">
        <v>130</v>
      </c>
      <c r="C334" s="20" t="s">
        <v>58</v>
      </c>
      <c r="D334" s="20">
        <v>70.0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3.5" customHeight="1">
      <c r="A335" s="20">
        <v>2023.0</v>
      </c>
      <c r="B335" s="20" t="s">
        <v>142</v>
      </c>
      <c r="C335" s="20" t="s">
        <v>58</v>
      </c>
      <c r="D335" s="20">
        <v>181.0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3.5" customHeight="1">
      <c r="A336" s="20">
        <v>2023.0</v>
      </c>
      <c r="B336" s="20" t="s">
        <v>143</v>
      </c>
      <c r="C336" s="20" t="s">
        <v>58</v>
      </c>
      <c r="D336" s="20">
        <v>386.0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3.5" customHeight="1">
      <c r="A337" s="20">
        <v>2023.0</v>
      </c>
      <c r="B337" s="20" t="s">
        <v>144</v>
      </c>
      <c r="C337" s="20" t="s">
        <v>58</v>
      </c>
      <c r="D337" s="20">
        <v>185.0</v>
      </c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3.5" customHeight="1">
      <c r="A338" s="20">
        <v>2023.0</v>
      </c>
      <c r="B338" s="20" t="s">
        <v>119</v>
      </c>
      <c r="C338" s="20" t="s">
        <v>60</v>
      </c>
      <c r="D338" s="20">
        <v>230.0</v>
      </c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3.5" customHeight="1">
      <c r="A339" s="20">
        <v>2023.0</v>
      </c>
      <c r="B339" s="20" t="s">
        <v>120</v>
      </c>
      <c r="C339" s="20" t="s">
        <v>60</v>
      </c>
      <c r="D339" s="20">
        <v>124.0</v>
      </c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3.5" customHeight="1">
      <c r="A340" s="20">
        <v>2023.0</v>
      </c>
      <c r="B340" s="20" t="s">
        <v>122</v>
      </c>
      <c r="C340" s="20" t="s">
        <v>60</v>
      </c>
      <c r="D340" s="20">
        <v>296.0</v>
      </c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3.5" customHeight="1">
      <c r="A341" s="20">
        <v>2023.0</v>
      </c>
      <c r="B341" s="20" t="s">
        <v>123</v>
      </c>
      <c r="C341" s="20" t="s">
        <v>60</v>
      </c>
      <c r="D341" s="20">
        <v>816.0</v>
      </c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3.5" customHeight="1">
      <c r="A342" s="20">
        <v>2023.0</v>
      </c>
      <c r="B342" s="20" t="s">
        <v>124</v>
      </c>
      <c r="C342" s="20" t="s">
        <v>60</v>
      </c>
      <c r="D342" s="20">
        <v>82.0</v>
      </c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3.5" customHeight="1">
      <c r="A343" s="20">
        <v>2023.0</v>
      </c>
      <c r="B343" s="20" t="s">
        <v>125</v>
      </c>
      <c r="C343" s="20" t="s">
        <v>60</v>
      </c>
      <c r="D343" s="20">
        <v>305.0</v>
      </c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3.5" customHeight="1">
      <c r="A344" s="20">
        <v>2023.0</v>
      </c>
      <c r="B344" s="20" t="s">
        <v>128</v>
      </c>
      <c r="C344" s="20" t="s">
        <v>60</v>
      </c>
      <c r="D344" s="20">
        <v>17.0</v>
      </c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3.5" customHeight="1">
      <c r="A345" s="20">
        <v>2023.0</v>
      </c>
      <c r="B345" s="20" t="s">
        <v>135</v>
      </c>
      <c r="C345" s="20" t="s">
        <v>60</v>
      </c>
      <c r="D345" s="20">
        <v>47.0</v>
      </c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3.5" customHeight="1">
      <c r="A346" s="20">
        <v>2023.0</v>
      </c>
      <c r="B346" s="20" t="s">
        <v>126</v>
      </c>
      <c r="C346" s="20" t="s">
        <v>60</v>
      </c>
      <c r="D346" s="20">
        <v>643.0</v>
      </c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3.5" customHeight="1">
      <c r="A347" s="20">
        <v>2023.0</v>
      </c>
      <c r="B347" s="20" t="s">
        <v>127</v>
      </c>
      <c r="C347" s="20" t="s">
        <v>60</v>
      </c>
      <c r="D347" s="20">
        <v>152.0</v>
      </c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3.5" customHeight="1">
      <c r="A348" s="20">
        <v>2023.0</v>
      </c>
      <c r="B348" s="20" t="s">
        <v>131</v>
      </c>
      <c r="C348" s="20" t="s">
        <v>60</v>
      </c>
      <c r="D348" s="20">
        <v>194.0</v>
      </c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3.5" customHeight="1">
      <c r="A349" s="20">
        <v>2023.0</v>
      </c>
      <c r="B349" s="20" t="s">
        <v>132</v>
      </c>
      <c r="C349" s="20" t="s">
        <v>60</v>
      </c>
      <c r="D349" s="20">
        <v>31.0</v>
      </c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3.5" customHeight="1">
      <c r="A350" s="20">
        <v>2023.0</v>
      </c>
      <c r="B350" s="20" t="s">
        <v>129</v>
      </c>
      <c r="C350" s="20" t="s">
        <v>60</v>
      </c>
      <c r="D350" s="20">
        <v>676.0</v>
      </c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3.5" customHeight="1">
      <c r="A351" s="20">
        <v>2023.0</v>
      </c>
      <c r="B351" s="20" t="s">
        <v>134</v>
      </c>
      <c r="C351" s="20" t="s">
        <v>60</v>
      </c>
      <c r="D351" s="20">
        <v>3.0</v>
      </c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3.5" customHeight="1">
      <c r="A352" s="20">
        <v>2023.0</v>
      </c>
      <c r="B352" s="20" t="s">
        <v>133</v>
      </c>
      <c r="C352" s="20" t="s">
        <v>60</v>
      </c>
      <c r="D352" s="20">
        <v>201.0</v>
      </c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3.5" customHeight="1">
      <c r="A353" s="20">
        <v>2023.0</v>
      </c>
      <c r="B353" s="20" t="s">
        <v>136</v>
      </c>
      <c r="C353" s="20" t="s">
        <v>60</v>
      </c>
      <c r="D353" s="20">
        <v>80.0</v>
      </c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3.5" customHeight="1">
      <c r="A354" s="20">
        <v>2023.0</v>
      </c>
      <c r="B354" s="20" t="s">
        <v>137</v>
      </c>
      <c r="C354" s="20" t="s">
        <v>60</v>
      </c>
      <c r="D354" s="20">
        <v>271.0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3.5" customHeight="1">
      <c r="A355" s="20">
        <v>2023.0</v>
      </c>
      <c r="B355" s="20" t="s">
        <v>139</v>
      </c>
      <c r="C355" s="20" t="s">
        <v>60</v>
      </c>
      <c r="D355" s="20">
        <v>457.0</v>
      </c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3.5" customHeight="1">
      <c r="A356" s="20">
        <v>2023.0</v>
      </c>
      <c r="B356" s="20" t="s">
        <v>140</v>
      </c>
      <c r="C356" s="20" t="s">
        <v>60</v>
      </c>
      <c r="D356" s="20">
        <v>777.0</v>
      </c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3.5" customHeight="1">
      <c r="A357" s="20">
        <v>2023.0</v>
      </c>
      <c r="B357" s="20" t="s">
        <v>141</v>
      </c>
      <c r="C357" s="20" t="s">
        <v>60</v>
      </c>
      <c r="D357" s="20">
        <v>566.0</v>
      </c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3.5" customHeight="1">
      <c r="A358" s="20">
        <v>2023.0</v>
      </c>
      <c r="B358" s="20" t="s">
        <v>130</v>
      </c>
      <c r="C358" s="20" t="s">
        <v>60</v>
      </c>
      <c r="D358" s="20">
        <v>19.0</v>
      </c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3.5" customHeight="1">
      <c r="A359" s="20">
        <v>2023.0</v>
      </c>
      <c r="B359" s="20" t="s">
        <v>142</v>
      </c>
      <c r="C359" s="20" t="s">
        <v>60</v>
      </c>
      <c r="D359" s="20">
        <v>83.0</v>
      </c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3.5" customHeight="1">
      <c r="A360" s="20">
        <v>2023.0</v>
      </c>
      <c r="B360" s="20" t="s">
        <v>143</v>
      </c>
      <c r="C360" s="20" t="s">
        <v>60</v>
      </c>
      <c r="D360" s="20">
        <v>25.0</v>
      </c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3.5" customHeight="1">
      <c r="A361" s="20">
        <v>2023.0</v>
      </c>
      <c r="B361" s="20" t="s">
        <v>144</v>
      </c>
      <c r="C361" s="20" t="s">
        <v>60</v>
      </c>
      <c r="D361" s="20">
        <v>164.0</v>
      </c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3.5" customHeight="1">
      <c r="A362" s="20">
        <v>2023.0</v>
      </c>
      <c r="B362" s="20" t="s">
        <v>119</v>
      </c>
      <c r="C362" s="20" t="s">
        <v>62</v>
      </c>
      <c r="D362" s="20">
        <v>48.0</v>
      </c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3.5" customHeight="1">
      <c r="A363" s="20">
        <v>2023.0</v>
      </c>
      <c r="B363" s="20" t="s">
        <v>120</v>
      </c>
      <c r="C363" s="20" t="s">
        <v>62</v>
      </c>
      <c r="D363" s="20">
        <v>14.0</v>
      </c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3.5" customHeight="1">
      <c r="A364" s="20">
        <v>2023.0</v>
      </c>
      <c r="B364" s="20" t="s">
        <v>122</v>
      </c>
      <c r="C364" s="20" t="s">
        <v>62</v>
      </c>
      <c r="D364" s="20">
        <v>16.0</v>
      </c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3.5" customHeight="1">
      <c r="A365" s="20">
        <v>2023.0</v>
      </c>
      <c r="B365" s="20" t="s">
        <v>123</v>
      </c>
      <c r="C365" s="20" t="s">
        <v>62</v>
      </c>
      <c r="D365" s="20">
        <v>20.0</v>
      </c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3.5" customHeight="1">
      <c r="A366" s="20">
        <v>2023.0</v>
      </c>
      <c r="B366" s="20" t="s">
        <v>124</v>
      </c>
      <c r="C366" s="20" t="s">
        <v>62</v>
      </c>
      <c r="D366" s="20">
        <v>6.0</v>
      </c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3.5" customHeight="1">
      <c r="A367" s="20">
        <v>2023.0</v>
      </c>
      <c r="B367" s="20" t="s">
        <v>125</v>
      </c>
      <c r="C367" s="20" t="s">
        <v>62</v>
      </c>
      <c r="D367" s="20">
        <v>156.0</v>
      </c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3.5" customHeight="1">
      <c r="A368" s="20">
        <v>2023.0</v>
      </c>
      <c r="B368" s="20" t="s">
        <v>128</v>
      </c>
      <c r="C368" s="20" t="s">
        <v>62</v>
      </c>
      <c r="D368" s="20">
        <v>2.0</v>
      </c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3.5" customHeight="1">
      <c r="A369" s="20">
        <v>2023.0</v>
      </c>
      <c r="B369" s="20" t="s">
        <v>135</v>
      </c>
      <c r="C369" s="20" t="s">
        <v>62</v>
      </c>
      <c r="D369" s="20">
        <v>5.0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3.5" customHeight="1">
      <c r="A370" s="20">
        <v>2023.0</v>
      </c>
      <c r="B370" s="20" t="s">
        <v>126</v>
      </c>
      <c r="C370" s="20" t="s">
        <v>62</v>
      </c>
      <c r="D370" s="20">
        <v>18.0</v>
      </c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3.5" customHeight="1">
      <c r="A371" s="20">
        <v>2023.0</v>
      </c>
      <c r="B371" s="20" t="s">
        <v>127</v>
      </c>
      <c r="C371" s="20" t="s">
        <v>62</v>
      </c>
      <c r="D371" s="20">
        <v>0.0</v>
      </c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3.5" customHeight="1">
      <c r="A372" s="20">
        <v>2023.0</v>
      </c>
      <c r="B372" s="20" t="s">
        <v>131</v>
      </c>
      <c r="C372" s="20" t="s">
        <v>62</v>
      </c>
      <c r="D372" s="20">
        <v>47.0</v>
      </c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3.5" customHeight="1">
      <c r="A373" s="20">
        <v>2023.0</v>
      </c>
      <c r="B373" s="20" t="s">
        <v>132</v>
      </c>
      <c r="C373" s="20" t="s">
        <v>62</v>
      </c>
      <c r="D373" s="20">
        <v>7.0</v>
      </c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3.5" customHeight="1">
      <c r="A374" s="20">
        <v>2023.0</v>
      </c>
      <c r="B374" s="20" t="s">
        <v>129</v>
      </c>
      <c r="C374" s="20" t="s">
        <v>62</v>
      </c>
      <c r="D374" s="20">
        <v>112.0</v>
      </c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3.5" customHeight="1">
      <c r="A375" s="20">
        <v>2023.0</v>
      </c>
      <c r="B375" s="20" t="s">
        <v>134</v>
      </c>
      <c r="C375" s="20" t="s">
        <v>62</v>
      </c>
      <c r="D375" s="20">
        <v>0.0</v>
      </c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3.5" customHeight="1">
      <c r="A376" s="20">
        <v>2023.0</v>
      </c>
      <c r="B376" s="20" t="s">
        <v>133</v>
      </c>
      <c r="C376" s="20" t="s">
        <v>62</v>
      </c>
      <c r="D376" s="20">
        <v>21.0</v>
      </c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3.5" customHeight="1">
      <c r="A377" s="20">
        <v>2023.0</v>
      </c>
      <c r="B377" s="20" t="s">
        <v>136</v>
      </c>
      <c r="C377" s="20" t="s">
        <v>62</v>
      </c>
      <c r="D377" s="20">
        <v>25.0</v>
      </c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3.5" customHeight="1">
      <c r="A378" s="20">
        <v>2023.0</v>
      </c>
      <c r="B378" s="20" t="s">
        <v>137</v>
      </c>
      <c r="C378" s="20" t="s">
        <v>62</v>
      </c>
      <c r="D378" s="20">
        <v>27.0</v>
      </c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3.5" customHeight="1">
      <c r="A379" s="20">
        <v>2023.0</v>
      </c>
      <c r="B379" s="20" t="s">
        <v>139</v>
      </c>
      <c r="C379" s="20" t="s">
        <v>62</v>
      </c>
      <c r="D379" s="20">
        <v>18.0</v>
      </c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3.5" customHeight="1">
      <c r="A380" s="20">
        <v>2023.0</v>
      </c>
      <c r="B380" s="20" t="s">
        <v>140</v>
      </c>
      <c r="C380" s="20" t="s">
        <v>62</v>
      </c>
      <c r="D380" s="20">
        <v>72.0</v>
      </c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3.5" customHeight="1">
      <c r="A381" s="20">
        <v>2023.0</v>
      </c>
      <c r="B381" s="20" t="s">
        <v>141</v>
      </c>
      <c r="C381" s="20" t="s">
        <v>62</v>
      </c>
      <c r="D381" s="20">
        <v>31.0</v>
      </c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3.5" customHeight="1">
      <c r="A382" s="20">
        <v>2023.0</v>
      </c>
      <c r="B382" s="20" t="s">
        <v>130</v>
      </c>
      <c r="C382" s="20" t="s">
        <v>62</v>
      </c>
      <c r="D382" s="20">
        <v>5.0</v>
      </c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3.5" customHeight="1">
      <c r="A383" s="20">
        <v>2023.0</v>
      </c>
      <c r="B383" s="20" t="s">
        <v>142</v>
      </c>
      <c r="C383" s="20" t="s">
        <v>62</v>
      </c>
      <c r="D383" s="20">
        <v>34.0</v>
      </c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3.5" customHeight="1">
      <c r="A384" s="20">
        <v>2023.0</v>
      </c>
      <c r="B384" s="20" t="s">
        <v>143</v>
      </c>
      <c r="C384" s="20" t="s">
        <v>62</v>
      </c>
      <c r="D384" s="20">
        <v>0.0</v>
      </c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3.5" customHeight="1">
      <c r="A385" s="20">
        <v>2023.0</v>
      </c>
      <c r="B385" s="20" t="s">
        <v>144</v>
      </c>
      <c r="C385" s="20" t="s">
        <v>62</v>
      </c>
      <c r="D385" s="20">
        <v>8.0</v>
      </c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3.5" customHeight="1">
      <c r="A386" s="20">
        <v>2023.0</v>
      </c>
      <c r="B386" s="20" t="s">
        <v>119</v>
      </c>
      <c r="C386" s="20" t="s">
        <v>64</v>
      </c>
      <c r="D386" s="20">
        <v>209.0</v>
      </c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3.5" customHeight="1">
      <c r="A387" s="20">
        <v>2023.0</v>
      </c>
      <c r="B387" s="20" t="s">
        <v>120</v>
      </c>
      <c r="C387" s="20" t="s">
        <v>64</v>
      </c>
      <c r="D387" s="20">
        <v>110.0</v>
      </c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3.5" customHeight="1">
      <c r="A388" s="20">
        <v>2023.0</v>
      </c>
      <c r="B388" s="20" t="s">
        <v>122</v>
      </c>
      <c r="C388" s="20" t="s">
        <v>64</v>
      </c>
      <c r="D388" s="20">
        <v>48.0</v>
      </c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3.5" customHeight="1">
      <c r="A389" s="20">
        <v>2023.0</v>
      </c>
      <c r="B389" s="20" t="s">
        <v>123</v>
      </c>
      <c r="C389" s="20" t="s">
        <v>64</v>
      </c>
      <c r="D389" s="20">
        <v>142.0</v>
      </c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3.5" customHeight="1">
      <c r="A390" s="20">
        <v>2023.0</v>
      </c>
      <c r="B390" s="20" t="s">
        <v>124</v>
      </c>
      <c r="C390" s="20" t="s">
        <v>64</v>
      </c>
      <c r="D390" s="20">
        <v>23.0</v>
      </c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3.5" customHeight="1">
      <c r="A391" s="20">
        <v>2023.0</v>
      </c>
      <c r="B391" s="20" t="s">
        <v>125</v>
      </c>
      <c r="C391" s="20" t="s">
        <v>64</v>
      </c>
      <c r="D391" s="20">
        <v>202.0</v>
      </c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3.5" customHeight="1">
      <c r="A392" s="20">
        <v>2023.0</v>
      </c>
      <c r="B392" s="20" t="s">
        <v>128</v>
      </c>
      <c r="C392" s="20" t="s">
        <v>64</v>
      </c>
      <c r="D392" s="20">
        <v>10.0</v>
      </c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3.5" customHeight="1">
      <c r="A393" s="20">
        <v>2023.0</v>
      </c>
      <c r="B393" s="20" t="s">
        <v>135</v>
      </c>
      <c r="C393" s="20" t="s">
        <v>64</v>
      </c>
      <c r="D393" s="20">
        <v>9.0</v>
      </c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3.5" customHeight="1">
      <c r="A394" s="20">
        <v>2023.0</v>
      </c>
      <c r="B394" s="20" t="s">
        <v>126</v>
      </c>
      <c r="C394" s="20" t="s">
        <v>64</v>
      </c>
      <c r="D394" s="20">
        <v>39.0</v>
      </c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3.5" customHeight="1">
      <c r="A395" s="20">
        <v>2023.0</v>
      </c>
      <c r="B395" s="20" t="s">
        <v>127</v>
      </c>
      <c r="C395" s="20" t="s">
        <v>64</v>
      </c>
      <c r="D395" s="20">
        <v>0.0</v>
      </c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3.5" customHeight="1">
      <c r="A396" s="20">
        <v>2023.0</v>
      </c>
      <c r="B396" s="20" t="s">
        <v>131</v>
      </c>
      <c r="C396" s="20" t="s">
        <v>64</v>
      </c>
      <c r="D396" s="20">
        <v>69.0</v>
      </c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3.5" customHeight="1">
      <c r="A397" s="20">
        <v>2023.0</v>
      </c>
      <c r="B397" s="20" t="s">
        <v>132</v>
      </c>
      <c r="C397" s="20" t="s">
        <v>64</v>
      </c>
      <c r="D397" s="20">
        <v>18.0</v>
      </c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3.5" customHeight="1">
      <c r="A398" s="20">
        <v>2023.0</v>
      </c>
      <c r="B398" s="20" t="s">
        <v>129</v>
      </c>
      <c r="C398" s="20" t="s">
        <v>64</v>
      </c>
      <c r="D398" s="20">
        <v>183.0</v>
      </c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3.5" customHeight="1">
      <c r="A399" s="20">
        <v>2023.0</v>
      </c>
      <c r="B399" s="20" t="s">
        <v>134</v>
      </c>
      <c r="C399" s="20" t="s">
        <v>64</v>
      </c>
      <c r="D399" s="20">
        <v>24.0</v>
      </c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3.5" customHeight="1">
      <c r="A400" s="20">
        <v>2023.0</v>
      </c>
      <c r="B400" s="20" t="s">
        <v>133</v>
      </c>
      <c r="C400" s="20" t="s">
        <v>64</v>
      </c>
      <c r="D400" s="20">
        <v>48.0</v>
      </c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3.5" customHeight="1">
      <c r="A401" s="20">
        <v>2023.0</v>
      </c>
      <c r="B401" s="20" t="s">
        <v>136</v>
      </c>
      <c r="C401" s="20" t="s">
        <v>64</v>
      </c>
      <c r="D401" s="20">
        <v>37.0</v>
      </c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3.5" customHeight="1">
      <c r="A402" s="20">
        <v>2023.0</v>
      </c>
      <c r="B402" s="20" t="s">
        <v>137</v>
      </c>
      <c r="C402" s="20" t="s">
        <v>64</v>
      </c>
      <c r="D402" s="20">
        <v>137.0</v>
      </c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3.5" customHeight="1">
      <c r="A403" s="20">
        <v>2023.0</v>
      </c>
      <c r="B403" s="20" t="s">
        <v>139</v>
      </c>
      <c r="C403" s="20" t="s">
        <v>64</v>
      </c>
      <c r="D403" s="20">
        <v>60.0</v>
      </c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3.5" customHeight="1">
      <c r="A404" s="20">
        <v>2023.0</v>
      </c>
      <c r="B404" s="20" t="s">
        <v>140</v>
      </c>
      <c r="C404" s="20" t="s">
        <v>64</v>
      </c>
      <c r="D404" s="20">
        <v>300.0</v>
      </c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3.5" customHeight="1">
      <c r="A405" s="20">
        <v>2023.0</v>
      </c>
      <c r="B405" s="20" t="s">
        <v>141</v>
      </c>
      <c r="C405" s="20" t="s">
        <v>64</v>
      </c>
      <c r="D405" s="20">
        <v>222.0</v>
      </c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3.5" customHeight="1">
      <c r="A406" s="20">
        <v>2023.0</v>
      </c>
      <c r="B406" s="20" t="s">
        <v>130</v>
      </c>
      <c r="C406" s="20" t="s">
        <v>64</v>
      </c>
      <c r="D406" s="20">
        <v>24.0</v>
      </c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3.5" customHeight="1">
      <c r="A407" s="20">
        <v>2023.0</v>
      </c>
      <c r="B407" s="20" t="s">
        <v>142</v>
      </c>
      <c r="C407" s="20" t="s">
        <v>64</v>
      </c>
      <c r="D407" s="20">
        <v>57.0</v>
      </c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3.5" customHeight="1">
      <c r="A408" s="20">
        <v>2023.0</v>
      </c>
      <c r="B408" s="20" t="s">
        <v>143</v>
      </c>
      <c r="C408" s="20" t="s">
        <v>64</v>
      </c>
      <c r="D408" s="20">
        <v>39.0</v>
      </c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3.5" customHeight="1">
      <c r="A409" s="20">
        <v>2023.0</v>
      </c>
      <c r="B409" s="20" t="s">
        <v>144</v>
      </c>
      <c r="C409" s="20" t="s">
        <v>64</v>
      </c>
      <c r="D409" s="20">
        <v>18.0</v>
      </c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3.5" customHeight="1">
      <c r="A410" s="20">
        <v>2023.0</v>
      </c>
      <c r="B410" s="20" t="s">
        <v>119</v>
      </c>
      <c r="C410" s="20" t="s">
        <v>66</v>
      </c>
      <c r="D410" s="20">
        <v>60895.0</v>
      </c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3.5" customHeight="1">
      <c r="A411" s="20">
        <v>2023.0</v>
      </c>
      <c r="B411" s="20" t="s">
        <v>120</v>
      </c>
      <c r="C411" s="20" t="s">
        <v>66</v>
      </c>
      <c r="D411" s="20">
        <v>60648.0</v>
      </c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3.5" customHeight="1">
      <c r="A412" s="20">
        <v>2023.0</v>
      </c>
      <c r="B412" s="20" t="s">
        <v>122</v>
      </c>
      <c r="C412" s="20" t="s">
        <v>66</v>
      </c>
      <c r="D412" s="20">
        <v>20191.0</v>
      </c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3.5" customHeight="1">
      <c r="A413" s="20">
        <v>2023.0</v>
      </c>
      <c r="B413" s="20" t="s">
        <v>123</v>
      </c>
      <c r="C413" s="20" t="s">
        <v>66</v>
      </c>
      <c r="D413" s="20">
        <v>66705.0</v>
      </c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3.5" customHeight="1">
      <c r="A414" s="20">
        <v>2023.0</v>
      </c>
      <c r="B414" s="20" t="s">
        <v>124</v>
      </c>
      <c r="C414" s="20" t="s">
        <v>66</v>
      </c>
      <c r="D414" s="20">
        <v>31934.0</v>
      </c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3.5" customHeight="1">
      <c r="A415" s="20">
        <v>2023.0</v>
      </c>
      <c r="B415" s="20" t="s">
        <v>125</v>
      </c>
      <c r="C415" s="20" t="s">
        <v>66</v>
      </c>
      <c r="D415" s="20">
        <v>776.0</v>
      </c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3.5" customHeight="1">
      <c r="A416" s="20">
        <v>2023.0</v>
      </c>
      <c r="B416" s="20" t="s">
        <v>128</v>
      </c>
      <c r="C416" s="20" t="s">
        <v>66</v>
      </c>
      <c r="D416" s="20">
        <v>11449.0</v>
      </c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3.5" customHeight="1">
      <c r="A417" s="20">
        <v>2023.0</v>
      </c>
      <c r="B417" s="20" t="s">
        <v>135</v>
      </c>
      <c r="C417" s="20" t="s">
        <v>66</v>
      </c>
      <c r="D417" s="20">
        <v>4567.0</v>
      </c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3.5" customHeight="1">
      <c r="A418" s="20">
        <v>2023.0</v>
      </c>
      <c r="B418" s="20" t="s">
        <v>126</v>
      </c>
      <c r="C418" s="20" t="s">
        <v>66</v>
      </c>
      <c r="D418" s="20">
        <v>92226.0</v>
      </c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3.5" customHeight="1">
      <c r="A419" s="20">
        <v>2023.0</v>
      </c>
      <c r="B419" s="20" t="s">
        <v>127</v>
      </c>
      <c r="C419" s="20" t="s">
        <v>66</v>
      </c>
      <c r="D419" s="20">
        <v>493.0</v>
      </c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3.5" customHeight="1">
      <c r="A420" s="20">
        <v>2023.0</v>
      </c>
      <c r="B420" s="20" t="s">
        <v>131</v>
      </c>
      <c r="C420" s="20" t="s">
        <v>66</v>
      </c>
      <c r="D420" s="20">
        <v>83975.0</v>
      </c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3.5" customHeight="1">
      <c r="A421" s="20">
        <v>2023.0</v>
      </c>
      <c r="B421" s="20" t="s">
        <v>132</v>
      </c>
      <c r="C421" s="20" t="s">
        <v>66</v>
      </c>
      <c r="D421" s="20">
        <v>26217.0</v>
      </c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3.5" customHeight="1">
      <c r="A422" s="20">
        <v>2023.0</v>
      </c>
      <c r="B422" s="20" t="s">
        <v>129</v>
      </c>
      <c r="C422" s="20" t="s">
        <v>66</v>
      </c>
      <c r="D422" s="20">
        <v>46371.0</v>
      </c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3.5" customHeight="1">
      <c r="A423" s="20">
        <v>2023.0</v>
      </c>
      <c r="B423" s="20" t="s">
        <v>134</v>
      </c>
      <c r="C423" s="20" t="s">
        <v>66</v>
      </c>
      <c r="D423" s="20">
        <v>21526.0</v>
      </c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3.5" customHeight="1">
      <c r="A424" s="20">
        <v>2023.0</v>
      </c>
      <c r="B424" s="20" t="s">
        <v>133</v>
      </c>
      <c r="C424" s="20" t="s">
        <v>66</v>
      </c>
      <c r="D424" s="20">
        <v>64169.0</v>
      </c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3.5" customHeight="1">
      <c r="A425" s="20">
        <v>2023.0</v>
      </c>
      <c r="B425" s="20" t="s">
        <v>136</v>
      </c>
      <c r="C425" s="20" t="s">
        <v>66</v>
      </c>
      <c r="D425" s="20">
        <v>4558.0</v>
      </c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3.5" customHeight="1">
      <c r="A426" s="20">
        <v>2023.0</v>
      </c>
      <c r="B426" s="20" t="s">
        <v>137</v>
      </c>
      <c r="C426" s="20" t="s">
        <v>66</v>
      </c>
      <c r="D426" s="20">
        <v>44293.0</v>
      </c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3.5" customHeight="1">
      <c r="A427" s="20">
        <v>2023.0</v>
      </c>
      <c r="B427" s="20" t="s">
        <v>139</v>
      </c>
      <c r="C427" s="20" t="s">
        <v>66</v>
      </c>
      <c r="D427" s="20">
        <v>100565.0</v>
      </c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3.5" customHeight="1">
      <c r="A428" s="20">
        <v>2023.0</v>
      </c>
      <c r="B428" s="20" t="s">
        <v>140</v>
      </c>
      <c r="C428" s="20" t="s">
        <v>66</v>
      </c>
      <c r="D428" s="20">
        <v>64508.0</v>
      </c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3.5" customHeight="1">
      <c r="A429" s="20">
        <v>2023.0</v>
      </c>
      <c r="B429" s="20" t="s">
        <v>141</v>
      </c>
      <c r="C429" s="20" t="s">
        <v>66</v>
      </c>
      <c r="D429" s="20">
        <v>89596.0</v>
      </c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3.5" customHeight="1">
      <c r="A430" s="20">
        <v>2023.0</v>
      </c>
      <c r="B430" s="20" t="s">
        <v>130</v>
      </c>
      <c r="C430" s="20" t="s">
        <v>66</v>
      </c>
      <c r="D430" s="20">
        <v>57276.0</v>
      </c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3.5" customHeight="1">
      <c r="A431" s="20">
        <v>2023.0</v>
      </c>
      <c r="B431" s="20" t="s">
        <v>142</v>
      </c>
      <c r="C431" s="20" t="s">
        <v>66</v>
      </c>
      <c r="D431" s="20">
        <v>61415.0</v>
      </c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3.5" customHeight="1">
      <c r="A432" s="20">
        <v>2023.0</v>
      </c>
      <c r="B432" s="20" t="s">
        <v>143</v>
      </c>
      <c r="C432" s="20" t="s">
        <v>66</v>
      </c>
      <c r="D432" s="20">
        <v>1767.0</v>
      </c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3.5" customHeight="1">
      <c r="A433" s="20">
        <v>2023.0</v>
      </c>
      <c r="B433" s="20" t="s">
        <v>144</v>
      </c>
      <c r="C433" s="20" t="s">
        <v>66</v>
      </c>
      <c r="D433" s="20">
        <v>40607.0</v>
      </c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3.5" customHeight="1">
      <c r="A434" s="20">
        <v>2023.0</v>
      </c>
      <c r="B434" s="20" t="s">
        <v>119</v>
      </c>
      <c r="C434" s="20" t="s">
        <v>68</v>
      </c>
      <c r="D434" s="20">
        <v>712.0</v>
      </c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3.5" customHeight="1">
      <c r="A435" s="20">
        <v>2023.0</v>
      </c>
      <c r="B435" s="20" t="s">
        <v>120</v>
      </c>
      <c r="C435" s="20" t="s">
        <v>68</v>
      </c>
      <c r="D435" s="20">
        <v>122.0</v>
      </c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3.5" customHeight="1">
      <c r="A436" s="20">
        <v>2023.0</v>
      </c>
      <c r="B436" s="20" t="s">
        <v>122</v>
      </c>
      <c r="C436" s="20" t="s">
        <v>68</v>
      </c>
      <c r="D436" s="20">
        <v>215.0</v>
      </c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3.5" customHeight="1">
      <c r="A437" s="20">
        <v>2023.0</v>
      </c>
      <c r="B437" s="20" t="s">
        <v>123</v>
      </c>
      <c r="C437" s="20" t="s">
        <v>68</v>
      </c>
      <c r="D437" s="20">
        <v>317.0</v>
      </c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3.5" customHeight="1">
      <c r="A438" s="20">
        <v>2023.0</v>
      </c>
      <c r="B438" s="20" t="s">
        <v>124</v>
      </c>
      <c r="C438" s="20" t="s">
        <v>68</v>
      </c>
      <c r="D438" s="20">
        <v>107.0</v>
      </c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3.5" customHeight="1">
      <c r="A439" s="20">
        <v>2023.0</v>
      </c>
      <c r="B439" s="20" t="s">
        <v>125</v>
      </c>
      <c r="C439" s="20" t="s">
        <v>68</v>
      </c>
      <c r="D439" s="20">
        <v>719.0</v>
      </c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3.5" customHeight="1">
      <c r="A440" s="20">
        <v>2023.0</v>
      </c>
      <c r="B440" s="20" t="s">
        <v>128</v>
      </c>
      <c r="C440" s="20" t="s">
        <v>68</v>
      </c>
      <c r="D440" s="20">
        <v>148.0</v>
      </c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3.5" customHeight="1">
      <c r="A441" s="20">
        <v>2023.0</v>
      </c>
      <c r="B441" s="20" t="s">
        <v>135</v>
      </c>
      <c r="C441" s="20" t="s">
        <v>68</v>
      </c>
      <c r="D441" s="20">
        <v>51.0</v>
      </c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3.5" customHeight="1">
      <c r="A442" s="20">
        <v>2023.0</v>
      </c>
      <c r="B442" s="20" t="s">
        <v>126</v>
      </c>
      <c r="C442" s="20" t="s">
        <v>68</v>
      </c>
      <c r="D442" s="20">
        <v>147.0</v>
      </c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3.5" customHeight="1">
      <c r="A443" s="20">
        <v>2023.0</v>
      </c>
      <c r="B443" s="20" t="s">
        <v>127</v>
      </c>
      <c r="C443" s="20" t="s">
        <v>68</v>
      </c>
      <c r="D443" s="20">
        <v>89.0</v>
      </c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3.5" customHeight="1">
      <c r="A444" s="20">
        <v>2023.0</v>
      </c>
      <c r="B444" s="20" t="s">
        <v>131</v>
      </c>
      <c r="C444" s="20" t="s">
        <v>68</v>
      </c>
      <c r="D444" s="20">
        <v>973.0</v>
      </c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3.5" customHeight="1">
      <c r="A445" s="20">
        <v>2023.0</v>
      </c>
      <c r="B445" s="20" t="s">
        <v>132</v>
      </c>
      <c r="C445" s="20" t="s">
        <v>68</v>
      </c>
      <c r="D445" s="20">
        <v>21.0</v>
      </c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3.5" customHeight="1">
      <c r="A446" s="20">
        <v>2023.0</v>
      </c>
      <c r="B446" s="20" t="s">
        <v>129</v>
      </c>
      <c r="C446" s="20" t="s">
        <v>68</v>
      </c>
      <c r="D446" s="20">
        <v>1227.0</v>
      </c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3.5" customHeight="1">
      <c r="A447" s="20">
        <v>2023.0</v>
      </c>
      <c r="B447" s="20" t="s">
        <v>134</v>
      </c>
      <c r="C447" s="20" t="s">
        <v>68</v>
      </c>
      <c r="D447" s="20">
        <v>16.0</v>
      </c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3.5" customHeight="1">
      <c r="A448" s="20">
        <v>2023.0</v>
      </c>
      <c r="B448" s="20" t="s">
        <v>133</v>
      </c>
      <c r="C448" s="20" t="s">
        <v>68</v>
      </c>
      <c r="D448" s="20">
        <v>117.0</v>
      </c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3.5" customHeight="1">
      <c r="A449" s="20">
        <v>2023.0</v>
      </c>
      <c r="B449" s="20" t="s">
        <v>136</v>
      </c>
      <c r="C449" s="20" t="s">
        <v>68</v>
      </c>
      <c r="D449" s="20">
        <v>370.0</v>
      </c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3.5" customHeight="1">
      <c r="A450" s="20">
        <v>2023.0</v>
      </c>
      <c r="B450" s="20" t="s">
        <v>137</v>
      </c>
      <c r="C450" s="20" t="s">
        <v>68</v>
      </c>
      <c r="D450" s="20">
        <v>496.0</v>
      </c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3.5" customHeight="1">
      <c r="A451" s="20">
        <v>2023.0</v>
      </c>
      <c r="B451" s="20" t="s">
        <v>139</v>
      </c>
      <c r="C451" s="20" t="s">
        <v>68</v>
      </c>
      <c r="D451" s="20">
        <v>158.0</v>
      </c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3.5" customHeight="1">
      <c r="A452" s="20">
        <v>2023.0</v>
      </c>
      <c r="B452" s="20" t="s">
        <v>140</v>
      </c>
      <c r="C452" s="20" t="s">
        <v>68</v>
      </c>
      <c r="D452" s="20">
        <v>290.0</v>
      </c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3.5" customHeight="1">
      <c r="A453" s="20">
        <v>2023.0</v>
      </c>
      <c r="B453" s="20" t="s">
        <v>141</v>
      </c>
      <c r="C453" s="20" t="s">
        <v>68</v>
      </c>
      <c r="D453" s="20">
        <v>473.0</v>
      </c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3.5" customHeight="1">
      <c r="A454" s="20">
        <v>2023.0</v>
      </c>
      <c r="B454" s="20" t="s">
        <v>130</v>
      </c>
      <c r="C454" s="20" t="s">
        <v>68</v>
      </c>
      <c r="D454" s="20">
        <v>308.0</v>
      </c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3.5" customHeight="1">
      <c r="A455" s="20">
        <v>2023.0</v>
      </c>
      <c r="B455" s="20" t="s">
        <v>142</v>
      </c>
      <c r="C455" s="20" t="s">
        <v>68</v>
      </c>
      <c r="D455" s="20">
        <v>50.0</v>
      </c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3.5" customHeight="1">
      <c r="A456" s="20">
        <v>2023.0</v>
      </c>
      <c r="B456" s="20" t="s">
        <v>143</v>
      </c>
      <c r="C456" s="20" t="s">
        <v>68</v>
      </c>
      <c r="D456" s="20">
        <v>24.0</v>
      </c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3.5" customHeight="1">
      <c r="A457" s="20">
        <v>2023.0</v>
      </c>
      <c r="B457" s="20" t="s">
        <v>144</v>
      </c>
      <c r="C457" s="20" t="s">
        <v>68</v>
      </c>
      <c r="D457" s="20">
        <v>46.0</v>
      </c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3.5" customHeight="1">
      <c r="A458" s="20">
        <v>2023.0</v>
      </c>
      <c r="B458" s="20" t="s">
        <v>119</v>
      </c>
      <c r="C458" s="20" t="s">
        <v>70</v>
      </c>
      <c r="D458" s="20">
        <v>647.0</v>
      </c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3.5" customHeight="1">
      <c r="A459" s="20">
        <v>2023.0</v>
      </c>
      <c r="B459" s="20" t="s">
        <v>120</v>
      </c>
      <c r="C459" s="20" t="s">
        <v>70</v>
      </c>
      <c r="D459" s="20">
        <v>467.0</v>
      </c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3.5" customHeight="1">
      <c r="A460" s="20">
        <v>2023.0</v>
      </c>
      <c r="B460" s="20" t="s">
        <v>122</v>
      </c>
      <c r="C460" s="20" t="s">
        <v>70</v>
      </c>
      <c r="D460" s="20">
        <v>171.0</v>
      </c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3.5" customHeight="1">
      <c r="A461" s="20">
        <v>2023.0</v>
      </c>
      <c r="B461" s="20" t="s">
        <v>123</v>
      </c>
      <c r="C461" s="20" t="s">
        <v>70</v>
      </c>
      <c r="D461" s="20">
        <v>1103.0</v>
      </c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3.5" customHeight="1">
      <c r="A462" s="20">
        <v>2023.0</v>
      </c>
      <c r="B462" s="20" t="s">
        <v>124</v>
      </c>
      <c r="C462" s="20" t="s">
        <v>70</v>
      </c>
      <c r="D462" s="20">
        <v>420.0</v>
      </c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3.5" customHeight="1">
      <c r="A463" s="20">
        <v>2023.0</v>
      </c>
      <c r="B463" s="20" t="s">
        <v>125</v>
      </c>
      <c r="C463" s="20" t="s">
        <v>70</v>
      </c>
      <c r="D463" s="20">
        <v>1036.0</v>
      </c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3.5" customHeight="1">
      <c r="A464" s="20">
        <v>2023.0</v>
      </c>
      <c r="B464" s="20" t="s">
        <v>128</v>
      </c>
      <c r="C464" s="20" t="s">
        <v>70</v>
      </c>
      <c r="D464" s="20">
        <v>88.0</v>
      </c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3.5" customHeight="1">
      <c r="A465" s="20">
        <v>2023.0</v>
      </c>
      <c r="B465" s="20" t="s">
        <v>135</v>
      </c>
      <c r="C465" s="20" t="s">
        <v>70</v>
      </c>
      <c r="D465" s="20">
        <v>99.0</v>
      </c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3.5" customHeight="1">
      <c r="A466" s="20">
        <v>2023.0</v>
      </c>
      <c r="B466" s="20" t="s">
        <v>126</v>
      </c>
      <c r="C466" s="20" t="s">
        <v>70</v>
      </c>
      <c r="D466" s="20">
        <v>653.0</v>
      </c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3.5" customHeight="1">
      <c r="A467" s="20">
        <v>2023.0</v>
      </c>
      <c r="B467" s="20" t="s">
        <v>127</v>
      </c>
      <c r="C467" s="20" t="s">
        <v>70</v>
      </c>
      <c r="D467" s="20">
        <v>225.0</v>
      </c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3.5" customHeight="1">
      <c r="A468" s="20">
        <v>2023.0</v>
      </c>
      <c r="B468" s="20" t="s">
        <v>131</v>
      </c>
      <c r="C468" s="20" t="s">
        <v>70</v>
      </c>
      <c r="D468" s="20">
        <v>935.0</v>
      </c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3.5" customHeight="1">
      <c r="A469" s="20">
        <v>2023.0</v>
      </c>
      <c r="B469" s="20" t="s">
        <v>132</v>
      </c>
      <c r="C469" s="20" t="s">
        <v>70</v>
      </c>
      <c r="D469" s="20">
        <v>269.0</v>
      </c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3.5" customHeight="1">
      <c r="A470" s="20">
        <v>2023.0</v>
      </c>
      <c r="B470" s="20" t="s">
        <v>129</v>
      </c>
      <c r="C470" s="20" t="s">
        <v>70</v>
      </c>
      <c r="D470" s="20">
        <v>1796.0</v>
      </c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3.5" customHeight="1">
      <c r="A471" s="20">
        <v>2023.0</v>
      </c>
      <c r="B471" s="20" t="s">
        <v>134</v>
      </c>
      <c r="C471" s="20" t="s">
        <v>70</v>
      </c>
      <c r="D471" s="20">
        <v>98.0</v>
      </c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3.5" customHeight="1">
      <c r="A472" s="20">
        <v>2023.0</v>
      </c>
      <c r="B472" s="20" t="s">
        <v>133</v>
      </c>
      <c r="C472" s="20" t="s">
        <v>70</v>
      </c>
      <c r="D472" s="20">
        <v>1512.0</v>
      </c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3.5" customHeight="1">
      <c r="A473" s="20">
        <v>2023.0</v>
      </c>
      <c r="B473" s="20" t="s">
        <v>136</v>
      </c>
      <c r="C473" s="20" t="s">
        <v>70</v>
      </c>
      <c r="D473" s="20">
        <v>123.0</v>
      </c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3.5" customHeight="1">
      <c r="A474" s="20">
        <v>2023.0</v>
      </c>
      <c r="B474" s="20" t="s">
        <v>137</v>
      </c>
      <c r="C474" s="20" t="s">
        <v>70</v>
      </c>
      <c r="D474" s="20">
        <v>865.0</v>
      </c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3.5" customHeight="1">
      <c r="A475" s="20">
        <v>2023.0</v>
      </c>
      <c r="B475" s="20" t="s">
        <v>139</v>
      </c>
      <c r="C475" s="20" t="s">
        <v>70</v>
      </c>
      <c r="D475" s="20">
        <v>559.0</v>
      </c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3.5" customHeight="1">
      <c r="A476" s="20">
        <v>2023.0</v>
      </c>
      <c r="B476" s="20" t="s">
        <v>140</v>
      </c>
      <c r="C476" s="20" t="s">
        <v>70</v>
      </c>
      <c r="D476" s="20">
        <v>716.0</v>
      </c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3.5" customHeight="1">
      <c r="A477" s="20">
        <v>2023.0</v>
      </c>
      <c r="B477" s="20" t="s">
        <v>141</v>
      </c>
      <c r="C477" s="20" t="s">
        <v>70</v>
      </c>
      <c r="D477" s="20">
        <v>1442.0</v>
      </c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3.5" customHeight="1">
      <c r="A478" s="20">
        <v>2023.0</v>
      </c>
      <c r="B478" s="20" t="s">
        <v>130</v>
      </c>
      <c r="C478" s="20" t="s">
        <v>70</v>
      </c>
      <c r="D478" s="20">
        <v>1423.0</v>
      </c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3.5" customHeight="1">
      <c r="A479" s="20">
        <v>2023.0</v>
      </c>
      <c r="B479" s="20" t="s">
        <v>142</v>
      </c>
      <c r="C479" s="20" t="s">
        <v>70</v>
      </c>
      <c r="D479" s="20">
        <v>273.0</v>
      </c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3.5" customHeight="1">
      <c r="A480" s="20">
        <v>2023.0</v>
      </c>
      <c r="B480" s="20" t="s">
        <v>143</v>
      </c>
      <c r="C480" s="20" t="s">
        <v>70</v>
      </c>
      <c r="D480" s="20">
        <v>28.0</v>
      </c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3.5" customHeight="1">
      <c r="A481" s="20">
        <v>2023.0</v>
      </c>
      <c r="B481" s="20" t="s">
        <v>144</v>
      </c>
      <c r="C481" s="20" t="s">
        <v>70</v>
      </c>
      <c r="D481" s="20">
        <v>236.0</v>
      </c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3.5" customHeight="1">
      <c r="A482" s="20">
        <v>2023.0</v>
      </c>
      <c r="B482" s="20" t="s">
        <v>119</v>
      </c>
      <c r="C482" s="20" t="s">
        <v>72</v>
      </c>
      <c r="D482" s="20">
        <v>1143.0</v>
      </c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3.5" customHeight="1">
      <c r="A483" s="20">
        <v>2023.0</v>
      </c>
      <c r="B483" s="20" t="s">
        <v>120</v>
      </c>
      <c r="C483" s="20" t="s">
        <v>72</v>
      </c>
      <c r="D483" s="20">
        <v>338.0</v>
      </c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3.5" customHeight="1">
      <c r="A484" s="20">
        <v>2023.0</v>
      </c>
      <c r="B484" s="20" t="s">
        <v>122</v>
      </c>
      <c r="C484" s="20" t="s">
        <v>72</v>
      </c>
      <c r="D484" s="20">
        <v>147.0</v>
      </c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3.5" customHeight="1">
      <c r="A485" s="20">
        <v>2023.0</v>
      </c>
      <c r="B485" s="20" t="s">
        <v>123</v>
      </c>
      <c r="C485" s="20" t="s">
        <v>72</v>
      </c>
      <c r="D485" s="20">
        <v>747.0</v>
      </c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3.5" customHeight="1">
      <c r="A486" s="20">
        <v>2023.0</v>
      </c>
      <c r="B486" s="20" t="s">
        <v>124</v>
      </c>
      <c r="C486" s="20" t="s">
        <v>72</v>
      </c>
      <c r="D486" s="20">
        <v>86.0</v>
      </c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3.5" customHeight="1">
      <c r="A487" s="20">
        <v>2023.0</v>
      </c>
      <c r="B487" s="20" t="s">
        <v>125</v>
      </c>
      <c r="C487" s="20" t="s">
        <v>72</v>
      </c>
      <c r="D487" s="20">
        <v>740.0</v>
      </c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3.5" customHeight="1">
      <c r="A488" s="20">
        <v>2023.0</v>
      </c>
      <c r="B488" s="20" t="s">
        <v>128</v>
      </c>
      <c r="C488" s="20" t="s">
        <v>72</v>
      </c>
      <c r="D488" s="20">
        <v>196.0</v>
      </c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3.5" customHeight="1">
      <c r="A489" s="20">
        <v>2023.0</v>
      </c>
      <c r="B489" s="20" t="s">
        <v>135</v>
      </c>
      <c r="C489" s="20" t="s">
        <v>72</v>
      </c>
      <c r="D489" s="20">
        <v>80.0</v>
      </c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3.5" customHeight="1">
      <c r="A490" s="20">
        <v>2023.0</v>
      </c>
      <c r="B490" s="20" t="s">
        <v>126</v>
      </c>
      <c r="C490" s="20" t="s">
        <v>72</v>
      </c>
      <c r="D490" s="20">
        <v>418.0</v>
      </c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3.5" customHeight="1">
      <c r="A491" s="20">
        <v>2023.0</v>
      </c>
      <c r="B491" s="20" t="s">
        <v>127</v>
      </c>
      <c r="C491" s="20" t="s">
        <v>72</v>
      </c>
      <c r="D491" s="20">
        <v>210.0</v>
      </c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3.5" customHeight="1">
      <c r="A492" s="20">
        <v>2023.0</v>
      </c>
      <c r="B492" s="20" t="s">
        <v>131</v>
      </c>
      <c r="C492" s="20" t="s">
        <v>72</v>
      </c>
      <c r="D492" s="20">
        <v>1142.0</v>
      </c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3.5" customHeight="1">
      <c r="A493" s="20">
        <v>2023.0</v>
      </c>
      <c r="B493" s="20" t="s">
        <v>132</v>
      </c>
      <c r="C493" s="20" t="s">
        <v>72</v>
      </c>
      <c r="D493" s="20">
        <v>57.0</v>
      </c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3.5" customHeight="1">
      <c r="A494" s="20">
        <v>2023.0</v>
      </c>
      <c r="B494" s="20" t="s">
        <v>129</v>
      </c>
      <c r="C494" s="20" t="s">
        <v>72</v>
      </c>
      <c r="D494" s="20">
        <v>1261.0</v>
      </c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3.5" customHeight="1">
      <c r="A495" s="20">
        <v>2023.0</v>
      </c>
      <c r="B495" s="20" t="s">
        <v>134</v>
      </c>
      <c r="C495" s="20" t="s">
        <v>72</v>
      </c>
      <c r="D495" s="20">
        <v>162.0</v>
      </c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3.5" customHeight="1">
      <c r="A496" s="20">
        <v>2023.0</v>
      </c>
      <c r="B496" s="20" t="s">
        <v>133</v>
      </c>
      <c r="C496" s="20" t="s">
        <v>72</v>
      </c>
      <c r="D496" s="20">
        <v>570.0</v>
      </c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3.5" customHeight="1">
      <c r="A497" s="20">
        <v>2023.0</v>
      </c>
      <c r="B497" s="20" t="s">
        <v>136</v>
      </c>
      <c r="C497" s="20" t="s">
        <v>72</v>
      </c>
      <c r="D497" s="20">
        <v>689.0</v>
      </c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3.5" customHeight="1">
      <c r="A498" s="20">
        <v>2023.0</v>
      </c>
      <c r="B498" s="20" t="s">
        <v>137</v>
      </c>
      <c r="C498" s="20" t="s">
        <v>72</v>
      </c>
      <c r="D498" s="20">
        <v>835.0</v>
      </c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3.5" customHeight="1">
      <c r="A499" s="20">
        <v>2023.0</v>
      </c>
      <c r="B499" s="20" t="s">
        <v>139</v>
      </c>
      <c r="C499" s="20" t="s">
        <v>72</v>
      </c>
      <c r="D499" s="20">
        <v>554.0</v>
      </c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3.5" customHeight="1">
      <c r="A500" s="20">
        <v>2023.0</v>
      </c>
      <c r="B500" s="20" t="s">
        <v>140</v>
      </c>
      <c r="C500" s="20" t="s">
        <v>72</v>
      </c>
      <c r="D500" s="20">
        <v>469.0</v>
      </c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3.5" customHeight="1">
      <c r="A501" s="20">
        <v>2023.0</v>
      </c>
      <c r="B501" s="20" t="s">
        <v>141</v>
      </c>
      <c r="C501" s="20" t="s">
        <v>72</v>
      </c>
      <c r="D501" s="20">
        <v>1843.0</v>
      </c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3.5" customHeight="1">
      <c r="A502" s="20">
        <v>2023.0</v>
      </c>
      <c r="B502" s="20" t="s">
        <v>130</v>
      </c>
      <c r="C502" s="20" t="s">
        <v>72</v>
      </c>
      <c r="D502" s="20">
        <v>557.0</v>
      </c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3.5" customHeight="1">
      <c r="A503" s="20">
        <v>2023.0</v>
      </c>
      <c r="B503" s="20" t="s">
        <v>142</v>
      </c>
      <c r="C503" s="20" t="s">
        <v>72</v>
      </c>
      <c r="D503" s="20">
        <v>1101.0</v>
      </c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3.5" customHeight="1">
      <c r="A504" s="20">
        <v>2023.0</v>
      </c>
      <c r="B504" s="20" t="s">
        <v>143</v>
      </c>
      <c r="C504" s="20" t="s">
        <v>72</v>
      </c>
      <c r="D504" s="20">
        <v>56.0</v>
      </c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3.5" customHeight="1">
      <c r="A505" s="20">
        <v>2023.0</v>
      </c>
      <c r="B505" s="20" t="s">
        <v>144</v>
      </c>
      <c r="C505" s="20" t="s">
        <v>72</v>
      </c>
      <c r="D505" s="20">
        <v>350.0</v>
      </c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3.5" customHeight="1">
      <c r="A506" s="20">
        <v>2023.0</v>
      </c>
      <c r="B506" s="20" t="s">
        <v>119</v>
      </c>
      <c r="C506" s="20" t="s">
        <v>74</v>
      </c>
      <c r="D506" s="20">
        <v>7598.0</v>
      </c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3.5" customHeight="1">
      <c r="A507" s="20">
        <v>2023.0</v>
      </c>
      <c r="B507" s="20" t="s">
        <v>120</v>
      </c>
      <c r="C507" s="20" t="s">
        <v>74</v>
      </c>
      <c r="D507" s="20">
        <v>1608.0</v>
      </c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3.5" customHeight="1">
      <c r="A508" s="20">
        <v>2023.0</v>
      </c>
      <c r="B508" s="20" t="s">
        <v>122</v>
      </c>
      <c r="C508" s="20" t="s">
        <v>74</v>
      </c>
      <c r="D508" s="20">
        <v>4628.0</v>
      </c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3.5" customHeight="1">
      <c r="A509" s="20">
        <v>2023.0</v>
      </c>
      <c r="B509" s="20" t="s">
        <v>123</v>
      </c>
      <c r="C509" s="20" t="s">
        <v>74</v>
      </c>
      <c r="D509" s="20">
        <v>3384.0</v>
      </c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3.5" customHeight="1">
      <c r="A510" s="20">
        <v>2023.0</v>
      </c>
      <c r="B510" s="20" t="s">
        <v>124</v>
      </c>
      <c r="C510" s="20" t="s">
        <v>74</v>
      </c>
      <c r="D510" s="20">
        <v>985.0</v>
      </c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3.5" customHeight="1">
      <c r="A511" s="20">
        <v>2023.0</v>
      </c>
      <c r="B511" s="20" t="s">
        <v>125</v>
      </c>
      <c r="C511" s="20" t="s">
        <v>74</v>
      </c>
      <c r="D511" s="20">
        <v>624.0</v>
      </c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3.5" customHeight="1">
      <c r="A512" s="20">
        <v>2023.0</v>
      </c>
      <c r="B512" s="20" t="s">
        <v>128</v>
      </c>
      <c r="C512" s="20" t="s">
        <v>74</v>
      </c>
      <c r="D512" s="20">
        <v>61.0</v>
      </c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3.5" customHeight="1">
      <c r="A513" s="20">
        <v>2023.0</v>
      </c>
      <c r="B513" s="20" t="s">
        <v>135</v>
      </c>
      <c r="C513" s="20" t="s">
        <v>74</v>
      </c>
      <c r="D513" s="20">
        <v>158.0</v>
      </c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3.5" customHeight="1">
      <c r="A514" s="20">
        <v>2023.0</v>
      </c>
      <c r="B514" s="20" t="s">
        <v>126</v>
      </c>
      <c r="C514" s="20" t="s">
        <v>74</v>
      </c>
      <c r="D514" s="20">
        <v>3891.0</v>
      </c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3.5" customHeight="1">
      <c r="A515" s="20">
        <v>2023.0</v>
      </c>
      <c r="B515" s="20" t="s">
        <v>127</v>
      </c>
      <c r="C515" s="20" t="s">
        <v>74</v>
      </c>
      <c r="D515" s="20">
        <v>299.0</v>
      </c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3.5" customHeight="1">
      <c r="A516" s="20">
        <v>2023.0</v>
      </c>
      <c r="B516" s="20" t="s">
        <v>131</v>
      </c>
      <c r="C516" s="20" t="s">
        <v>74</v>
      </c>
      <c r="D516" s="20">
        <v>2429.0</v>
      </c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3.5" customHeight="1">
      <c r="A517" s="20">
        <v>2023.0</v>
      </c>
      <c r="B517" s="20" t="s">
        <v>132</v>
      </c>
      <c r="C517" s="20" t="s">
        <v>74</v>
      </c>
      <c r="D517" s="20">
        <v>699.0</v>
      </c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3.5" customHeight="1">
      <c r="A518" s="20">
        <v>2023.0</v>
      </c>
      <c r="B518" s="20" t="s">
        <v>129</v>
      </c>
      <c r="C518" s="20" t="s">
        <v>74</v>
      </c>
      <c r="D518" s="20">
        <v>2602.0</v>
      </c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3.5" customHeight="1">
      <c r="A519" s="20">
        <v>2023.0</v>
      </c>
      <c r="B519" s="20" t="s">
        <v>134</v>
      </c>
      <c r="C519" s="20" t="s">
        <v>74</v>
      </c>
      <c r="D519" s="20">
        <v>875.0</v>
      </c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3.5" customHeight="1">
      <c r="A520" s="20">
        <v>2023.0</v>
      </c>
      <c r="B520" s="20" t="s">
        <v>133</v>
      </c>
      <c r="C520" s="20" t="s">
        <v>74</v>
      </c>
      <c r="D520" s="20">
        <v>1380.0</v>
      </c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3.5" customHeight="1">
      <c r="A521" s="20">
        <v>2023.0</v>
      </c>
      <c r="B521" s="20" t="s">
        <v>136</v>
      </c>
      <c r="C521" s="20" t="s">
        <v>74</v>
      </c>
      <c r="D521" s="20">
        <v>91.0</v>
      </c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3.5" customHeight="1">
      <c r="A522" s="20">
        <v>2023.0</v>
      </c>
      <c r="B522" s="20" t="s">
        <v>137</v>
      </c>
      <c r="C522" s="20" t="s">
        <v>74</v>
      </c>
      <c r="D522" s="20">
        <v>2342.0</v>
      </c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3.5" customHeight="1">
      <c r="A523" s="20">
        <v>2023.0</v>
      </c>
      <c r="B523" s="20" t="s">
        <v>139</v>
      </c>
      <c r="C523" s="20" t="s">
        <v>74</v>
      </c>
      <c r="D523" s="20">
        <v>3904.0</v>
      </c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3.5" customHeight="1">
      <c r="A524" s="20">
        <v>2023.0</v>
      </c>
      <c r="B524" s="20" t="s">
        <v>140</v>
      </c>
      <c r="C524" s="20" t="s">
        <v>74</v>
      </c>
      <c r="D524" s="20">
        <v>6420.0</v>
      </c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3.5" customHeight="1">
      <c r="A525" s="20">
        <v>2023.0</v>
      </c>
      <c r="B525" s="20" t="s">
        <v>141</v>
      </c>
      <c r="C525" s="20" t="s">
        <v>74</v>
      </c>
      <c r="D525" s="20">
        <v>4332.0</v>
      </c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3.5" customHeight="1">
      <c r="A526" s="20">
        <v>2023.0</v>
      </c>
      <c r="B526" s="20" t="s">
        <v>130</v>
      </c>
      <c r="C526" s="20" t="s">
        <v>74</v>
      </c>
      <c r="D526" s="20">
        <v>111.0</v>
      </c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3.5" customHeight="1">
      <c r="A527" s="20">
        <v>2023.0</v>
      </c>
      <c r="B527" s="20" t="s">
        <v>142</v>
      </c>
      <c r="C527" s="20" t="s">
        <v>74</v>
      </c>
      <c r="D527" s="20">
        <v>522.0</v>
      </c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3.5" customHeight="1">
      <c r="A528" s="20">
        <v>2023.0</v>
      </c>
      <c r="B528" s="20" t="s">
        <v>143</v>
      </c>
      <c r="C528" s="20" t="s">
        <v>74</v>
      </c>
      <c r="D528" s="20">
        <v>81.0</v>
      </c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3.5" customHeight="1">
      <c r="A529" s="20">
        <v>2023.0</v>
      </c>
      <c r="B529" s="20" t="s">
        <v>144</v>
      </c>
      <c r="C529" s="20" t="s">
        <v>74</v>
      </c>
      <c r="D529" s="20">
        <v>735.0</v>
      </c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3.5" customHeight="1">
      <c r="A530" s="20">
        <v>2023.0</v>
      </c>
      <c r="B530" s="20" t="s">
        <v>119</v>
      </c>
      <c r="C530" s="20" t="s">
        <v>76</v>
      </c>
      <c r="D530" s="20">
        <v>1930.0</v>
      </c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3.5" customHeight="1">
      <c r="A531" s="20">
        <v>2023.0</v>
      </c>
      <c r="B531" s="20" t="s">
        <v>120</v>
      </c>
      <c r="C531" s="20" t="s">
        <v>76</v>
      </c>
      <c r="D531" s="20">
        <v>1602.0</v>
      </c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3.5" customHeight="1">
      <c r="A532" s="20">
        <v>2023.0</v>
      </c>
      <c r="B532" s="20" t="s">
        <v>122</v>
      </c>
      <c r="C532" s="20" t="s">
        <v>76</v>
      </c>
      <c r="D532" s="20">
        <v>487.0</v>
      </c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3.5" customHeight="1">
      <c r="A533" s="20">
        <v>2023.0</v>
      </c>
      <c r="B533" s="20" t="s">
        <v>123</v>
      </c>
      <c r="C533" s="20" t="s">
        <v>76</v>
      </c>
      <c r="D533" s="20">
        <v>1851.0</v>
      </c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3.5" customHeight="1">
      <c r="A534" s="20">
        <v>2023.0</v>
      </c>
      <c r="B534" s="20" t="s">
        <v>124</v>
      </c>
      <c r="C534" s="20" t="s">
        <v>76</v>
      </c>
      <c r="D534" s="20">
        <v>800.0</v>
      </c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3.5" customHeight="1">
      <c r="A535" s="20">
        <v>2023.0</v>
      </c>
      <c r="B535" s="20" t="s">
        <v>125</v>
      </c>
      <c r="C535" s="20" t="s">
        <v>76</v>
      </c>
      <c r="D535" s="20">
        <v>563.0</v>
      </c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3.5" customHeight="1">
      <c r="A536" s="20">
        <v>2023.0</v>
      </c>
      <c r="B536" s="20" t="s">
        <v>128</v>
      </c>
      <c r="C536" s="20" t="s">
        <v>76</v>
      </c>
      <c r="D536" s="20">
        <v>1271.0</v>
      </c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3.5" customHeight="1">
      <c r="A537" s="20">
        <v>2023.0</v>
      </c>
      <c r="B537" s="20" t="s">
        <v>135</v>
      </c>
      <c r="C537" s="20" t="s">
        <v>76</v>
      </c>
      <c r="D537" s="20">
        <v>320.0</v>
      </c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3.5" customHeight="1">
      <c r="A538" s="20">
        <v>2023.0</v>
      </c>
      <c r="B538" s="20" t="s">
        <v>126</v>
      </c>
      <c r="C538" s="20" t="s">
        <v>76</v>
      </c>
      <c r="D538" s="20">
        <v>1079.0</v>
      </c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3.5" customHeight="1">
      <c r="A539" s="20">
        <v>2023.0</v>
      </c>
      <c r="B539" s="20" t="s">
        <v>127</v>
      </c>
      <c r="C539" s="20" t="s">
        <v>76</v>
      </c>
      <c r="D539" s="20">
        <v>1.0</v>
      </c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3.5" customHeight="1">
      <c r="A540" s="20">
        <v>2023.0</v>
      </c>
      <c r="B540" s="20" t="s">
        <v>131</v>
      </c>
      <c r="C540" s="20" t="s">
        <v>76</v>
      </c>
      <c r="D540" s="20">
        <v>2312.0</v>
      </c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3.5" customHeight="1">
      <c r="A541" s="20">
        <v>2023.0</v>
      </c>
      <c r="B541" s="20" t="s">
        <v>132</v>
      </c>
      <c r="C541" s="20" t="s">
        <v>76</v>
      </c>
      <c r="D541" s="20">
        <v>169.0</v>
      </c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3.5" customHeight="1">
      <c r="A542" s="20">
        <v>2023.0</v>
      </c>
      <c r="B542" s="20" t="s">
        <v>129</v>
      </c>
      <c r="C542" s="20" t="s">
        <v>76</v>
      </c>
      <c r="D542" s="20">
        <v>3120.0</v>
      </c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3.5" customHeight="1">
      <c r="A543" s="20">
        <v>2023.0</v>
      </c>
      <c r="B543" s="20" t="s">
        <v>134</v>
      </c>
      <c r="C543" s="20" t="s">
        <v>76</v>
      </c>
      <c r="D543" s="20">
        <v>85.0</v>
      </c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3.5" customHeight="1">
      <c r="A544" s="20">
        <v>2023.0</v>
      </c>
      <c r="B544" s="20" t="s">
        <v>133</v>
      </c>
      <c r="C544" s="20" t="s">
        <v>76</v>
      </c>
      <c r="D544" s="20">
        <v>2117.0</v>
      </c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3.5" customHeight="1">
      <c r="A545" s="20">
        <v>2023.0</v>
      </c>
      <c r="B545" s="20" t="s">
        <v>136</v>
      </c>
      <c r="C545" s="20" t="s">
        <v>76</v>
      </c>
      <c r="D545" s="20">
        <v>263.0</v>
      </c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3.5" customHeight="1">
      <c r="A546" s="20">
        <v>2023.0</v>
      </c>
      <c r="B546" s="20" t="s">
        <v>137</v>
      </c>
      <c r="C546" s="20" t="s">
        <v>76</v>
      </c>
      <c r="D546" s="20">
        <v>1983.0</v>
      </c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3.5" customHeight="1">
      <c r="A547" s="20">
        <v>2023.0</v>
      </c>
      <c r="B547" s="20" t="s">
        <v>139</v>
      </c>
      <c r="C547" s="20" t="s">
        <v>76</v>
      </c>
      <c r="D547" s="20">
        <v>1224.0</v>
      </c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3.5" customHeight="1">
      <c r="A548" s="20">
        <v>2023.0</v>
      </c>
      <c r="B548" s="20" t="s">
        <v>140</v>
      </c>
      <c r="C548" s="20" t="s">
        <v>76</v>
      </c>
      <c r="D548" s="20">
        <v>1344.0</v>
      </c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3.5" customHeight="1">
      <c r="A549" s="20">
        <v>2023.0</v>
      </c>
      <c r="B549" s="20" t="s">
        <v>141</v>
      </c>
      <c r="C549" s="20" t="s">
        <v>76</v>
      </c>
      <c r="D549" s="20">
        <v>3089.0</v>
      </c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3.5" customHeight="1">
      <c r="A550" s="20">
        <v>2023.0</v>
      </c>
      <c r="B550" s="20" t="s">
        <v>130</v>
      </c>
      <c r="C550" s="20" t="s">
        <v>76</v>
      </c>
      <c r="D550" s="20">
        <v>280.0</v>
      </c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3.5" customHeight="1">
      <c r="A551" s="20">
        <v>2023.0</v>
      </c>
      <c r="B551" s="20" t="s">
        <v>142</v>
      </c>
      <c r="C551" s="20" t="s">
        <v>76</v>
      </c>
      <c r="D551" s="20">
        <v>2360.0</v>
      </c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3.5" customHeight="1">
      <c r="A552" s="20">
        <v>2023.0</v>
      </c>
      <c r="B552" s="20" t="s">
        <v>143</v>
      </c>
      <c r="C552" s="20" t="s">
        <v>76</v>
      </c>
      <c r="D552" s="20">
        <v>112.0</v>
      </c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3.5" customHeight="1">
      <c r="A553" s="20">
        <v>2023.0</v>
      </c>
      <c r="B553" s="20" t="s">
        <v>144</v>
      </c>
      <c r="C553" s="20" t="s">
        <v>76</v>
      </c>
      <c r="D553" s="20">
        <v>290.0</v>
      </c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3.5" customHeight="1">
      <c r="A554" s="20">
        <v>2023.0</v>
      </c>
      <c r="B554" s="20" t="s">
        <v>119</v>
      </c>
      <c r="C554" s="20" t="s">
        <v>78</v>
      </c>
      <c r="D554" s="20">
        <v>1351.0</v>
      </c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3.5" customHeight="1">
      <c r="A555" s="20">
        <v>2023.0</v>
      </c>
      <c r="B555" s="20" t="s">
        <v>120</v>
      </c>
      <c r="C555" s="20" t="s">
        <v>78</v>
      </c>
      <c r="D555" s="20">
        <v>392.0</v>
      </c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3.5" customHeight="1">
      <c r="A556" s="20">
        <v>2023.0</v>
      </c>
      <c r="B556" s="20" t="s">
        <v>122</v>
      </c>
      <c r="C556" s="20" t="s">
        <v>78</v>
      </c>
      <c r="D556" s="20">
        <v>202.0</v>
      </c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3.5" customHeight="1">
      <c r="A557" s="20">
        <v>2023.0</v>
      </c>
      <c r="B557" s="20" t="s">
        <v>123</v>
      </c>
      <c r="C557" s="20" t="s">
        <v>78</v>
      </c>
      <c r="D557" s="20">
        <v>1756.0</v>
      </c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3.5" customHeight="1">
      <c r="A558" s="20">
        <v>2023.0</v>
      </c>
      <c r="B558" s="20" t="s">
        <v>124</v>
      </c>
      <c r="C558" s="20" t="s">
        <v>78</v>
      </c>
      <c r="D558" s="20">
        <v>291.0</v>
      </c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3.5" customHeight="1">
      <c r="A559" s="20">
        <v>2023.0</v>
      </c>
      <c r="B559" s="20" t="s">
        <v>125</v>
      </c>
      <c r="C559" s="20" t="s">
        <v>78</v>
      </c>
      <c r="D559" s="20">
        <v>1224.0</v>
      </c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3.5" customHeight="1">
      <c r="A560" s="20">
        <v>2023.0</v>
      </c>
      <c r="B560" s="20" t="s">
        <v>128</v>
      </c>
      <c r="C560" s="20" t="s">
        <v>78</v>
      </c>
      <c r="D560" s="20">
        <v>382.0</v>
      </c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3.5" customHeight="1">
      <c r="A561" s="20">
        <v>2023.0</v>
      </c>
      <c r="B561" s="20" t="s">
        <v>135</v>
      </c>
      <c r="C561" s="20" t="s">
        <v>78</v>
      </c>
      <c r="D561" s="20">
        <v>137.0</v>
      </c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3.5" customHeight="1">
      <c r="A562" s="20">
        <v>2023.0</v>
      </c>
      <c r="B562" s="20" t="s">
        <v>126</v>
      </c>
      <c r="C562" s="20" t="s">
        <v>78</v>
      </c>
      <c r="D562" s="20">
        <v>867.0</v>
      </c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3.5" customHeight="1">
      <c r="A563" s="20">
        <v>2023.0</v>
      </c>
      <c r="B563" s="20" t="s">
        <v>127</v>
      </c>
      <c r="C563" s="20" t="s">
        <v>78</v>
      </c>
      <c r="D563" s="20">
        <v>109.0</v>
      </c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3.5" customHeight="1">
      <c r="A564" s="20">
        <v>2023.0</v>
      </c>
      <c r="B564" s="20" t="s">
        <v>131</v>
      </c>
      <c r="C564" s="20" t="s">
        <v>78</v>
      </c>
      <c r="D564" s="20">
        <v>1211.0</v>
      </c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3.5" customHeight="1">
      <c r="A565" s="20">
        <v>2023.0</v>
      </c>
      <c r="B565" s="20" t="s">
        <v>132</v>
      </c>
      <c r="C565" s="20" t="s">
        <v>78</v>
      </c>
      <c r="D565" s="20">
        <v>195.0</v>
      </c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3.5" customHeight="1">
      <c r="A566" s="20">
        <v>2023.0</v>
      </c>
      <c r="B566" s="20" t="s">
        <v>129</v>
      </c>
      <c r="C566" s="20" t="s">
        <v>78</v>
      </c>
      <c r="D566" s="20">
        <v>2496.0</v>
      </c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3.5" customHeight="1">
      <c r="A567" s="20">
        <v>2023.0</v>
      </c>
      <c r="B567" s="20" t="s">
        <v>134</v>
      </c>
      <c r="C567" s="20" t="s">
        <v>78</v>
      </c>
      <c r="D567" s="20">
        <v>57.0</v>
      </c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3.5" customHeight="1">
      <c r="A568" s="20">
        <v>2023.0</v>
      </c>
      <c r="B568" s="20" t="s">
        <v>133</v>
      </c>
      <c r="C568" s="20" t="s">
        <v>78</v>
      </c>
      <c r="D568" s="20">
        <v>488.0</v>
      </c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3.5" customHeight="1">
      <c r="A569" s="20">
        <v>2023.0</v>
      </c>
      <c r="B569" s="20" t="s">
        <v>136</v>
      </c>
      <c r="C569" s="20" t="s">
        <v>78</v>
      </c>
      <c r="D569" s="20">
        <v>2228.0</v>
      </c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3.5" customHeight="1">
      <c r="A570" s="20">
        <v>2023.0</v>
      </c>
      <c r="B570" s="20" t="s">
        <v>137</v>
      </c>
      <c r="C570" s="20" t="s">
        <v>78</v>
      </c>
      <c r="D570" s="20">
        <v>1291.0</v>
      </c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3.5" customHeight="1">
      <c r="A571" s="20">
        <v>2023.0</v>
      </c>
      <c r="B571" s="20" t="s">
        <v>139</v>
      </c>
      <c r="C571" s="20" t="s">
        <v>78</v>
      </c>
      <c r="D571" s="20">
        <v>729.0</v>
      </c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3.5" customHeight="1">
      <c r="A572" s="20">
        <v>2023.0</v>
      </c>
      <c r="B572" s="20" t="s">
        <v>140</v>
      </c>
      <c r="C572" s="20" t="s">
        <v>78</v>
      </c>
      <c r="D572" s="20">
        <v>1127.0</v>
      </c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3.5" customHeight="1">
      <c r="A573" s="20">
        <v>2023.0</v>
      </c>
      <c r="B573" s="20" t="s">
        <v>141</v>
      </c>
      <c r="C573" s="20" t="s">
        <v>78</v>
      </c>
      <c r="D573" s="20">
        <v>2175.0</v>
      </c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3.5" customHeight="1">
      <c r="A574" s="20">
        <v>2023.0</v>
      </c>
      <c r="B574" s="20" t="s">
        <v>130</v>
      </c>
      <c r="C574" s="20" t="s">
        <v>78</v>
      </c>
      <c r="D574" s="20">
        <v>304.0</v>
      </c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3.5" customHeight="1">
      <c r="A575" s="20">
        <v>2023.0</v>
      </c>
      <c r="B575" s="20" t="s">
        <v>142</v>
      </c>
      <c r="C575" s="20" t="s">
        <v>78</v>
      </c>
      <c r="D575" s="20">
        <v>1165.0</v>
      </c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3.5" customHeight="1">
      <c r="A576" s="20">
        <v>2023.0</v>
      </c>
      <c r="B576" s="20" t="s">
        <v>143</v>
      </c>
      <c r="C576" s="20" t="s">
        <v>78</v>
      </c>
      <c r="D576" s="20">
        <v>163.0</v>
      </c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3.5" customHeight="1">
      <c r="A577" s="20">
        <v>2023.0</v>
      </c>
      <c r="B577" s="20" t="s">
        <v>144</v>
      </c>
      <c r="C577" s="20" t="s">
        <v>78</v>
      </c>
      <c r="D577" s="20">
        <v>476.0</v>
      </c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3.5" customHeight="1">
      <c r="A578" s="20">
        <v>2023.0</v>
      </c>
      <c r="B578" s="20" t="s">
        <v>119</v>
      </c>
      <c r="C578" s="20" t="s">
        <v>80</v>
      </c>
      <c r="D578" s="20">
        <v>25780.0</v>
      </c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3.5" customHeight="1">
      <c r="A579" s="20">
        <v>2023.0</v>
      </c>
      <c r="B579" s="20" t="s">
        <v>120</v>
      </c>
      <c r="C579" s="20" t="s">
        <v>80</v>
      </c>
      <c r="D579" s="20">
        <v>21551.0</v>
      </c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3.5" customHeight="1">
      <c r="A580" s="20">
        <v>2023.0</v>
      </c>
      <c r="B580" s="20" t="s">
        <v>122</v>
      </c>
      <c r="C580" s="20" t="s">
        <v>80</v>
      </c>
      <c r="D580" s="20">
        <v>10315.0</v>
      </c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3.5" customHeight="1">
      <c r="A581" s="20">
        <v>2023.0</v>
      </c>
      <c r="B581" s="20" t="s">
        <v>123</v>
      </c>
      <c r="C581" s="20" t="s">
        <v>80</v>
      </c>
      <c r="D581" s="20">
        <v>36923.0</v>
      </c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3.5" customHeight="1">
      <c r="A582" s="20">
        <v>2023.0</v>
      </c>
      <c r="B582" s="20" t="s">
        <v>124</v>
      </c>
      <c r="C582" s="20" t="s">
        <v>80</v>
      </c>
      <c r="D582" s="20">
        <v>28496.0</v>
      </c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3.5" customHeight="1">
      <c r="A583" s="20">
        <v>2023.0</v>
      </c>
      <c r="B583" s="20" t="s">
        <v>125</v>
      </c>
      <c r="C583" s="20" t="s">
        <v>80</v>
      </c>
      <c r="D583" s="20">
        <v>3084.0</v>
      </c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3.5" customHeight="1">
      <c r="A584" s="20">
        <v>2023.0</v>
      </c>
      <c r="B584" s="20" t="s">
        <v>128</v>
      </c>
      <c r="C584" s="20" t="s">
        <v>80</v>
      </c>
      <c r="D584" s="20">
        <v>1157.0</v>
      </c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3.5" customHeight="1">
      <c r="A585" s="20">
        <v>2023.0</v>
      </c>
      <c r="B585" s="20" t="s">
        <v>135</v>
      </c>
      <c r="C585" s="20" t="s">
        <v>80</v>
      </c>
      <c r="D585" s="20">
        <v>2574.0</v>
      </c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3.5" customHeight="1">
      <c r="A586" s="20">
        <v>2023.0</v>
      </c>
      <c r="B586" s="20" t="s">
        <v>126</v>
      </c>
      <c r="C586" s="20" t="s">
        <v>80</v>
      </c>
      <c r="D586" s="20">
        <v>29786.0</v>
      </c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3.5" customHeight="1">
      <c r="A587" s="20">
        <v>2023.0</v>
      </c>
      <c r="B587" s="20" t="s">
        <v>127</v>
      </c>
      <c r="C587" s="20" t="s">
        <v>80</v>
      </c>
      <c r="D587" s="20">
        <v>775.0</v>
      </c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3.5" customHeight="1">
      <c r="A588" s="20">
        <v>2023.0</v>
      </c>
      <c r="B588" s="20" t="s">
        <v>131</v>
      </c>
      <c r="C588" s="20" t="s">
        <v>80</v>
      </c>
      <c r="D588" s="20">
        <v>41008.0</v>
      </c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3.5" customHeight="1">
      <c r="A589" s="20">
        <v>2023.0</v>
      </c>
      <c r="B589" s="20" t="s">
        <v>132</v>
      </c>
      <c r="C589" s="20" t="s">
        <v>80</v>
      </c>
      <c r="D589" s="20">
        <v>16535.0</v>
      </c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3.5" customHeight="1">
      <c r="A590" s="20">
        <v>2023.0</v>
      </c>
      <c r="B590" s="20" t="s">
        <v>129</v>
      </c>
      <c r="C590" s="20" t="s">
        <v>80</v>
      </c>
      <c r="D590" s="20">
        <v>24201.0</v>
      </c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3.5" customHeight="1">
      <c r="A591" s="20">
        <v>2023.0</v>
      </c>
      <c r="B591" s="20" t="s">
        <v>134</v>
      </c>
      <c r="C591" s="20" t="s">
        <v>80</v>
      </c>
      <c r="D591" s="20">
        <v>7889.0</v>
      </c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3.5" customHeight="1">
      <c r="A592" s="20">
        <v>2023.0</v>
      </c>
      <c r="B592" s="20" t="s">
        <v>133</v>
      </c>
      <c r="C592" s="20" t="s">
        <v>80</v>
      </c>
      <c r="D592" s="20">
        <v>25700.0</v>
      </c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3.5" customHeight="1">
      <c r="A593" s="20">
        <v>2023.0</v>
      </c>
      <c r="B593" s="20" t="s">
        <v>136</v>
      </c>
      <c r="C593" s="20" t="s">
        <v>80</v>
      </c>
      <c r="D593" s="20">
        <v>885.0</v>
      </c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3.5" customHeight="1">
      <c r="A594" s="20">
        <v>2023.0</v>
      </c>
      <c r="B594" s="20" t="s">
        <v>137</v>
      </c>
      <c r="C594" s="20" t="s">
        <v>80</v>
      </c>
      <c r="D594" s="20">
        <v>21948.0</v>
      </c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3.5" customHeight="1">
      <c r="A595" s="20">
        <v>2023.0</v>
      </c>
      <c r="B595" s="20" t="s">
        <v>139</v>
      </c>
      <c r="C595" s="20" t="s">
        <v>80</v>
      </c>
      <c r="D595" s="20">
        <v>42166.0</v>
      </c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3.5" customHeight="1">
      <c r="A596" s="20">
        <v>2023.0</v>
      </c>
      <c r="B596" s="20" t="s">
        <v>140</v>
      </c>
      <c r="C596" s="20" t="s">
        <v>80</v>
      </c>
      <c r="D596" s="20">
        <v>30991.0</v>
      </c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3.5" customHeight="1">
      <c r="A597" s="20">
        <v>2023.0</v>
      </c>
      <c r="B597" s="20" t="s">
        <v>141</v>
      </c>
      <c r="C597" s="20" t="s">
        <v>80</v>
      </c>
      <c r="D597" s="20">
        <v>49869.0</v>
      </c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3.5" customHeight="1">
      <c r="A598" s="20">
        <v>2023.0</v>
      </c>
      <c r="B598" s="20" t="s">
        <v>130</v>
      </c>
      <c r="C598" s="20" t="s">
        <v>80</v>
      </c>
      <c r="D598" s="20">
        <v>9524.0</v>
      </c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3.5" customHeight="1">
      <c r="A599" s="20">
        <v>2023.0</v>
      </c>
      <c r="B599" s="20" t="s">
        <v>142</v>
      </c>
      <c r="C599" s="20" t="s">
        <v>80</v>
      </c>
      <c r="D599" s="20">
        <v>11583.0</v>
      </c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3.5" customHeight="1">
      <c r="A600" s="20">
        <v>2023.0</v>
      </c>
      <c r="B600" s="20" t="s">
        <v>143</v>
      </c>
      <c r="C600" s="20" t="s">
        <v>80</v>
      </c>
      <c r="D600" s="20">
        <v>1019.0</v>
      </c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3.5" customHeight="1">
      <c r="A601" s="20">
        <v>2023.0</v>
      </c>
      <c r="B601" s="20" t="s">
        <v>144</v>
      </c>
      <c r="C601" s="20" t="s">
        <v>80</v>
      </c>
      <c r="D601" s="20">
        <v>9045.0</v>
      </c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3.5" customHeight="1">
      <c r="A602" s="20">
        <v>2023.0</v>
      </c>
      <c r="B602" s="20" t="s">
        <v>119</v>
      </c>
      <c r="C602" s="20" t="s">
        <v>82</v>
      </c>
      <c r="D602" s="20">
        <v>1634.0</v>
      </c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3.5" customHeight="1">
      <c r="A603" s="20">
        <v>2023.0</v>
      </c>
      <c r="B603" s="20" t="s">
        <v>120</v>
      </c>
      <c r="C603" s="20" t="s">
        <v>82</v>
      </c>
      <c r="D603" s="20">
        <v>1465.0</v>
      </c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3.5" customHeight="1">
      <c r="A604" s="20">
        <v>2023.0</v>
      </c>
      <c r="B604" s="20" t="s">
        <v>122</v>
      </c>
      <c r="C604" s="20" t="s">
        <v>82</v>
      </c>
      <c r="D604" s="20">
        <v>1136.0</v>
      </c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3.5" customHeight="1">
      <c r="A605" s="20">
        <v>2023.0</v>
      </c>
      <c r="B605" s="20" t="s">
        <v>123</v>
      </c>
      <c r="C605" s="20" t="s">
        <v>82</v>
      </c>
      <c r="D605" s="20">
        <v>2542.0</v>
      </c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3.5" customHeight="1">
      <c r="A606" s="20">
        <v>2023.0</v>
      </c>
      <c r="B606" s="20" t="s">
        <v>124</v>
      </c>
      <c r="C606" s="20" t="s">
        <v>82</v>
      </c>
      <c r="D606" s="20">
        <v>506.0</v>
      </c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3.5" customHeight="1">
      <c r="A607" s="20">
        <v>2023.0</v>
      </c>
      <c r="B607" s="20" t="s">
        <v>125</v>
      </c>
      <c r="C607" s="20" t="s">
        <v>82</v>
      </c>
      <c r="D607" s="20">
        <v>466.0</v>
      </c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3.5" customHeight="1">
      <c r="A608" s="20">
        <v>2023.0</v>
      </c>
      <c r="B608" s="20" t="s">
        <v>128</v>
      </c>
      <c r="C608" s="20" t="s">
        <v>82</v>
      </c>
      <c r="D608" s="20">
        <v>53.0</v>
      </c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3.5" customHeight="1">
      <c r="A609" s="20">
        <v>2023.0</v>
      </c>
      <c r="B609" s="20" t="s">
        <v>135</v>
      </c>
      <c r="C609" s="20" t="s">
        <v>82</v>
      </c>
      <c r="D609" s="20">
        <v>134.0</v>
      </c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3.5" customHeight="1">
      <c r="A610" s="20">
        <v>2023.0</v>
      </c>
      <c r="B610" s="20" t="s">
        <v>126</v>
      </c>
      <c r="C610" s="20" t="s">
        <v>82</v>
      </c>
      <c r="D610" s="20">
        <v>1862.0</v>
      </c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3.5" customHeight="1">
      <c r="A611" s="20">
        <v>2023.0</v>
      </c>
      <c r="B611" s="20" t="s">
        <v>127</v>
      </c>
      <c r="C611" s="20" t="s">
        <v>82</v>
      </c>
      <c r="D611" s="20">
        <v>54.0</v>
      </c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3.5" customHeight="1">
      <c r="A612" s="20">
        <v>2023.0</v>
      </c>
      <c r="B612" s="20" t="s">
        <v>131</v>
      </c>
      <c r="C612" s="20" t="s">
        <v>82</v>
      </c>
      <c r="D612" s="20">
        <v>1586.0</v>
      </c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3.5" customHeight="1">
      <c r="A613" s="20">
        <v>2023.0</v>
      </c>
      <c r="B613" s="20" t="s">
        <v>132</v>
      </c>
      <c r="C613" s="20" t="s">
        <v>82</v>
      </c>
      <c r="D613" s="20">
        <v>192.0</v>
      </c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3.5" customHeight="1">
      <c r="A614" s="20">
        <v>2023.0</v>
      </c>
      <c r="B614" s="20" t="s">
        <v>129</v>
      </c>
      <c r="C614" s="20" t="s">
        <v>82</v>
      </c>
      <c r="D614" s="20">
        <v>1664.0</v>
      </c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3.5" customHeight="1">
      <c r="A615" s="20">
        <v>2023.0</v>
      </c>
      <c r="B615" s="20" t="s">
        <v>134</v>
      </c>
      <c r="C615" s="20" t="s">
        <v>82</v>
      </c>
      <c r="D615" s="20">
        <v>596.0</v>
      </c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3.5" customHeight="1">
      <c r="A616" s="20">
        <v>2023.0</v>
      </c>
      <c r="B616" s="20" t="s">
        <v>133</v>
      </c>
      <c r="C616" s="20" t="s">
        <v>82</v>
      </c>
      <c r="D616" s="20">
        <v>743.0</v>
      </c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3.5" customHeight="1">
      <c r="A617" s="20">
        <v>2023.0</v>
      </c>
      <c r="B617" s="20" t="s">
        <v>136</v>
      </c>
      <c r="C617" s="20" t="s">
        <v>82</v>
      </c>
      <c r="D617" s="20">
        <v>87.0</v>
      </c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3.5" customHeight="1">
      <c r="A618" s="20">
        <v>2023.0</v>
      </c>
      <c r="B618" s="20" t="s">
        <v>137</v>
      </c>
      <c r="C618" s="20" t="s">
        <v>82</v>
      </c>
      <c r="D618" s="20">
        <v>1159.0</v>
      </c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3.5" customHeight="1">
      <c r="A619" s="20">
        <v>2023.0</v>
      </c>
      <c r="B619" s="20" t="s">
        <v>139</v>
      </c>
      <c r="C619" s="20" t="s">
        <v>82</v>
      </c>
      <c r="D619" s="20">
        <v>1819.0</v>
      </c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3.5" customHeight="1">
      <c r="A620" s="20">
        <v>2023.0</v>
      </c>
      <c r="B620" s="20" t="s">
        <v>140</v>
      </c>
      <c r="C620" s="20" t="s">
        <v>82</v>
      </c>
      <c r="D620" s="20">
        <v>2774.0</v>
      </c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3.5" customHeight="1">
      <c r="A621" s="20">
        <v>2023.0</v>
      </c>
      <c r="B621" s="20" t="s">
        <v>141</v>
      </c>
      <c r="C621" s="20" t="s">
        <v>82</v>
      </c>
      <c r="D621" s="20">
        <v>1974.0</v>
      </c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3.5" customHeight="1">
      <c r="A622" s="20">
        <v>2023.0</v>
      </c>
      <c r="B622" s="20" t="s">
        <v>130</v>
      </c>
      <c r="C622" s="20" t="s">
        <v>82</v>
      </c>
      <c r="D622" s="20">
        <v>344.0</v>
      </c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3.5" customHeight="1">
      <c r="A623" s="20">
        <v>2023.0</v>
      </c>
      <c r="B623" s="20" t="s">
        <v>142</v>
      </c>
      <c r="C623" s="20" t="s">
        <v>82</v>
      </c>
      <c r="D623" s="20">
        <v>423.0</v>
      </c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3.5" customHeight="1">
      <c r="A624" s="20">
        <v>2023.0</v>
      </c>
      <c r="B624" s="20" t="s">
        <v>143</v>
      </c>
      <c r="C624" s="20" t="s">
        <v>82</v>
      </c>
      <c r="D624" s="20">
        <v>30.0</v>
      </c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3.5" customHeight="1">
      <c r="A625" s="20">
        <v>2023.0</v>
      </c>
      <c r="B625" s="20" t="s">
        <v>144</v>
      </c>
      <c r="C625" s="20" t="s">
        <v>82</v>
      </c>
      <c r="D625" s="20">
        <v>326.0</v>
      </c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3.5" customHeight="1">
      <c r="A626" s="20">
        <v>2023.0</v>
      </c>
      <c r="B626" s="20" t="s">
        <v>119</v>
      </c>
      <c r="C626" s="20" t="s">
        <v>84</v>
      </c>
      <c r="D626" s="20">
        <v>11049.0</v>
      </c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3.5" customHeight="1">
      <c r="A627" s="20">
        <v>2023.0</v>
      </c>
      <c r="B627" s="20" t="s">
        <v>120</v>
      </c>
      <c r="C627" s="20" t="s">
        <v>84</v>
      </c>
      <c r="D627" s="20">
        <v>6892.0</v>
      </c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3.5" customHeight="1">
      <c r="A628" s="20">
        <v>2023.0</v>
      </c>
      <c r="B628" s="20" t="s">
        <v>122</v>
      </c>
      <c r="C628" s="20" t="s">
        <v>84</v>
      </c>
      <c r="D628" s="20">
        <v>3179.0</v>
      </c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3.5" customHeight="1">
      <c r="A629" s="20">
        <v>2023.0</v>
      </c>
      <c r="B629" s="20" t="s">
        <v>123</v>
      </c>
      <c r="C629" s="20" t="s">
        <v>84</v>
      </c>
      <c r="D629" s="20">
        <v>12376.0</v>
      </c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3.5" customHeight="1">
      <c r="A630" s="20">
        <v>2023.0</v>
      </c>
      <c r="B630" s="20" t="s">
        <v>124</v>
      </c>
      <c r="C630" s="20" t="s">
        <v>84</v>
      </c>
      <c r="D630" s="20">
        <v>2095.0</v>
      </c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3.5" customHeight="1">
      <c r="A631" s="20">
        <v>2023.0</v>
      </c>
      <c r="B631" s="20" t="s">
        <v>125</v>
      </c>
      <c r="C631" s="20" t="s">
        <v>84</v>
      </c>
      <c r="D631" s="20">
        <v>560.0</v>
      </c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3.5" customHeight="1">
      <c r="A632" s="20">
        <v>2023.0</v>
      </c>
      <c r="B632" s="20" t="s">
        <v>128</v>
      </c>
      <c r="C632" s="20" t="s">
        <v>84</v>
      </c>
      <c r="D632" s="20">
        <v>715.0</v>
      </c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3.5" customHeight="1">
      <c r="A633" s="20">
        <v>2023.0</v>
      </c>
      <c r="B633" s="20" t="s">
        <v>135</v>
      </c>
      <c r="C633" s="20" t="s">
        <v>84</v>
      </c>
      <c r="D633" s="20">
        <v>723.0</v>
      </c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3.5" customHeight="1">
      <c r="A634" s="20">
        <v>2023.0</v>
      </c>
      <c r="B634" s="20" t="s">
        <v>126</v>
      </c>
      <c r="C634" s="20" t="s">
        <v>84</v>
      </c>
      <c r="D634" s="20">
        <v>7597.0</v>
      </c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3.5" customHeight="1">
      <c r="A635" s="20">
        <v>2023.0</v>
      </c>
      <c r="B635" s="20" t="s">
        <v>127</v>
      </c>
      <c r="C635" s="20" t="s">
        <v>84</v>
      </c>
      <c r="D635" s="20">
        <v>187.0</v>
      </c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3.5" customHeight="1">
      <c r="A636" s="20">
        <v>2023.0</v>
      </c>
      <c r="B636" s="20" t="s">
        <v>131</v>
      </c>
      <c r="C636" s="20" t="s">
        <v>84</v>
      </c>
      <c r="D636" s="20">
        <v>14982.0</v>
      </c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3.5" customHeight="1">
      <c r="A637" s="20">
        <v>2023.0</v>
      </c>
      <c r="B637" s="20" t="s">
        <v>132</v>
      </c>
      <c r="C637" s="20" t="s">
        <v>84</v>
      </c>
      <c r="D637" s="20">
        <v>1569.0</v>
      </c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3.5" customHeight="1">
      <c r="A638" s="20">
        <v>2023.0</v>
      </c>
      <c r="B638" s="20" t="s">
        <v>129</v>
      </c>
      <c r="C638" s="20" t="s">
        <v>84</v>
      </c>
      <c r="D638" s="20">
        <v>7284.0</v>
      </c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3.5" customHeight="1">
      <c r="A639" s="20">
        <v>2023.0</v>
      </c>
      <c r="B639" s="20" t="s">
        <v>134</v>
      </c>
      <c r="C639" s="20" t="s">
        <v>84</v>
      </c>
      <c r="D639" s="20">
        <v>1588.0</v>
      </c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3.5" customHeight="1">
      <c r="A640" s="20">
        <v>2023.0</v>
      </c>
      <c r="B640" s="20" t="s">
        <v>133</v>
      </c>
      <c r="C640" s="20" t="s">
        <v>84</v>
      </c>
      <c r="D640" s="20">
        <v>4581.0</v>
      </c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3.5" customHeight="1">
      <c r="A641" s="20">
        <v>2023.0</v>
      </c>
      <c r="B641" s="20" t="s">
        <v>136</v>
      </c>
      <c r="C641" s="20" t="s">
        <v>84</v>
      </c>
      <c r="D641" s="20">
        <v>708.0</v>
      </c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3.5" customHeight="1">
      <c r="A642" s="20">
        <v>2023.0</v>
      </c>
      <c r="B642" s="20" t="s">
        <v>137</v>
      </c>
      <c r="C642" s="20" t="s">
        <v>84</v>
      </c>
      <c r="D642" s="20">
        <v>7353.0</v>
      </c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3.5" customHeight="1">
      <c r="A643" s="20">
        <v>2023.0</v>
      </c>
      <c r="B643" s="20" t="s">
        <v>139</v>
      </c>
      <c r="C643" s="20" t="s">
        <v>84</v>
      </c>
      <c r="D643" s="20">
        <v>8231.0</v>
      </c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3.5" customHeight="1">
      <c r="A644" s="20">
        <v>2023.0</v>
      </c>
      <c r="B644" s="20" t="s">
        <v>140</v>
      </c>
      <c r="C644" s="20" t="s">
        <v>84</v>
      </c>
      <c r="D644" s="20">
        <v>11396.0</v>
      </c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3.5" customHeight="1">
      <c r="A645" s="20">
        <v>2023.0</v>
      </c>
      <c r="B645" s="20" t="s">
        <v>141</v>
      </c>
      <c r="C645" s="20" t="s">
        <v>84</v>
      </c>
      <c r="D645" s="20">
        <v>16002.0</v>
      </c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3.5" customHeight="1">
      <c r="A646" s="20">
        <v>2023.0</v>
      </c>
      <c r="B646" s="20" t="s">
        <v>130</v>
      </c>
      <c r="C646" s="20" t="s">
        <v>84</v>
      </c>
      <c r="D646" s="20">
        <v>2485.0</v>
      </c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3.5" customHeight="1">
      <c r="A647" s="20">
        <v>2023.0</v>
      </c>
      <c r="B647" s="20" t="s">
        <v>142</v>
      </c>
      <c r="C647" s="20" t="s">
        <v>84</v>
      </c>
      <c r="D647" s="20">
        <v>6086.0</v>
      </c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3.5" customHeight="1">
      <c r="A648" s="20">
        <v>2023.0</v>
      </c>
      <c r="B648" s="20" t="s">
        <v>143</v>
      </c>
      <c r="C648" s="20" t="s">
        <v>84</v>
      </c>
      <c r="D648" s="20">
        <v>269.0</v>
      </c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3.5" customHeight="1">
      <c r="A649" s="20">
        <v>2023.0</v>
      </c>
      <c r="B649" s="20" t="s">
        <v>144</v>
      </c>
      <c r="C649" s="20" t="s">
        <v>84</v>
      </c>
      <c r="D649" s="20">
        <v>2523.0</v>
      </c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3.5" customHeight="1">
      <c r="A650" s="20">
        <v>2023.0</v>
      </c>
      <c r="B650" s="20" t="s">
        <v>119</v>
      </c>
      <c r="C650" s="20" t="s">
        <v>86</v>
      </c>
      <c r="D650" s="20">
        <v>336.0</v>
      </c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3.5" customHeight="1">
      <c r="A651" s="20">
        <v>2023.0</v>
      </c>
      <c r="B651" s="20" t="s">
        <v>120</v>
      </c>
      <c r="C651" s="20" t="s">
        <v>86</v>
      </c>
      <c r="D651" s="20">
        <v>50.0</v>
      </c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3.5" customHeight="1">
      <c r="A652" s="20">
        <v>2023.0</v>
      </c>
      <c r="B652" s="20" t="s">
        <v>122</v>
      </c>
      <c r="C652" s="20" t="s">
        <v>86</v>
      </c>
      <c r="D652" s="20">
        <v>42.0</v>
      </c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3.5" customHeight="1">
      <c r="A653" s="20">
        <v>2023.0</v>
      </c>
      <c r="B653" s="20" t="s">
        <v>123</v>
      </c>
      <c r="C653" s="20" t="s">
        <v>86</v>
      </c>
      <c r="D653" s="20">
        <v>286.0</v>
      </c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3.5" customHeight="1">
      <c r="A654" s="20">
        <v>2023.0</v>
      </c>
      <c r="B654" s="20" t="s">
        <v>124</v>
      </c>
      <c r="C654" s="20" t="s">
        <v>86</v>
      </c>
      <c r="D654" s="20">
        <v>9.0</v>
      </c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3.5" customHeight="1">
      <c r="A655" s="20">
        <v>2023.0</v>
      </c>
      <c r="B655" s="20" t="s">
        <v>125</v>
      </c>
      <c r="C655" s="20" t="s">
        <v>86</v>
      </c>
      <c r="D655" s="20">
        <v>199.0</v>
      </c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3.5" customHeight="1">
      <c r="A656" s="20">
        <v>2023.0</v>
      </c>
      <c r="B656" s="20" t="s">
        <v>128</v>
      </c>
      <c r="C656" s="20" t="s">
        <v>86</v>
      </c>
      <c r="D656" s="20">
        <v>89.0</v>
      </c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3.5" customHeight="1">
      <c r="A657" s="20">
        <v>2023.0</v>
      </c>
      <c r="B657" s="20" t="s">
        <v>135</v>
      </c>
      <c r="C657" s="20" t="s">
        <v>86</v>
      </c>
      <c r="D657" s="20">
        <v>9.0</v>
      </c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3.5" customHeight="1">
      <c r="A658" s="20">
        <v>2023.0</v>
      </c>
      <c r="B658" s="20" t="s">
        <v>126</v>
      </c>
      <c r="C658" s="20" t="s">
        <v>86</v>
      </c>
      <c r="D658" s="20">
        <v>40.0</v>
      </c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3.5" customHeight="1">
      <c r="A659" s="20">
        <v>2023.0</v>
      </c>
      <c r="B659" s="20" t="s">
        <v>127</v>
      </c>
      <c r="C659" s="20" t="s">
        <v>86</v>
      </c>
      <c r="D659" s="20">
        <v>0.0</v>
      </c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3.5" customHeight="1">
      <c r="A660" s="20">
        <v>2023.0</v>
      </c>
      <c r="B660" s="20" t="s">
        <v>131</v>
      </c>
      <c r="C660" s="20" t="s">
        <v>86</v>
      </c>
      <c r="D660" s="20">
        <v>151.0</v>
      </c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3.5" customHeight="1">
      <c r="A661" s="20">
        <v>2023.0</v>
      </c>
      <c r="B661" s="20" t="s">
        <v>132</v>
      </c>
      <c r="C661" s="20" t="s">
        <v>86</v>
      </c>
      <c r="D661" s="20">
        <v>11.0</v>
      </c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3.5" customHeight="1">
      <c r="A662" s="20">
        <v>2023.0</v>
      </c>
      <c r="B662" s="20" t="s">
        <v>129</v>
      </c>
      <c r="C662" s="20" t="s">
        <v>86</v>
      </c>
      <c r="D662" s="20">
        <v>181.0</v>
      </c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3.5" customHeight="1">
      <c r="A663" s="20">
        <v>2023.0</v>
      </c>
      <c r="B663" s="20" t="s">
        <v>134</v>
      </c>
      <c r="C663" s="20" t="s">
        <v>86</v>
      </c>
      <c r="D663" s="20">
        <v>26.0</v>
      </c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3.5" customHeight="1">
      <c r="A664" s="20">
        <v>2023.0</v>
      </c>
      <c r="B664" s="20" t="s">
        <v>133</v>
      </c>
      <c r="C664" s="20" t="s">
        <v>86</v>
      </c>
      <c r="D664" s="20">
        <v>38.0</v>
      </c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3.5" customHeight="1">
      <c r="A665" s="20">
        <v>2023.0</v>
      </c>
      <c r="B665" s="20" t="s">
        <v>136</v>
      </c>
      <c r="C665" s="20" t="s">
        <v>86</v>
      </c>
      <c r="D665" s="20">
        <v>27.0</v>
      </c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3.5" customHeight="1">
      <c r="A666" s="20">
        <v>2023.0</v>
      </c>
      <c r="B666" s="20" t="s">
        <v>137</v>
      </c>
      <c r="C666" s="20" t="s">
        <v>86</v>
      </c>
      <c r="D666" s="20">
        <v>153.0</v>
      </c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3.5" customHeight="1">
      <c r="A667" s="20">
        <v>2023.0</v>
      </c>
      <c r="B667" s="20" t="s">
        <v>139</v>
      </c>
      <c r="C667" s="20" t="s">
        <v>86</v>
      </c>
      <c r="D667" s="20">
        <v>44.0</v>
      </c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3.5" customHeight="1">
      <c r="A668" s="20">
        <v>2023.0</v>
      </c>
      <c r="B668" s="20" t="s">
        <v>140</v>
      </c>
      <c r="C668" s="20" t="s">
        <v>86</v>
      </c>
      <c r="D668" s="20">
        <v>232.0</v>
      </c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3.5" customHeight="1">
      <c r="A669" s="20">
        <v>2023.0</v>
      </c>
      <c r="B669" s="20" t="s">
        <v>141</v>
      </c>
      <c r="C669" s="20" t="s">
        <v>86</v>
      </c>
      <c r="D669" s="20">
        <v>196.0</v>
      </c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3.5" customHeight="1">
      <c r="A670" s="20">
        <v>2023.0</v>
      </c>
      <c r="B670" s="20" t="s">
        <v>130</v>
      </c>
      <c r="C670" s="20" t="s">
        <v>86</v>
      </c>
      <c r="D670" s="20">
        <v>20.0</v>
      </c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3.5" customHeight="1">
      <c r="A671" s="20">
        <v>2023.0</v>
      </c>
      <c r="B671" s="20" t="s">
        <v>142</v>
      </c>
      <c r="C671" s="20" t="s">
        <v>86</v>
      </c>
      <c r="D671" s="20">
        <v>42.0</v>
      </c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3.5" customHeight="1">
      <c r="A672" s="20">
        <v>2023.0</v>
      </c>
      <c r="B672" s="20" t="s">
        <v>143</v>
      </c>
      <c r="C672" s="20" t="s">
        <v>86</v>
      </c>
      <c r="D672" s="20">
        <v>17.0</v>
      </c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3.5" customHeight="1">
      <c r="A673" s="20">
        <v>2023.0</v>
      </c>
      <c r="B673" s="20" t="s">
        <v>144</v>
      </c>
      <c r="C673" s="20" t="s">
        <v>86</v>
      </c>
      <c r="D673" s="20">
        <v>32.0</v>
      </c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3.5" customHeight="1">
      <c r="A674" s="20">
        <v>2023.0</v>
      </c>
      <c r="B674" s="20" t="s">
        <v>119</v>
      </c>
      <c r="C674" s="20" t="s">
        <v>88</v>
      </c>
      <c r="D674" s="20">
        <v>9677.0</v>
      </c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3.5" customHeight="1">
      <c r="A675" s="20">
        <v>2023.0</v>
      </c>
      <c r="B675" s="20" t="s">
        <v>120</v>
      </c>
      <c r="C675" s="20" t="s">
        <v>88</v>
      </c>
      <c r="D675" s="20">
        <v>8542.0</v>
      </c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3.5" customHeight="1">
      <c r="A676" s="20">
        <v>2023.0</v>
      </c>
      <c r="B676" s="20" t="s">
        <v>122</v>
      </c>
      <c r="C676" s="20" t="s">
        <v>88</v>
      </c>
      <c r="D676" s="20">
        <v>3813.0</v>
      </c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3.5" customHeight="1">
      <c r="A677" s="20">
        <v>2023.0</v>
      </c>
      <c r="B677" s="20" t="s">
        <v>123</v>
      </c>
      <c r="C677" s="20" t="s">
        <v>88</v>
      </c>
      <c r="D677" s="20">
        <v>11015.0</v>
      </c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3.5" customHeight="1">
      <c r="A678" s="20">
        <v>2023.0</v>
      </c>
      <c r="B678" s="20" t="s">
        <v>124</v>
      </c>
      <c r="C678" s="20" t="s">
        <v>88</v>
      </c>
      <c r="D678" s="20">
        <v>2850.0</v>
      </c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3.5" customHeight="1">
      <c r="A679" s="20">
        <v>2023.0</v>
      </c>
      <c r="B679" s="20" t="s">
        <v>125</v>
      </c>
      <c r="C679" s="20" t="s">
        <v>88</v>
      </c>
      <c r="D679" s="20">
        <v>1164.0</v>
      </c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3.5" customHeight="1">
      <c r="A680" s="20">
        <v>2023.0</v>
      </c>
      <c r="B680" s="20" t="s">
        <v>128</v>
      </c>
      <c r="C680" s="20" t="s">
        <v>88</v>
      </c>
      <c r="D680" s="20">
        <v>8102.0</v>
      </c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3.5" customHeight="1">
      <c r="A681" s="20">
        <v>2023.0</v>
      </c>
      <c r="B681" s="20" t="s">
        <v>135</v>
      </c>
      <c r="C681" s="20" t="s">
        <v>88</v>
      </c>
      <c r="D681" s="20">
        <v>1012.0</v>
      </c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3.5" customHeight="1">
      <c r="A682" s="20">
        <v>2023.0</v>
      </c>
      <c r="B682" s="20" t="s">
        <v>126</v>
      </c>
      <c r="C682" s="20" t="s">
        <v>88</v>
      </c>
      <c r="D682" s="20">
        <v>9288.0</v>
      </c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3.5" customHeight="1">
      <c r="A683" s="20">
        <v>2023.0</v>
      </c>
      <c r="B683" s="20" t="s">
        <v>127</v>
      </c>
      <c r="C683" s="20" t="s">
        <v>88</v>
      </c>
      <c r="D683" s="20">
        <v>448.0</v>
      </c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3.5" customHeight="1">
      <c r="A684" s="20">
        <v>2023.0</v>
      </c>
      <c r="B684" s="20" t="s">
        <v>131</v>
      </c>
      <c r="C684" s="20" t="s">
        <v>88</v>
      </c>
      <c r="D684" s="20">
        <v>16256.0</v>
      </c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3.5" customHeight="1">
      <c r="A685" s="20">
        <v>2023.0</v>
      </c>
      <c r="B685" s="20" t="s">
        <v>132</v>
      </c>
      <c r="C685" s="20" t="s">
        <v>88</v>
      </c>
      <c r="D685" s="20">
        <v>1254.0</v>
      </c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3.5" customHeight="1">
      <c r="A686" s="20">
        <v>2023.0</v>
      </c>
      <c r="B686" s="20" t="s">
        <v>129</v>
      </c>
      <c r="C686" s="20" t="s">
        <v>88</v>
      </c>
      <c r="D686" s="20">
        <v>10323.0</v>
      </c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3.5" customHeight="1">
      <c r="A687" s="20">
        <v>2023.0</v>
      </c>
      <c r="B687" s="20" t="s">
        <v>134</v>
      </c>
      <c r="C687" s="20" t="s">
        <v>88</v>
      </c>
      <c r="D687" s="20">
        <v>1288.0</v>
      </c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3.5" customHeight="1">
      <c r="A688" s="20">
        <v>2023.0</v>
      </c>
      <c r="B688" s="20" t="s">
        <v>133</v>
      </c>
      <c r="C688" s="20" t="s">
        <v>88</v>
      </c>
      <c r="D688" s="20">
        <v>19516.0</v>
      </c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3.5" customHeight="1">
      <c r="A689" s="20">
        <v>2023.0</v>
      </c>
      <c r="B689" s="20" t="s">
        <v>136</v>
      </c>
      <c r="C689" s="20" t="s">
        <v>88</v>
      </c>
      <c r="D689" s="20">
        <v>210.0</v>
      </c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3.5" customHeight="1">
      <c r="A690" s="20">
        <v>2023.0</v>
      </c>
      <c r="B690" s="20" t="s">
        <v>137</v>
      </c>
      <c r="C690" s="20" t="s">
        <v>88</v>
      </c>
      <c r="D690" s="20">
        <v>8754.0</v>
      </c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3.5" customHeight="1">
      <c r="A691" s="20">
        <v>2023.0</v>
      </c>
      <c r="B691" s="20" t="s">
        <v>139</v>
      </c>
      <c r="C691" s="20" t="s">
        <v>88</v>
      </c>
      <c r="D691" s="20">
        <v>8955.0</v>
      </c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3.5" customHeight="1">
      <c r="A692" s="20">
        <v>2023.0</v>
      </c>
      <c r="B692" s="20" t="s">
        <v>140</v>
      </c>
      <c r="C692" s="20" t="s">
        <v>88</v>
      </c>
      <c r="D692" s="20">
        <v>8818.0</v>
      </c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3.5" customHeight="1">
      <c r="A693" s="20">
        <v>2023.0</v>
      </c>
      <c r="B693" s="20" t="s">
        <v>141</v>
      </c>
      <c r="C693" s="20" t="s">
        <v>88</v>
      </c>
      <c r="D693" s="20">
        <v>16106.0</v>
      </c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3.5" customHeight="1">
      <c r="A694" s="20">
        <v>2023.0</v>
      </c>
      <c r="B694" s="20" t="s">
        <v>130</v>
      </c>
      <c r="C694" s="20" t="s">
        <v>88</v>
      </c>
      <c r="D694" s="20">
        <v>4855.0</v>
      </c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3.5" customHeight="1">
      <c r="A695" s="20">
        <v>2023.0</v>
      </c>
      <c r="B695" s="20" t="s">
        <v>142</v>
      </c>
      <c r="C695" s="20" t="s">
        <v>88</v>
      </c>
      <c r="D695" s="20">
        <v>5475.0</v>
      </c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3.5" customHeight="1">
      <c r="A696" s="20">
        <v>2023.0</v>
      </c>
      <c r="B696" s="20" t="s">
        <v>143</v>
      </c>
      <c r="C696" s="20" t="s">
        <v>88</v>
      </c>
      <c r="D696" s="20">
        <v>274.0</v>
      </c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3.5" customHeight="1">
      <c r="A697" s="20">
        <v>2023.0</v>
      </c>
      <c r="B697" s="20" t="s">
        <v>144</v>
      </c>
      <c r="C697" s="20" t="s">
        <v>88</v>
      </c>
      <c r="D697" s="20">
        <v>4726.0</v>
      </c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3.5" customHeight="1">
      <c r="A698" s="20"/>
      <c r="B698" s="20"/>
      <c r="C698" s="20"/>
      <c r="D698" s="20">
        <f>SUM(D2:D697)</f>
        <v>2426629</v>
      </c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3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3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3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3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3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3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3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3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3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3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3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3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3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3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3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3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3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3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3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3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3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3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3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3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3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3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3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3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3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3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3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3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3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3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3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3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3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3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3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3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3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3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3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3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3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3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3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3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3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3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3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3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3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3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3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3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3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3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3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3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3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3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3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3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3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3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3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3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3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3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3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3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3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3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3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3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3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3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3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3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3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3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3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3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3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3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3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3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3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3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3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3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3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3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3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3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3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3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3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3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3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3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3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3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3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3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3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3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3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3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3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3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3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3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3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3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3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3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3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3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3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3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3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3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3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3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3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3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3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3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3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3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3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3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3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3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3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3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3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3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3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3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3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3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3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3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3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3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3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3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3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3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3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3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3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3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3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3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3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3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3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3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3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3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3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3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3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3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3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3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3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3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3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3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3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3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3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3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3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3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3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3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3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3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3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3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3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3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3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3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3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3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3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3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3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3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3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3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3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3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3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3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3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3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3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3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3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3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3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3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3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3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3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3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3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3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3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3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3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3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3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3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3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3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3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3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3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3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3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3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3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3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3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3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3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3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3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3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3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3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3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3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3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3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3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3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3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3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3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3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3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3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3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3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3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3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3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3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3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3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3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3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3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3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3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3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3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3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3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3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3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3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3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3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3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3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3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3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3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3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3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3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3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3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3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3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3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3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3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3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3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3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3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3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3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3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3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3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3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3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3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3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75"/>
    <col customWidth="1" min="3" max="3" width="17.25"/>
    <col customWidth="1" min="4" max="4" width="16.13"/>
  </cols>
  <sheetData>
    <row r="1">
      <c r="A1" s="12" t="s">
        <v>146</v>
      </c>
      <c r="B1" s="12" t="s">
        <v>147</v>
      </c>
      <c r="C1" s="12" t="s">
        <v>6</v>
      </c>
      <c r="D1" s="12" t="s">
        <v>182</v>
      </c>
      <c r="E1" s="12" t="s">
        <v>95</v>
      </c>
    </row>
    <row r="2">
      <c r="A2" s="12" t="s">
        <v>148</v>
      </c>
      <c r="B2" s="21">
        <v>7314.0</v>
      </c>
      <c r="C2" s="21">
        <v>2281.0</v>
      </c>
      <c r="D2" s="12">
        <v>299.0</v>
      </c>
      <c r="E2" s="21">
        <v>7014.0</v>
      </c>
    </row>
    <row r="3">
      <c r="A3" s="22" t="s">
        <v>149</v>
      </c>
      <c r="B3" s="23">
        <v>61251.0</v>
      </c>
      <c r="C3" s="23">
        <v>20024.0</v>
      </c>
      <c r="D3" s="22">
        <v>166.0</v>
      </c>
      <c r="E3" s="23">
        <v>61085.0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2" t="s">
        <v>150</v>
      </c>
      <c r="B4" s="21">
        <v>141700.0</v>
      </c>
      <c r="C4" s="21">
        <v>44623.0</v>
      </c>
      <c r="D4" s="21">
        <v>4467.0</v>
      </c>
      <c r="E4" s="21">
        <v>137233.0</v>
      </c>
    </row>
    <row r="5">
      <c r="A5" s="12" t="s">
        <v>151</v>
      </c>
      <c r="B5" s="21">
        <v>20654.0</v>
      </c>
      <c r="C5" s="21">
        <v>7862.0</v>
      </c>
      <c r="D5" s="12">
        <v>116.0</v>
      </c>
      <c r="E5" s="21">
        <v>20538.0</v>
      </c>
    </row>
    <row r="6">
      <c r="A6" s="12" t="s">
        <v>152</v>
      </c>
      <c r="B6" s="12">
        <v>998.0</v>
      </c>
      <c r="C6" s="12">
        <v>405.0</v>
      </c>
      <c r="D6" s="12" t="s">
        <v>183</v>
      </c>
      <c r="E6" s="12">
        <v>998.0</v>
      </c>
    </row>
    <row r="7">
      <c r="A7" s="22" t="s">
        <v>153</v>
      </c>
      <c r="B7" s="23">
        <v>377378.0</v>
      </c>
      <c r="C7" s="23">
        <v>120087.0</v>
      </c>
      <c r="D7" s="22">
        <v>2429.0</v>
      </c>
      <c r="E7" s="23">
        <v>374950.0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2" t="s">
        <v>154</v>
      </c>
      <c r="B8" s="21">
        <v>20112.0</v>
      </c>
      <c r="C8" s="21">
        <v>6561.0</v>
      </c>
      <c r="D8" s="12">
        <v>87.0</v>
      </c>
      <c r="E8" s="21">
        <v>20024.0</v>
      </c>
    </row>
    <row r="9">
      <c r="A9" s="12" t="s">
        <v>155</v>
      </c>
      <c r="B9" s="21">
        <v>10035.0</v>
      </c>
      <c r="C9" s="21">
        <v>3757.0</v>
      </c>
      <c r="D9" s="12">
        <v>58.0</v>
      </c>
      <c r="E9" s="21">
        <v>9977.0</v>
      </c>
    </row>
    <row r="10">
      <c r="A10" s="12" t="s">
        <v>156</v>
      </c>
      <c r="B10" s="21">
        <v>5141.0</v>
      </c>
      <c r="C10" s="21">
        <v>1878.0</v>
      </c>
      <c r="D10" s="12">
        <v>204.0</v>
      </c>
      <c r="E10" s="21">
        <v>4936.0</v>
      </c>
    </row>
    <row r="11">
      <c r="A11" s="12" t="s">
        <v>157</v>
      </c>
      <c r="B11" s="21">
        <v>9842.0</v>
      </c>
      <c r="C11" s="21">
        <v>3985.0</v>
      </c>
      <c r="D11" s="12">
        <v>156.0</v>
      </c>
      <c r="E11" s="21">
        <v>9686.0</v>
      </c>
    </row>
    <row r="12">
      <c r="A12" s="12" t="s">
        <v>158</v>
      </c>
      <c r="B12" s="21">
        <v>66044.0</v>
      </c>
      <c r="C12" s="21">
        <v>21468.0</v>
      </c>
      <c r="D12" s="21">
        <v>1693.0</v>
      </c>
      <c r="E12" s="21">
        <v>64351.0</v>
      </c>
    </row>
    <row r="13">
      <c r="A13" s="12" t="s">
        <v>159</v>
      </c>
      <c r="B13" s="21">
        <v>12766.0</v>
      </c>
      <c r="C13" s="21">
        <v>3975.0</v>
      </c>
      <c r="D13" s="12">
        <v>101.0</v>
      </c>
      <c r="E13" s="21">
        <v>12665.0</v>
      </c>
    </row>
    <row r="14">
      <c r="A14" s="12" t="s">
        <v>160</v>
      </c>
      <c r="B14" s="21">
        <v>8387.0</v>
      </c>
      <c r="C14" s="21">
        <v>3104.0</v>
      </c>
      <c r="D14" s="12">
        <v>168.0</v>
      </c>
      <c r="E14" s="21">
        <v>8219.0</v>
      </c>
    </row>
    <row r="15">
      <c r="A15" s="12" t="s">
        <v>161</v>
      </c>
      <c r="B15" s="21">
        <v>13484.0</v>
      </c>
      <c r="C15" s="21">
        <v>4371.0</v>
      </c>
      <c r="D15" s="12">
        <v>185.0</v>
      </c>
      <c r="E15" s="21">
        <v>13300.0</v>
      </c>
    </row>
    <row r="16">
      <c r="A16" s="12" t="s">
        <v>162</v>
      </c>
      <c r="B16" s="21">
        <v>13059.0</v>
      </c>
      <c r="C16" s="21">
        <v>4212.0</v>
      </c>
      <c r="D16" s="12" t="s">
        <v>183</v>
      </c>
      <c r="E16" s="21">
        <v>13059.0</v>
      </c>
    </row>
    <row r="17">
      <c r="A17" s="12" t="s">
        <v>163</v>
      </c>
      <c r="B17" s="21">
        <v>1565.0</v>
      </c>
      <c r="C17" s="12">
        <v>606.0</v>
      </c>
      <c r="D17" s="12" t="s">
        <v>183</v>
      </c>
      <c r="E17" s="21">
        <v>1565.0</v>
      </c>
    </row>
    <row r="18">
      <c r="A18" s="12" t="s">
        <v>164</v>
      </c>
      <c r="B18" s="21">
        <v>2725.0</v>
      </c>
      <c r="C18" s="12">
        <v>958.0</v>
      </c>
      <c r="D18" s="12">
        <v>54.0</v>
      </c>
      <c r="E18" s="21">
        <v>2671.0</v>
      </c>
    </row>
    <row r="19">
      <c r="A19" s="22" t="s">
        <v>165</v>
      </c>
      <c r="B19" s="23">
        <v>1220554.0</v>
      </c>
      <c r="C19" s="23">
        <v>428374.0</v>
      </c>
      <c r="D19" s="22">
        <v>18582.0</v>
      </c>
      <c r="E19" s="23">
        <v>1201973.0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2" t="s">
        <v>166</v>
      </c>
      <c r="B20" s="21">
        <v>14954.0</v>
      </c>
      <c r="C20" s="21">
        <v>5167.0</v>
      </c>
      <c r="D20" s="12">
        <v>409.0</v>
      </c>
      <c r="E20" s="21">
        <v>14545.0</v>
      </c>
    </row>
    <row r="21">
      <c r="A21" s="12" t="s">
        <v>167</v>
      </c>
      <c r="B21" s="21">
        <v>30347.0</v>
      </c>
      <c r="C21" s="21">
        <v>9226.0</v>
      </c>
      <c r="D21" s="21">
        <v>2808.0</v>
      </c>
      <c r="E21" s="21">
        <v>27539.0</v>
      </c>
    </row>
    <row r="22">
      <c r="A22" s="12" t="s">
        <v>168</v>
      </c>
      <c r="B22" s="21">
        <v>22164.0</v>
      </c>
      <c r="C22" s="21">
        <v>7586.0</v>
      </c>
      <c r="D22" s="12">
        <v>281.0</v>
      </c>
      <c r="E22" s="21">
        <v>21883.0</v>
      </c>
    </row>
    <row r="23">
      <c r="A23" s="12" t="s">
        <v>169</v>
      </c>
      <c r="B23" s="21">
        <v>43491.0</v>
      </c>
      <c r="C23" s="21">
        <v>14382.0</v>
      </c>
      <c r="D23" s="12">
        <v>129.0</v>
      </c>
      <c r="E23" s="21">
        <v>43362.0</v>
      </c>
    </row>
    <row r="24">
      <c r="A24" s="12" t="s">
        <v>170</v>
      </c>
      <c r="B24" s="21">
        <v>79408.0</v>
      </c>
      <c r="C24" s="21">
        <v>24834.0</v>
      </c>
      <c r="D24" s="12">
        <v>298.0</v>
      </c>
      <c r="E24" s="21">
        <v>79109.0</v>
      </c>
    </row>
    <row r="25">
      <c r="A25" s="12" t="s">
        <v>171</v>
      </c>
      <c r="B25" s="21">
        <v>36527.0</v>
      </c>
      <c r="C25" s="21">
        <v>12149.0</v>
      </c>
      <c r="D25" s="12">
        <v>115.0</v>
      </c>
      <c r="E25" s="21">
        <v>36412.0</v>
      </c>
    </row>
    <row r="26">
      <c r="A26" s="22" t="s">
        <v>172</v>
      </c>
      <c r="B26" s="23">
        <v>727752.0</v>
      </c>
      <c r="C26" s="23">
        <v>211379.0</v>
      </c>
      <c r="D26" s="22">
        <v>16935.0</v>
      </c>
      <c r="E26" s="23">
        <v>710817.0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12" t="s">
        <v>173</v>
      </c>
      <c r="B27" s="21">
        <v>37933.0</v>
      </c>
      <c r="C27" s="21">
        <v>12557.0</v>
      </c>
      <c r="D27" s="12">
        <v>216.0</v>
      </c>
      <c r="E27" s="21">
        <v>37716.0</v>
      </c>
    </row>
    <row r="28">
      <c r="A28" s="12" t="s">
        <v>174</v>
      </c>
      <c r="B28" s="21">
        <v>198528.0</v>
      </c>
      <c r="C28" s="21">
        <v>70845.0</v>
      </c>
      <c r="D28" s="21">
        <v>3086.0</v>
      </c>
      <c r="E28" s="21">
        <v>195442.0</v>
      </c>
    </row>
    <row r="29">
      <c r="A29" s="12" t="s">
        <v>175</v>
      </c>
      <c r="B29" s="21">
        <v>2523.0</v>
      </c>
      <c r="C29" s="12">
        <v>947.0</v>
      </c>
      <c r="D29" s="12" t="s">
        <v>183</v>
      </c>
      <c r="E29" s="21">
        <v>2523.0</v>
      </c>
    </row>
    <row r="30">
      <c r="A30" s="22" t="s">
        <v>176</v>
      </c>
      <c r="B30" s="23">
        <v>269811.0</v>
      </c>
      <c r="C30" s="23">
        <v>94482.0</v>
      </c>
      <c r="D30" s="22">
        <v>3773.0</v>
      </c>
      <c r="E30" s="23">
        <v>266038.0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2" t="s">
        <v>177</v>
      </c>
      <c r="B31" s="21">
        <v>3456446.0</v>
      </c>
      <c r="C31" s="21">
        <v>1142083.0</v>
      </c>
      <c r="D31" s="21">
        <v>56816.0</v>
      </c>
      <c r="E31" s="21">
        <v>3399630.0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2025-03-05T22:48:49Z</dcterms:created>
  <dc:creator>Mallory Bateman</dc:creator>
</cp:coreProperties>
</file>